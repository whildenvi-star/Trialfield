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 notes" sheetId="1" r:id="rId4"/>
    <sheet state="visible" name="Fall 25 Fert Pickup " sheetId="2" r:id="rId5"/>
    <sheet state="visible" name="PAT CHEM CORNSMALL GRAIN" sheetId="3" r:id="rId6"/>
    <sheet state="visible" name="PAT CHEM SOYBEANS" sheetId="4" r:id="rId7"/>
    <sheet state="visible" name="PAT CHEM CANNING" sheetId="5" r:id="rId8"/>
    <sheet state="visible" name="25-26 tillage" sheetId="6" r:id="rId9"/>
    <sheet state="visible" name="2026 Hybrid Placement" sheetId="7" r:id="rId10"/>
    <sheet state="visible" name="Pat Chemicals" sheetId="8" r:id="rId11"/>
    <sheet state="visible" name="Acre Check " sheetId="9" r:id="rId12"/>
    <sheet state="visible" name="Pat Soil Test Recrds" sheetId="10" r:id="rId13"/>
  </sheets>
  <definedNames>
    <definedName hidden="1" localSheetId="6" name="_xlnm._FilterDatabase">'2026 Hybrid Placement'!$A$1:$R$51</definedName>
  </definedNames>
  <calcPr/>
</workbook>
</file>

<file path=xl/sharedStrings.xml><?xml version="1.0" encoding="utf-8"?>
<sst xmlns="http://schemas.openxmlformats.org/spreadsheetml/2006/main" count="1844" uniqueCount="347">
  <si>
    <t>Acres (planted 22)</t>
  </si>
  <si>
    <t>2022 notes</t>
  </si>
  <si>
    <t>first pass</t>
  </si>
  <si>
    <t>second pass</t>
  </si>
  <si>
    <t>3rd pass</t>
  </si>
  <si>
    <t>4th pass</t>
  </si>
  <si>
    <t>FALL rip?</t>
  </si>
  <si>
    <t>2026 no till potential</t>
  </si>
  <si>
    <t>26 resicore?</t>
  </si>
  <si>
    <t>26 GCS CC potential</t>
  </si>
  <si>
    <t>26 canning potential?</t>
  </si>
  <si>
    <t xml:space="preserve">airport, hips, knilans, and Jrs big field </t>
  </si>
  <si>
    <t>soybeans</t>
  </si>
  <si>
    <t>Wheat</t>
  </si>
  <si>
    <t>Soybeans</t>
  </si>
  <si>
    <t>wheat</t>
  </si>
  <si>
    <t>Sorghum</t>
  </si>
  <si>
    <t>rye</t>
  </si>
  <si>
    <t>fert</t>
  </si>
  <si>
    <t>plant</t>
  </si>
  <si>
    <t>no</t>
  </si>
  <si>
    <t>Rye</t>
  </si>
  <si>
    <t>x</t>
  </si>
  <si>
    <t>bakke</t>
  </si>
  <si>
    <t>Corn</t>
  </si>
  <si>
    <t>White Corn</t>
  </si>
  <si>
    <t>corn</t>
  </si>
  <si>
    <t>fert / cc</t>
  </si>
  <si>
    <t>disk</t>
  </si>
  <si>
    <t xml:space="preserve">Blues </t>
  </si>
  <si>
    <t>hybrid</t>
  </si>
  <si>
    <t>SweetCorn</t>
  </si>
  <si>
    <t>Lima Beans</t>
  </si>
  <si>
    <t>blue south</t>
  </si>
  <si>
    <t>white corn</t>
  </si>
  <si>
    <t>Brads</t>
  </si>
  <si>
    <t>buchanan big</t>
  </si>
  <si>
    <t>disk or rip</t>
  </si>
  <si>
    <t>TBD</t>
  </si>
  <si>
    <t>Buchanan little</t>
  </si>
  <si>
    <t>carrol</t>
  </si>
  <si>
    <t>lima beans</t>
  </si>
  <si>
    <t>rip</t>
  </si>
  <si>
    <t>cuff</t>
  </si>
  <si>
    <t>Daun</t>
  </si>
  <si>
    <t>delong avon</t>
  </si>
  <si>
    <t>rye CC</t>
  </si>
  <si>
    <t>peas</t>
  </si>
  <si>
    <t>chisel</t>
  </si>
  <si>
    <t>delong christopherson</t>
  </si>
  <si>
    <t>fert/cc</t>
  </si>
  <si>
    <t>delong meyer</t>
  </si>
  <si>
    <t>blue Corn</t>
  </si>
  <si>
    <t>food beans</t>
  </si>
  <si>
    <t>elwoods</t>
  </si>
  <si>
    <t>Lima beans</t>
  </si>
  <si>
    <t>fagan</t>
  </si>
  <si>
    <t>?</t>
  </si>
  <si>
    <t>IN for 2026</t>
  </si>
  <si>
    <t>fox den</t>
  </si>
  <si>
    <t>fox kettle</t>
  </si>
  <si>
    <t>DAP</t>
  </si>
  <si>
    <t>fox kettle little</t>
  </si>
  <si>
    <t>fox lemans</t>
  </si>
  <si>
    <t>Gessert DRY bottom</t>
  </si>
  <si>
    <t>Gessert DRY top</t>
  </si>
  <si>
    <t>Gessert IRR</t>
  </si>
  <si>
    <t>peas/snaps</t>
  </si>
  <si>
    <t>Seed Corn</t>
  </si>
  <si>
    <t>Sweetcorn</t>
  </si>
  <si>
    <t>Gessert IRR west 110</t>
  </si>
  <si>
    <t>gessley</t>
  </si>
  <si>
    <t>SeedCorn</t>
  </si>
  <si>
    <t>Peas/ Snaps</t>
  </si>
  <si>
    <t>White corn</t>
  </si>
  <si>
    <t>Peas/snaps</t>
  </si>
  <si>
    <t>hoff</t>
  </si>
  <si>
    <t>Rye CC</t>
  </si>
  <si>
    <t>seed beans</t>
  </si>
  <si>
    <t>home</t>
  </si>
  <si>
    <t>inman</t>
  </si>
  <si>
    <t>jehovah</t>
  </si>
  <si>
    <t>Juniors 3 little fields</t>
  </si>
  <si>
    <t>Kernza</t>
  </si>
  <si>
    <t xml:space="preserve">Jr's Big Field </t>
  </si>
  <si>
    <t>Klug North</t>
  </si>
  <si>
    <t>No-Till Corn</t>
  </si>
  <si>
    <t xml:space="preserve">peas </t>
  </si>
  <si>
    <t>klug-Davis</t>
  </si>
  <si>
    <t>RYE</t>
  </si>
  <si>
    <t>Sweet corn</t>
  </si>
  <si>
    <t>lake</t>
  </si>
  <si>
    <t>Knilans Rd.</t>
  </si>
  <si>
    <t>larson</t>
  </si>
  <si>
    <t>disk wash</t>
  </si>
  <si>
    <t>murray</t>
  </si>
  <si>
    <t>Wheat CC</t>
  </si>
  <si>
    <t>New Life</t>
  </si>
  <si>
    <t>Noss, Jeff</t>
  </si>
  <si>
    <t>Noss, jessie torkelson west</t>
  </si>
  <si>
    <t>Noss, Sid</t>
  </si>
  <si>
    <t>No Till Corn</t>
  </si>
  <si>
    <t>Noss, torkelson east</t>
  </si>
  <si>
    <t>SOybeans</t>
  </si>
  <si>
    <t>blue corn</t>
  </si>
  <si>
    <t xml:space="preserve">          </t>
  </si>
  <si>
    <t>2400?</t>
  </si>
  <si>
    <t>Phillhower east</t>
  </si>
  <si>
    <t>??</t>
  </si>
  <si>
    <t>Phillhower west</t>
  </si>
  <si>
    <t>schultz</t>
  </si>
  <si>
    <t>Blue Corn</t>
  </si>
  <si>
    <t>wheat CC</t>
  </si>
  <si>
    <t>Rye stubble</t>
  </si>
  <si>
    <t>schwellenbach</t>
  </si>
  <si>
    <t>suiter</t>
  </si>
  <si>
    <t>PP</t>
  </si>
  <si>
    <t>Townline ALL</t>
  </si>
  <si>
    <t>Twist farm</t>
  </si>
  <si>
    <t>waterway</t>
  </si>
  <si>
    <t>Townline South</t>
  </si>
  <si>
    <t>wes</t>
  </si>
  <si>
    <t>rr beans</t>
  </si>
  <si>
    <t>Winter Barley</t>
  </si>
  <si>
    <t>Total 2026</t>
  </si>
  <si>
    <t>seed corn</t>
  </si>
  <si>
    <t xml:space="preserve">Schultz/Schwellenbch </t>
  </si>
  <si>
    <t>canning</t>
  </si>
  <si>
    <t>NO TILL</t>
  </si>
  <si>
    <t>Omni, Big North Irr</t>
  </si>
  <si>
    <t>Whgite Corn</t>
  </si>
  <si>
    <t>White Corn/ Soybeans</t>
  </si>
  <si>
    <t>White Corn/Peas/Snaps</t>
  </si>
  <si>
    <t>OUT</t>
  </si>
  <si>
    <t>Omni, Big North Irr pt. 2</t>
  </si>
  <si>
    <t>hemp</t>
  </si>
  <si>
    <t>Omni, Big North Dry</t>
  </si>
  <si>
    <t>Omni, Dollar General</t>
  </si>
  <si>
    <t>Omni, Grassy knoll</t>
  </si>
  <si>
    <t>white Corn</t>
  </si>
  <si>
    <t>Sweet Corn</t>
  </si>
  <si>
    <t>ryans office</t>
  </si>
  <si>
    <t>hotel</t>
  </si>
  <si>
    <t>donaldson green</t>
  </si>
  <si>
    <t>wes towers</t>
  </si>
  <si>
    <t>Goat Pasture</t>
  </si>
  <si>
    <t>HAY</t>
  </si>
  <si>
    <t>willie's triangle</t>
  </si>
  <si>
    <t>Out</t>
  </si>
  <si>
    <t>Hughes Bean Removal Farms/Blend Tickets</t>
  </si>
  <si>
    <t>spread</t>
  </si>
  <si>
    <t>Fox Den</t>
  </si>
  <si>
    <t>open</t>
  </si>
  <si>
    <t>Fox Lemans</t>
  </si>
  <si>
    <t>Buchaon 10Ac</t>
  </si>
  <si>
    <t>Larsons</t>
  </si>
  <si>
    <t>Jehovah</t>
  </si>
  <si>
    <t>Jeff Noss</t>
  </si>
  <si>
    <t>Schultz</t>
  </si>
  <si>
    <t>Schwelllenbach</t>
  </si>
  <si>
    <t>Carrol</t>
  </si>
  <si>
    <t>Cuff</t>
  </si>
  <si>
    <t xml:space="preserve">Hughes 2026 Inputs </t>
  </si>
  <si>
    <t>Sid Noss</t>
  </si>
  <si>
    <t xml:space="preserve">Corteva Crop Protection </t>
  </si>
  <si>
    <t>Hughes Corn Removal Farms/Blend Tickets</t>
  </si>
  <si>
    <t>nicks numbers</t>
  </si>
  <si>
    <t xml:space="preserve">JD Finance </t>
  </si>
  <si>
    <t>Fox kettle</t>
  </si>
  <si>
    <t>Delong Company</t>
  </si>
  <si>
    <t>Bakke</t>
  </si>
  <si>
    <t>Torkelson West</t>
  </si>
  <si>
    <t xml:space="preserve">     Fall Fertilizer </t>
  </si>
  <si>
    <t>Torkelson East</t>
  </si>
  <si>
    <t xml:space="preserve">     Spring Fertilizer </t>
  </si>
  <si>
    <t>Inman</t>
  </si>
  <si>
    <t xml:space="preserve">      Delong Chemicals</t>
  </si>
  <si>
    <t>Lake</t>
  </si>
  <si>
    <t xml:space="preserve">      Organic Fertilizer</t>
  </si>
  <si>
    <t xml:space="preserve">Klug North </t>
  </si>
  <si>
    <t xml:space="preserve">Total to Delongs </t>
  </si>
  <si>
    <t xml:space="preserve">Klug Davis </t>
  </si>
  <si>
    <t>Guessert</t>
  </si>
  <si>
    <t>Gessley</t>
  </si>
  <si>
    <t>X</t>
  </si>
  <si>
    <t>DelongMeyer</t>
  </si>
  <si>
    <t xml:space="preserve">Delong Avon </t>
  </si>
  <si>
    <t xml:space="preserve">Delong Christoperson </t>
  </si>
  <si>
    <t>Philhower West</t>
  </si>
  <si>
    <t>xx</t>
  </si>
  <si>
    <t xml:space="preserve">Twist </t>
  </si>
  <si>
    <t xml:space="preserve">Hoff </t>
  </si>
  <si>
    <t>Bakke Extra</t>
  </si>
  <si>
    <t xml:space="preserve">Murray </t>
  </si>
  <si>
    <t>Extra for Pilhower</t>
  </si>
  <si>
    <t>USED AT Carroll??</t>
  </si>
  <si>
    <t>Kettle Rd Rye</t>
  </si>
  <si>
    <t>Airport Rye</t>
  </si>
  <si>
    <t>no RX</t>
  </si>
  <si>
    <t xml:space="preserve"> </t>
  </si>
  <si>
    <t xml:space="preserve">  </t>
  </si>
  <si>
    <t>Spring bean ground Till</t>
  </si>
  <si>
    <t>fall till</t>
  </si>
  <si>
    <t>no til potential</t>
  </si>
  <si>
    <t>cover crops</t>
  </si>
  <si>
    <t>Acres</t>
  </si>
  <si>
    <t>Notes</t>
  </si>
  <si>
    <t>cc</t>
  </si>
  <si>
    <t>Blues</t>
  </si>
  <si>
    <t>Buchannon little</t>
  </si>
  <si>
    <t xml:space="preserve">Chisel north headland and where power line was put in </t>
  </si>
  <si>
    <t>Delong Christopherson</t>
  </si>
  <si>
    <t>Cc</t>
  </si>
  <si>
    <t>Delong avon</t>
  </si>
  <si>
    <t>Delong meyer</t>
  </si>
  <si>
    <t>Fagan</t>
  </si>
  <si>
    <t>Fox Kettle</t>
  </si>
  <si>
    <t>Gessert</t>
  </si>
  <si>
    <t>Hoff</t>
  </si>
  <si>
    <t>Home</t>
  </si>
  <si>
    <t>Inman conventional</t>
  </si>
  <si>
    <t>cc??</t>
  </si>
  <si>
    <t>Jeff noss</t>
  </si>
  <si>
    <t>jesse noss</t>
  </si>
  <si>
    <t>jones</t>
  </si>
  <si>
    <t>Klug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</si>
  <si>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</si>
  <si>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New life</t>
  </si>
  <si>
    <t>omni</t>
  </si>
  <si>
    <t>philhower west</t>
  </si>
  <si>
    <t>Schwallenbach</t>
  </si>
  <si>
    <t>Sid noss</t>
  </si>
  <si>
    <t>torkelson east</t>
  </si>
  <si>
    <t>twist farm</t>
  </si>
  <si>
    <t>NOTILL INTO Bean Stubble</t>
  </si>
  <si>
    <t>NOTILL INTO CORN STUBBLE</t>
  </si>
  <si>
    <t>FALL TILLAGE ACRES</t>
  </si>
  <si>
    <t>target yield</t>
  </si>
  <si>
    <t>Variety</t>
  </si>
  <si>
    <t>RX rate?</t>
  </si>
  <si>
    <t>Population</t>
  </si>
  <si>
    <t>total seeds</t>
  </si>
  <si>
    <t>seeds/unit</t>
  </si>
  <si>
    <t>Total units</t>
  </si>
  <si>
    <t>26Z86</t>
  </si>
  <si>
    <t>no til</t>
  </si>
  <si>
    <t>P16Z25E</t>
  </si>
  <si>
    <t xml:space="preserve">Crop </t>
  </si>
  <si>
    <t>Brand</t>
  </si>
  <si>
    <t>VARIETY</t>
  </si>
  <si>
    <t>Seeds/ unit</t>
  </si>
  <si>
    <t>Total Projected Units</t>
  </si>
  <si>
    <t>Booked</t>
  </si>
  <si>
    <t>P0720</t>
  </si>
  <si>
    <t>Pioneer</t>
  </si>
  <si>
    <t>P0035</t>
  </si>
  <si>
    <t>P05081</t>
  </si>
  <si>
    <t>Rixor</t>
  </si>
  <si>
    <t>P08527</t>
  </si>
  <si>
    <t>Seneca</t>
  </si>
  <si>
    <t>Canning1</t>
  </si>
  <si>
    <t>Peas/Snaps</t>
  </si>
  <si>
    <t>Canning2</t>
  </si>
  <si>
    <t>Canning3</t>
  </si>
  <si>
    <t>DF Seeds</t>
  </si>
  <si>
    <t>DF 193 -1.9 Seedgrade</t>
  </si>
  <si>
    <t>DF 214- 2.1 Seedgrade</t>
  </si>
  <si>
    <t>con til</t>
  </si>
  <si>
    <t>DF 155- 2.5 Seedgrade</t>
  </si>
  <si>
    <t>DF 262</t>
  </si>
  <si>
    <t>Progas</t>
  </si>
  <si>
    <t>EX25cz - 2.5 Seedgrade</t>
  </si>
  <si>
    <t>food acres</t>
  </si>
  <si>
    <t>P1306W</t>
  </si>
  <si>
    <t>DF 214</t>
  </si>
  <si>
    <t>FGI</t>
  </si>
  <si>
    <t>Hybrid Rye</t>
  </si>
  <si>
    <t>KWS</t>
  </si>
  <si>
    <t>bean acres</t>
  </si>
  <si>
    <t>Seraphiono</t>
  </si>
  <si>
    <t>No till???</t>
  </si>
  <si>
    <t>instructions:</t>
  </si>
  <si>
    <t>1: Fill any cell THIS color</t>
  </si>
  <si>
    <t>2: Dont change anyhting THIS color</t>
  </si>
  <si>
    <t>3: edit farm,acres, crop on Sheet1</t>
  </si>
  <si>
    <t>NOTES:</t>
  </si>
  <si>
    <t>Cleaned up sheet to prepare for 26 season</t>
  </si>
  <si>
    <t>conv</t>
  </si>
  <si>
    <t>Farm</t>
  </si>
  <si>
    <t>spring plan</t>
  </si>
  <si>
    <t>airport (w/ juniors)</t>
  </si>
  <si>
    <t>No till</t>
  </si>
  <si>
    <t>no till</t>
  </si>
  <si>
    <t xml:space="preserve">Resicor </t>
  </si>
  <si>
    <t>Blues North</t>
  </si>
  <si>
    <t>buchanan</t>
  </si>
  <si>
    <t>till</t>
  </si>
  <si>
    <t>resicore</t>
  </si>
  <si>
    <t xml:space="preserve">verdict outlook </t>
  </si>
  <si>
    <t>ward</t>
  </si>
  <si>
    <t xml:space="preserve">resicore </t>
  </si>
  <si>
    <t>resicore?</t>
  </si>
  <si>
    <t>no till TBD</t>
  </si>
  <si>
    <t xml:space="preserve">no till </t>
  </si>
  <si>
    <t>no till ?</t>
  </si>
  <si>
    <t>Townline North</t>
  </si>
  <si>
    <t>Total 2025</t>
  </si>
  <si>
    <t>10-34-0</t>
  </si>
  <si>
    <t>hay</t>
  </si>
  <si>
    <t xml:space="preserve">NO TILL </t>
  </si>
  <si>
    <t>cover crop</t>
  </si>
  <si>
    <t xml:space="preserve">Delong Reported </t>
  </si>
  <si>
    <t>Delong GIS</t>
  </si>
  <si>
    <t>airport</t>
  </si>
  <si>
    <t>xxx</t>
  </si>
  <si>
    <t xml:space="preserve">365 tOTAL </t>
  </si>
  <si>
    <t>Gessert IRR west 90</t>
  </si>
  <si>
    <t>jahovah</t>
  </si>
  <si>
    <t>Noss, jessie</t>
  </si>
  <si>
    <t>Noss, torkelson</t>
  </si>
  <si>
    <t xml:space="preserve">If Dry </t>
  </si>
  <si>
    <t xml:space="preserve">What is in?? </t>
  </si>
  <si>
    <t xml:space="preserve">Change the Delong Reported </t>
  </si>
  <si>
    <t>Total 2022</t>
  </si>
  <si>
    <t xml:space="preserve">Soil Test Date </t>
  </si>
  <si>
    <t xml:space="preserve">Organics </t>
  </si>
  <si>
    <t xml:space="preserve">Cullen </t>
  </si>
  <si>
    <t xml:space="preserve">Goat Pasture </t>
  </si>
  <si>
    <t xml:space="preserve">Jones </t>
  </si>
  <si>
    <t xml:space="preserve">Omni </t>
  </si>
  <si>
    <t xml:space="preserve">Dear Turkey </t>
  </si>
  <si>
    <t>Fletcher Cribben</t>
  </si>
  <si>
    <t xml:space="preserve">Kopp </t>
  </si>
  <si>
    <t xml:space="preserve">Simpson </t>
  </si>
  <si>
    <t xml:space="preserve">Avalon </t>
  </si>
  <si>
    <t xml:space="preserve">Glen erin </t>
  </si>
  <si>
    <t>Caravilla</t>
  </si>
  <si>
    <t xml:space="preserve">Omni Transitional </t>
  </si>
  <si>
    <t xml:space="preserve">simpson </t>
  </si>
  <si>
    <t xml:space="preserve">Wheeler Rd </t>
  </si>
  <si>
    <t>Fall 24 Sampling yet to do</t>
  </si>
  <si>
    <t xml:space="preserve">Airport </t>
  </si>
  <si>
    <t xml:space="preserve">Lake </t>
  </si>
  <si>
    <t xml:space="preserve">Sid Noss </t>
  </si>
  <si>
    <t xml:space="preserve">Suiter </t>
  </si>
  <si>
    <t xml:space="preserve">Organic </t>
  </si>
  <si>
    <t>Total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</si>
</sst>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0.0"/>
    <numFmt numFmtId="166" formatCode="m/d/yy"/>
    <numFmt numFmtId="167" formatCode="m/d/yyyy"/>
    <numFmt numFmtId="168" formatCode="m/d"/>
  </numFmts>
  <fonts count="34">
    <font>
      <sz val="10.0"/>
      <color rgb="FF000000"/>
      <name val="Arial"/>
    </font>
    <font>
      <b/>
      <u/>
      <name val="Arial"/>
    </font>
    <font>
      <b/>
      <u/>
    </font>
    <font>
      <b/>
      <u/>
    </font>
    <font>
      <b/>
      <u/>
    </font>
    <font>
      <b/>
      <u/>
    </font>
    <font>
      <b/>
      <u/>
      <sz val="8.0"/>
    </font>
    <font/>
    <font>
      <name val="Arial"/>
    </font>
    <font>
      <sz val="10.0"/>
      <name val="Arial"/>
    </font>
    <font>
      <sz val="10.0"/>
    </font>
    <font>
      <color rgb="FFFFFFFF"/>
    </font>
    <font>
      <b/>
      <name val="Arial"/>
    </font>
    <font>
      <b/>
      <sz val="12.0"/>
      <name val="Arial"/>
    </font>
    <font>
      <sz val="9.0"/>
      <color rgb="FF000000"/>
      <name val="&quot;Google Sans Mono&quot;"/>
    </font>
    <font>
      <sz val="16.0"/>
    </font>
    <font>
      <b/>
      <sz val="11.0"/>
      <color rgb="FF000000"/>
      <name val="Inconsolata"/>
    </font>
    <font>
      <b/>
    </font>
    <font>
      <strike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&quot;Aptos Narrow&quot;"/>
    </font>
    <font>
      <b/>
      <sz val="12.0"/>
    </font>
    <font>
      <sz val="11.0"/>
    </font>
    <font>
      <b/>
      <sz val="11.0"/>
    </font>
    <font>
      <b/>
      <sz val="12.0"/>
      <color rgb="FF000000"/>
      <name val="&quot;Google Sans Mono&quot;"/>
    </font>
    <font>
      <sz val="11.0"/>
      <name val="Calibri"/>
    </font>
    <font>
      <b/>
      <u/>
      <sz val="14.0"/>
      <name val="Calibri"/>
    </font>
    <font>
      <b/>
      <sz val="14.0"/>
      <name val="Calibri"/>
    </font>
    <font>
      <b/>
      <sz val="13.0"/>
      <name val="Arial"/>
    </font>
    <font>
      <b/>
      <u/>
      <sz val="11.0"/>
      <name val="Calibri"/>
    </font>
    <font>
      <b/>
      <u/>
      <sz val="11.0"/>
      <name val="Calibri"/>
    </font>
    <font>
      <sz val="9.0"/>
      <color rgb="FF1F1F1F"/>
      <name val="&quot;Google Sans&quot;"/>
    </font>
    <font>
      <color rgb="FF000000"/>
    </font>
  </fonts>
  <fills count="4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A2C4C9"/>
        <bgColor rgb="FFA2C4C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274E13"/>
        <bgColor rgb="FF274E13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83E28E"/>
        <bgColor rgb="FF83E28E"/>
      </patternFill>
    </fill>
    <fill>
      <patternFill patternType="solid">
        <fgColor rgb="FFEFEFEF"/>
        <bgColor rgb="FFEFEFEF"/>
      </patternFill>
    </fill>
    <fill>
      <patternFill patternType="solid">
        <fgColor rgb="FFD5A6BD"/>
        <bgColor rgb="FFD5A6BD"/>
      </patternFill>
    </fill>
    <fill>
      <patternFill patternType="solid">
        <fgColor rgb="FF38761D"/>
        <bgColor rgb="FF38761D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54">
    <border/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FF0000"/>
      </left>
      <top style="thin">
        <color rgb="FFFF0000"/>
      </top>
      <bottom style="thin">
        <color rgb="FFFF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medium">
        <color rgb="FF000000"/>
      </top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FFFFFF"/>
      </right>
      <top style="thick">
        <color rgb="FF000000"/>
      </top>
    </border>
    <border>
      <left style="thick">
        <color rgb="FFFFFFFF"/>
      </left>
      <right style="thick">
        <color rgb="FFFFFFFF"/>
      </right>
      <top style="thick">
        <color rgb="FF000000"/>
      </top>
    </border>
    <border>
      <left style="thick">
        <color rgb="FFFFFFFF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000000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000000"/>
      </top>
      <bottom style="thick">
        <color rgb="FFFFFFFF"/>
      </bottom>
    </border>
    <border>
      <left style="thick">
        <color rgb="FF000000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000000"/>
      </right>
      <top style="thick">
        <color rgb="FFFFFFFF"/>
      </top>
      <bottom style="thick">
        <color rgb="FFFFFFFF"/>
      </bottom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4" fontId="7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0" fillId="0" fontId="7" numFmtId="0" xfId="0" applyAlignment="1" applyFont="1">
      <alignment horizontal="right" readingOrder="0"/>
    </xf>
    <xf borderId="0" fillId="3" fontId="7" numFmtId="0" xfId="0" applyAlignment="1" applyFont="1">
      <alignment readingOrder="0"/>
    </xf>
    <xf borderId="0" fillId="0" fontId="8" numFmtId="0" xfId="0" applyAlignment="1" applyFont="1">
      <alignment vertical="bottom"/>
    </xf>
    <xf borderId="0" fillId="8" fontId="7" numFmtId="0" xfId="0" applyAlignment="1" applyFill="1" applyFont="1">
      <alignment readingOrder="0"/>
    </xf>
    <xf borderId="0" fillId="9" fontId="7" numFmtId="0" xfId="0" applyAlignment="1" applyFill="1" applyFont="1">
      <alignment readingOrder="0"/>
    </xf>
    <xf borderId="0" fillId="10" fontId="7" numFmtId="0" xfId="0" applyAlignment="1" applyFill="1" applyFont="1">
      <alignment readingOrder="0"/>
    </xf>
    <xf borderId="0" fillId="11" fontId="7" numFmtId="0" xfId="0" applyAlignment="1" applyFill="1" applyFont="1">
      <alignment readingOrder="0"/>
    </xf>
    <xf borderId="0" fillId="12" fontId="7" numFmtId="0" xfId="0" applyAlignment="1" applyFill="1" applyFont="1">
      <alignment readingOrder="0"/>
    </xf>
    <xf borderId="0" fillId="13" fontId="7" numFmtId="0" xfId="0" applyAlignment="1" applyFill="1" applyFont="1">
      <alignment readingOrder="0"/>
    </xf>
    <xf borderId="0" fillId="14" fontId="7" numFmtId="0" xfId="0" applyAlignment="1" applyFill="1" applyFont="1">
      <alignment readingOrder="0"/>
    </xf>
    <xf borderId="0" fillId="15" fontId="7" numFmtId="0" xfId="0" applyAlignment="1" applyFill="1" applyFont="1">
      <alignment readingOrder="0"/>
    </xf>
    <xf borderId="0" fillId="14" fontId="8" numFmtId="0" xfId="0" applyAlignment="1" applyFont="1">
      <alignment readingOrder="0" vertical="bottom"/>
    </xf>
    <xf borderId="0" fillId="2" fontId="7" numFmtId="0" xfId="0" applyFont="1"/>
    <xf borderId="0" fillId="16" fontId="7" numFmtId="0" xfId="0" applyAlignment="1" applyFill="1" applyFont="1">
      <alignment readingOrder="0"/>
    </xf>
    <xf borderId="0" fillId="2" fontId="7" numFmtId="0" xfId="0" applyAlignment="1" applyFont="1">
      <alignment horizontal="right" readingOrder="0"/>
    </xf>
    <xf borderId="0" fillId="2" fontId="7" numFmtId="0" xfId="0" applyAlignment="1" applyFont="1">
      <alignment readingOrder="0"/>
    </xf>
    <xf borderId="0" fillId="17" fontId="7" numFmtId="0" xfId="0" applyAlignment="1" applyFill="1" applyFont="1">
      <alignment readingOrder="0"/>
    </xf>
    <xf borderId="0" fillId="18" fontId="7" numFmtId="0" xfId="0" applyAlignment="1" applyFill="1" applyFont="1">
      <alignment readingOrder="0"/>
    </xf>
    <xf borderId="0" fillId="19" fontId="7" numFmtId="0" xfId="0" applyAlignment="1" applyFill="1" applyFont="1">
      <alignment readingOrder="0"/>
    </xf>
    <xf borderId="0" fillId="2" fontId="8" numFmtId="0" xfId="0" applyAlignment="1" applyFont="1">
      <alignment readingOrder="0" vertical="bottom"/>
    </xf>
    <xf borderId="0" fillId="20" fontId="7" numFmtId="0" xfId="0" applyAlignment="1" applyFill="1" applyFont="1">
      <alignment readingOrder="0"/>
    </xf>
    <xf borderId="0" fillId="21" fontId="7" numFmtId="0" xfId="0" applyAlignment="1" applyFill="1" applyFont="1">
      <alignment readingOrder="0"/>
    </xf>
    <xf borderId="0" fillId="7" fontId="7" numFmtId="0" xfId="0" applyFont="1"/>
    <xf borderId="0" fillId="22" fontId="7" numFmtId="0" xfId="0" applyAlignment="1" applyFill="1" applyFont="1">
      <alignment readingOrder="0"/>
    </xf>
    <xf borderId="0" fillId="23" fontId="7" numFmtId="0" xfId="0" applyAlignment="1" applyFill="1" applyFont="1">
      <alignment readingOrder="0"/>
    </xf>
    <xf borderId="0" fillId="14" fontId="8" numFmtId="0" xfId="0" applyAlignment="1" applyFont="1">
      <alignment vertical="bottom"/>
    </xf>
    <xf borderId="0" fillId="24" fontId="7" numFmtId="0" xfId="0" applyAlignment="1" applyFill="1" applyFont="1">
      <alignment readingOrder="0"/>
    </xf>
    <xf borderId="0" fillId="25" fontId="7" numFmtId="0" xfId="0" applyAlignment="1" applyFill="1" applyFont="1">
      <alignment readingOrder="0"/>
    </xf>
    <xf borderId="1" fillId="9" fontId="7" numFmtId="0" xfId="0" applyAlignment="1" applyBorder="1" applyFont="1">
      <alignment readingOrder="0"/>
    </xf>
    <xf borderId="0" fillId="2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4" fontId="10" numFmtId="0" xfId="0" applyAlignment="1" applyFont="1">
      <alignment readingOrder="0"/>
    </xf>
    <xf borderId="0" fillId="5" fontId="10" numFmtId="0" xfId="0" applyAlignment="1" applyFont="1">
      <alignment readingOrder="0"/>
    </xf>
    <xf borderId="0" fillId="0" fontId="10" numFmtId="0" xfId="0" applyFont="1"/>
    <xf borderId="0" fillId="6" fontId="10" numFmtId="0" xfId="0" applyAlignment="1" applyFont="1">
      <alignment readingOrder="0"/>
    </xf>
    <xf borderId="0" fillId="7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26" fontId="10" numFmtId="0" xfId="0" applyAlignment="1" applyFill="1" applyFont="1">
      <alignment readingOrder="0"/>
    </xf>
    <xf borderId="0" fillId="27" fontId="7" numFmtId="0" xfId="0" applyAlignment="1" applyFill="1" applyFont="1">
      <alignment readingOrder="0"/>
    </xf>
    <xf borderId="0" fillId="28" fontId="7" numFmtId="0" xfId="0" applyAlignment="1" applyFill="1" applyFont="1">
      <alignment readingOrder="0"/>
    </xf>
    <xf borderId="0" fillId="29" fontId="7" numFmtId="0" xfId="0" applyAlignment="1" applyFill="1" applyFont="1">
      <alignment readingOrder="0"/>
    </xf>
    <xf borderId="0" fillId="0" fontId="7" numFmtId="0" xfId="0" applyAlignment="1" applyFont="1">
      <alignment horizontal="right"/>
    </xf>
    <xf borderId="0" fillId="27" fontId="11" numFmtId="0" xfId="0" applyAlignment="1" applyFont="1">
      <alignment readingOrder="0"/>
    </xf>
    <xf borderId="0" fillId="3" fontId="7" numFmtId="0" xfId="0" applyFont="1"/>
    <xf borderId="2" fillId="0" fontId="12" numFmtId="0" xfId="0" applyAlignment="1" applyBorder="1" applyFont="1">
      <alignment readingOrder="0" vertical="bottom"/>
    </xf>
    <xf borderId="3" fillId="0" fontId="13" numFmtId="0" xfId="0" applyAlignment="1" applyBorder="1" applyFont="1">
      <alignment horizontal="right" vertical="bottom"/>
    </xf>
    <xf borderId="4" fillId="0" fontId="12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right" vertical="bottom"/>
    </xf>
    <xf borderId="6" fillId="0" fontId="13" numFmtId="0" xfId="0" applyAlignment="1" applyBorder="1" applyFont="1">
      <alignment horizontal="right" vertical="bottom"/>
    </xf>
    <xf borderId="7" fillId="0" fontId="12" numFmtId="0" xfId="0" applyAlignment="1" applyBorder="1" applyFont="1">
      <alignment readingOrder="0" vertical="bottom"/>
    </xf>
    <xf borderId="8" fillId="0" fontId="13" numFmtId="0" xfId="0" applyAlignment="1" applyBorder="1" applyFont="1">
      <alignment horizontal="right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horizontal="right" vertical="bottom"/>
    </xf>
    <xf borderId="9" fillId="0" fontId="12" numFmtId="0" xfId="0" applyAlignment="1" applyBorder="1" applyFont="1">
      <alignment readingOrder="0" vertical="bottom"/>
    </xf>
    <xf borderId="10" fillId="0" fontId="13" numFmtId="0" xfId="0" applyAlignment="1" applyBorder="1" applyFont="1">
      <alignment horizontal="right" vertical="bottom"/>
    </xf>
    <xf borderId="11" fillId="0" fontId="13" numFmtId="0" xfId="0" applyAlignment="1" applyBorder="1" applyFont="1">
      <alignment horizontal="right" vertical="bottom"/>
    </xf>
    <xf borderId="12" fillId="0" fontId="12" numFmtId="0" xfId="0" applyAlignment="1" applyBorder="1" applyFont="1">
      <alignment readingOrder="0" vertical="bottom"/>
    </xf>
    <xf borderId="13" fillId="0" fontId="13" numFmtId="0" xfId="0" applyAlignment="1" applyBorder="1" applyFont="1">
      <alignment horizontal="right" vertical="bottom"/>
    </xf>
    <xf borderId="0" fillId="2" fontId="14" numFmtId="0" xfId="0" applyFont="1"/>
    <xf borderId="0" fillId="0" fontId="13" numFmtId="4" xfId="0" applyAlignment="1" applyFont="1" applyNumberFormat="1">
      <alignment horizontal="right" vertical="bottom"/>
    </xf>
    <xf borderId="13" fillId="0" fontId="13" numFmtId="4" xfId="0" applyAlignment="1" applyBorder="1" applyFont="1" applyNumberFormat="1">
      <alignment horizontal="right" vertical="bottom"/>
    </xf>
    <xf borderId="14" fillId="0" fontId="12" numFmtId="0" xfId="0" applyAlignment="1" applyBorder="1" applyFont="1">
      <alignment readingOrder="0" vertical="bottom"/>
    </xf>
    <xf borderId="15" fillId="0" fontId="13" numFmtId="0" xfId="0" applyAlignment="1" applyBorder="1" applyFont="1">
      <alignment horizontal="right" vertical="bottom"/>
    </xf>
    <xf borderId="16" fillId="0" fontId="13" numFmtId="0" xfId="0" applyAlignment="1" applyBorder="1" applyFont="1">
      <alignment horizontal="right" vertical="bottom"/>
    </xf>
    <xf borderId="12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12" fillId="0" fontId="7" numFmtId="0" xfId="0" applyAlignment="1" applyBorder="1" applyFont="1">
      <alignment readingOrder="0"/>
    </xf>
    <xf borderId="0" fillId="0" fontId="15" numFmtId="0" xfId="0" applyFont="1"/>
    <xf borderId="0" fillId="2" fontId="16" numFmtId="0" xfId="0" applyAlignment="1" applyFont="1">
      <alignment horizontal="right"/>
    </xf>
    <xf borderId="12" fillId="0" fontId="17" numFmtId="0" xfId="0" applyAlignment="1" applyBorder="1" applyFont="1">
      <alignment readingOrder="0"/>
    </xf>
    <xf borderId="13" fillId="2" fontId="16" numFmtId="0" xfId="0" applyAlignment="1" applyBorder="1" applyFont="1">
      <alignment horizontal="right"/>
    </xf>
    <xf borderId="0" fillId="0" fontId="17" numFmtId="0" xfId="0" applyAlignment="1" applyFont="1">
      <alignment readingOrder="0"/>
    </xf>
    <xf borderId="0" fillId="2" fontId="16" numFmtId="0" xfId="0" applyFont="1"/>
    <xf borderId="13" fillId="2" fontId="16" numFmtId="0" xfId="0" applyBorder="1" applyFont="1"/>
    <xf borderId="12" fillId="0" fontId="8" numFmtId="0" xfId="0" applyAlignment="1" applyBorder="1" applyFont="1">
      <alignment readingOrder="0" vertical="bottom"/>
    </xf>
    <xf borderId="12" fillId="2" fontId="8" numFmtId="0" xfId="0" applyAlignment="1" applyBorder="1" applyFont="1">
      <alignment readingOrder="0" vertical="bottom"/>
    </xf>
    <xf borderId="17" fillId="0" fontId="8" numFmtId="0" xfId="0" applyAlignment="1" applyBorder="1" applyFont="1">
      <alignment vertical="bottom"/>
    </xf>
    <xf borderId="0" fillId="0" fontId="17" numFmtId="0" xfId="0" applyFont="1"/>
    <xf borderId="0" fillId="0" fontId="7" numFmtId="4" xfId="0" applyAlignment="1" applyFont="1" applyNumberFormat="1">
      <alignment readingOrder="0"/>
    </xf>
    <xf borderId="1" fillId="4" fontId="7" numFmtId="0" xfId="0" applyAlignment="1" applyBorder="1" applyFont="1">
      <alignment readingOrder="0"/>
    </xf>
    <xf borderId="0" fillId="14" fontId="7" numFmtId="0" xfId="0" applyAlignment="1" applyFont="1">
      <alignment horizontal="right"/>
    </xf>
    <xf borderId="1" fillId="0" fontId="18" numFmtId="0" xfId="0" applyAlignment="1" applyBorder="1" applyFont="1">
      <alignment readingOrder="0"/>
    </xf>
    <xf borderId="18" fillId="2" fontId="18" numFmtId="0" xfId="0" applyAlignment="1" applyBorder="1" applyFont="1">
      <alignment readingOrder="0"/>
    </xf>
    <xf borderId="0" fillId="2" fontId="18" numFmtId="0" xfId="0" applyAlignment="1" applyFont="1">
      <alignment readingOrder="0"/>
    </xf>
    <xf borderId="0" fillId="2" fontId="7" numFmtId="0" xfId="0" applyAlignment="1" applyFont="1">
      <alignment horizontal="right"/>
    </xf>
    <xf borderId="0" fillId="30" fontId="19" numFmtId="0" xfId="0" applyAlignment="1" applyFill="1" applyFont="1">
      <alignment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readingOrder="0"/>
    </xf>
    <xf borderId="0" fillId="0" fontId="23" numFmtId="0" xfId="0" applyFont="1"/>
    <xf borderId="0" fillId="5" fontId="24" numFmtId="0" xfId="0" applyAlignment="1" applyFont="1">
      <alignment readingOrder="0"/>
    </xf>
    <xf borderId="0" fillId="5" fontId="24" numFmtId="0" xfId="0" applyFont="1"/>
    <xf borderId="0" fillId="5" fontId="7" numFmtId="0" xfId="0" applyFont="1"/>
    <xf borderId="0" fillId="5" fontId="24" numFmtId="164" xfId="0" applyAlignment="1" applyFont="1" applyNumberFormat="1">
      <alignment readingOrder="0"/>
    </xf>
    <xf borderId="0" fillId="10" fontId="19" numFmtId="0" xfId="0" applyAlignment="1" applyFont="1">
      <alignment readingOrder="0" shrinkToFit="0" vertical="bottom" wrapText="0"/>
    </xf>
    <xf borderId="0" fillId="31" fontId="24" numFmtId="0" xfId="0" applyAlignment="1" applyFill="1" applyFont="1">
      <alignment readingOrder="0"/>
    </xf>
    <xf borderId="0" fillId="31" fontId="24" numFmtId="0" xfId="0" applyFont="1"/>
    <xf borderId="0" fillId="31" fontId="7" numFmtId="0" xfId="0" applyFont="1"/>
    <xf borderId="0" fillId="31" fontId="24" numFmtId="164" xfId="0" applyAlignment="1" applyFont="1" applyNumberFormat="1">
      <alignment readingOrder="0"/>
    </xf>
    <xf borderId="0" fillId="0" fontId="24" numFmtId="0" xfId="0" applyFont="1"/>
    <xf borderId="0" fillId="26" fontId="22" numFmtId="0" xfId="0" applyAlignment="1" applyFont="1">
      <alignment readingOrder="0"/>
    </xf>
    <xf borderId="0" fillId="26" fontId="17" numFmtId="0" xfId="0" applyFont="1"/>
    <xf borderId="0" fillId="26" fontId="7" numFmtId="0" xfId="0" applyFont="1"/>
    <xf borderId="0" fillId="26" fontId="24" numFmtId="0" xfId="0" applyFont="1"/>
    <xf borderId="0" fillId="26" fontId="17" numFmtId="0" xfId="0" applyAlignment="1" applyFont="1">
      <alignment horizontal="left" readingOrder="0"/>
    </xf>
    <xf borderId="0" fillId="26" fontId="24" numFmtId="164" xfId="0" applyAlignment="1" applyFont="1" applyNumberFormat="1">
      <alignment readingOrder="0"/>
    </xf>
    <xf borderId="0" fillId="26" fontId="24" numFmtId="164" xfId="0" applyAlignment="1" applyFont="1" applyNumberFormat="1">
      <alignment horizontal="left" readingOrder="0"/>
    </xf>
    <xf borderId="0" fillId="10" fontId="20" numFmtId="0" xfId="0" applyAlignment="1" applyFont="1">
      <alignment readingOrder="0" shrinkToFit="0" vertical="bottom" wrapText="0"/>
    </xf>
    <xf borderId="0" fillId="26" fontId="22" numFmtId="164" xfId="0" applyFont="1" applyNumberFormat="1"/>
    <xf borderId="0" fillId="26" fontId="24" numFmtId="0" xfId="0" applyAlignment="1" applyFont="1">
      <alignment readingOrder="0"/>
    </xf>
    <xf borderId="0" fillId="32" fontId="20" numFmtId="0" xfId="0" applyAlignment="1" applyFill="1" applyFont="1">
      <alignment readingOrder="0" shrinkToFit="0" vertical="bottom" wrapText="0"/>
    </xf>
    <xf borderId="0" fillId="32" fontId="19" numFmtId="0" xfId="0" applyAlignment="1" applyFont="1">
      <alignment readingOrder="0" shrinkToFit="0" vertical="bottom" wrapText="0"/>
    </xf>
    <xf borderId="0" fillId="32" fontId="20" numFmtId="0" xfId="0" applyAlignment="1" applyFont="1">
      <alignment horizontal="right" readingOrder="0" shrinkToFit="0" vertical="bottom" wrapText="0"/>
    </xf>
    <xf borderId="0" fillId="32" fontId="19" numFmtId="0" xfId="0" applyAlignment="1" applyFont="1">
      <alignment shrinkToFit="0" vertical="bottom" wrapText="0"/>
    </xf>
    <xf borderId="0" fillId="32" fontId="19" numFmtId="0" xfId="0" applyAlignment="1" applyFont="1">
      <alignment horizontal="right" readingOrder="0" shrinkToFit="0" vertical="bottom" wrapText="0"/>
    </xf>
    <xf borderId="0" fillId="0" fontId="19" numFmtId="3" xfId="0" applyAlignment="1" applyFont="1" applyNumberFormat="1">
      <alignment horizontal="right" readingOrder="0" shrinkToFit="0" vertical="bottom" wrapText="0"/>
    </xf>
    <xf borderId="19" fillId="33" fontId="11" numFmtId="0" xfId="0" applyAlignment="1" applyBorder="1" applyFill="1" applyFont="1">
      <alignment readingOrder="0"/>
    </xf>
    <xf borderId="19" fillId="33" fontId="11" numFmtId="0" xfId="0" applyBorder="1" applyFont="1"/>
    <xf borderId="20" fillId="33" fontId="11" numFmtId="0" xfId="0" applyBorder="1" applyFont="1"/>
    <xf borderId="0" fillId="4" fontId="7" numFmtId="0" xfId="0" applyFont="1"/>
    <xf borderId="21" fillId="4" fontId="7" numFmtId="0" xfId="0" applyBorder="1" applyFont="1"/>
    <xf borderId="22" fillId="4" fontId="7" numFmtId="0" xfId="0" applyBorder="1" applyFont="1"/>
    <xf borderId="23" fillId="4" fontId="7" numFmtId="0" xfId="0" applyBorder="1" applyFont="1"/>
    <xf borderId="21" fillId="0" fontId="7" numFmtId="0" xfId="0" applyAlignment="1" applyBorder="1" applyFont="1">
      <alignment readingOrder="0"/>
    </xf>
    <xf borderId="21" fillId="0" fontId="7" numFmtId="0" xfId="0" applyBorder="1" applyFont="1"/>
    <xf borderId="11" fillId="34" fontId="7" numFmtId="0" xfId="0" applyBorder="1" applyFill="1" applyFont="1"/>
    <xf borderId="24" fillId="34" fontId="7" numFmtId="0" xfId="0" applyBorder="1" applyFont="1"/>
    <xf borderId="0" fillId="34" fontId="7" numFmtId="0" xfId="0" applyFont="1"/>
    <xf borderId="21" fillId="34" fontId="7" numFmtId="0" xfId="0" applyBorder="1" applyFont="1"/>
    <xf borderId="25" fillId="34" fontId="7" numFmtId="0" xfId="0" applyBorder="1" applyFont="1"/>
    <xf borderId="26" fillId="34" fontId="7" numFmtId="0" xfId="0" applyBorder="1" applyFont="1"/>
    <xf borderId="0" fillId="35" fontId="7" numFmtId="0" xfId="0" applyFill="1" applyFont="1"/>
    <xf borderId="21" fillId="35" fontId="7" numFmtId="0" xfId="0" applyBorder="1" applyFont="1"/>
    <xf borderId="15" fillId="35" fontId="7" numFmtId="0" xfId="0" applyBorder="1" applyFont="1"/>
    <xf borderId="27" fillId="35" fontId="7" numFmtId="0" xfId="0" applyBorder="1" applyFont="1"/>
    <xf borderId="15" fillId="36" fontId="17" numFmtId="0" xfId="0" applyBorder="1" applyFill="1" applyFont="1"/>
    <xf borderId="27" fillId="36" fontId="17" numFmtId="0" xfId="0" applyBorder="1" applyFont="1"/>
    <xf borderId="19" fillId="33" fontId="7" numFmtId="0" xfId="0" applyBorder="1" applyFont="1"/>
    <xf borderId="20" fillId="33" fontId="7" numFmtId="0" xfId="0" applyBorder="1" applyFont="1"/>
    <xf borderId="21" fillId="26" fontId="7" numFmtId="0" xfId="0" applyBorder="1" applyFont="1"/>
    <xf borderId="15" fillId="26" fontId="7" numFmtId="0" xfId="0" applyBorder="1" applyFont="1"/>
    <xf borderId="27" fillId="26" fontId="7" numFmtId="0" xfId="0" applyBorder="1" applyFont="1"/>
    <xf borderId="25" fillId="37" fontId="11" numFmtId="0" xfId="0" applyBorder="1" applyFill="1" applyFont="1"/>
    <xf borderId="26" fillId="37" fontId="11" numFmtId="0" xfId="0" applyBorder="1" applyFont="1"/>
    <xf borderId="25" fillId="4" fontId="7" numFmtId="0" xfId="0" applyBorder="1" applyFont="1"/>
    <xf borderId="26" fillId="4" fontId="7" numFmtId="0" xfId="0" applyBorder="1" applyFont="1"/>
    <xf borderId="28" fillId="36" fontId="7" numFmtId="0" xfId="0" applyBorder="1" applyFont="1"/>
    <xf borderId="29" fillId="36" fontId="7" numFmtId="0" xfId="0" applyBorder="1" applyFont="1"/>
    <xf borderId="6" fillId="0" fontId="7" numFmtId="0" xfId="0" applyBorder="1" applyFont="1"/>
    <xf borderId="30" fillId="0" fontId="7" numFmtId="0" xfId="0" applyBorder="1" applyFont="1"/>
    <xf borderId="0" fillId="38" fontId="7" numFmtId="0" xfId="0" applyFill="1" applyFont="1"/>
    <xf borderId="21" fillId="38" fontId="7" numFmtId="0" xfId="0" applyBorder="1" applyFont="1"/>
    <xf borderId="11" fillId="4" fontId="7" numFmtId="0" xfId="0" applyBorder="1" applyFont="1"/>
    <xf borderId="24" fillId="4" fontId="7" numFmtId="0" xfId="0" applyBorder="1" applyFont="1"/>
    <xf borderId="11" fillId="35" fontId="7" numFmtId="0" xfId="0" applyBorder="1" applyFont="1"/>
    <xf borderId="24" fillId="35" fontId="7" numFmtId="0" xfId="0" applyBorder="1" applyFont="1"/>
    <xf borderId="28" fillId="36" fontId="17" numFmtId="0" xfId="0" applyBorder="1" applyFont="1"/>
    <xf borderId="29" fillId="36" fontId="17" numFmtId="0" xfId="0" applyBorder="1" applyFont="1"/>
    <xf borderId="0" fillId="0" fontId="1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39" fontId="22" numFmtId="0" xfId="0" applyAlignment="1" applyFill="1" applyFont="1">
      <alignment readingOrder="0"/>
    </xf>
    <xf borderId="2" fillId="39" fontId="22" numFmtId="0" xfId="0" applyAlignment="1" applyBorder="1" applyFont="1">
      <alignment readingOrder="0"/>
    </xf>
    <xf borderId="3" fillId="39" fontId="22" numFmtId="0" xfId="0" applyBorder="1" applyFont="1"/>
    <xf borderId="3" fillId="39" fontId="25" numFmtId="0" xfId="0" applyAlignment="1" applyBorder="1" applyFont="1">
      <alignment readingOrder="0"/>
    </xf>
    <xf borderId="31" fillId="39" fontId="25" numFmtId="0" xfId="0" applyAlignment="1" applyBorder="1" applyFont="1">
      <alignment readingOrder="0"/>
    </xf>
    <xf borderId="0" fillId="0" fontId="22" numFmtId="2" xfId="0" applyAlignment="1" applyFont="1" applyNumberFormat="1">
      <alignment readingOrder="0"/>
    </xf>
    <xf borderId="0" fillId="0" fontId="22" numFmtId="0" xfId="0" applyFont="1"/>
    <xf borderId="9" fillId="31" fontId="7" numFmtId="0" xfId="0" applyBorder="1" applyFont="1"/>
    <xf borderId="32" fillId="31" fontId="7" numFmtId="0" xfId="0" applyBorder="1" applyFont="1"/>
    <xf borderId="0" fillId="4" fontId="7" numFmtId="3" xfId="0" applyAlignment="1" applyFont="1" applyNumberFormat="1">
      <alignment readingOrder="0"/>
    </xf>
    <xf borderId="0" fillId="31" fontId="7" numFmtId="2" xfId="0" applyFont="1" applyNumberFormat="1"/>
    <xf borderId="0" fillId="31" fontId="7" numFmtId="0" xfId="0" applyAlignment="1" applyFont="1">
      <alignment readingOrder="0"/>
    </xf>
    <xf borderId="9" fillId="31" fontId="7" numFmtId="0" xfId="0" applyAlignment="1" applyBorder="1" applyFont="1">
      <alignment readingOrder="0"/>
    </xf>
    <xf borderId="33" fillId="4" fontId="8" numFmtId="165" xfId="0" applyAlignment="1" applyBorder="1" applyFont="1" applyNumberFormat="1">
      <alignment horizontal="left" readingOrder="0" vertical="bottom"/>
    </xf>
    <xf borderId="34" fillId="20" fontId="26" numFmtId="0" xfId="0" applyAlignment="1" applyBorder="1" applyFont="1">
      <alignment readingOrder="0" vertical="bottom"/>
    </xf>
    <xf borderId="35" fillId="3" fontId="27" numFmtId="0" xfId="0" applyAlignment="1" applyBorder="1" applyFont="1">
      <alignment horizontal="right" vertical="bottom"/>
    </xf>
    <xf borderId="35" fillId="3" fontId="28" numFmtId="0" xfId="0" applyAlignment="1" applyBorder="1" applyFont="1">
      <alignment horizontal="left" vertical="bottom"/>
    </xf>
    <xf borderId="35" fillId="3" fontId="28" numFmtId="0" xfId="0" applyAlignment="1" applyBorder="1" applyFont="1">
      <alignment vertical="bottom"/>
    </xf>
    <xf borderId="36" fillId="3" fontId="28" numFmtId="0" xfId="0" applyAlignment="1" applyBorder="1" applyFont="1">
      <alignment horizontal="center" vertical="bottom"/>
    </xf>
    <xf borderId="37" fillId="3" fontId="29" numFmtId="0" xfId="0" applyAlignment="1" applyBorder="1" applyFont="1">
      <alignment readingOrder="0" vertical="bottom"/>
    </xf>
    <xf borderId="32" fillId="31" fontId="7" numFmtId="0" xfId="0" applyAlignment="1" applyBorder="1" applyFont="1">
      <alignment readingOrder="0"/>
    </xf>
    <xf borderId="38" fillId="4" fontId="26" numFmtId="0" xfId="0" applyAlignment="1" applyBorder="1" applyFont="1">
      <alignment readingOrder="0" vertical="bottom"/>
    </xf>
    <xf borderId="33" fillId="2" fontId="30" numFmtId="0" xfId="0" applyAlignment="1" applyBorder="1" applyFont="1">
      <alignment horizontal="right" vertical="bottom"/>
    </xf>
    <xf borderId="33" fillId="4" fontId="26" numFmtId="0" xfId="0" applyAlignment="1" applyBorder="1" applyFont="1">
      <alignment horizontal="left" readingOrder="0" vertical="bottom"/>
    </xf>
    <xf borderId="33" fillId="4" fontId="26" numFmtId="0" xfId="0" applyAlignment="1" applyBorder="1" applyFont="1">
      <alignment horizontal="right" readingOrder="0" vertical="bottom"/>
    </xf>
    <xf borderId="39" fillId="40" fontId="26" numFmtId="165" xfId="0" applyAlignment="1" applyBorder="1" applyFill="1" applyFont="1" applyNumberFormat="1">
      <alignment horizontal="center" vertical="bottom"/>
    </xf>
    <xf borderId="40" fillId="40" fontId="26" numFmtId="165" xfId="0" applyAlignment="1" applyBorder="1" applyFont="1" applyNumberFormat="1">
      <alignment horizontal="right" vertical="bottom"/>
    </xf>
    <xf borderId="9" fillId="31" fontId="18" numFmtId="0" xfId="0" applyBorder="1" applyFont="1"/>
    <xf borderId="32" fillId="31" fontId="18" numFmtId="0" xfId="0" applyBorder="1" applyFont="1"/>
    <xf borderId="32" fillId="31" fontId="18" numFmtId="0" xfId="0" applyAlignment="1" applyBorder="1" applyFont="1">
      <alignment readingOrder="0"/>
    </xf>
    <xf borderId="0" fillId="4" fontId="18" numFmtId="0" xfId="0" applyAlignment="1" applyFont="1">
      <alignment readingOrder="0"/>
    </xf>
    <xf borderId="0" fillId="4" fontId="18" numFmtId="3" xfId="0" applyAlignment="1" applyFont="1" applyNumberFormat="1">
      <alignment readingOrder="0"/>
    </xf>
    <xf borderId="0" fillId="31" fontId="18" numFmtId="0" xfId="0" applyFont="1"/>
    <xf borderId="0" fillId="31" fontId="18" numFmtId="2" xfId="0" applyFont="1" applyNumberFormat="1"/>
    <xf borderId="33" fillId="4" fontId="26" numFmtId="165" xfId="0" applyAlignment="1" applyBorder="1" applyFont="1" applyNumberFormat="1">
      <alignment horizontal="left" readingOrder="0" vertical="bottom"/>
    </xf>
    <xf borderId="41" fillId="40" fontId="26" numFmtId="165" xfId="0" applyAlignment="1" applyBorder="1" applyFont="1" applyNumberFormat="1">
      <alignment horizontal="right" vertical="bottom"/>
    </xf>
    <xf borderId="33" fillId="2" fontId="31" numFmtId="0" xfId="0" applyAlignment="1" applyBorder="1" applyFont="1">
      <alignment horizontal="right" readingOrder="0" vertical="bottom"/>
    </xf>
    <xf borderId="33" fillId="4" fontId="8" numFmtId="165" xfId="0" applyAlignment="1" applyBorder="1" applyFont="1" applyNumberFormat="1">
      <alignment readingOrder="0" vertical="bottom"/>
    </xf>
    <xf borderId="9" fillId="31" fontId="18" numFmtId="0" xfId="0" applyAlignment="1" applyBorder="1" applyFont="1">
      <alignment readingOrder="0"/>
    </xf>
    <xf borderId="0" fillId="2" fontId="17" numFmtId="0" xfId="0" applyFont="1"/>
    <xf borderId="0" fillId="2" fontId="8" numFmtId="0" xfId="0" applyAlignment="1" applyFont="1">
      <alignment horizontal="right" vertical="bottom"/>
    </xf>
    <xf borderId="0" fillId="2" fontId="8" numFmtId="165" xfId="0" applyAlignment="1" applyFont="1" applyNumberFormat="1">
      <alignment vertical="bottom"/>
    </xf>
    <xf borderId="38" fillId="4" fontId="26" numFmtId="0" xfId="0" applyAlignment="1" applyBorder="1" applyFont="1">
      <alignment vertical="bottom"/>
    </xf>
    <xf borderId="42" fillId="4" fontId="26" numFmtId="165" xfId="0" applyAlignment="1" applyBorder="1" applyFont="1" applyNumberFormat="1">
      <alignment readingOrder="0" vertical="bottom"/>
    </xf>
    <xf borderId="42" fillId="4" fontId="8" numFmtId="165" xfId="0" applyAlignment="1" applyBorder="1" applyFont="1" applyNumberFormat="1">
      <alignment horizontal="right" vertical="bottom"/>
    </xf>
    <xf borderId="43" fillId="40" fontId="26" numFmtId="165" xfId="0" applyAlignment="1" applyBorder="1" applyFont="1" applyNumberFormat="1">
      <alignment horizontal="right" vertical="bottom"/>
    </xf>
    <xf borderId="42" fillId="4" fontId="26" numFmtId="165" xfId="0" applyAlignment="1" applyBorder="1" applyFont="1" applyNumberFormat="1">
      <alignment horizontal="left" readingOrder="0" vertical="bottom"/>
    </xf>
    <xf borderId="42" fillId="4" fontId="8" numFmtId="165" xfId="0" applyAlignment="1" applyBorder="1" applyFont="1" applyNumberFormat="1">
      <alignment readingOrder="0" vertical="bottom"/>
    </xf>
    <xf borderId="0" fillId="0" fontId="7" numFmtId="165" xfId="0" applyFont="1" applyNumberFormat="1"/>
    <xf borderId="0" fillId="2" fontId="8" numFmtId="0" xfId="0" applyAlignment="1" applyFont="1">
      <alignment horizontal="right" readingOrder="0" vertical="bottom"/>
    </xf>
    <xf borderId="0" fillId="41" fontId="7" numFmtId="0" xfId="0" applyAlignment="1" applyFill="1" applyFont="1">
      <alignment readingOrder="0"/>
    </xf>
    <xf borderId="0" fillId="4" fontId="7" numFmtId="0" xfId="0" applyAlignment="1" applyFont="1">
      <alignment horizontal="left" readingOrder="0"/>
    </xf>
    <xf borderId="0" fillId="39" fontId="7" numFmtId="0" xfId="0" applyAlignment="1" applyFont="1">
      <alignment readingOrder="0"/>
    </xf>
    <xf borderId="44" fillId="0" fontId="7" numFmtId="0" xfId="0" applyAlignment="1" applyBorder="1" applyFont="1">
      <alignment readingOrder="0"/>
    </xf>
    <xf borderId="45" fillId="23" fontId="7" numFmtId="166" xfId="0" applyAlignment="1" applyBorder="1" applyFont="1" applyNumberFormat="1">
      <alignment readingOrder="0"/>
    </xf>
    <xf borderId="46" fillId="0" fontId="7" numFmtId="0" xfId="0" applyAlignment="1" applyBorder="1" applyFont="1">
      <alignment readingOrder="0"/>
    </xf>
    <xf borderId="47" fillId="0" fontId="7" numFmtId="0" xfId="0" applyBorder="1" applyFont="1"/>
    <xf borderId="48" fillId="0" fontId="7" numFmtId="167" xfId="0" applyAlignment="1" applyBorder="1" applyFont="1" applyNumberFormat="1">
      <alignment readingOrder="0"/>
    </xf>
    <xf borderId="49" fillId="0" fontId="7" numFmtId="0" xfId="0" applyAlignment="1" applyBorder="1" applyFont="1">
      <alignment readingOrder="0"/>
    </xf>
    <xf borderId="50" fillId="0" fontId="7" numFmtId="0" xfId="0" applyBorder="1" applyFont="1"/>
    <xf borderId="51" fillId="0" fontId="7" numFmtId="167" xfId="0" applyAlignment="1" applyBorder="1" applyFont="1" applyNumberFormat="1">
      <alignment readingOrder="0"/>
    </xf>
    <xf borderId="52" fillId="0" fontId="7" numFmtId="0" xfId="0" applyAlignment="1" applyBorder="1" applyFont="1">
      <alignment readingOrder="0"/>
    </xf>
    <xf borderId="51" fillId="0" fontId="7" numFmtId="168" xfId="0" applyAlignment="1" applyBorder="1" applyFont="1" applyNumberFormat="1">
      <alignment readingOrder="0"/>
    </xf>
    <xf borderId="0" fillId="2" fontId="32" numFmtId="0" xfId="0" applyAlignment="1" applyFont="1">
      <alignment readingOrder="0"/>
    </xf>
    <xf borderId="51" fillId="0" fontId="7" numFmtId="0" xfId="0" applyBorder="1" applyFont="1"/>
    <xf borderId="52" fillId="2" fontId="7" numFmtId="0" xfId="0" applyAlignment="1" applyBorder="1" applyFont="1">
      <alignment readingOrder="0"/>
    </xf>
    <xf borderId="52" fillId="0" fontId="7" numFmtId="0" xfId="0" applyBorder="1" applyFont="1"/>
    <xf borderId="0" fillId="2" fontId="17" numFmtId="0" xfId="0" applyAlignment="1" applyFont="1">
      <alignment readingOrder="0"/>
    </xf>
    <xf borderId="53" fillId="0" fontId="7" numFmtId="0" xfId="0" applyBorder="1" applyFont="1"/>
    <xf borderId="22" fillId="0" fontId="7" numFmtId="0" xfId="0" applyBorder="1" applyFont="1"/>
    <xf borderId="23" fillId="0" fontId="7" numFmtId="0" xfId="0" applyBorder="1" applyFont="1"/>
    <xf borderId="10" fillId="2" fontId="7" numFmtId="0" xfId="0" applyBorder="1" applyFont="1"/>
    <xf borderId="9" fillId="2" fontId="7" numFmtId="0" xfId="0" applyBorder="1" applyFont="1"/>
    <xf borderId="0" fillId="2" fontId="7" numFmtId="3" xfId="0" applyAlignment="1" applyFont="1" applyNumberFormat="1">
      <alignment readingOrder="0"/>
    </xf>
    <xf borderId="0" fillId="2" fontId="7" numFmtId="2" xfId="0" applyFont="1" applyNumberFormat="1"/>
    <xf borderId="33" fillId="3" fontId="7" numFmtId="0" xfId="0" applyBorder="1" applyFont="1"/>
    <xf borderId="33" fillId="3" fontId="7" numFmtId="4" xfId="0" applyBorder="1" applyFont="1" applyNumberFormat="1"/>
    <xf borderId="0" fillId="0" fontId="7" numFmtId="2" xfId="0" applyFont="1" applyNumberFormat="1"/>
    <xf borderId="31" fillId="3" fontId="7" numFmtId="0" xfId="0" applyBorder="1" applyFont="1"/>
    <xf borderId="0" fillId="0" fontId="7" numFmtId="4" xfId="0" applyFont="1" applyNumberFormat="1"/>
    <xf borderId="0" fillId="42" fontId="7" numFmtId="0" xfId="0" applyAlignment="1" applyFill="1" applyFont="1">
      <alignment readingOrder="0"/>
    </xf>
    <xf borderId="0" fillId="43" fontId="7" numFmtId="0" xfId="0" applyAlignment="1" applyFill="1" applyFont="1">
      <alignment readingOrder="0"/>
    </xf>
    <xf borderId="7" fillId="0" fontId="12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2" fontId="8" numFmtId="0" xfId="0" applyAlignment="1" applyBorder="1" applyFont="1">
      <alignment vertical="bottom"/>
    </xf>
    <xf borderId="0" fillId="0" fontId="7" numFmtId="0" xfId="0" applyAlignment="1" applyFont="1">
      <alignment horizontal="center"/>
    </xf>
    <xf borderId="0" fillId="0" fontId="33" numFmtId="0" xfId="0" applyAlignment="1" applyFont="1">
      <alignment horizontal="center"/>
    </xf>
    <xf borderId="0" fillId="28" fontId="7" numFmtId="0" xfId="0" applyAlignment="1" applyFont="1">
      <alignment horizontal="center" readingOrder="0"/>
    </xf>
    <xf borderId="0" fillId="13" fontId="7" numFmtId="0" xfId="0" applyAlignment="1" applyFont="1">
      <alignment horizontal="center" readingOrder="0"/>
    </xf>
    <xf borderId="0" fillId="35" fontId="8" numFmtId="0" xfId="0" applyAlignment="1" applyFont="1">
      <alignment readingOrder="0" vertical="bottom"/>
    </xf>
    <xf borderId="0" fillId="35" fontId="7" numFmtId="0" xfId="0" applyAlignment="1" applyFont="1">
      <alignment readingOrder="0"/>
    </xf>
    <xf borderId="0" fillId="28" fontId="7" numFmtId="0" xfId="0" applyAlignment="1" applyFont="1">
      <alignment horizontal="center"/>
    </xf>
    <xf borderId="0" fillId="13" fontId="7" numFmtId="0" xfId="0" applyAlignment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8.88"/>
    <col customWidth="1" min="11" max="11" width="18.75"/>
    <col customWidth="1" min="18" max="18" width="12.0"/>
    <col customWidth="1" min="22" max="22" width="15.13"/>
    <col customWidth="1" min="24" max="24" width="7.13"/>
    <col customWidth="1" hidden="1" min="26" max="26" width="8.0"/>
    <col customWidth="1" hidden="1" min="27" max="27" width="3.5"/>
    <col customWidth="1" hidden="1" min="28" max="28" width="15.13"/>
    <col customWidth="1" hidden="1" min="29" max="29" width="3.5"/>
    <col customWidth="1" hidden="1" min="30" max="30" width="7.88"/>
    <col customWidth="1" hidden="1" min="31" max="31" width="3.5"/>
    <col customWidth="1" hidden="1" min="32" max="32" width="15.13"/>
    <col customWidth="1" hidden="1" min="33" max="33" width="3.5"/>
    <col customWidth="1" hidden="1" min="34" max="34" width="15.13"/>
    <col customWidth="1" min="35" max="35" width="7.0"/>
    <col customWidth="1" min="37" max="37" width="9.38"/>
    <col customWidth="1" min="39" max="39" width="15.88"/>
    <col customWidth="1" min="40" max="42" width="15.13"/>
  </cols>
  <sheetData>
    <row r="1">
      <c r="A1" s="1"/>
      <c r="B1" s="2" t="s">
        <v>0</v>
      </c>
      <c r="C1" s="2">
        <v>2013.0</v>
      </c>
      <c r="D1" s="3"/>
      <c r="E1" s="2">
        <v>2014.0</v>
      </c>
      <c r="F1" s="3"/>
      <c r="G1" s="2">
        <v>2015.0</v>
      </c>
      <c r="H1" s="3"/>
      <c r="I1" s="2">
        <v>2016.0</v>
      </c>
      <c r="J1" s="3"/>
      <c r="K1" s="2">
        <v>2017.0</v>
      </c>
      <c r="L1" s="3"/>
      <c r="M1" s="2">
        <v>2018.0</v>
      </c>
      <c r="N1" s="3"/>
      <c r="O1" s="2">
        <v>2019.0</v>
      </c>
      <c r="P1" s="3"/>
      <c r="Q1" s="2">
        <v>2020.0</v>
      </c>
      <c r="R1" s="3"/>
      <c r="S1" s="2">
        <v>2021.0</v>
      </c>
      <c r="T1" s="2" t="s">
        <v>1</v>
      </c>
      <c r="U1" s="4">
        <v>2022.0</v>
      </c>
      <c r="V1" s="2"/>
      <c r="W1" s="5">
        <v>2023.0</v>
      </c>
      <c r="X1" s="2"/>
      <c r="Y1" s="5">
        <v>2024.0</v>
      </c>
      <c r="Z1" s="6" t="s">
        <v>2</v>
      </c>
      <c r="AA1" s="2"/>
      <c r="AB1" s="2" t="s">
        <v>3</v>
      </c>
      <c r="AC1" s="2"/>
      <c r="AD1" s="2" t="s">
        <v>4</v>
      </c>
      <c r="AE1" s="2"/>
      <c r="AF1" s="2" t="s">
        <v>5</v>
      </c>
      <c r="AG1" s="2"/>
      <c r="AH1" s="2" t="s">
        <v>6</v>
      </c>
      <c r="AI1" s="2"/>
      <c r="AJ1" s="5">
        <v>2025.0</v>
      </c>
      <c r="AK1" s="2"/>
      <c r="AL1" s="5">
        <v>2026.0</v>
      </c>
      <c r="AM1" s="7" t="s">
        <v>7</v>
      </c>
      <c r="AN1" s="7" t="s">
        <v>8</v>
      </c>
      <c r="AO1" s="7" t="s">
        <v>9</v>
      </c>
      <c r="AP1" s="7" t="s">
        <v>10</v>
      </c>
    </row>
    <row r="2">
      <c r="A2" s="8" t="s">
        <v>11</v>
      </c>
      <c r="B2" s="7">
        <v>230.0</v>
      </c>
      <c r="C2" s="9" t="s">
        <v>12</v>
      </c>
      <c r="D2" s="10" t="s">
        <v>13</v>
      </c>
      <c r="E2" s="10" t="s">
        <v>13</v>
      </c>
      <c r="G2" s="9" t="s">
        <v>14</v>
      </c>
      <c r="H2" s="10" t="s">
        <v>15</v>
      </c>
      <c r="I2" s="10" t="s">
        <v>13</v>
      </c>
      <c r="K2" s="9" t="s">
        <v>14</v>
      </c>
      <c r="M2" s="11" t="s">
        <v>16</v>
      </c>
      <c r="O2" s="9" t="s">
        <v>14</v>
      </c>
      <c r="Q2" s="11" t="s">
        <v>16</v>
      </c>
      <c r="S2" s="12" t="s">
        <v>15</v>
      </c>
      <c r="U2" s="9" t="s">
        <v>14</v>
      </c>
      <c r="W2" s="12" t="s">
        <v>15</v>
      </c>
      <c r="X2" s="7" t="s">
        <v>17</v>
      </c>
      <c r="Y2" s="9" t="s">
        <v>14</v>
      </c>
      <c r="Z2" s="13" t="s">
        <v>18</v>
      </c>
      <c r="AA2" s="7" t="b">
        <v>1</v>
      </c>
      <c r="AB2" s="7" t="s">
        <v>19</v>
      </c>
      <c r="AC2" s="7" t="b">
        <v>1</v>
      </c>
      <c r="AE2" s="7" t="b">
        <v>0</v>
      </c>
      <c r="AG2" s="7" t="b">
        <v>0</v>
      </c>
      <c r="AH2" s="7" t="s">
        <v>20</v>
      </c>
      <c r="AJ2" s="12" t="s">
        <v>21</v>
      </c>
      <c r="AL2" s="14" t="s">
        <v>14</v>
      </c>
      <c r="AM2" s="7" t="s">
        <v>22</v>
      </c>
      <c r="AO2" s="7" t="s">
        <v>22</v>
      </c>
    </row>
    <row r="3">
      <c r="A3" s="15" t="s">
        <v>23</v>
      </c>
      <c r="B3" s="7">
        <v>26.9</v>
      </c>
      <c r="C3" s="10" t="s">
        <v>13</v>
      </c>
      <c r="E3" s="16" t="s">
        <v>24</v>
      </c>
      <c r="G3" s="9" t="s">
        <v>14</v>
      </c>
      <c r="I3" s="16" t="s">
        <v>24</v>
      </c>
      <c r="K3" s="9" t="s">
        <v>14</v>
      </c>
      <c r="M3" s="16" t="s">
        <v>24</v>
      </c>
      <c r="O3" s="9" t="s">
        <v>14</v>
      </c>
      <c r="Q3" s="11" t="s">
        <v>16</v>
      </c>
      <c r="S3" s="17" t="s">
        <v>25</v>
      </c>
      <c r="U3" s="9" t="s">
        <v>14</v>
      </c>
      <c r="W3" s="16" t="s">
        <v>26</v>
      </c>
      <c r="X3" s="7" t="s">
        <v>17</v>
      </c>
      <c r="Y3" s="9" t="s">
        <v>14</v>
      </c>
      <c r="Z3" s="13" t="s">
        <v>27</v>
      </c>
      <c r="AA3" s="7" t="b">
        <v>1</v>
      </c>
      <c r="AB3" s="7" t="s">
        <v>28</v>
      </c>
      <c r="AC3" s="7" t="b">
        <v>1</v>
      </c>
      <c r="AE3" s="7" t="b">
        <v>0</v>
      </c>
      <c r="AG3" s="7" t="b">
        <v>0</v>
      </c>
      <c r="AH3" s="7" t="s">
        <v>20</v>
      </c>
      <c r="AJ3" s="16" t="s">
        <v>24</v>
      </c>
      <c r="AL3" s="14" t="s">
        <v>14</v>
      </c>
      <c r="AM3" s="7" t="s">
        <v>22</v>
      </c>
      <c r="AN3" s="18" t="s">
        <v>22</v>
      </c>
      <c r="AO3" s="7" t="s">
        <v>22</v>
      </c>
    </row>
    <row r="4">
      <c r="A4" s="8" t="s">
        <v>29</v>
      </c>
      <c r="B4" s="7">
        <v>134.6</v>
      </c>
      <c r="C4" s="19"/>
      <c r="E4" s="16"/>
      <c r="G4" s="9"/>
      <c r="I4" s="16"/>
      <c r="K4" s="19"/>
      <c r="L4" s="20"/>
      <c r="M4" s="16"/>
      <c r="O4" s="9"/>
      <c r="Q4" s="17"/>
      <c r="S4" s="19"/>
      <c r="T4" s="21" t="s">
        <v>30</v>
      </c>
      <c r="U4" s="21" t="s">
        <v>21</v>
      </c>
      <c r="W4" s="22" t="s">
        <v>31</v>
      </c>
      <c r="Y4" s="23" t="s">
        <v>32</v>
      </c>
      <c r="Z4" s="13" t="s">
        <v>18</v>
      </c>
      <c r="AA4" s="7" t="b">
        <v>1</v>
      </c>
      <c r="AB4" s="7" t="s">
        <v>28</v>
      </c>
      <c r="AC4" s="7" t="b">
        <v>1</v>
      </c>
      <c r="AD4" s="7" t="s">
        <v>19</v>
      </c>
      <c r="AE4" s="7" t="b">
        <v>1</v>
      </c>
      <c r="AG4" s="7" t="b">
        <v>0</v>
      </c>
      <c r="AH4" s="7" t="s">
        <v>20</v>
      </c>
      <c r="AJ4" s="12" t="s">
        <v>21</v>
      </c>
      <c r="AL4" s="14" t="s">
        <v>24</v>
      </c>
      <c r="AM4" s="7"/>
      <c r="AN4" s="7" t="s">
        <v>22</v>
      </c>
      <c r="AO4" s="7" t="s">
        <v>22</v>
      </c>
    </row>
    <row r="5">
      <c r="A5" s="8" t="s">
        <v>33</v>
      </c>
      <c r="C5" s="19" t="s">
        <v>32</v>
      </c>
      <c r="E5" s="16" t="s">
        <v>24</v>
      </c>
      <c r="G5" s="9" t="s">
        <v>14</v>
      </c>
      <c r="I5" s="16" t="s">
        <v>24</v>
      </c>
      <c r="K5" s="19" t="s">
        <v>32</v>
      </c>
      <c r="L5" s="20" t="s">
        <v>21</v>
      </c>
      <c r="M5" s="16" t="s">
        <v>24</v>
      </c>
      <c r="O5" s="9" t="s">
        <v>14</v>
      </c>
      <c r="Q5" s="17" t="s">
        <v>34</v>
      </c>
      <c r="S5" s="19" t="s">
        <v>32</v>
      </c>
      <c r="U5" s="9" t="s">
        <v>12</v>
      </c>
      <c r="W5" s="22" t="s">
        <v>31</v>
      </c>
      <c r="Y5" s="23" t="s">
        <v>32</v>
      </c>
      <c r="Z5" s="13" t="s">
        <v>18</v>
      </c>
      <c r="AA5" s="7" t="b">
        <v>1</v>
      </c>
      <c r="AB5" s="7" t="s">
        <v>28</v>
      </c>
      <c r="AC5" s="7" t="b">
        <v>1</v>
      </c>
      <c r="AD5" s="7" t="s">
        <v>19</v>
      </c>
      <c r="AE5" s="7" t="b">
        <v>1</v>
      </c>
      <c r="AG5" s="7" t="b">
        <v>0</v>
      </c>
      <c r="AH5" s="7" t="s">
        <v>20</v>
      </c>
      <c r="AJ5" s="12" t="s">
        <v>21</v>
      </c>
      <c r="AL5" s="14"/>
      <c r="AM5" s="7"/>
      <c r="AN5" s="7" t="s">
        <v>22</v>
      </c>
      <c r="AO5" s="7" t="s">
        <v>22</v>
      </c>
    </row>
    <row r="6">
      <c r="A6" s="24" t="s">
        <v>35</v>
      </c>
      <c r="B6" s="7">
        <v>47.9</v>
      </c>
      <c r="C6" s="16"/>
      <c r="E6" s="9"/>
      <c r="G6" s="16"/>
      <c r="I6" s="9"/>
      <c r="K6" s="16"/>
      <c r="M6" s="9"/>
      <c r="O6" s="16"/>
      <c r="Q6" s="9"/>
      <c r="R6" s="25"/>
      <c r="S6" s="11"/>
      <c r="U6" s="26"/>
      <c r="W6" s="16" t="s">
        <v>24</v>
      </c>
      <c r="X6" s="7" t="s">
        <v>17</v>
      </c>
      <c r="Y6" s="16" t="s">
        <v>24</v>
      </c>
      <c r="Z6" s="27" t="s">
        <v>27</v>
      </c>
      <c r="AA6" t="b">
        <v>0</v>
      </c>
      <c r="AC6" t="b">
        <v>0</v>
      </c>
      <c r="AE6" t="b">
        <v>0</v>
      </c>
      <c r="AG6" t="b">
        <v>0</v>
      </c>
      <c r="AJ6" s="16" t="s">
        <v>24</v>
      </c>
      <c r="AL6" s="28" t="s">
        <v>14</v>
      </c>
      <c r="AM6" s="7" t="s">
        <v>22</v>
      </c>
      <c r="AO6" s="7" t="s">
        <v>22</v>
      </c>
    </row>
    <row r="7">
      <c r="A7" s="24" t="s">
        <v>36</v>
      </c>
      <c r="B7" s="7">
        <v>38.96</v>
      </c>
      <c r="C7" s="16" t="s">
        <v>24</v>
      </c>
      <c r="E7" s="9" t="s">
        <v>12</v>
      </c>
      <c r="G7" s="16" t="s">
        <v>24</v>
      </c>
      <c r="I7" s="9" t="s">
        <v>14</v>
      </c>
      <c r="K7" s="16" t="s">
        <v>24</v>
      </c>
      <c r="M7" s="9" t="s">
        <v>12</v>
      </c>
      <c r="O7" s="16" t="s">
        <v>26</v>
      </c>
      <c r="Q7" s="9" t="s">
        <v>14</v>
      </c>
      <c r="S7" s="11" t="s">
        <v>16</v>
      </c>
      <c r="T7" s="21" t="s">
        <v>30</v>
      </c>
      <c r="U7" s="21" t="s">
        <v>21</v>
      </c>
      <c r="W7" s="9" t="s">
        <v>14</v>
      </c>
      <c r="X7" s="7" t="s">
        <v>17</v>
      </c>
      <c r="Y7" s="16" t="s">
        <v>24</v>
      </c>
      <c r="Z7" s="13" t="s">
        <v>27</v>
      </c>
      <c r="AA7" t="b">
        <v>0</v>
      </c>
      <c r="AB7" s="7" t="s">
        <v>37</v>
      </c>
      <c r="AC7" t="b">
        <v>0</v>
      </c>
      <c r="AE7" t="b">
        <v>0</v>
      </c>
      <c r="AG7" t="b">
        <v>0</v>
      </c>
      <c r="AH7" s="7" t="s">
        <v>38</v>
      </c>
      <c r="AJ7" s="29" t="s">
        <v>32</v>
      </c>
      <c r="AL7" s="12" t="s">
        <v>17</v>
      </c>
    </row>
    <row r="8">
      <c r="A8" s="24" t="s">
        <v>39</v>
      </c>
      <c r="B8" s="7">
        <v>11.4</v>
      </c>
      <c r="C8" s="16"/>
      <c r="E8" s="9"/>
      <c r="G8" s="16"/>
      <c r="I8" s="9"/>
      <c r="K8" s="16"/>
      <c r="M8" s="9"/>
      <c r="O8" s="16"/>
      <c r="Q8" s="9"/>
      <c r="S8" s="11"/>
      <c r="T8" s="21"/>
      <c r="U8" s="21"/>
      <c r="W8" s="9"/>
      <c r="X8" s="7"/>
      <c r="Y8" s="16"/>
      <c r="Z8" s="13"/>
      <c r="AA8" t="b">
        <v>0</v>
      </c>
      <c r="AB8" s="7"/>
      <c r="AC8" t="b">
        <v>0</v>
      </c>
      <c r="AE8" t="b">
        <v>0</v>
      </c>
      <c r="AG8" t="b">
        <v>0</v>
      </c>
      <c r="AH8" s="7"/>
      <c r="AJ8" s="9" t="s">
        <v>14</v>
      </c>
      <c r="AL8" s="14" t="s">
        <v>24</v>
      </c>
      <c r="AM8" s="7" t="s">
        <v>22</v>
      </c>
      <c r="AO8" s="7" t="s">
        <v>22</v>
      </c>
    </row>
    <row r="9">
      <c r="A9" s="15" t="s">
        <v>40</v>
      </c>
      <c r="B9" s="7">
        <v>151.67</v>
      </c>
      <c r="M9" s="16" t="s">
        <v>24</v>
      </c>
      <c r="O9" s="19" t="s">
        <v>41</v>
      </c>
      <c r="Q9" s="16" t="s">
        <v>26</v>
      </c>
      <c r="R9" s="25"/>
      <c r="S9" s="9" t="s">
        <v>14</v>
      </c>
      <c r="U9" s="30" t="s">
        <v>26</v>
      </c>
      <c r="W9" s="9" t="s">
        <v>14</v>
      </c>
      <c r="Y9" s="16" t="s">
        <v>24</v>
      </c>
      <c r="Z9" s="13" t="s">
        <v>27</v>
      </c>
      <c r="AA9" t="b">
        <v>0</v>
      </c>
      <c r="AB9" s="7" t="s">
        <v>42</v>
      </c>
      <c r="AC9" t="b">
        <v>0</v>
      </c>
      <c r="AE9" t="b">
        <v>0</v>
      </c>
      <c r="AG9" t="b">
        <v>0</v>
      </c>
      <c r="AJ9" s="9" t="s">
        <v>14</v>
      </c>
      <c r="AL9" s="14" t="s">
        <v>25</v>
      </c>
      <c r="AM9" s="7" t="s">
        <v>22</v>
      </c>
      <c r="AN9" s="7" t="s">
        <v>22</v>
      </c>
      <c r="AO9" s="7" t="s">
        <v>22</v>
      </c>
      <c r="AP9" s="7" t="s">
        <v>22</v>
      </c>
    </row>
    <row r="10">
      <c r="A10" s="15" t="s">
        <v>43</v>
      </c>
      <c r="B10" s="7">
        <v>148.1</v>
      </c>
      <c r="C10" s="9" t="s">
        <v>14</v>
      </c>
      <c r="E10" s="16" t="s">
        <v>24</v>
      </c>
      <c r="G10" s="9" t="s">
        <v>14</v>
      </c>
      <c r="I10" s="16" t="s">
        <v>24</v>
      </c>
      <c r="K10" s="9" t="s">
        <v>14</v>
      </c>
      <c r="L10" s="20" t="s">
        <v>21</v>
      </c>
      <c r="M10" s="16" t="s">
        <v>24</v>
      </c>
      <c r="O10" s="9" t="s">
        <v>12</v>
      </c>
      <c r="P10" s="31" t="s">
        <v>17</v>
      </c>
      <c r="Q10" s="31" t="s">
        <v>17</v>
      </c>
      <c r="R10" s="25"/>
      <c r="S10" s="22" t="s">
        <v>31</v>
      </c>
      <c r="U10" s="29" t="s">
        <v>32</v>
      </c>
      <c r="W10" s="22" t="s">
        <v>31</v>
      </c>
      <c r="Y10" s="16" t="s">
        <v>24</v>
      </c>
      <c r="Z10" s="13" t="s">
        <v>27</v>
      </c>
      <c r="AA10" t="b">
        <v>0</v>
      </c>
      <c r="AB10" s="7" t="s">
        <v>42</v>
      </c>
      <c r="AC10" t="b">
        <v>0</v>
      </c>
      <c r="AE10" t="b">
        <v>0</v>
      </c>
      <c r="AG10" t="b">
        <v>0</v>
      </c>
      <c r="AJ10" s="9" t="s">
        <v>14</v>
      </c>
      <c r="AL10" s="14" t="s">
        <v>24</v>
      </c>
      <c r="AM10" s="7" t="s">
        <v>22</v>
      </c>
      <c r="AN10" s="7"/>
      <c r="AO10" s="7" t="s">
        <v>22</v>
      </c>
      <c r="AP10" s="7" t="s">
        <v>22</v>
      </c>
    </row>
    <row r="11">
      <c r="A11" s="32" t="s">
        <v>44</v>
      </c>
      <c r="B11" s="7">
        <v>10.9</v>
      </c>
      <c r="C11" s="16"/>
      <c r="E11" s="9"/>
      <c r="G11" s="16"/>
      <c r="I11" s="9"/>
      <c r="K11" s="16"/>
      <c r="M11" s="9"/>
      <c r="O11" s="16"/>
      <c r="Q11" s="9"/>
      <c r="R11" s="25"/>
      <c r="S11" s="11"/>
      <c r="U11" s="26"/>
      <c r="W11" s="16" t="s">
        <v>24</v>
      </c>
      <c r="Y11" s="9" t="s">
        <v>14</v>
      </c>
      <c r="Z11" s="13" t="s">
        <v>27</v>
      </c>
      <c r="AA11" s="7" t="b">
        <v>1</v>
      </c>
      <c r="AB11" s="7" t="s">
        <v>28</v>
      </c>
      <c r="AC11" s="7" t="b">
        <v>1</v>
      </c>
      <c r="AE11" t="b">
        <v>0</v>
      </c>
      <c r="AG11" t="b">
        <v>0</v>
      </c>
      <c r="AJ11" s="16" t="s">
        <v>24</v>
      </c>
      <c r="AL11" s="33" t="s">
        <v>14</v>
      </c>
      <c r="AO11" s="7" t="s">
        <v>22</v>
      </c>
    </row>
    <row r="12">
      <c r="A12" s="15" t="s">
        <v>45</v>
      </c>
      <c r="B12" s="7">
        <v>41.77</v>
      </c>
      <c r="C12" s="16" t="s">
        <v>24</v>
      </c>
      <c r="E12" s="9" t="s">
        <v>14</v>
      </c>
      <c r="G12" s="16" t="s">
        <v>24</v>
      </c>
      <c r="I12" s="9" t="s">
        <v>14</v>
      </c>
      <c r="K12" s="16" t="s">
        <v>24</v>
      </c>
      <c r="M12" s="9" t="s">
        <v>14</v>
      </c>
      <c r="O12" s="16" t="s">
        <v>26</v>
      </c>
      <c r="Q12" s="9" t="s">
        <v>14</v>
      </c>
      <c r="R12" s="21" t="s">
        <v>46</v>
      </c>
      <c r="S12" s="11" t="s">
        <v>16</v>
      </c>
      <c r="U12" s="30" t="s">
        <v>24</v>
      </c>
      <c r="W12" s="34" t="s">
        <v>47</v>
      </c>
      <c r="X12" s="35"/>
      <c r="Y12" s="12" t="s">
        <v>21</v>
      </c>
      <c r="Z12" s="13" t="s">
        <v>27</v>
      </c>
      <c r="AA12" s="7" t="b">
        <v>1</v>
      </c>
      <c r="AB12" s="7" t="s">
        <v>48</v>
      </c>
      <c r="AC12" s="7" t="b">
        <v>1</v>
      </c>
      <c r="AD12" s="7" t="s">
        <v>17</v>
      </c>
      <c r="AE12" t="b">
        <v>0</v>
      </c>
      <c r="AF12" s="7" t="s">
        <v>28</v>
      </c>
      <c r="AG12" t="b">
        <v>0</v>
      </c>
      <c r="AJ12" s="16" t="s">
        <v>24</v>
      </c>
      <c r="AL12" s="14" t="s">
        <v>24</v>
      </c>
      <c r="AM12" s="7" t="s">
        <v>22</v>
      </c>
      <c r="AN12" s="7"/>
      <c r="AO12" s="7" t="s">
        <v>22</v>
      </c>
      <c r="AP12" s="7" t="s">
        <v>22</v>
      </c>
    </row>
    <row r="13">
      <c r="A13" s="15" t="s">
        <v>49</v>
      </c>
      <c r="B13" s="7">
        <v>64.32</v>
      </c>
      <c r="C13" s="16" t="s">
        <v>24</v>
      </c>
      <c r="E13" s="9" t="s">
        <v>14</v>
      </c>
      <c r="G13" s="16" t="s">
        <v>24</v>
      </c>
      <c r="I13" s="9" t="s">
        <v>14</v>
      </c>
      <c r="K13" s="16" t="s">
        <v>24</v>
      </c>
      <c r="M13" s="9" t="s">
        <v>14</v>
      </c>
      <c r="O13" s="16" t="s">
        <v>26</v>
      </c>
      <c r="Q13" s="9" t="s">
        <v>14</v>
      </c>
      <c r="R13" s="21" t="s">
        <v>46</v>
      </c>
      <c r="S13" s="11" t="s">
        <v>16</v>
      </c>
      <c r="U13" s="30" t="s">
        <v>24</v>
      </c>
      <c r="W13" s="34" t="s">
        <v>47</v>
      </c>
      <c r="X13" s="35"/>
      <c r="Y13" s="12" t="s">
        <v>21</v>
      </c>
      <c r="Z13" s="13" t="s">
        <v>50</v>
      </c>
      <c r="AA13" t="b">
        <v>0</v>
      </c>
      <c r="AB13" s="7" t="s">
        <v>17</v>
      </c>
      <c r="AC13" t="b">
        <v>0</v>
      </c>
      <c r="AD13" s="7" t="s">
        <v>48</v>
      </c>
      <c r="AE13" t="b">
        <v>0</v>
      </c>
      <c r="AG13" t="b">
        <v>0</v>
      </c>
      <c r="AJ13" s="16" t="s">
        <v>24</v>
      </c>
      <c r="AL13" s="33" t="s">
        <v>24</v>
      </c>
      <c r="AM13" s="7" t="s">
        <v>22</v>
      </c>
      <c r="AN13" s="7"/>
      <c r="AO13" s="7"/>
      <c r="AP13" s="7" t="s">
        <v>22</v>
      </c>
    </row>
    <row r="14" ht="16.5" customHeight="1">
      <c r="A14" s="15" t="s">
        <v>51</v>
      </c>
      <c r="B14" s="7">
        <v>64.6</v>
      </c>
      <c r="C14" s="16" t="s">
        <v>24</v>
      </c>
      <c r="E14" s="9" t="s">
        <v>14</v>
      </c>
      <c r="G14" s="16" t="s">
        <v>24</v>
      </c>
      <c r="I14" s="9" t="s">
        <v>14</v>
      </c>
      <c r="K14" s="16" t="s">
        <v>24</v>
      </c>
      <c r="M14" s="9" t="s">
        <v>14</v>
      </c>
      <c r="O14" s="16" t="s">
        <v>26</v>
      </c>
      <c r="Q14" s="9" t="s">
        <v>14</v>
      </c>
      <c r="R14" s="21" t="s">
        <v>46</v>
      </c>
      <c r="S14" s="36" t="s">
        <v>52</v>
      </c>
      <c r="U14" s="11" t="s">
        <v>16</v>
      </c>
      <c r="W14" s="34" t="s">
        <v>47</v>
      </c>
      <c r="X14" s="35"/>
      <c r="Y14" s="12" t="s">
        <v>21</v>
      </c>
      <c r="Z14" s="13" t="s">
        <v>27</v>
      </c>
      <c r="AA14" s="7" t="b">
        <v>1</v>
      </c>
      <c r="AB14" s="7" t="s">
        <v>17</v>
      </c>
      <c r="AC14" t="b">
        <v>0</v>
      </c>
      <c r="AD14" s="7" t="s">
        <v>48</v>
      </c>
      <c r="AE14" t="b">
        <v>0</v>
      </c>
      <c r="AG14" t="b">
        <v>0</v>
      </c>
      <c r="AJ14" s="16" t="s">
        <v>24</v>
      </c>
      <c r="AL14" s="14" t="s">
        <v>53</v>
      </c>
      <c r="AO14" s="7" t="s">
        <v>22</v>
      </c>
    </row>
    <row r="15">
      <c r="A15" s="15" t="s">
        <v>54</v>
      </c>
      <c r="B15" s="7">
        <v>67.63</v>
      </c>
      <c r="C15" s="16" t="s">
        <v>24</v>
      </c>
      <c r="E15" s="19" t="s">
        <v>55</v>
      </c>
      <c r="G15" s="16" t="s">
        <v>24</v>
      </c>
      <c r="I15" s="9" t="s">
        <v>14</v>
      </c>
      <c r="K15" s="16" t="s">
        <v>24</v>
      </c>
      <c r="M15" s="9" t="s">
        <v>14</v>
      </c>
      <c r="O15" s="16" t="s">
        <v>26</v>
      </c>
      <c r="Q15" s="19" t="s">
        <v>55</v>
      </c>
      <c r="R15" s="25"/>
      <c r="S15" s="16" t="s">
        <v>24</v>
      </c>
      <c r="U15" s="30" t="s">
        <v>24</v>
      </c>
      <c r="W15" s="29" t="s">
        <v>32</v>
      </c>
      <c r="X15" s="7" t="s">
        <v>17</v>
      </c>
      <c r="Y15" s="16" t="s">
        <v>24</v>
      </c>
      <c r="Z15" s="27" t="s">
        <v>27</v>
      </c>
      <c r="AA15" t="b">
        <v>0</v>
      </c>
      <c r="AC15" t="b">
        <v>0</v>
      </c>
      <c r="AD15" s="7" t="s">
        <v>48</v>
      </c>
      <c r="AE15" t="b">
        <v>0</v>
      </c>
      <c r="AG15" t="b">
        <v>0</v>
      </c>
      <c r="AJ15" s="29" t="s">
        <v>32</v>
      </c>
      <c r="AL15" s="12" t="s">
        <v>21</v>
      </c>
    </row>
    <row r="16">
      <c r="A16" s="15" t="s">
        <v>56</v>
      </c>
      <c r="B16" s="7">
        <v>11.13</v>
      </c>
      <c r="C16" s="16" t="s">
        <v>24</v>
      </c>
      <c r="E16" s="9" t="s">
        <v>14</v>
      </c>
      <c r="G16" s="16" t="s">
        <v>24</v>
      </c>
      <c r="I16" s="9" t="s">
        <v>14</v>
      </c>
      <c r="K16" s="16" t="s">
        <v>24</v>
      </c>
      <c r="M16" s="9" t="s">
        <v>14</v>
      </c>
      <c r="O16" s="16" t="s">
        <v>26</v>
      </c>
      <c r="Q16" s="9" t="s">
        <v>14</v>
      </c>
      <c r="R16" s="25"/>
      <c r="S16" s="16" t="s">
        <v>24</v>
      </c>
      <c r="U16" s="30" t="s">
        <v>24</v>
      </c>
      <c r="W16" s="9" t="s">
        <v>14</v>
      </c>
      <c r="X16" s="7" t="s">
        <v>17</v>
      </c>
      <c r="Y16" s="16" t="s">
        <v>24</v>
      </c>
      <c r="Z16" s="27" t="s">
        <v>27</v>
      </c>
      <c r="AA16" t="b">
        <v>0</v>
      </c>
      <c r="AC16" t="b">
        <v>0</v>
      </c>
      <c r="AD16" s="7" t="s">
        <v>48</v>
      </c>
      <c r="AE16" t="b">
        <v>0</v>
      </c>
      <c r="AG16" t="b">
        <v>0</v>
      </c>
      <c r="AJ16" s="9" t="s">
        <v>14</v>
      </c>
      <c r="AL16" s="14" t="s">
        <v>26</v>
      </c>
      <c r="AM16" s="37" t="s">
        <v>22</v>
      </c>
      <c r="AN16" s="37" t="s">
        <v>57</v>
      </c>
      <c r="AO16" s="37" t="s">
        <v>22</v>
      </c>
      <c r="AP16" s="37" t="s">
        <v>58</v>
      </c>
    </row>
    <row r="17">
      <c r="A17" s="15" t="s">
        <v>59</v>
      </c>
      <c r="B17" s="7">
        <v>8.925</v>
      </c>
      <c r="C17" s="16" t="s">
        <v>24</v>
      </c>
      <c r="K17" s="16" t="s">
        <v>24</v>
      </c>
      <c r="L17" s="20" t="s">
        <v>21</v>
      </c>
      <c r="M17" s="20" t="s">
        <v>21</v>
      </c>
      <c r="O17" s="16" t="s">
        <v>26</v>
      </c>
      <c r="Q17" s="9" t="s">
        <v>14</v>
      </c>
      <c r="R17" s="28"/>
      <c r="S17" s="16" t="s">
        <v>24</v>
      </c>
      <c r="U17" s="30" t="s">
        <v>24</v>
      </c>
      <c r="W17" s="9" t="s">
        <v>14</v>
      </c>
      <c r="X17" s="7" t="s">
        <v>17</v>
      </c>
      <c r="Y17" s="16" t="s">
        <v>24</v>
      </c>
      <c r="Z17" s="27" t="s">
        <v>27</v>
      </c>
      <c r="AA17" t="b">
        <v>0</v>
      </c>
      <c r="AC17" t="b">
        <v>0</v>
      </c>
      <c r="AE17" t="b">
        <v>0</v>
      </c>
      <c r="AG17" t="b">
        <v>0</v>
      </c>
      <c r="AJ17" s="9" t="s">
        <v>14</v>
      </c>
      <c r="AL17" s="14" t="s">
        <v>26</v>
      </c>
      <c r="AM17" s="7" t="s">
        <v>22</v>
      </c>
      <c r="AN17" s="7" t="s">
        <v>57</v>
      </c>
      <c r="AO17" s="7" t="s">
        <v>22</v>
      </c>
    </row>
    <row r="18">
      <c r="A18" s="38" t="s">
        <v>60</v>
      </c>
      <c r="B18" s="7">
        <v>44.0</v>
      </c>
      <c r="C18" s="9" t="s">
        <v>14</v>
      </c>
      <c r="E18" s="16" t="s">
        <v>24</v>
      </c>
      <c r="G18" s="9" t="s">
        <v>14</v>
      </c>
      <c r="I18" s="16" t="s">
        <v>24</v>
      </c>
      <c r="K18" s="9" t="s">
        <v>14</v>
      </c>
      <c r="M18" s="16" t="s">
        <v>24</v>
      </c>
      <c r="O18" s="9" t="s">
        <v>12</v>
      </c>
      <c r="Q18" s="16" t="s">
        <v>24</v>
      </c>
      <c r="R18" s="25"/>
      <c r="S18" s="16" t="s">
        <v>24</v>
      </c>
      <c r="T18" s="28"/>
      <c r="U18" s="9" t="s">
        <v>14</v>
      </c>
      <c r="W18" s="16" t="s">
        <v>24</v>
      </c>
      <c r="X18" s="7" t="s">
        <v>21</v>
      </c>
      <c r="Y18" s="9" t="s">
        <v>14</v>
      </c>
      <c r="Z18" s="13" t="s">
        <v>61</v>
      </c>
      <c r="AA18" s="7" t="b">
        <v>1</v>
      </c>
      <c r="AB18" s="7" t="s">
        <v>28</v>
      </c>
      <c r="AC18" s="7" t="b">
        <v>1</v>
      </c>
      <c r="AD18" s="7" t="s">
        <v>19</v>
      </c>
      <c r="AE18" s="7" t="b">
        <v>1</v>
      </c>
      <c r="AG18" s="7" t="b">
        <v>0</v>
      </c>
      <c r="AJ18" s="12" t="s">
        <v>21</v>
      </c>
      <c r="AL18" s="14" t="s">
        <v>24</v>
      </c>
      <c r="AM18" s="7" t="s">
        <v>22</v>
      </c>
      <c r="AN18" s="7"/>
      <c r="AO18" s="7" t="s">
        <v>22</v>
      </c>
      <c r="AP18" s="7" t="s">
        <v>22</v>
      </c>
    </row>
    <row r="19">
      <c r="A19" s="24" t="s">
        <v>62</v>
      </c>
      <c r="C19" s="9" t="s">
        <v>14</v>
      </c>
      <c r="E19" s="16" t="s">
        <v>24</v>
      </c>
      <c r="G19" s="9" t="s">
        <v>14</v>
      </c>
      <c r="I19" s="16" t="s">
        <v>24</v>
      </c>
      <c r="K19" s="9" t="s">
        <v>14</v>
      </c>
      <c r="M19" s="16" t="s">
        <v>24</v>
      </c>
      <c r="O19" s="9" t="s">
        <v>12</v>
      </c>
      <c r="Q19" s="16" t="s">
        <v>24</v>
      </c>
      <c r="R19" s="25"/>
      <c r="S19" s="16" t="s">
        <v>24</v>
      </c>
      <c r="T19" s="28"/>
      <c r="U19" s="9" t="s">
        <v>14</v>
      </c>
      <c r="W19" s="16" t="s">
        <v>24</v>
      </c>
      <c r="X19" s="7" t="s">
        <v>21</v>
      </c>
      <c r="Y19" s="9" t="s">
        <v>14</v>
      </c>
      <c r="Z19" s="13" t="s">
        <v>61</v>
      </c>
      <c r="AA19" s="7" t="b">
        <v>1</v>
      </c>
      <c r="AC19" s="7" t="b">
        <v>0</v>
      </c>
      <c r="AE19" s="7" t="b">
        <v>0</v>
      </c>
      <c r="AG19" s="7" t="b">
        <v>0</v>
      </c>
      <c r="AJ19" s="16" t="s">
        <v>24</v>
      </c>
      <c r="AL19" s="14" t="s">
        <v>24</v>
      </c>
      <c r="AO19" s="7" t="s">
        <v>22</v>
      </c>
    </row>
    <row r="20">
      <c r="A20" s="15" t="s">
        <v>63</v>
      </c>
      <c r="B20" s="7">
        <v>14.3</v>
      </c>
      <c r="C20" s="16" t="s">
        <v>26</v>
      </c>
      <c r="E20" s="9" t="s">
        <v>14</v>
      </c>
      <c r="G20" s="16" t="s">
        <v>24</v>
      </c>
      <c r="I20" s="9" t="s">
        <v>14</v>
      </c>
      <c r="K20" s="16" t="s">
        <v>24</v>
      </c>
      <c r="M20" s="9" t="s">
        <v>14</v>
      </c>
      <c r="O20" s="16" t="s">
        <v>26</v>
      </c>
      <c r="Q20" s="9" t="s">
        <v>14</v>
      </c>
      <c r="R20" s="25"/>
      <c r="S20" s="16" t="s">
        <v>24</v>
      </c>
      <c r="U20" s="30" t="s">
        <v>24</v>
      </c>
      <c r="W20" s="9" t="s">
        <v>14</v>
      </c>
      <c r="X20" s="7" t="s">
        <v>17</v>
      </c>
      <c r="Y20" s="16" t="s">
        <v>24</v>
      </c>
      <c r="Z20" s="27" t="s">
        <v>27</v>
      </c>
      <c r="AA20" t="b">
        <v>0</v>
      </c>
      <c r="AC20" t="b">
        <v>0</v>
      </c>
      <c r="AE20" t="b">
        <v>0</v>
      </c>
      <c r="AG20" t="b">
        <v>0</v>
      </c>
      <c r="AJ20" s="9" t="s">
        <v>14</v>
      </c>
      <c r="AL20" s="14" t="s">
        <v>24</v>
      </c>
      <c r="AM20" s="7" t="s">
        <v>22</v>
      </c>
      <c r="AN20" s="7" t="s">
        <v>57</v>
      </c>
      <c r="AO20" s="7"/>
      <c r="AP20" s="7" t="s">
        <v>22</v>
      </c>
    </row>
    <row r="21">
      <c r="A21" s="8" t="s">
        <v>64</v>
      </c>
      <c r="B21" s="7">
        <v>53.0</v>
      </c>
      <c r="C21" s="16" t="s">
        <v>26</v>
      </c>
      <c r="E21" s="9" t="s">
        <v>12</v>
      </c>
      <c r="G21" s="16" t="s">
        <v>24</v>
      </c>
      <c r="I21" s="9" t="s">
        <v>14</v>
      </c>
      <c r="K21" s="16" t="s">
        <v>24</v>
      </c>
      <c r="L21" s="20" t="s">
        <v>21</v>
      </c>
      <c r="M21" s="9" t="s">
        <v>14</v>
      </c>
      <c r="O21" s="9" t="s">
        <v>14</v>
      </c>
      <c r="Q21" s="26" t="s">
        <v>34</v>
      </c>
      <c r="R21" s="25"/>
      <c r="S21" s="26" t="s">
        <v>25</v>
      </c>
      <c r="U21" s="9" t="s">
        <v>14</v>
      </c>
      <c r="W21" s="16" t="s">
        <v>24</v>
      </c>
      <c r="Y21" s="9" t="s">
        <v>14</v>
      </c>
      <c r="Z21" s="27" t="s">
        <v>27</v>
      </c>
      <c r="AA21" s="7" t="b">
        <v>1</v>
      </c>
      <c r="AB21" s="7" t="s">
        <v>28</v>
      </c>
      <c r="AC21" s="7" t="b">
        <v>1</v>
      </c>
      <c r="AE21" t="b">
        <v>0</v>
      </c>
      <c r="AG21" t="b">
        <v>0</v>
      </c>
      <c r="AJ21" s="16" t="s">
        <v>24</v>
      </c>
      <c r="AL21" s="14" t="s">
        <v>12</v>
      </c>
    </row>
    <row r="22">
      <c r="A22" s="8" t="s">
        <v>65</v>
      </c>
      <c r="B22" s="7">
        <v>25.0</v>
      </c>
      <c r="C22" s="16" t="s">
        <v>26</v>
      </c>
      <c r="E22" s="9" t="s">
        <v>12</v>
      </c>
      <c r="G22" s="16" t="s">
        <v>24</v>
      </c>
      <c r="I22" s="9" t="s">
        <v>14</v>
      </c>
      <c r="K22" s="16" t="s">
        <v>24</v>
      </c>
      <c r="L22" s="20" t="s">
        <v>21</v>
      </c>
      <c r="M22" s="9" t="s">
        <v>14</v>
      </c>
      <c r="O22" s="9" t="s">
        <v>14</v>
      </c>
      <c r="Q22" s="26" t="s">
        <v>34</v>
      </c>
      <c r="R22" s="25"/>
      <c r="S22" s="26" t="s">
        <v>25</v>
      </c>
      <c r="U22" s="26" t="s">
        <v>34</v>
      </c>
      <c r="W22" s="16" t="s">
        <v>24</v>
      </c>
      <c r="Y22" s="9" t="s">
        <v>14</v>
      </c>
      <c r="Z22" s="27" t="s">
        <v>27</v>
      </c>
      <c r="AA22" s="7" t="b">
        <v>1</v>
      </c>
      <c r="AB22" s="7" t="s">
        <v>28</v>
      </c>
      <c r="AC22" s="7" t="b">
        <v>1</v>
      </c>
      <c r="AE22" t="b">
        <v>0</v>
      </c>
      <c r="AG22" t="b">
        <v>0</v>
      </c>
      <c r="AJ22" s="16" t="s">
        <v>24</v>
      </c>
      <c r="AL22" s="14" t="s">
        <v>12</v>
      </c>
    </row>
    <row r="23">
      <c r="A23" s="8" t="s">
        <v>66</v>
      </c>
      <c r="B23" s="7">
        <v>175.0</v>
      </c>
      <c r="C23" s="39" t="s">
        <v>67</v>
      </c>
      <c r="E23" s="40" t="s">
        <v>68</v>
      </c>
      <c r="G23" s="16" t="s">
        <v>24</v>
      </c>
      <c r="I23" s="9" t="s">
        <v>14</v>
      </c>
      <c r="K23" s="22" t="s">
        <v>69</v>
      </c>
      <c r="L23" s="20" t="s">
        <v>21</v>
      </c>
      <c r="M23" s="9" t="s">
        <v>14</v>
      </c>
      <c r="O23" s="40" t="s">
        <v>68</v>
      </c>
      <c r="Q23" s="26" t="s">
        <v>34</v>
      </c>
      <c r="R23" s="28"/>
      <c r="S23" s="26" t="s">
        <v>25</v>
      </c>
      <c r="U23" s="34" t="s">
        <v>67</v>
      </c>
      <c r="W23" s="16" t="s">
        <v>24</v>
      </c>
      <c r="Y23" s="9" t="s">
        <v>14</v>
      </c>
      <c r="Z23" s="27" t="s">
        <v>27</v>
      </c>
      <c r="AA23" s="7" t="b">
        <v>1</v>
      </c>
      <c r="AB23" s="7" t="s">
        <v>28</v>
      </c>
      <c r="AC23" s="7" t="b">
        <v>1</v>
      </c>
      <c r="AE23" t="b">
        <v>0</v>
      </c>
      <c r="AG23" t="b">
        <v>0</v>
      </c>
      <c r="AJ23" s="16" t="s">
        <v>26</v>
      </c>
      <c r="AL23" s="14" t="s">
        <v>12</v>
      </c>
    </row>
    <row r="24">
      <c r="A24" s="8" t="s">
        <v>70</v>
      </c>
      <c r="B24" s="7">
        <v>111.0</v>
      </c>
      <c r="C24" s="39" t="s">
        <v>67</v>
      </c>
      <c r="E24" s="40" t="s">
        <v>68</v>
      </c>
      <c r="G24" s="16" t="s">
        <v>24</v>
      </c>
      <c r="I24" s="9" t="s">
        <v>14</v>
      </c>
      <c r="K24" s="22" t="s">
        <v>69</v>
      </c>
      <c r="L24" s="20" t="s">
        <v>21</v>
      </c>
      <c r="M24" s="9" t="s">
        <v>14</v>
      </c>
      <c r="O24" s="40" t="s">
        <v>68</v>
      </c>
      <c r="Q24" s="26" t="s">
        <v>34</v>
      </c>
      <c r="R24" s="28"/>
      <c r="S24" s="34" t="s">
        <v>67</v>
      </c>
      <c r="U24" s="26" t="s">
        <v>34</v>
      </c>
      <c r="W24" s="16" t="s">
        <v>24</v>
      </c>
      <c r="Y24" s="9" t="s">
        <v>14</v>
      </c>
      <c r="Z24" s="27" t="s">
        <v>27</v>
      </c>
      <c r="AA24" s="7" t="b">
        <v>1</v>
      </c>
      <c r="AB24" s="7" t="s">
        <v>28</v>
      </c>
      <c r="AC24" s="7" t="b">
        <v>1</v>
      </c>
      <c r="AE24" t="b">
        <v>0</v>
      </c>
      <c r="AG24" t="b">
        <v>0</v>
      </c>
      <c r="AJ24" s="16" t="s">
        <v>24</v>
      </c>
      <c r="AL24" s="14" t="s">
        <v>67</v>
      </c>
      <c r="AM24" s="7"/>
      <c r="AN24" s="7"/>
      <c r="AO24" s="7"/>
      <c r="AP24" s="7" t="s">
        <v>22</v>
      </c>
    </row>
    <row r="25">
      <c r="A25" s="15" t="s">
        <v>71</v>
      </c>
      <c r="B25" s="7">
        <v>188.0</v>
      </c>
      <c r="C25" s="40" t="s">
        <v>72</v>
      </c>
      <c r="E25" s="39" t="s">
        <v>73</v>
      </c>
      <c r="G25" s="22" t="s">
        <v>31</v>
      </c>
      <c r="I25" s="41" t="s">
        <v>25</v>
      </c>
      <c r="K25" s="17" t="s">
        <v>25</v>
      </c>
      <c r="M25" s="17" t="s">
        <v>74</v>
      </c>
      <c r="O25" s="17" t="s">
        <v>34</v>
      </c>
      <c r="Q25" s="39" t="s">
        <v>75</v>
      </c>
      <c r="R25" s="25"/>
      <c r="S25" s="26" t="s">
        <v>25</v>
      </c>
      <c r="U25" s="26" t="s">
        <v>34</v>
      </c>
      <c r="W25" s="9" t="s">
        <v>14</v>
      </c>
      <c r="Y25" s="14" t="s">
        <v>67</v>
      </c>
      <c r="Z25" s="27" t="s">
        <v>27</v>
      </c>
      <c r="AA25" s="7" t="b">
        <v>1</v>
      </c>
      <c r="AB25" s="7" t="s">
        <v>48</v>
      </c>
      <c r="AC25" s="7" t="b">
        <v>1</v>
      </c>
      <c r="AE25" t="b">
        <v>0</v>
      </c>
      <c r="AG25" t="b">
        <v>0</v>
      </c>
      <c r="AJ25" s="16" t="s">
        <v>24</v>
      </c>
      <c r="AL25" s="14" t="s">
        <v>24</v>
      </c>
    </row>
    <row r="26">
      <c r="A26" s="15" t="s">
        <v>76</v>
      </c>
      <c r="B26" s="7">
        <v>74.3</v>
      </c>
      <c r="C26" s="16" t="s">
        <v>24</v>
      </c>
      <c r="E26" s="9" t="s">
        <v>14</v>
      </c>
      <c r="G26" s="16" t="s">
        <v>24</v>
      </c>
      <c r="I26" s="16" t="s">
        <v>24</v>
      </c>
      <c r="J26" s="20" t="s">
        <v>21</v>
      </c>
      <c r="K26" s="16" t="s">
        <v>24</v>
      </c>
      <c r="M26" s="9" t="s">
        <v>14</v>
      </c>
      <c r="N26" s="31" t="s">
        <v>21</v>
      </c>
      <c r="O26" s="16" t="s">
        <v>26</v>
      </c>
      <c r="Q26" s="9" t="s">
        <v>14</v>
      </c>
      <c r="R26" s="21" t="s">
        <v>77</v>
      </c>
      <c r="S26" s="34" t="s">
        <v>67</v>
      </c>
      <c r="T26" s="7"/>
      <c r="U26" s="26" t="s">
        <v>25</v>
      </c>
      <c r="W26" s="16" t="s">
        <v>24</v>
      </c>
      <c r="X26" s="7"/>
      <c r="Y26" s="9" t="s">
        <v>14</v>
      </c>
      <c r="Z26" s="27" t="s">
        <v>27</v>
      </c>
      <c r="AA26" s="7" t="b">
        <v>1</v>
      </c>
      <c r="AB26" s="7" t="s">
        <v>28</v>
      </c>
      <c r="AC26" s="7" t="b">
        <v>1</v>
      </c>
      <c r="AE26" t="b">
        <v>0</v>
      </c>
      <c r="AG26" t="b">
        <v>0</v>
      </c>
      <c r="AJ26" s="16" t="s">
        <v>24</v>
      </c>
      <c r="AL26" s="14" t="s">
        <v>78</v>
      </c>
      <c r="AM26" s="7" t="s">
        <v>22</v>
      </c>
      <c r="AN26" s="7"/>
      <c r="AO26" s="7" t="s">
        <v>22</v>
      </c>
      <c r="AP26" s="7" t="s">
        <v>22</v>
      </c>
    </row>
    <row r="27">
      <c r="A27" s="15" t="s">
        <v>79</v>
      </c>
      <c r="B27" s="7">
        <v>37.6</v>
      </c>
      <c r="C27" s="16" t="s">
        <v>24</v>
      </c>
      <c r="E27" s="9" t="s">
        <v>14</v>
      </c>
      <c r="G27" s="16" t="s">
        <v>24</v>
      </c>
      <c r="I27" s="19" t="s">
        <v>32</v>
      </c>
      <c r="K27" s="16" t="s">
        <v>24</v>
      </c>
      <c r="M27" s="9" t="s">
        <v>14</v>
      </c>
      <c r="O27" s="16" t="s">
        <v>26</v>
      </c>
      <c r="Q27" s="9" t="s">
        <v>14</v>
      </c>
      <c r="R27" s="25"/>
      <c r="S27" s="26" t="s">
        <v>25</v>
      </c>
      <c r="U27" s="9" t="s">
        <v>14</v>
      </c>
      <c r="W27" s="16" t="s">
        <v>24</v>
      </c>
      <c r="Y27" s="9" t="s">
        <v>14</v>
      </c>
      <c r="Z27" s="27" t="s">
        <v>27</v>
      </c>
      <c r="AA27" t="b">
        <v>0</v>
      </c>
      <c r="AB27" s="7" t="s">
        <v>28</v>
      </c>
      <c r="AC27" t="b">
        <v>0</v>
      </c>
      <c r="AE27" t="b">
        <v>0</v>
      </c>
      <c r="AG27" t="b">
        <v>0</v>
      </c>
      <c r="AJ27" s="16" t="s">
        <v>26</v>
      </c>
      <c r="AL27" s="14" t="s">
        <v>32</v>
      </c>
      <c r="AM27" s="7"/>
      <c r="AN27" s="7"/>
      <c r="AO27" s="7"/>
      <c r="AP27" s="7" t="s">
        <v>22</v>
      </c>
    </row>
    <row r="28">
      <c r="A28" s="42" t="s">
        <v>80</v>
      </c>
      <c r="B28" s="7">
        <v>154.82</v>
      </c>
      <c r="C28" s="16" t="s">
        <v>24</v>
      </c>
      <c r="E28" s="9" t="s">
        <v>14</v>
      </c>
      <c r="G28" s="16" t="s">
        <v>24</v>
      </c>
      <c r="I28" s="9" t="s">
        <v>14</v>
      </c>
      <c r="K28" s="16" t="s">
        <v>24</v>
      </c>
      <c r="M28" s="9" t="s">
        <v>14</v>
      </c>
      <c r="O28" s="16" t="s">
        <v>26</v>
      </c>
      <c r="Q28" s="9" t="s">
        <v>14</v>
      </c>
      <c r="R28" s="25"/>
      <c r="S28" s="11" t="s">
        <v>16</v>
      </c>
      <c r="U28" s="30" t="s">
        <v>24</v>
      </c>
      <c r="W28" s="16" t="s">
        <v>24</v>
      </c>
      <c r="Y28" s="9" t="s">
        <v>14</v>
      </c>
      <c r="Z28" s="27" t="s">
        <v>27</v>
      </c>
      <c r="AA28" s="7" t="b">
        <v>1</v>
      </c>
      <c r="AB28" s="7" t="s">
        <v>28</v>
      </c>
      <c r="AC28" s="7" t="b">
        <v>1</v>
      </c>
      <c r="AE28" t="b">
        <v>0</v>
      </c>
      <c r="AG28" t="b">
        <v>0</v>
      </c>
      <c r="AJ28" s="16" t="s">
        <v>26</v>
      </c>
      <c r="AL28" s="33" t="s">
        <v>14</v>
      </c>
    </row>
    <row r="29">
      <c r="A29" s="8" t="s">
        <v>81</v>
      </c>
      <c r="B29" s="7">
        <v>22.75</v>
      </c>
      <c r="C29" s="16" t="s">
        <v>24</v>
      </c>
      <c r="E29" s="9" t="s">
        <v>14</v>
      </c>
      <c r="G29" s="16" t="s">
        <v>24</v>
      </c>
      <c r="I29" s="9" t="s">
        <v>14</v>
      </c>
      <c r="K29" s="9" t="s">
        <v>14</v>
      </c>
      <c r="M29" s="9" t="s">
        <v>14</v>
      </c>
      <c r="O29" s="16" t="s">
        <v>26</v>
      </c>
      <c r="Q29" s="9" t="s">
        <v>14</v>
      </c>
      <c r="R29" s="25"/>
      <c r="S29" s="11" t="s">
        <v>16</v>
      </c>
      <c r="T29" s="21" t="s">
        <v>30</v>
      </c>
      <c r="U29" s="21" t="s">
        <v>21</v>
      </c>
      <c r="W29" s="16" t="s">
        <v>24</v>
      </c>
      <c r="Y29" s="16" t="s">
        <v>24</v>
      </c>
      <c r="Z29" s="27" t="s">
        <v>27</v>
      </c>
      <c r="AA29" t="b">
        <v>0</v>
      </c>
      <c r="AC29" t="b">
        <v>0</v>
      </c>
      <c r="AE29" t="b">
        <v>0</v>
      </c>
      <c r="AG29" t="b">
        <v>0</v>
      </c>
      <c r="AJ29" s="9" t="s">
        <v>14</v>
      </c>
      <c r="AL29" s="14" t="s">
        <v>32</v>
      </c>
      <c r="AM29" s="7" t="s">
        <v>22</v>
      </c>
      <c r="AN29" s="7"/>
      <c r="AO29" s="7"/>
      <c r="AP29" s="7" t="s">
        <v>22</v>
      </c>
    </row>
    <row r="30" ht="15.0" customHeight="1">
      <c r="A30" s="43" t="s">
        <v>82</v>
      </c>
      <c r="B30" s="44">
        <v>10.0</v>
      </c>
      <c r="C30" s="45" t="s">
        <v>12</v>
      </c>
      <c r="D30" s="46" t="s">
        <v>13</v>
      </c>
      <c r="E30" s="46" t="s">
        <v>13</v>
      </c>
      <c r="F30" s="47"/>
      <c r="G30" s="45" t="s">
        <v>14</v>
      </c>
      <c r="H30" s="46" t="s">
        <v>15</v>
      </c>
      <c r="I30" s="46" t="s">
        <v>13</v>
      </c>
      <c r="J30" s="47"/>
      <c r="K30" s="45" t="s">
        <v>14</v>
      </c>
      <c r="L30" s="47"/>
      <c r="M30" s="48" t="s">
        <v>16</v>
      </c>
      <c r="N30" s="47"/>
      <c r="O30" s="45" t="s">
        <v>14</v>
      </c>
      <c r="P30" s="47"/>
      <c r="Q30" s="48" t="s">
        <v>16</v>
      </c>
      <c r="R30" s="47"/>
      <c r="S30" s="49" t="s">
        <v>15</v>
      </c>
      <c r="T30" s="47"/>
      <c r="U30" s="45" t="s">
        <v>14</v>
      </c>
      <c r="V30" s="47"/>
      <c r="W30" s="49" t="s">
        <v>15</v>
      </c>
      <c r="X30" s="44" t="s">
        <v>17</v>
      </c>
      <c r="Y30" s="45" t="s">
        <v>14</v>
      </c>
      <c r="Z30" s="50" t="s">
        <v>18</v>
      </c>
      <c r="AA30" s="44" t="b">
        <v>1</v>
      </c>
      <c r="AB30" s="44" t="s">
        <v>19</v>
      </c>
      <c r="AC30" s="44" t="b">
        <v>1</v>
      </c>
      <c r="AD30" s="47"/>
      <c r="AE30" s="44" t="b">
        <v>0</v>
      </c>
      <c r="AF30" s="47"/>
      <c r="AG30" s="44" t="b">
        <v>0</v>
      </c>
      <c r="AH30" s="44" t="s">
        <v>20</v>
      </c>
      <c r="AI30" s="47"/>
      <c r="AJ30" s="51" t="s">
        <v>83</v>
      </c>
      <c r="AK30" s="47"/>
      <c r="AL30" s="51" t="s">
        <v>83</v>
      </c>
      <c r="AM30" s="47"/>
      <c r="AN30" s="47"/>
      <c r="AO30" s="47"/>
      <c r="AP30" s="47"/>
    </row>
    <row r="31" hidden="1">
      <c r="A31" s="8" t="s">
        <v>84</v>
      </c>
      <c r="C31" s="9" t="s">
        <v>12</v>
      </c>
      <c r="D31" s="10" t="s">
        <v>13</v>
      </c>
      <c r="E31" s="10" t="s">
        <v>13</v>
      </c>
      <c r="G31" s="9" t="s">
        <v>14</v>
      </c>
      <c r="H31" s="10" t="s">
        <v>15</v>
      </c>
      <c r="I31" s="10" t="s">
        <v>13</v>
      </c>
      <c r="K31" s="9" t="s">
        <v>14</v>
      </c>
      <c r="M31" s="11" t="s">
        <v>16</v>
      </c>
      <c r="O31" s="9" t="s">
        <v>14</v>
      </c>
      <c r="Q31" s="11" t="s">
        <v>16</v>
      </c>
      <c r="S31" s="12" t="s">
        <v>15</v>
      </c>
      <c r="U31" s="9" t="s">
        <v>14</v>
      </c>
      <c r="W31" s="12" t="s">
        <v>15</v>
      </c>
      <c r="X31" s="7" t="s">
        <v>17</v>
      </c>
      <c r="Y31" s="9" t="s">
        <v>14</v>
      </c>
      <c r="Z31" s="13" t="s">
        <v>18</v>
      </c>
      <c r="AA31" s="7" t="b">
        <v>1</v>
      </c>
      <c r="AB31" s="7" t="s">
        <v>19</v>
      </c>
      <c r="AC31" s="7" t="b">
        <v>1</v>
      </c>
      <c r="AE31" s="7" t="b">
        <v>0</v>
      </c>
      <c r="AG31" s="7" t="b">
        <v>0</v>
      </c>
      <c r="AH31" s="7" t="s">
        <v>20</v>
      </c>
      <c r="AJ31" s="12" t="s">
        <v>21</v>
      </c>
      <c r="AL31" s="14" t="s">
        <v>14</v>
      </c>
      <c r="AO31" s="7" t="s">
        <v>22</v>
      </c>
    </row>
    <row r="32">
      <c r="A32" s="8" t="s">
        <v>85</v>
      </c>
      <c r="B32" s="7">
        <v>78.4</v>
      </c>
      <c r="C32" s="10"/>
      <c r="E32" s="16"/>
      <c r="G32" s="9"/>
      <c r="I32" s="16" t="s">
        <v>86</v>
      </c>
      <c r="K32" s="9" t="s">
        <v>14</v>
      </c>
      <c r="L32" s="20"/>
      <c r="M32" s="16" t="s">
        <v>24</v>
      </c>
      <c r="O32" s="9" t="s">
        <v>12</v>
      </c>
      <c r="Q32" s="22" t="s">
        <v>87</v>
      </c>
      <c r="R32" s="25"/>
      <c r="S32" s="11" t="s">
        <v>16</v>
      </c>
      <c r="U32" s="9" t="s">
        <v>14</v>
      </c>
      <c r="V32" s="7"/>
      <c r="W32" s="16" t="s">
        <v>24</v>
      </c>
      <c r="Y32" s="9" t="s">
        <v>14</v>
      </c>
      <c r="Z32" s="27" t="s">
        <v>27</v>
      </c>
      <c r="AA32" s="7" t="b">
        <v>1</v>
      </c>
      <c r="AB32" s="7" t="s">
        <v>28</v>
      </c>
      <c r="AC32" s="7" t="b">
        <v>1</v>
      </c>
      <c r="AD32" s="7"/>
      <c r="AE32" t="b">
        <v>0</v>
      </c>
      <c r="AF32" s="7"/>
      <c r="AG32" t="b">
        <v>0</v>
      </c>
      <c r="AH32" s="7"/>
      <c r="AJ32" s="16" t="s">
        <v>26</v>
      </c>
      <c r="AL32" s="14" t="s">
        <v>53</v>
      </c>
      <c r="AO32" s="7" t="s">
        <v>22</v>
      </c>
    </row>
    <row r="33">
      <c r="A33" s="8" t="s">
        <v>88</v>
      </c>
      <c r="B33" s="7">
        <v>136.011</v>
      </c>
      <c r="C33" s="10" t="s">
        <v>13</v>
      </c>
      <c r="E33" s="16" t="s">
        <v>24</v>
      </c>
      <c r="G33" s="9" t="s">
        <v>14</v>
      </c>
      <c r="I33" s="16" t="s">
        <v>86</v>
      </c>
      <c r="K33" s="9" t="s">
        <v>14</v>
      </c>
      <c r="L33" s="20" t="s">
        <v>89</v>
      </c>
      <c r="M33" s="16" t="s">
        <v>24</v>
      </c>
      <c r="O33" s="9" t="s">
        <v>12</v>
      </c>
      <c r="Q33" s="22" t="s">
        <v>90</v>
      </c>
      <c r="R33" s="25"/>
      <c r="S33" s="16" t="s">
        <v>24</v>
      </c>
      <c r="U33" s="9" t="s">
        <v>14</v>
      </c>
      <c r="W33" s="16" t="s">
        <v>24</v>
      </c>
      <c r="Y33" s="9" t="s">
        <v>14</v>
      </c>
      <c r="Z33" s="27" t="s">
        <v>27</v>
      </c>
      <c r="AA33" s="7" t="b">
        <v>1</v>
      </c>
      <c r="AB33" s="7" t="s">
        <v>28</v>
      </c>
      <c r="AC33" s="7" t="b">
        <v>1</v>
      </c>
      <c r="AE33" t="b">
        <v>0</v>
      </c>
      <c r="AG33" t="b">
        <v>0</v>
      </c>
      <c r="AJ33" s="16" t="s">
        <v>26</v>
      </c>
      <c r="AL33" s="14" t="s">
        <v>53</v>
      </c>
      <c r="AO33" s="7" t="s">
        <v>22</v>
      </c>
    </row>
    <row r="34">
      <c r="A34" s="15" t="s">
        <v>91</v>
      </c>
      <c r="B34" s="7">
        <v>18.07</v>
      </c>
      <c r="C34" s="10" t="s">
        <v>15</v>
      </c>
      <c r="E34" s="16" t="s">
        <v>24</v>
      </c>
      <c r="G34" s="9" t="s">
        <v>14</v>
      </c>
      <c r="I34" s="16" t="s">
        <v>24</v>
      </c>
      <c r="K34" s="9" t="s">
        <v>14</v>
      </c>
      <c r="L34" s="20" t="s">
        <v>21</v>
      </c>
      <c r="M34" s="16" t="s">
        <v>24</v>
      </c>
      <c r="O34" s="9" t="s">
        <v>12</v>
      </c>
      <c r="Q34" s="16" t="s">
        <v>24</v>
      </c>
      <c r="R34" s="25"/>
      <c r="S34" s="16" t="s">
        <v>24</v>
      </c>
      <c r="U34" s="9" t="s">
        <v>14</v>
      </c>
      <c r="W34" s="16" t="s">
        <v>24</v>
      </c>
      <c r="X34" s="7" t="s">
        <v>21</v>
      </c>
      <c r="Y34" s="9" t="s">
        <v>14</v>
      </c>
      <c r="Z34" s="13" t="s">
        <v>27</v>
      </c>
      <c r="AA34" s="7" t="b">
        <v>1</v>
      </c>
      <c r="AB34" s="7" t="s">
        <v>28</v>
      </c>
      <c r="AC34" s="7" t="b">
        <v>1</v>
      </c>
      <c r="AE34" t="b">
        <v>0</v>
      </c>
      <c r="AG34" t="b">
        <v>0</v>
      </c>
      <c r="AJ34" s="16" t="s">
        <v>26</v>
      </c>
      <c r="AL34" s="14" t="s">
        <v>53</v>
      </c>
      <c r="AO34" s="7" t="s">
        <v>22</v>
      </c>
    </row>
    <row r="35" hidden="1">
      <c r="A35" s="8" t="s">
        <v>92</v>
      </c>
      <c r="C35" s="9" t="s">
        <v>12</v>
      </c>
      <c r="D35" s="10" t="s">
        <v>13</v>
      </c>
      <c r="E35" s="10" t="s">
        <v>13</v>
      </c>
      <c r="G35" s="9" t="s">
        <v>14</v>
      </c>
      <c r="H35" s="10" t="s">
        <v>15</v>
      </c>
      <c r="I35" s="10" t="s">
        <v>13</v>
      </c>
      <c r="K35" s="9" t="s">
        <v>14</v>
      </c>
      <c r="M35" s="11" t="s">
        <v>16</v>
      </c>
      <c r="O35" s="9" t="s">
        <v>14</v>
      </c>
      <c r="Q35" s="11" t="s">
        <v>16</v>
      </c>
      <c r="S35" s="12" t="s">
        <v>15</v>
      </c>
      <c r="U35" s="52" t="s">
        <v>83</v>
      </c>
      <c r="W35" s="52" t="s">
        <v>83</v>
      </c>
      <c r="Y35" s="14" t="s">
        <v>83</v>
      </c>
      <c r="Z35" s="13" t="s">
        <v>18</v>
      </c>
      <c r="AA35" s="7" t="b">
        <v>1</v>
      </c>
      <c r="AB35" s="7" t="s">
        <v>19</v>
      </c>
      <c r="AC35" s="7" t="b">
        <v>1</v>
      </c>
      <c r="AE35" t="b">
        <v>0</v>
      </c>
      <c r="AG35" t="b">
        <v>0</v>
      </c>
      <c r="AJ35" s="12" t="s">
        <v>21</v>
      </c>
      <c r="AL35" s="14" t="s">
        <v>14</v>
      </c>
      <c r="AO35" s="7" t="s">
        <v>22</v>
      </c>
    </row>
    <row r="36">
      <c r="A36" s="38" t="s">
        <v>93</v>
      </c>
      <c r="B36" s="7">
        <v>56.2</v>
      </c>
      <c r="C36" s="9" t="s">
        <v>14</v>
      </c>
      <c r="E36" s="16" t="s">
        <v>24</v>
      </c>
      <c r="G36" s="9" t="s">
        <v>14</v>
      </c>
      <c r="I36" s="16" t="s">
        <v>24</v>
      </c>
      <c r="K36" s="9" t="s">
        <v>12</v>
      </c>
      <c r="M36" s="16" t="s">
        <v>24</v>
      </c>
      <c r="O36" s="9" t="s">
        <v>12</v>
      </c>
      <c r="P36" s="31" t="s">
        <v>17</v>
      </c>
      <c r="Q36" s="31" t="s">
        <v>17</v>
      </c>
      <c r="R36" s="25"/>
      <c r="S36" s="16" t="s">
        <v>24</v>
      </c>
      <c r="U36" s="29" t="s">
        <v>32</v>
      </c>
      <c r="W36" s="22" t="s">
        <v>31</v>
      </c>
      <c r="Y36" s="16" t="s">
        <v>24</v>
      </c>
      <c r="Z36" s="13" t="s">
        <v>27</v>
      </c>
      <c r="AA36" t="b">
        <v>0</v>
      </c>
      <c r="AB36" s="7" t="s">
        <v>94</v>
      </c>
      <c r="AC36" t="b">
        <v>0</v>
      </c>
      <c r="AE36" t="b">
        <v>0</v>
      </c>
      <c r="AG36" t="b">
        <v>0</v>
      </c>
      <c r="AJ36" s="9" t="s">
        <v>12</v>
      </c>
      <c r="AL36" s="14" t="s">
        <v>24</v>
      </c>
      <c r="AM36" s="7" t="s">
        <v>22</v>
      </c>
      <c r="AN36" s="7"/>
      <c r="AO36" s="7"/>
      <c r="AP36" s="7" t="s">
        <v>22</v>
      </c>
    </row>
    <row r="37">
      <c r="A37" s="15" t="s">
        <v>95</v>
      </c>
      <c r="B37" s="7">
        <v>130.85</v>
      </c>
      <c r="C37" s="9" t="s">
        <v>14</v>
      </c>
      <c r="D37" s="10" t="s">
        <v>15</v>
      </c>
      <c r="E37" s="16" t="s">
        <v>24</v>
      </c>
      <c r="G37" s="9" t="s">
        <v>14</v>
      </c>
      <c r="I37" s="16" t="s">
        <v>24</v>
      </c>
      <c r="K37" s="9" t="s">
        <v>14</v>
      </c>
      <c r="M37" s="19" t="s">
        <v>32</v>
      </c>
      <c r="N37" s="12" t="s">
        <v>96</v>
      </c>
      <c r="O37" s="16" t="s">
        <v>26</v>
      </c>
      <c r="Q37" s="26" t="s">
        <v>34</v>
      </c>
      <c r="R37" s="25"/>
      <c r="S37" s="9" t="s">
        <v>14</v>
      </c>
      <c r="U37" s="11" t="s">
        <v>16</v>
      </c>
      <c r="W37" s="16" t="s">
        <v>24</v>
      </c>
      <c r="Y37" s="9" t="s">
        <v>14</v>
      </c>
      <c r="Z37" s="13" t="s">
        <v>27</v>
      </c>
      <c r="AA37" s="7" t="b">
        <v>1</v>
      </c>
      <c r="AB37" s="7" t="s">
        <v>28</v>
      </c>
      <c r="AC37" s="7" t="b">
        <v>1</v>
      </c>
      <c r="AE37" t="b">
        <v>0</v>
      </c>
      <c r="AG37" t="b">
        <v>0</v>
      </c>
      <c r="AJ37" s="16" t="s">
        <v>26</v>
      </c>
      <c r="AL37" s="14" t="s">
        <v>53</v>
      </c>
      <c r="AO37" s="7" t="s">
        <v>22</v>
      </c>
    </row>
    <row r="38">
      <c r="A38" s="8" t="s">
        <v>97</v>
      </c>
      <c r="B38" s="7">
        <v>8.8</v>
      </c>
      <c r="C38" s="16"/>
      <c r="E38" s="19"/>
      <c r="G38" s="16"/>
      <c r="I38" s="9"/>
      <c r="K38" s="16"/>
      <c r="M38" s="9"/>
      <c r="O38" s="16"/>
      <c r="Q38" s="19"/>
      <c r="R38" s="25"/>
      <c r="S38" s="16"/>
      <c r="U38" s="30"/>
      <c r="W38" s="16" t="s">
        <v>24</v>
      </c>
      <c r="X38" s="7" t="s">
        <v>17</v>
      </c>
      <c r="Y38" s="16" t="s">
        <v>24</v>
      </c>
      <c r="Z38" s="27" t="s">
        <v>18</v>
      </c>
      <c r="AA38" t="b">
        <v>0</v>
      </c>
      <c r="AC38" t="b">
        <v>0</v>
      </c>
      <c r="AD38" s="7" t="s">
        <v>48</v>
      </c>
      <c r="AE38" t="b">
        <v>0</v>
      </c>
      <c r="AG38" t="b">
        <v>0</v>
      </c>
      <c r="AJ38" s="9" t="s">
        <v>14</v>
      </c>
      <c r="AL38" s="14" t="s">
        <v>24</v>
      </c>
      <c r="AM38" s="7" t="s">
        <v>22</v>
      </c>
      <c r="AN38" s="7" t="s">
        <v>57</v>
      </c>
      <c r="AO38" s="7" t="s">
        <v>22</v>
      </c>
    </row>
    <row r="39">
      <c r="A39" s="8" t="s">
        <v>98</v>
      </c>
      <c r="B39" s="7">
        <v>30.65</v>
      </c>
      <c r="C39" s="16"/>
      <c r="E39" s="9"/>
      <c r="G39" s="9"/>
      <c r="I39" s="16"/>
      <c r="K39" s="9"/>
      <c r="L39" s="20"/>
      <c r="M39" s="16" t="s">
        <v>24</v>
      </c>
      <c r="O39" s="9" t="s">
        <v>12</v>
      </c>
      <c r="Q39" s="11" t="s">
        <v>16</v>
      </c>
      <c r="R39" s="25"/>
      <c r="S39" s="16" t="s">
        <v>24</v>
      </c>
      <c r="U39" s="30" t="s">
        <v>24</v>
      </c>
      <c r="W39" s="34" t="s">
        <v>47</v>
      </c>
      <c r="X39" s="7" t="s">
        <v>17</v>
      </c>
      <c r="Y39" s="16" t="s">
        <v>24</v>
      </c>
      <c r="Z39" s="13" t="s">
        <v>27</v>
      </c>
      <c r="AA39" t="b">
        <v>0</v>
      </c>
      <c r="AC39" t="b">
        <v>0</v>
      </c>
      <c r="AE39" t="b">
        <v>0</v>
      </c>
      <c r="AG39" t="b">
        <v>0</v>
      </c>
      <c r="AJ39" s="9" t="s">
        <v>12</v>
      </c>
      <c r="AL39" s="14" t="s">
        <v>24</v>
      </c>
      <c r="AM39" s="7" t="s">
        <v>22</v>
      </c>
      <c r="AN39" s="7" t="s">
        <v>22</v>
      </c>
    </row>
    <row r="40">
      <c r="A40" s="8" t="s">
        <v>99</v>
      </c>
      <c r="B40" s="7">
        <v>82.39</v>
      </c>
      <c r="C40" s="16" t="s">
        <v>24</v>
      </c>
      <c r="E40" s="9" t="s">
        <v>14</v>
      </c>
      <c r="G40" s="9" t="s">
        <v>14</v>
      </c>
      <c r="I40" s="16" t="s">
        <v>24</v>
      </c>
      <c r="K40" s="9" t="s">
        <v>14</v>
      </c>
      <c r="L40" s="20" t="s">
        <v>21</v>
      </c>
      <c r="M40" s="16" t="s">
        <v>24</v>
      </c>
      <c r="O40" s="9" t="s">
        <v>12</v>
      </c>
      <c r="Q40" s="11" t="s">
        <v>16</v>
      </c>
      <c r="R40" s="25"/>
      <c r="S40" s="16" t="s">
        <v>24</v>
      </c>
      <c r="U40" s="30" t="s">
        <v>26</v>
      </c>
      <c r="W40" s="34" t="s">
        <v>47</v>
      </c>
      <c r="X40" s="35"/>
      <c r="Y40" s="12" t="s">
        <v>21</v>
      </c>
      <c r="Z40" s="13" t="s">
        <v>27</v>
      </c>
      <c r="AA40" s="7" t="b">
        <v>1</v>
      </c>
      <c r="AB40" s="7" t="s">
        <v>48</v>
      </c>
      <c r="AC40" s="7" t="b">
        <v>1</v>
      </c>
      <c r="AD40" s="7" t="s">
        <v>17</v>
      </c>
      <c r="AE40" t="b">
        <v>0</v>
      </c>
      <c r="AF40" s="7" t="s">
        <v>28</v>
      </c>
      <c r="AG40" t="b">
        <v>0</v>
      </c>
      <c r="AJ40" s="16" t="s">
        <v>26</v>
      </c>
      <c r="AL40" s="14" t="s">
        <v>24</v>
      </c>
      <c r="AM40" s="7"/>
      <c r="AN40" s="7" t="s">
        <v>22</v>
      </c>
    </row>
    <row r="41">
      <c r="A41" s="8" t="s">
        <v>100</v>
      </c>
      <c r="B41" s="7">
        <v>100.34</v>
      </c>
      <c r="C41" s="9" t="s">
        <v>14</v>
      </c>
      <c r="E41" s="16" t="s">
        <v>24</v>
      </c>
      <c r="G41" s="9" t="s">
        <v>14</v>
      </c>
      <c r="I41" s="16" t="s">
        <v>101</v>
      </c>
      <c r="K41" s="9" t="s">
        <v>14</v>
      </c>
      <c r="L41" s="20" t="s">
        <v>21</v>
      </c>
      <c r="M41" s="16" t="s">
        <v>24</v>
      </c>
      <c r="O41" s="9" t="s">
        <v>12</v>
      </c>
      <c r="Q41" s="11" t="s">
        <v>16</v>
      </c>
      <c r="R41" s="25"/>
      <c r="S41" s="16" t="s">
        <v>24</v>
      </c>
      <c r="U41" s="30" t="s">
        <v>26</v>
      </c>
      <c r="W41" s="34" t="s">
        <v>47</v>
      </c>
      <c r="X41" s="7" t="s">
        <v>17</v>
      </c>
      <c r="Y41" s="16" t="s">
        <v>24</v>
      </c>
      <c r="Z41" s="13" t="s">
        <v>27</v>
      </c>
      <c r="AA41" t="b">
        <v>0</v>
      </c>
      <c r="AC41" t="b">
        <v>0</v>
      </c>
      <c r="AE41" t="b">
        <v>0</v>
      </c>
      <c r="AG41" t="b">
        <v>0</v>
      </c>
      <c r="AJ41" s="9" t="s">
        <v>12</v>
      </c>
      <c r="AL41" s="14" t="s">
        <v>24</v>
      </c>
      <c r="AM41" s="7" t="s">
        <v>22</v>
      </c>
      <c r="AN41" s="7" t="s">
        <v>22</v>
      </c>
    </row>
    <row r="42">
      <c r="A42" s="8" t="s">
        <v>102</v>
      </c>
      <c r="B42" s="7">
        <v>76.4</v>
      </c>
      <c r="C42" s="9" t="s">
        <v>14</v>
      </c>
      <c r="E42" s="16" t="s">
        <v>24</v>
      </c>
      <c r="G42" s="16" t="s">
        <v>24</v>
      </c>
      <c r="I42" s="9" t="s">
        <v>14</v>
      </c>
      <c r="K42" s="16" t="s">
        <v>24</v>
      </c>
      <c r="M42" s="9" t="s">
        <v>103</v>
      </c>
      <c r="O42" s="53" t="s">
        <v>104</v>
      </c>
      <c r="Q42" s="16" t="s">
        <v>24</v>
      </c>
      <c r="R42" s="25"/>
      <c r="S42" s="11" t="s">
        <v>105</v>
      </c>
      <c r="T42" s="7" t="s">
        <v>106</v>
      </c>
      <c r="U42" s="9" t="s">
        <v>14</v>
      </c>
      <c r="V42" s="7"/>
      <c r="W42" s="16" t="s">
        <v>24</v>
      </c>
      <c r="Y42" s="16" t="s">
        <v>24</v>
      </c>
      <c r="Z42" s="13" t="s">
        <v>27</v>
      </c>
      <c r="AA42" t="b">
        <v>0</v>
      </c>
      <c r="AB42" s="7" t="s">
        <v>48</v>
      </c>
      <c r="AC42" t="b">
        <v>0</v>
      </c>
      <c r="AD42" s="7"/>
      <c r="AE42" t="b">
        <v>0</v>
      </c>
      <c r="AF42" s="7"/>
      <c r="AG42" t="b">
        <v>0</v>
      </c>
      <c r="AH42" s="7"/>
      <c r="AJ42" s="16" t="s">
        <v>24</v>
      </c>
      <c r="AK42" s="28"/>
      <c r="AL42" s="14" t="s">
        <v>14</v>
      </c>
      <c r="AO42" s="7" t="s">
        <v>22</v>
      </c>
    </row>
    <row r="43">
      <c r="A43" s="8" t="s">
        <v>107</v>
      </c>
      <c r="B43" s="7">
        <v>134.4</v>
      </c>
      <c r="C43" s="16"/>
      <c r="E43" s="9"/>
      <c r="F43" s="10"/>
      <c r="G43" s="10"/>
      <c r="I43" s="19"/>
      <c r="K43" s="53"/>
      <c r="M43" s="9"/>
      <c r="N43" s="12"/>
      <c r="O43" s="16"/>
      <c r="Q43" s="19"/>
      <c r="R43" s="25"/>
      <c r="S43" s="31"/>
      <c r="T43" s="7"/>
      <c r="U43" s="26"/>
      <c r="W43" s="29"/>
      <c r="X43" s="7"/>
      <c r="Y43" s="14"/>
      <c r="Z43" s="13" t="s">
        <v>18</v>
      </c>
      <c r="AA43" t="b">
        <v>0</v>
      </c>
      <c r="AB43" s="7" t="s">
        <v>108</v>
      </c>
      <c r="AC43" t="b">
        <v>0</v>
      </c>
      <c r="AE43" t="b">
        <v>0</v>
      </c>
      <c r="AG43" t="b">
        <v>0</v>
      </c>
      <c r="AJ43" s="22" t="s">
        <v>31</v>
      </c>
      <c r="AL43" s="14" t="s">
        <v>67</v>
      </c>
      <c r="AM43" s="7" t="s">
        <v>22</v>
      </c>
      <c r="AN43" s="7"/>
      <c r="AO43" s="7"/>
      <c r="AP43" s="7" t="s">
        <v>22</v>
      </c>
    </row>
    <row r="44">
      <c r="A44" s="8" t="s">
        <v>109</v>
      </c>
      <c r="B44" s="7">
        <v>154.18</v>
      </c>
      <c r="C44" s="16"/>
      <c r="E44" s="9"/>
      <c r="F44" s="10"/>
      <c r="G44" s="10"/>
      <c r="I44" s="19"/>
      <c r="K44" s="53"/>
      <c r="M44" s="9"/>
      <c r="N44" s="12"/>
      <c r="O44" s="16"/>
      <c r="Q44" s="19"/>
      <c r="R44" s="25"/>
      <c r="S44" s="31"/>
      <c r="T44" s="7"/>
      <c r="U44" s="26"/>
      <c r="W44" s="29"/>
      <c r="X44" s="7"/>
      <c r="Y44" s="14"/>
      <c r="Z44" s="13" t="s">
        <v>18</v>
      </c>
      <c r="AA44" t="b">
        <v>0</v>
      </c>
      <c r="AB44" s="7" t="s">
        <v>108</v>
      </c>
      <c r="AC44" t="b">
        <v>0</v>
      </c>
      <c r="AE44" t="b">
        <v>0</v>
      </c>
      <c r="AG44" t="b">
        <v>0</v>
      </c>
      <c r="AJ44" s="16" t="s">
        <v>26</v>
      </c>
      <c r="AL44" s="14" t="s">
        <v>53</v>
      </c>
      <c r="AO44" s="7" t="s">
        <v>22</v>
      </c>
    </row>
    <row r="45">
      <c r="A45" s="15" t="s">
        <v>110</v>
      </c>
      <c r="B45" s="7">
        <v>98.1</v>
      </c>
      <c r="C45" s="16" t="s">
        <v>24</v>
      </c>
      <c r="E45" s="9" t="s">
        <v>14</v>
      </c>
      <c r="F45" s="10" t="s">
        <v>15</v>
      </c>
      <c r="G45" s="10" t="s">
        <v>13</v>
      </c>
      <c r="I45" s="19" t="s">
        <v>32</v>
      </c>
      <c r="K45" s="53" t="s">
        <v>111</v>
      </c>
      <c r="M45" s="9" t="s">
        <v>14</v>
      </c>
      <c r="N45" s="12" t="s">
        <v>112</v>
      </c>
      <c r="O45" s="16" t="s">
        <v>26</v>
      </c>
      <c r="Q45" s="19" t="s">
        <v>55</v>
      </c>
      <c r="R45" s="25"/>
      <c r="S45" s="31" t="s">
        <v>21</v>
      </c>
      <c r="T45" s="7" t="s">
        <v>113</v>
      </c>
      <c r="U45" s="26" t="s">
        <v>25</v>
      </c>
      <c r="W45" s="29" t="s">
        <v>32</v>
      </c>
      <c r="X45" s="7" t="s">
        <v>17</v>
      </c>
      <c r="Y45" s="16" t="s">
        <v>24</v>
      </c>
      <c r="Z45" s="13" t="s">
        <v>27</v>
      </c>
      <c r="AA45" t="b">
        <v>0</v>
      </c>
      <c r="AB45" s="7" t="s">
        <v>48</v>
      </c>
      <c r="AC45" t="b">
        <v>0</v>
      </c>
      <c r="AE45" t="b">
        <v>0</v>
      </c>
      <c r="AG45" t="b">
        <v>0</v>
      </c>
      <c r="AJ45" s="9" t="s">
        <v>14</v>
      </c>
      <c r="AL45" s="14" t="s">
        <v>24</v>
      </c>
      <c r="AM45" s="7" t="s">
        <v>22</v>
      </c>
    </row>
    <row r="46">
      <c r="A46" s="15" t="s">
        <v>114</v>
      </c>
      <c r="B46" s="7">
        <v>29.1</v>
      </c>
      <c r="C46" s="16" t="s">
        <v>24</v>
      </c>
      <c r="E46" s="9" t="s">
        <v>14</v>
      </c>
      <c r="G46" s="16" t="s">
        <v>24</v>
      </c>
      <c r="I46" s="19" t="s">
        <v>32</v>
      </c>
      <c r="K46" s="16" t="s">
        <v>24</v>
      </c>
      <c r="M46" s="9" t="s">
        <v>14</v>
      </c>
      <c r="N46" s="12" t="s">
        <v>112</v>
      </c>
      <c r="O46" s="16" t="s">
        <v>26</v>
      </c>
      <c r="Q46" s="19" t="s">
        <v>32</v>
      </c>
      <c r="R46" s="25"/>
      <c r="S46" s="31" t="s">
        <v>21</v>
      </c>
      <c r="T46" s="7" t="s">
        <v>113</v>
      </c>
      <c r="U46" s="26" t="s">
        <v>25</v>
      </c>
      <c r="W46" s="29" t="s">
        <v>32</v>
      </c>
      <c r="X46" s="7" t="s">
        <v>17</v>
      </c>
      <c r="Y46" s="16" t="s">
        <v>24</v>
      </c>
      <c r="Z46" s="13" t="s">
        <v>27</v>
      </c>
      <c r="AA46" t="b">
        <v>0</v>
      </c>
      <c r="AC46" t="b">
        <v>0</v>
      </c>
      <c r="AE46" t="b">
        <v>0</v>
      </c>
      <c r="AG46" t="b">
        <v>0</v>
      </c>
      <c r="AJ46" s="9" t="s">
        <v>12</v>
      </c>
      <c r="AL46" s="14" t="s">
        <v>26</v>
      </c>
      <c r="AM46" s="7" t="s">
        <v>22</v>
      </c>
    </row>
    <row r="47">
      <c r="A47" s="42" t="s">
        <v>115</v>
      </c>
      <c r="B47" s="7">
        <v>15.1</v>
      </c>
      <c r="C47" s="9" t="s">
        <v>14</v>
      </c>
      <c r="E47" s="16" t="s">
        <v>24</v>
      </c>
      <c r="G47" s="9" t="s">
        <v>14</v>
      </c>
      <c r="I47" s="16" t="s">
        <v>24</v>
      </c>
      <c r="K47" s="9" t="s">
        <v>14</v>
      </c>
      <c r="M47" s="16" t="s">
        <v>24</v>
      </c>
      <c r="O47" s="9" t="s">
        <v>116</v>
      </c>
      <c r="Q47" s="9" t="s">
        <v>14</v>
      </c>
      <c r="R47" s="25"/>
      <c r="S47" s="26" t="s">
        <v>25</v>
      </c>
      <c r="U47" s="9" t="s">
        <v>14</v>
      </c>
      <c r="W47" s="16" t="s">
        <v>24</v>
      </c>
      <c r="Y47" s="9" t="s">
        <v>14</v>
      </c>
      <c r="Z47" s="13" t="s">
        <v>27</v>
      </c>
      <c r="AA47" s="7" t="b">
        <v>1</v>
      </c>
      <c r="AB47" s="7" t="s">
        <v>28</v>
      </c>
      <c r="AC47" s="7" t="b">
        <v>1</v>
      </c>
      <c r="AE47" t="b">
        <v>0</v>
      </c>
      <c r="AG47" t="b">
        <v>0</v>
      </c>
      <c r="AJ47" s="16" t="s">
        <v>26</v>
      </c>
      <c r="AL47" s="14" t="s">
        <v>14</v>
      </c>
      <c r="AO47" s="7" t="s">
        <v>22</v>
      </c>
    </row>
    <row r="48">
      <c r="A48" s="32" t="s">
        <v>117</v>
      </c>
      <c r="B48" s="7">
        <v>267.4</v>
      </c>
      <c r="C48" s="9"/>
      <c r="E48" s="16"/>
      <c r="G48" s="9"/>
      <c r="I48" s="16"/>
      <c r="K48" s="9"/>
      <c r="M48" s="16"/>
      <c r="O48" s="9"/>
      <c r="Q48" s="9"/>
      <c r="R48" s="25"/>
      <c r="S48" s="26"/>
      <c r="U48" s="9"/>
      <c r="W48" s="16"/>
      <c r="Y48" s="14"/>
      <c r="Z48" s="13" t="s">
        <v>18</v>
      </c>
      <c r="AA48" s="7" t="b">
        <v>0</v>
      </c>
      <c r="AB48" s="7" t="s">
        <v>108</v>
      </c>
      <c r="AC48" s="7" t="b">
        <v>0</v>
      </c>
      <c r="AE48" t="b">
        <v>0</v>
      </c>
      <c r="AG48" t="b">
        <v>0</v>
      </c>
      <c r="AJ48" s="54" t="s">
        <v>67</v>
      </c>
      <c r="AL48" s="12" t="s">
        <v>21</v>
      </c>
    </row>
    <row r="49">
      <c r="A49" s="8" t="s">
        <v>118</v>
      </c>
      <c r="B49" s="7">
        <v>31.5</v>
      </c>
      <c r="C49" s="16"/>
      <c r="E49" s="9"/>
      <c r="F49" s="10"/>
      <c r="G49" s="10"/>
      <c r="I49" s="19"/>
      <c r="K49" s="53"/>
      <c r="M49" s="9"/>
      <c r="N49" s="12"/>
      <c r="O49" s="16"/>
      <c r="Q49" s="19"/>
      <c r="R49" s="25"/>
      <c r="S49" s="31"/>
      <c r="T49" s="7"/>
      <c r="U49" s="26"/>
      <c r="W49" s="29"/>
      <c r="X49" s="7"/>
      <c r="Y49" s="14"/>
      <c r="Z49" s="13" t="s">
        <v>119</v>
      </c>
      <c r="AA49" t="b">
        <v>0</v>
      </c>
      <c r="AB49" s="7" t="s">
        <v>27</v>
      </c>
      <c r="AC49" t="b">
        <v>0</v>
      </c>
      <c r="AE49" t="b">
        <v>0</v>
      </c>
      <c r="AG49" t="b">
        <v>0</v>
      </c>
      <c r="AJ49" s="16" t="s">
        <v>24</v>
      </c>
      <c r="AL49" s="14" t="s">
        <v>53</v>
      </c>
      <c r="AO49" s="7" t="s">
        <v>22</v>
      </c>
    </row>
    <row r="50" hidden="1">
      <c r="A50" s="32" t="s">
        <v>120</v>
      </c>
      <c r="C50" s="9"/>
      <c r="E50" s="16"/>
      <c r="G50" s="9"/>
      <c r="I50" s="16"/>
      <c r="K50" s="9"/>
      <c r="M50" s="16"/>
      <c r="O50" s="9"/>
      <c r="Q50" s="9"/>
      <c r="R50" s="25"/>
      <c r="S50" s="26"/>
      <c r="U50" s="9"/>
      <c r="W50" s="16"/>
      <c r="Y50" s="14"/>
      <c r="Z50" s="13" t="s">
        <v>18</v>
      </c>
      <c r="AA50" s="7" t="b">
        <v>0</v>
      </c>
      <c r="AB50" s="7" t="s">
        <v>108</v>
      </c>
      <c r="AC50" s="7" t="b">
        <v>0</v>
      </c>
      <c r="AE50" t="b">
        <v>0</v>
      </c>
      <c r="AG50" t="b">
        <v>0</v>
      </c>
      <c r="AJ50" s="54" t="s">
        <v>67</v>
      </c>
      <c r="AL50" s="12" t="s">
        <v>21</v>
      </c>
    </row>
    <row r="51">
      <c r="A51" s="15" t="s">
        <v>121</v>
      </c>
      <c r="B51" s="7">
        <v>98.0</v>
      </c>
      <c r="C51" s="9" t="s">
        <v>14</v>
      </c>
      <c r="E51" s="9" t="s">
        <v>14</v>
      </c>
      <c r="G51" s="9" t="s">
        <v>14</v>
      </c>
      <c r="I51" s="9" t="s">
        <v>14</v>
      </c>
      <c r="K51" s="9" t="s">
        <v>14</v>
      </c>
      <c r="M51" s="9" t="s">
        <v>14</v>
      </c>
      <c r="O51" s="16" t="s">
        <v>26</v>
      </c>
      <c r="Q51" s="9" t="s">
        <v>14</v>
      </c>
      <c r="R51" s="25"/>
      <c r="S51" s="9" t="s">
        <v>14</v>
      </c>
      <c r="U51" s="9" t="s">
        <v>14</v>
      </c>
      <c r="W51" s="9" t="s">
        <v>14</v>
      </c>
      <c r="Y51" s="14" t="s">
        <v>122</v>
      </c>
      <c r="Z51" s="55"/>
      <c r="AA51" t="b">
        <v>0</v>
      </c>
      <c r="AB51" s="7" t="s">
        <v>48</v>
      </c>
      <c r="AC51" t="b">
        <v>0</v>
      </c>
      <c r="AE51" t="b">
        <v>0</v>
      </c>
      <c r="AG51" t="b">
        <v>0</v>
      </c>
      <c r="AJ51" s="29" t="s">
        <v>32</v>
      </c>
      <c r="AL51" s="56" t="s">
        <v>123</v>
      </c>
    </row>
    <row r="52">
      <c r="A52" s="15"/>
      <c r="R52" s="25"/>
      <c r="S52" s="25"/>
      <c r="U52" s="25"/>
      <c r="W52" s="57"/>
      <c r="Y52" s="57"/>
      <c r="Z52" s="55"/>
      <c r="AA52" t="b">
        <v>0</v>
      </c>
      <c r="AC52" t="b">
        <v>0</v>
      </c>
      <c r="AE52" t="b">
        <v>0</v>
      </c>
      <c r="AG52" t="b">
        <v>0</v>
      </c>
      <c r="AJ52" s="57"/>
      <c r="AL52" s="57"/>
    </row>
    <row r="53">
      <c r="U53" s="25"/>
      <c r="W53" s="57"/>
      <c r="Y53" s="57"/>
      <c r="Z53" s="55"/>
      <c r="AA53" t="b">
        <v>0</v>
      </c>
      <c r="AC53" t="b">
        <v>0</v>
      </c>
      <c r="AE53" t="b">
        <v>0</v>
      </c>
      <c r="AG53" t="b">
        <v>0</v>
      </c>
      <c r="AJ53" s="57"/>
      <c r="AL53" s="57"/>
    </row>
    <row r="54">
      <c r="A54" s="58"/>
      <c r="B54" s="59"/>
      <c r="U54" s="25"/>
      <c r="W54" s="60"/>
      <c r="X54" s="61"/>
      <c r="Y54" s="58"/>
      <c r="Z54" s="55"/>
      <c r="AA54" t="b">
        <v>0</v>
      </c>
      <c r="AC54" t="b">
        <v>0</v>
      </c>
      <c r="AE54" t="b">
        <v>0</v>
      </c>
      <c r="AG54" t="b">
        <v>0</v>
      </c>
      <c r="AI54" s="62"/>
      <c r="AJ54" s="58"/>
      <c r="AK54" s="59"/>
      <c r="AL54" s="58" t="s">
        <v>124</v>
      </c>
      <c r="AM54" s="62"/>
      <c r="AN54" s="59">
        <f>sum(AN2:AN52)</f>
        <v>0</v>
      </c>
    </row>
    <row r="55">
      <c r="A55" s="63" t="s">
        <v>24</v>
      </c>
      <c r="B55" s="64"/>
      <c r="U55" s="25"/>
      <c r="W55" s="65"/>
      <c r="X55" s="66"/>
      <c r="Y55" s="67"/>
      <c r="Z55" s="55"/>
      <c r="AA55" t="b">
        <v>0</v>
      </c>
      <c r="AC55" t="b">
        <v>0</v>
      </c>
      <c r="AE55" t="b">
        <v>0</v>
      </c>
      <c r="AG55" t="b">
        <v>0</v>
      </c>
      <c r="AI55" s="66"/>
      <c r="AJ55" s="67"/>
      <c r="AK55" s="68"/>
      <c r="AL55" s="63" t="s">
        <v>24</v>
      </c>
      <c r="AM55" s="69"/>
      <c r="AN55" s="64">
        <f>sumifs($B$2:$B$52,$AL$2:$AL$52,"Corn")</f>
        <v>1072.125</v>
      </c>
    </row>
    <row r="56">
      <c r="A56" s="70" t="s">
        <v>25</v>
      </c>
      <c r="B56" s="71"/>
      <c r="U56" s="25"/>
      <c r="W56" s="72"/>
      <c r="X56" s="66"/>
      <c r="Y56" s="67"/>
      <c r="Z56" s="55"/>
      <c r="AA56" t="b">
        <v>0</v>
      </c>
      <c r="AC56" t="b">
        <v>0</v>
      </c>
      <c r="AE56" t="b">
        <v>0</v>
      </c>
      <c r="AG56" t="b">
        <v>0</v>
      </c>
      <c r="AI56" s="66"/>
      <c r="AJ56" s="67"/>
      <c r="AK56" s="68"/>
      <c r="AL56" s="70" t="s">
        <v>25</v>
      </c>
      <c r="AM56" s="66"/>
      <c r="AN56" s="71">
        <f>sumifs($B$2:$B$52,$AL$2:$AL$52,"white Corn")</f>
        <v>151.67</v>
      </c>
    </row>
    <row r="57">
      <c r="B57" s="71"/>
      <c r="U57" s="25"/>
      <c r="W57" s="65"/>
      <c r="X57" s="73"/>
      <c r="Y57" s="67"/>
      <c r="Z57" s="55"/>
      <c r="AA57" t="b">
        <v>0</v>
      </c>
      <c r="AC57" t="b">
        <v>0</v>
      </c>
      <c r="AE57" t="b">
        <v>0</v>
      </c>
      <c r="AG57" t="b">
        <v>0</v>
      </c>
      <c r="AI57" s="66"/>
      <c r="AJ57" s="67"/>
      <c r="AK57" s="68"/>
    </row>
    <row r="58">
      <c r="A58" s="70" t="s">
        <v>125</v>
      </c>
      <c r="B58" s="74"/>
      <c r="U58" s="25"/>
      <c r="W58" s="65"/>
      <c r="X58" s="66"/>
      <c r="Y58" s="75"/>
      <c r="Z58" s="55"/>
      <c r="AA58" t="b">
        <v>0</v>
      </c>
      <c r="AC58" t="b">
        <v>0</v>
      </c>
      <c r="AE58" t="b">
        <v>0</v>
      </c>
      <c r="AG58" t="b">
        <v>0</v>
      </c>
      <c r="AI58" s="76"/>
      <c r="AJ58" s="75"/>
      <c r="AK58" s="77"/>
      <c r="AL58" s="70" t="s">
        <v>125</v>
      </c>
      <c r="AM58" s="73"/>
      <c r="AN58" s="74">
        <f>SUMIFS($B$2:$B$52,$AL$2:$AL$52,"Seed Corn")</f>
        <v>0</v>
      </c>
    </row>
    <row r="59">
      <c r="A59" s="70" t="s">
        <v>14</v>
      </c>
      <c r="B59" s="71"/>
      <c r="D59" s="7">
        <v>100.0</v>
      </c>
      <c r="U59" s="25"/>
      <c r="W59" s="65"/>
      <c r="X59" s="66"/>
      <c r="Y59" s="65"/>
      <c r="Z59" s="55"/>
      <c r="AI59" s="66"/>
      <c r="AJ59" s="65"/>
      <c r="AK59" s="66"/>
      <c r="AL59" s="70" t="s">
        <v>14</v>
      </c>
      <c r="AM59" s="66"/>
      <c r="AN59" s="71">
        <f>sumifs($B$2:$B$52,$AL$2:$AL$52,"Soybeans")</f>
        <v>815.02</v>
      </c>
    </row>
    <row r="60">
      <c r="A60" s="78" t="s">
        <v>67</v>
      </c>
      <c r="B60" s="71"/>
      <c r="U60" s="25"/>
      <c r="W60" s="65"/>
      <c r="X60" s="66"/>
      <c r="Y60" s="79"/>
      <c r="Z60" s="55"/>
      <c r="AI60" s="66"/>
      <c r="AJ60" s="79"/>
      <c r="AK60" s="66"/>
      <c r="AL60" s="78" t="s">
        <v>67</v>
      </c>
      <c r="AM60" s="66"/>
      <c r="AN60" s="71">
        <f>sumifs($B$2:$B$52,$AL$2:$AL$52,"Peas/snaps")</f>
        <v>245.4</v>
      </c>
    </row>
    <row r="61">
      <c r="A61" s="70" t="s">
        <v>123</v>
      </c>
      <c r="B61" s="71"/>
      <c r="U61" s="25"/>
      <c r="W61" s="7"/>
      <c r="X61" s="66"/>
      <c r="Y61" s="65"/>
      <c r="Z61" s="55"/>
      <c r="AI61" s="66"/>
      <c r="AJ61" s="65"/>
      <c r="AK61" s="66"/>
      <c r="AL61" s="70" t="s">
        <v>123</v>
      </c>
      <c r="AM61" s="66"/>
      <c r="AN61" s="71">
        <f>sumifs($B$2:$B$52,$AL$2:$AL$52,"Winter Barley")</f>
        <v>98</v>
      </c>
      <c r="AP61">
        <f>sum(AN69,AN68,AN59)</f>
        <v>1502.931</v>
      </c>
    </row>
    <row r="62">
      <c r="A62" s="80" t="s">
        <v>31</v>
      </c>
      <c r="B62" s="71"/>
      <c r="U62" s="25"/>
      <c r="W62" s="65"/>
      <c r="X62" s="66"/>
      <c r="Y62" s="7"/>
      <c r="Z62" s="55"/>
      <c r="AI62" s="66"/>
      <c r="AJ62" s="7"/>
      <c r="AK62" s="66"/>
      <c r="AL62" s="80" t="s">
        <v>31</v>
      </c>
      <c r="AM62" s="66"/>
      <c r="AN62" s="71">
        <f>sumifs($B$2:$B$52,$AL$2:$AL$52,"Sweetcorn")</f>
        <v>0</v>
      </c>
    </row>
    <row r="63">
      <c r="A63" s="70" t="s">
        <v>32</v>
      </c>
      <c r="B63" s="71"/>
      <c r="D63" s="81"/>
      <c r="U63" s="25"/>
      <c r="W63" s="65"/>
      <c r="X63" s="66"/>
      <c r="Y63" s="65"/>
      <c r="Z63" s="55"/>
      <c r="AI63" s="66"/>
      <c r="AJ63" s="65"/>
      <c r="AK63" s="66"/>
      <c r="AL63" s="70" t="s">
        <v>32</v>
      </c>
      <c r="AM63" s="66"/>
      <c r="AN63" s="71">
        <f>sumifs($B$2:$B$52,$AL$2:$AL$52,"Lima Beans")</f>
        <v>60.35</v>
      </c>
    </row>
    <row r="64">
      <c r="A64" s="70" t="s">
        <v>47</v>
      </c>
      <c r="B64" s="71"/>
      <c r="U64" s="25"/>
      <c r="W64" s="65"/>
      <c r="X64" s="66"/>
      <c r="Y64" s="65"/>
      <c r="Z64" s="55"/>
      <c r="AI64" s="66"/>
      <c r="AJ64" s="65"/>
      <c r="AK64" s="66"/>
      <c r="AL64" s="70" t="s">
        <v>47</v>
      </c>
      <c r="AM64" s="66"/>
      <c r="AN64" s="71">
        <f>sumifs($B$2:$B$52,$AL$2:$AL$52,"peas")</f>
        <v>0</v>
      </c>
    </row>
    <row r="65">
      <c r="A65" s="70" t="s">
        <v>21</v>
      </c>
      <c r="B65" s="71"/>
      <c r="J65" s="7" t="s">
        <v>126</v>
      </c>
      <c r="U65" s="25"/>
      <c r="W65" s="65"/>
      <c r="X65" s="82"/>
      <c r="Y65" s="65"/>
      <c r="Z65" s="55"/>
      <c r="AI65" s="66"/>
      <c r="AJ65" s="65"/>
      <c r="AK65" s="66"/>
      <c r="AL65" s="70" t="s">
        <v>21</v>
      </c>
      <c r="AM65" s="66"/>
      <c r="AN65" s="71">
        <f>sumifs($B$2:$B$52,$AL$2:$AL$52,"Rye")</f>
        <v>373.99</v>
      </c>
    </row>
    <row r="66">
      <c r="A66" s="83" t="s">
        <v>83</v>
      </c>
      <c r="B66" s="84"/>
      <c r="U66" s="25"/>
      <c r="W66" s="85"/>
      <c r="X66" s="86"/>
      <c r="Y66" s="57"/>
      <c r="Z66" s="55"/>
      <c r="AJ66" s="57"/>
      <c r="AL66" s="83" t="s">
        <v>83</v>
      </c>
      <c r="AM66" s="86"/>
      <c r="AN66" s="87">
        <f t="shared" ref="AN66:AN70" si="1">sumifs($B$2:$B$52,$AL$2:$AL$52,AL66)</f>
        <v>10</v>
      </c>
    </row>
    <row r="67">
      <c r="A67" s="88" t="s">
        <v>127</v>
      </c>
      <c r="B67" s="87"/>
      <c r="U67" s="25"/>
      <c r="W67" s="85"/>
      <c r="X67" s="86"/>
      <c r="Y67" s="57"/>
      <c r="Z67" s="55"/>
      <c r="AJ67" s="57"/>
      <c r="AL67" s="88" t="s">
        <v>127</v>
      </c>
      <c r="AM67" s="86"/>
      <c r="AN67" s="87">
        <f t="shared" si="1"/>
        <v>0</v>
      </c>
    </row>
    <row r="68">
      <c r="A68" s="89" t="s">
        <v>53</v>
      </c>
      <c r="B68" s="87"/>
      <c r="U68" s="25"/>
      <c r="W68" s="85"/>
      <c r="X68" s="86"/>
      <c r="Y68" s="57"/>
      <c r="Z68" s="55"/>
      <c r="AJ68" s="57"/>
      <c r="AL68" s="89" t="s">
        <v>53</v>
      </c>
      <c r="AM68" s="86"/>
      <c r="AN68" s="87">
        <f t="shared" si="1"/>
        <v>613.611</v>
      </c>
    </row>
    <row r="69">
      <c r="A69" s="88" t="s">
        <v>78</v>
      </c>
      <c r="B69" s="87"/>
      <c r="U69" s="25"/>
      <c r="W69" s="85"/>
      <c r="X69" s="86"/>
      <c r="Y69" s="57"/>
      <c r="Z69" s="55"/>
      <c r="AJ69" s="57"/>
      <c r="AL69" s="88" t="s">
        <v>78</v>
      </c>
      <c r="AM69" s="86"/>
      <c r="AN69" s="87">
        <f t="shared" si="1"/>
        <v>74.3</v>
      </c>
    </row>
    <row r="70">
      <c r="A70" s="90"/>
      <c r="B70" s="87"/>
      <c r="U70" s="25"/>
      <c r="W70" s="85"/>
      <c r="X70" s="86"/>
      <c r="Y70" s="57"/>
      <c r="Z70" s="55"/>
      <c r="AJ70" s="57"/>
      <c r="AL70" s="90"/>
      <c r="AM70" s="86"/>
      <c r="AN70" s="87">
        <f t="shared" si="1"/>
        <v>0</v>
      </c>
    </row>
    <row r="71">
      <c r="A71" s="8" t="s">
        <v>128</v>
      </c>
      <c r="B71" s="87"/>
      <c r="U71" s="25"/>
      <c r="W71" s="85"/>
      <c r="X71" s="86"/>
      <c r="Y71" s="57"/>
      <c r="Z71" s="55"/>
      <c r="AJ71" s="57"/>
      <c r="AL71" s="8" t="s">
        <v>128</v>
      </c>
      <c r="AN71">
        <f>sumif(AM2:AM51,"x",B2:B51)</f>
        <v>1355.055</v>
      </c>
    </row>
    <row r="72">
      <c r="A72" s="83"/>
      <c r="B72" s="87"/>
      <c r="U72" s="25"/>
      <c r="W72" s="57"/>
      <c r="Y72" s="57"/>
      <c r="Z72" s="55"/>
      <c r="AJ72" s="57"/>
      <c r="AL72" s="15"/>
      <c r="AM72" s="91"/>
      <c r="AN72" s="91">
        <f>sum(AN55:AN70)</f>
        <v>3514.466</v>
      </c>
    </row>
    <row r="73">
      <c r="A73" s="88"/>
      <c r="B73" s="87"/>
      <c r="U73" s="25"/>
      <c r="W73" s="57"/>
      <c r="Y73" s="57"/>
      <c r="Z73" s="55"/>
      <c r="AJ73" s="57"/>
      <c r="AL73" s="57"/>
    </row>
    <row r="74">
      <c r="A74" s="89"/>
      <c r="B74" s="87"/>
      <c r="U74" s="25"/>
      <c r="W74" s="57"/>
      <c r="Y74" s="57"/>
      <c r="Z74" s="55"/>
      <c r="AJ74" s="57"/>
      <c r="AL74" s="57"/>
    </row>
    <row r="75">
      <c r="A75" s="88"/>
      <c r="B75" s="87"/>
      <c r="U75" s="25"/>
      <c r="W75" s="57"/>
      <c r="Y75" s="57"/>
      <c r="Z75" s="55"/>
      <c r="AJ75" s="57"/>
      <c r="AL75" s="57"/>
    </row>
    <row r="76">
      <c r="A76" s="90"/>
      <c r="B76" s="87"/>
      <c r="U76" s="25"/>
      <c r="W76" s="57"/>
      <c r="Y76" s="57"/>
      <c r="Z76" s="55"/>
      <c r="AJ76" s="57"/>
      <c r="AL76" s="14"/>
    </row>
    <row r="77">
      <c r="A77" s="15"/>
      <c r="U77" s="25"/>
      <c r="W77" s="57"/>
      <c r="Y77" s="57"/>
      <c r="Z77" s="55"/>
      <c r="AJ77" s="57"/>
      <c r="AL77" s="14"/>
    </row>
    <row r="78">
      <c r="A78" s="15"/>
      <c r="B78" s="91"/>
      <c r="U78" s="25"/>
      <c r="W78" s="57"/>
      <c r="Y78" s="57"/>
      <c r="Z78" s="55"/>
      <c r="AJ78" s="57"/>
      <c r="AL78" s="14"/>
    </row>
    <row r="79">
      <c r="A79" s="15"/>
      <c r="U79" s="25"/>
      <c r="W79" s="57"/>
      <c r="Y79" s="57"/>
      <c r="Z79" s="55"/>
      <c r="AJ79" s="57"/>
      <c r="AL79" s="14"/>
    </row>
    <row r="80">
      <c r="A80" s="15"/>
      <c r="U80" s="25"/>
      <c r="W80" s="57"/>
      <c r="Y80" s="57"/>
      <c r="Z80" s="55"/>
      <c r="AJ80" s="57"/>
      <c r="AL80" s="14"/>
    </row>
    <row r="81" hidden="1">
      <c r="A81" s="15"/>
      <c r="U81" s="25"/>
      <c r="W81" s="57"/>
      <c r="Y81" s="57"/>
      <c r="Z81" s="55"/>
      <c r="AJ81" s="57"/>
      <c r="AL81" s="14"/>
    </row>
    <row r="82" hidden="1">
      <c r="A82" s="8" t="s">
        <v>129</v>
      </c>
      <c r="B82" s="92"/>
      <c r="C82" s="17" t="s">
        <v>130</v>
      </c>
      <c r="E82" s="16" t="s">
        <v>24</v>
      </c>
      <c r="G82" s="17" t="s">
        <v>131</v>
      </c>
      <c r="I82" s="17" t="s">
        <v>25</v>
      </c>
      <c r="K82" s="17" t="s">
        <v>132</v>
      </c>
      <c r="M82" s="17" t="s">
        <v>74</v>
      </c>
      <c r="O82" s="39" t="s">
        <v>67</v>
      </c>
      <c r="Q82" s="16" t="s">
        <v>68</v>
      </c>
      <c r="R82" s="25"/>
      <c r="S82" s="11" t="s">
        <v>16</v>
      </c>
      <c r="U82" s="9" t="s">
        <v>14</v>
      </c>
      <c r="W82" s="34" t="s">
        <v>47</v>
      </c>
      <c r="Y82" s="14" t="s">
        <v>133</v>
      </c>
      <c r="Z82" s="55"/>
      <c r="AA82" t="b">
        <v>0</v>
      </c>
      <c r="AC82" t="b">
        <v>0</v>
      </c>
      <c r="AE82" t="b">
        <v>0</v>
      </c>
      <c r="AG82" t="b">
        <v>0</v>
      </c>
      <c r="AJ82" s="14"/>
      <c r="AL82" s="14"/>
    </row>
    <row r="83" hidden="1">
      <c r="A83" s="8" t="s">
        <v>134</v>
      </c>
      <c r="B83" s="92"/>
      <c r="C83" s="17"/>
      <c r="E83" s="16"/>
      <c r="G83" s="17"/>
      <c r="I83" s="17"/>
      <c r="K83" s="17"/>
      <c r="M83" s="17"/>
      <c r="O83" s="39"/>
      <c r="Q83" s="16"/>
      <c r="R83" s="25"/>
      <c r="S83" s="11"/>
      <c r="U83" s="28" t="s">
        <v>135</v>
      </c>
      <c r="W83" s="34" t="s">
        <v>47</v>
      </c>
      <c r="Y83" s="14" t="s">
        <v>133</v>
      </c>
      <c r="Z83" s="55"/>
      <c r="AA83" t="b">
        <v>0</v>
      </c>
      <c r="AC83" t="b">
        <v>0</v>
      </c>
      <c r="AE83" t="b">
        <v>0</v>
      </c>
      <c r="AG83" t="b">
        <v>0</v>
      </c>
      <c r="AJ83" s="14"/>
      <c r="AL83" s="14"/>
    </row>
    <row r="84" hidden="1">
      <c r="A84" s="8" t="s">
        <v>136</v>
      </c>
      <c r="B84" s="7"/>
      <c r="C84" s="17" t="s">
        <v>25</v>
      </c>
      <c r="E84" s="17" t="s">
        <v>25</v>
      </c>
      <c r="G84" s="17" t="s">
        <v>25</v>
      </c>
      <c r="I84" s="17" t="s">
        <v>25</v>
      </c>
      <c r="K84" s="17" t="s">
        <v>25</v>
      </c>
      <c r="M84" s="17" t="s">
        <v>74</v>
      </c>
      <c r="O84" s="17" t="s">
        <v>34</v>
      </c>
      <c r="Q84" s="93" t="s">
        <v>14</v>
      </c>
      <c r="R84" s="25"/>
      <c r="S84" s="11" t="s">
        <v>16</v>
      </c>
      <c r="U84" s="9" t="s">
        <v>14</v>
      </c>
      <c r="W84" s="34" t="s">
        <v>47</v>
      </c>
      <c r="Y84" s="14" t="s">
        <v>133</v>
      </c>
      <c r="Z84" s="94"/>
      <c r="AA84" t="b">
        <v>0</v>
      </c>
      <c r="AC84" t="b">
        <v>0</v>
      </c>
      <c r="AE84" t="b">
        <v>0</v>
      </c>
      <c r="AG84" t="b">
        <v>0</v>
      </c>
      <c r="AJ84" s="14"/>
      <c r="AL84" s="14"/>
    </row>
    <row r="85" hidden="1">
      <c r="A85" s="8" t="s">
        <v>137</v>
      </c>
      <c r="C85" s="17" t="s">
        <v>25</v>
      </c>
      <c r="E85" s="17" t="s">
        <v>25</v>
      </c>
      <c r="G85" s="17" t="s">
        <v>25</v>
      </c>
      <c r="I85" s="17" t="s">
        <v>25</v>
      </c>
      <c r="K85" s="17" t="s">
        <v>25</v>
      </c>
      <c r="M85" s="17" t="s">
        <v>25</v>
      </c>
      <c r="O85" s="17" t="s">
        <v>34</v>
      </c>
      <c r="Q85" s="7" t="s">
        <v>133</v>
      </c>
      <c r="R85" s="25"/>
      <c r="S85" s="28" t="s">
        <v>133</v>
      </c>
      <c r="U85" s="28"/>
      <c r="W85" s="14"/>
      <c r="Y85" s="14"/>
      <c r="Z85" s="55"/>
      <c r="AA85" t="b">
        <v>0</v>
      </c>
      <c r="AC85" t="b">
        <v>0</v>
      </c>
      <c r="AE85" t="b">
        <v>0</v>
      </c>
      <c r="AG85" t="b">
        <v>0</v>
      </c>
      <c r="AJ85" s="14"/>
      <c r="AL85" s="14"/>
    </row>
    <row r="86" hidden="1">
      <c r="A86" s="8" t="s">
        <v>138</v>
      </c>
      <c r="C86" s="22" t="s">
        <v>31</v>
      </c>
      <c r="E86" s="17" t="s">
        <v>139</v>
      </c>
      <c r="G86" s="17" t="s">
        <v>25</v>
      </c>
      <c r="I86" s="17" t="s">
        <v>25</v>
      </c>
      <c r="K86" s="17" t="s">
        <v>25</v>
      </c>
      <c r="M86" s="22" t="s">
        <v>140</v>
      </c>
      <c r="O86" s="17" t="s">
        <v>34</v>
      </c>
      <c r="Q86" s="95" t="s">
        <v>133</v>
      </c>
      <c r="R86" s="25"/>
      <c r="S86" s="96" t="s">
        <v>133</v>
      </c>
      <c r="U86" s="28"/>
      <c r="W86" s="14"/>
      <c r="Y86" s="14"/>
      <c r="Z86" s="55"/>
      <c r="AA86" t="b">
        <v>0</v>
      </c>
      <c r="AC86" t="b">
        <v>0</v>
      </c>
      <c r="AE86" t="b">
        <v>0</v>
      </c>
      <c r="AG86" t="b">
        <v>0</v>
      </c>
      <c r="AJ86" s="14"/>
      <c r="AL86" s="14"/>
    </row>
    <row r="87" hidden="1">
      <c r="A87" s="15" t="s">
        <v>141</v>
      </c>
      <c r="B87" s="21"/>
      <c r="C87" s="9" t="s">
        <v>14</v>
      </c>
      <c r="D87" s="10" t="s">
        <v>15</v>
      </c>
      <c r="E87" s="10" t="s">
        <v>13</v>
      </c>
      <c r="G87" s="16" t="s">
        <v>24</v>
      </c>
      <c r="I87" s="9" t="s">
        <v>14</v>
      </c>
      <c r="K87" s="16" t="s">
        <v>24</v>
      </c>
      <c r="M87" s="9" t="s">
        <v>14</v>
      </c>
      <c r="O87" s="16" t="s">
        <v>24</v>
      </c>
      <c r="Q87" s="9" t="s">
        <v>12</v>
      </c>
      <c r="R87" s="25"/>
      <c r="S87" s="11" t="s">
        <v>16</v>
      </c>
      <c r="U87" s="9" t="s">
        <v>14</v>
      </c>
      <c r="W87" s="9" t="s">
        <v>14</v>
      </c>
      <c r="Y87" s="14" t="s">
        <v>133</v>
      </c>
      <c r="Z87" s="55"/>
      <c r="AA87" t="b">
        <v>0</v>
      </c>
      <c r="AC87" t="b">
        <v>0</v>
      </c>
      <c r="AE87" t="b">
        <v>0</v>
      </c>
      <c r="AG87" t="b">
        <v>0</v>
      </c>
      <c r="AJ87" s="14"/>
      <c r="AL87" s="14"/>
    </row>
    <row r="88" hidden="1">
      <c r="A88" s="42" t="s">
        <v>142</v>
      </c>
      <c r="B88" s="21"/>
      <c r="C88" s="16" t="s">
        <v>24</v>
      </c>
      <c r="E88" s="16" t="s">
        <v>24</v>
      </c>
      <c r="G88" s="16" t="s">
        <v>24</v>
      </c>
      <c r="I88" s="9" t="s">
        <v>14</v>
      </c>
      <c r="K88" s="16" t="s">
        <v>24</v>
      </c>
      <c r="M88" s="16" t="s">
        <v>24</v>
      </c>
      <c r="O88" s="16" t="s">
        <v>24</v>
      </c>
      <c r="Q88" s="9" t="s">
        <v>14</v>
      </c>
      <c r="R88" s="28"/>
      <c r="S88" s="16" t="s">
        <v>24</v>
      </c>
      <c r="U88" s="30" t="s">
        <v>24</v>
      </c>
      <c r="W88" s="14"/>
      <c r="Y88" s="14" t="s">
        <v>133</v>
      </c>
      <c r="Z88" s="27"/>
      <c r="AA88" t="b">
        <v>0</v>
      </c>
      <c r="AC88" t="b">
        <v>0</v>
      </c>
      <c r="AE88" t="b">
        <v>0</v>
      </c>
      <c r="AG88" t="b">
        <v>0</v>
      </c>
      <c r="AJ88" s="14"/>
      <c r="AL88" s="14"/>
    </row>
    <row r="89" hidden="1">
      <c r="A89" s="15" t="s">
        <v>143</v>
      </c>
      <c r="C89" s="16" t="s">
        <v>26</v>
      </c>
      <c r="E89" s="9" t="s">
        <v>14</v>
      </c>
      <c r="G89" s="16" t="s">
        <v>24</v>
      </c>
      <c r="I89" s="9" t="s">
        <v>14</v>
      </c>
      <c r="K89" s="16" t="s">
        <v>26</v>
      </c>
      <c r="M89" s="9" t="s">
        <v>14</v>
      </c>
      <c r="O89" s="9" t="s">
        <v>14</v>
      </c>
      <c r="Q89" s="26" t="s">
        <v>34</v>
      </c>
      <c r="R89" s="25"/>
      <c r="S89" s="26" t="s">
        <v>25</v>
      </c>
      <c r="U89" s="26" t="s">
        <v>25</v>
      </c>
      <c r="W89" s="16" t="s">
        <v>24</v>
      </c>
      <c r="Y89" s="14" t="s">
        <v>133</v>
      </c>
      <c r="Z89" s="13"/>
      <c r="AA89" t="b">
        <v>0</v>
      </c>
      <c r="AC89" t="b">
        <v>0</v>
      </c>
      <c r="AE89" t="b">
        <v>0</v>
      </c>
      <c r="AG89" t="b">
        <v>0</v>
      </c>
      <c r="AJ89" s="14"/>
      <c r="AL89" s="14"/>
    </row>
    <row r="90" hidden="1">
      <c r="A90" s="8" t="s">
        <v>144</v>
      </c>
      <c r="C90" s="9" t="s">
        <v>14</v>
      </c>
      <c r="E90" s="9" t="s">
        <v>14</v>
      </c>
      <c r="G90" s="9" t="s">
        <v>14</v>
      </c>
      <c r="I90" s="9" t="s">
        <v>14</v>
      </c>
      <c r="K90" s="9" t="s">
        <v>14</v>
      </c>
      <c r="M90" s="9" t="s">
        <v>14</v>
      </c>
      <c r="O90" s="16" t="s">
        <v>26</v>
      </c>
      <c r="Q90" s="9" t="s">
        <v>14</v>
      </c>
      <c r="R90" s="25"/>
      <c r="S90" s="11" t="s">
        <v>16</v>
      </c>
      <c r="U90" s="28" t="s">
        <v>14</v>
      </c>
      <c r="W90" s="14" t="s">
        <v>14</v>
      </c>
      <c r="Y90" s="14"/>
      <c r="Z90" s="55"/>
      <c r="AA90" t="b">
        <v>0</v>
      </c>
      <c r="AB90" s="7" t="s">
        <v>48</v>
      </c>
      <c r="AC90" t="b">
        <v>0</v>
      </c>
      <c r="AE90" t="b">
        <v>0</v>
      </c>
      <c r="AG90" t="b">
        <v>0</v>
      </c>
      <c r="AJ90" s="14"/>
      <c r="AL90" s="14"/>
    </row>
    <row r="91" hidden="1">
      <c r="A91" s="8" t="s">
        <v>145</v>
      </c>
      <c r="C91" s="16" t="s">
        <v>24</v>
      </c>
      <c r="E91" s="9" t="s">
        <v>14</v>
      </c>
      <c r="G91" s="16" t="s">
        <v>24</v>
      </c>
      <c r="I91" s="17" t="s">
        <v>25</v>
      </c>
      <c r="K91" s="9" t="s">
        <v>14</v>
      </c>
      <c r="M91" s="17" t="s">
        <v>25</v>
      </c>
      <c r="O91" s="9" t="s">
        <v>12</v>
      </c>
      <c r="Q91" s="95" t="s">
        <v>133</v>
      </c>
      <c r="R91" s="28" t="s">
        <v>146</v>
      </c>
      <c r="S91" s="97" t="s">
        <v>133</v>
      </c>
      <c r="U91" s="28"/>
      <c r="W91" s="14"/>
      <c r="Y91" s="14"/>
      <c r="Z91" s="98"/>
      <c r="AA91" t="b">
        <v>0</v>
      </c>
      <c r="AC91" t="b">
        <v>0</v>
      </c>
      <c r="AE91" t="b">
        <v>0</v>
      </c>
      <c r="AG91" t="b">
        <v>0</v>
      </c>
      <c r="AJ91" s="14"/>
      <c r="AL91" s="14"/>
    </row>
    <row r="92" hidden="1">
      <c r="A92" s="15" t="s">
        <v>147</v>
      </c>
      <c r="B92" s="7"/>
      <c r="C92" s="16" t="s">
        <v>24</v>
      </c>
      <c r="E92" s="9" t="s">
        <v>14</v>
      </c>
      <c r="G92" s="16" t="s">
        <v>24</v>
      </c>
      <c r="I92" s="9" t="s">
        <v>14</v>
      </c>
      <c r="K92" s="16" t="s">
        <v>24</v>
      </c>
      <c r="M92" s="9" t="s">
        <v>14</v>
      </c>
      <c r="O92" s="16" t="s">
        <v>26</v>
      </c>
      <c r="Q92" s="7" t="s">
        <v>148</v>
      </c>
      <c r="R92" s="25"/>
      <c r="S92" s="28" t="s">
        <v>148</v>
      </c>
      <c r="U92" s="28" t="s">
        <v>133</v>
      </c>
      <c r="W92" s="14" t="s">
        <v>133</v>
      </c>
      <c r="Y92" s="14"/>
      <c r="Z92" s="55"/>
      <c r="AA92" t="b">
        <v>0</v>
      </c>
      <c r="AC92" t="b">
        <v>0</v>
      </c>
      <c r="AE92" t="b">
        <v>0</v>
      </c>
      <c r="AG92" t="b">
        <v>0</v>
      </c>
      <c r="AJ92" s="14"/>
      <c r="AL92" s="14"/>
    </row>
    <row r="93">
      <c r="A93" s="15"/>
      <c r="B93" s="7"/>
      <c r="C93" s="16"/>
      <c r="E93" s="9"/>
      <c r="G93" s="16"/>
      <c r="I93" s="9"/>
      <c r="K93" s="16"/>
      <c r="M93" s="9"/>
      <c r="O93" s="16"/>
      <c r="Q93" s="7"/>
      <c r="R93" s="25"/>
      <c r="S93" s="28"/>
      <c r="U93" s="28"/>
      <c r="W93" s="14"/>
      <c r="Y93" s="14"/>
      <c r="Z93" s="55"/>
      <c r="AA93" t="b">
        <v>0</v>
      </c>
      <c r="AC93" t="b">
        <v>0</v>
      </c>
      <c r="AE93" t="b">
        <v>0</v>
      </c>
      <c r="AG93" t="b">
        <v>0</v>
      </c>
      <c r="AJ93" s="14"/>
      <c r="AL93" s="14"/>
    </row>
    <row r="94">
      <c r="A94" s="15"/>
      <c r="B94" s="7"/>
      <c r="C94" s="16"/>
      <c r="E94" s="9"/>
      <c r="G94" s="16"/>
      <c r="I94" s="9"/>
      <c r="K94" s="16"/>
      <c r="M94" s="9"/>
      <c r="O94" s="16"/>
      <c r="Q94" s="7"/>
      <c r="R94" s="25"/>
      <c r="S94" s="28"/>
      <c r="U94" s="28"/>
      <c r="W94" s="14"/>
      <c r="Y94" s="14"/>
      <c r="Z94" s="55"/>
      <c r="AA94" t="b">
        <v>0</v>
      </c>
      <c r="AC94" t="b">
        <v>0</v>
      </c>
      <c r="AE94" t="b">
        <v>0</v>
      </c>
      <c r="AG94" t="b">
        <v>0</v>
      </c>
      <c r="AJ94" s="14"/>
      <c r="AL94" s="14"/>
    </row>
    <row r="95">
      <c r="A95" s="15"/>
      <c r="B95" s="7"/>
      <c r="C95" s="16"/>
      <c r="E95" s="9"/>
      <c r="G95" s="16"/>
      <c r="I95" s="9"/>
      <c r="K95" s="16"/>
      <c r="M95" s="9"/>
      <c r="O95" s="16"/>
      <c r="Q95" s="7"/>
      <c r="R95" s="25"/>
      <c r="S95" s="28"/>
      <c r="U95" s="28"/>
      <c r="W95" s="14"/>
      <c r="Y95" s="14"/>
      <c r="Z95" s="55"/>
      <c r="AA95" t="b">
        <v>0</v>
      </c>
      <c r="AC95" t="b">
        <v>0</v>
      </c>
      <c r="AE95" t="b">
        <v>0</v>
      </c>
      <c r="AG95" t="b">
        <v>0</v>
      </c>
      <c r="AJ95" s="14"/>
      <c r="AL95" s="14"/>
    </row>
    <row r="96">
      <c r="A96" s="15"/>
      <c r="B96" s="7"/>
      <c r="C96" s="16"/>
      <c r="E96" s="9"/>
      <c r="G96" s="16"/>
      <c r="I96" s="9"/>
      <c r="K96" s="16"/>
      <c r="M96" s="9"/>
      <c r="O96" s="16"/>
      <c r="Q96" s="7"/>
      <c r="R96" s="25"/>
      <c r="S96" s="28"/>
      <c r="U96" s="28"/>
      <c r="W96" s="14"/>
      <c r="Y96" s="14"/>
      <c r="Z96" s="55"/>
      <c r="AA96" t="b">
        <v>0</v>
      </c>
      <c r="AC96" t="b">
        <v>0</v>
      </c>
      <c r="AE96" t="b">
        <v>0</v>
      </c>
      <c r="AG96" t="b">
        <v>0</v>
      </c>
      <c r="AJ96" s="14"/>
      <c r="AL96" s="14"/>
    </row>
    <row r="97">
      <c r="A97" s="15"/>
      <c r="B97" s="7"/>
      <c r="C97" s="16"/>
      <c r="E97" s="9"/>
      <c r="G97" s="16"/>
      <c r="I97" s="9"/>
      <c r="K97" s="16"/>
      <c r="M97" s="9"/>
      <c r="O97" s="16"/>
      <c r="Q97" s="7"/>
      <c r="R97" s="25"/>
      <c r="S97" s="28"/>
      <c r="U97" s="28"/>
      <c r="W97" s="14"/>
      <c r="Y97" s="14"/>
      <c r="Z97" s="55"/>
      <c r="AA97" t="b">
        <v>0</v>
      </c>
      <c r="AC97" t="b">
        <v>0</v>
      </c>
      <c r="AE97" t="b">
        <v>0</v>
      </c>
      <c r="AG97" t="b">
        <v>0</v>
      </c>
      <c r="AJ97" s="14"/>
      <c r="AL97" s="14"/>
    </row>
    <row r="98">
      <c r="A98" s="15"/>
      <c r="B98" s="7"/>
      <c r="C98" s="16"/>
      <c r="E98" s="9"/>
      <c r="G98" s="16"/>
      <c r="I98" s="9"/>
      <c r="K98" s="16"/>
      <c r="M98" s="9"/>
      <c r="O98" s="16"/>
      <c r="Q98" s="7"/>
      <c r="R98" s="25"/>
      <c r="S98" s="28"/>
      <c r="U98" s="28"/>
      <c r="W98" s="14"/>
      <c r="Y98" s="14"/>
      <c r="Z98" s="55"/>
      <c r="AA98" t="b">
        <v>0</v>
      </c>
      <c r="AC98" t="b">
        <v>0</v>
      </c>
      <c r="AE98" t="b">
        <v>0</v>
      </c>
      <c r="AG98" t="b">
        <v>0</v>
      </c>
      <c r="AJ98" s="14"/>
      <c r="AL98" s="14"/>
    </row>
    <row r="99">
      <c r="A99" s="15"/>
      <c r="B99" s="7"/>
      <c r="C99" s="16"/>
      <c r="E99" s="9"/>
      <c r="G99" s="16"/>
      <c r="I99" s="9"/>
      <c r="K99" s="16"/>
      <c r="M99" s="9"/>
      <c r="O99" s="16"/>
      <c r="Q99" s="7"/>
      <c r="R99" s="25"/>
      <c r="S99" s="28"/>
      <c r="U99" s="28"/>
      <c r="W99" s="14"/>
      <c r="Y99" s="14"/>
      <c r="Z99" s="55"/>
      <c r="AA99" t="b">
        <v>0</v>
      </c>
      <c r="AC99" t="b">
        <v>0</v>
      </c>
      <c r="AE99" t="b">
        <v>0</v>
      </c>
      <c r="AG99" t="b">
        <v>0</v>
      </c>
      <c r="AJ99" s="14"/>
      <c r="AL99" s="14"/>
    </row>
    <row r="100">
      <c r="A100" s="15"/>
      <c r="B100" s="7"/>
      <c r="C100" s="16"/>
      <c r="E100" s="9"/>
      <c r="G100" s="16"/>
      <c r="I100" s="9"/>
      <c r="K100" s="16"/>
      <c r="M100" s="9"/>
      <c r="O100" s="16"/>
      <c r="Q100" s="7"/>
      <c r="R100" s="25"/>
      <c r="S100" s="28"/>
      <c r="U100" s="28"/>
      <c r="W100" s="14"/>
      <c r="Y100" s="14"/>
      <c r="Z100" s="55"/>
      <c r="AA100" t="b">
        <v>0</v>
      </c>
      <c r="AC100" t="b">
        <v>0</v>
      </c>
      <c r="AE100" t="b">
        <v>0</v>
      </c>
      <c r="AG100" t="b">
        <v>0</v>
      </c>
      <c r="AJ100" s="14"/>
      <c r="AL100" s="14"/>
    </row>
    <row r="101">
      <c r="A101" s="15"/>
      <c r="B101" s="7"/>
      <c r="C101" s="16"/>
      <c r="E101" s="9"/>
      <c r="G101" s="16"/>
      <c r="I101" s="9"/>
      <c r="K101" s="16"/>
      <c r="M101" s="9"/>
      <c r="O101" s="16"/>
      <c r="Q101" s="7"/>
      <c r="R101" s="25"/>
      <c r="S101" s="28"/>
      <c r="U101" s="28"/>
      <c r="W101" s="14"/>
      <c r="Y101" s="14"/>
      <c r="Z101" s="55"/>
      <c r="AA101" t="b">
        <v>0</v>
      </c>
      <c r="AC101" t="b">
        <v>0</v>
      </c>
      <c r="AE101" t="b">
        <v>0</v>
      </c>
      <c r="AG101" t="b">
        <v>0</v>
      </c>
      <c r="AJ101" s="14"/>
      <c r="AL101" s="14"/>
    </row>
    <row r="102">
      <c r="A102" s="15"/>
      <c r="B102" s="7"/>
      <c r="C102" s="16"/>
      <c r="E102" s="9"/>
      <c r="G102" s="16"/>
      <c r="I102" s="9"/>
      <c r="K102" s="16"/>
      <c r="M102" s="9"/>
      <c r="O102" s="16"/>
      <c r="Q102" s="7"/>
      <c r="R102" s="25"/>
      <c r="S102" s="28"/>
      <c r="U102" s="28"/>
      <c r="W102" s="14"/>
      <c r="Y102" s="14"/>
      <c r="Z102" s="55"/>
      <c r="AA102" t="b">
        <v>0</v>
      </c>
      <c r="AC102" t="b">
        <v>0</v>
      </c>
      <c r="AE102" t="b">
        <v>0</v>
      </c>
      <c r="AG102" t="b">
        <v>0</v>
      </c>
      <c r="AJ102" s="14"/>
      <c r="AL102" s="14"/>
    </row>
    <row r="103">
      <c r="A103" s="15"/>
      <c r="B103" s="7"/>
      <c r="C103" s="16"/>
      <c r="E103" s="9"/>
      <c r="G103" s="16"/>
      <c r="I103" s="9"/>
      <c r="K103" s="16"/>
      <c r="M103" s="9"/>
      <c r="O103" s="16"/>
      <c r="Q103" s="7"/>
      <c r="R103" s="25"/>
      <c r="S103" s="28"/>
      <c r="U103" s="28"/>
      <c r="W103" s="14"/>
      <c r="Y103" s="14"/>
      <c r="Z103" s="55"/>
      <c r="AA103" t="b">
        <v>0</v>
      </c>
      <c r="AC103" t="b">
        <v>0</v>
      </c>
      <c r="AE103" t="b">
        <v>0</v>
      </c>
      <c r="AG103" t="b">
        <v>0</v>
      </c>
      <c r="AJ103" s="14"/>
      <c r="AL103" s="14"/>
    </row>
    <row r="104">
      <c r="A104" s="15"/>
      <c r="B104" s="7"/>
      <c r="C104" s="16"/>
      <c r="E104" s="9"/>
      <c r="G104" s="16"/>
      <c r="I104" s="9"/>
      <c r="K104" s="16"/>
      <c r="M104" s="9"/>
      <c r="O104" s="16"/>
      <c r="Q104" s="7"/>
      <c r="R104" s="25"/>
      <c r="S104" s="28"/>
      <c r="U104" s="28"/>
      <c r="W104" s="14"/>
      <c r="Y104" s="14"/>
      <c r="Z104" s="55"/>
      <c r="AA104" t="b">
        <v>0</v>
      </c>
      <c r="AC104" t="b">
        <v>0</v>
      </c>
      <c r="AE104" t="b">
        <v>0</v>
      </c>
      <c r="AG104" t="b">
        <v>0</v>
      </c>
      <c r="AJ104" s="14"/>
      <c r="AL104" s="14"/>
    </row>
    <row r="105">
      <c r="A105" s="15"/>
      <c r="B105" s="7"/>
      <c r="C105" s="16"/>
      <c r="E105" s="9"/>
      <c r="G105" s="16"/>
      <c r="I105" s="9"/>
      <c r="K105" s="16"/>
      <c r="M105" s="9"/>
      <c r="O105" s="16"/>
      <c r="Q105" s="7"/>
      <c r="R105" s="25"/>
      <c r="S105" s="28"/>
      <c r="U105" s="28"/>
      <c r="W105" s="14"/>
      <c r="Y105" s="14"/>
      <c r="Z105" s="55"/>
      <c r="AA105" t="b">
        <v>0</v>
      </c>
      <c r="AC105" t="b">
        <v>0</v>
      </c>
      <c r="AE105" t="b">
        <v>0</v>
      </c>
      <c r="AG105" t="b">
        <v>0</v>
      </c>
      <c r="AJ105" s="14"/>
      <c r="AL105" s="14"/>
    </row>
    <row r="106">
      <c r="A106" s="15"/>
      <c r="B106" s="7"/>
      <c r="C106" s="16"/>
      <c r="E106" s="9"/>
      <c r="G106" s="16"/>
      <c r="I106" s="9"/>
      <c r="K106" s="16"/>
      <c r="M106" s="9"/>
      <c r="O106" s="16"/>
      <c r="Q106" s="7"/>
      <c r="R106" s="25"/>
      <c r="S106" s="28"/>
      <c r="U106" s="28"/>
      <c r="W106" s="14"/>
      <c r="Y106" s="14"/>
      <c r="Z106" s="55"/>
      <c r="AA106" t="b">
        <v>0</v>
      </c>
      <c r="AC106" t="b">
        <v>0</v>
      </c>
      <c r="AE106" t="b">
        <v>0</v>
      </c>
      <c r="AG106" t="b">
        <v>0</v>
      </c>
      <c r="AJ106" s="14"/>
      <c r="AL106" s="14"/>
    </row>
    <row r="107">
      <c r="A107" s="15"/>
      <c r="B107" s="7"/>
      <c r="C107" s="16"/>
      <c r="E107" s="9"/>
      <c r="G107" s="16"/>
      <c r="I107" s="9"/>
      <c r="K107" s="16"/>
      <c r="M107" s="9"/>
      <c r="O107" s="16"/>
      <c r="Q107" s="7"/>
      <c r="R107" s="25"/>
      <c r="S107" s="28"/>
      <c r="U107" s="28"/>
      <c r="W107" s="14"/>
      <c r="Y107" s="14"/>
      <c r="Z107" s="55"/>
      <c r="AA107" t="b">
        <v>0</v>
      </c>
      <c r="AC107" t="b">
        <v>0</v>
      </c>
      <c r="AE107" t="b">
        <v>0</v>
      </c>
      <c r="AG107" t="b">
        <v>0</v>
      </c>
      <c r="AJ107" s="14"/>
      <c r="AL107" s="14"/>
    </row>
    <row r="108">
      <c r="A108" s="15"/>
      <c r="B108" s="7"/>
      <c r="C108" s="16"/>
      <c r="E108" s="9"/>
      <c r="G108" s="16"/>
      <c r="I108" s="9"/>
      <c r="K108" s="16"/>
      <c r="M108" s="9"/>
      <c r="O108" s="16"/>
      <c r="Q108" s="7"/>
      <c r="R108" s="25"/>
      <c r="S108" s="28"/>
      <c r="U108" s="28"/>
      <c r="W108" s="14"/>
      <c r="Y108" s="14"/>
      <c r="Z108" s="55"/>
      <c r="AA108" t="b">
        <v>0</v>
      </c>
      <c r="AC108" t="b">
        <v>0</v>
      </c>
      <c r="AE108" t="b">
        <v>0</v>
      </c>
      <c r="AG108" t="b">
        <v>0</v>
      </c>
      <c r="AJ108" s="14"/>
      <c r="AL108" s="14"/>
    </row>
    <row r="109">
      <c r="A109" s="15"/>
      <c r="B109" s="7"/>
      <c r="C109" s="16"/>
      <c r="E109" s="9"/>
      <c r="G109" s="16"/>
      <c r="I109" s="9"/>
      <c r="K109" s="16"/>
      <c r="M109" s="9"/>
      <c r="O109" s="16"/>
      <c r="Q109" s="7"/>
      <c r="R109" s="25"/>
      <c r="S109" s="28"/>
      <c r="U109" s="28"/>
      <c r="W109" s="14"/>
      <c r="Y109" s="14"/>
      <c r="Z109" s="55"/>
      <c r="AA109" t="b">
        <v>0</v>
      </c>
      <c r="AC109" t="b">
        <v>0</v>
      </c>
      <c r="AE109" t="b">
        <v>0</v>
      </c>
      <c r="AG109" t="b">
        <v>0</v>
      </c>
      <c r="AJ109" s="14"/>
      <c r="AL109" s="14"/>
    </row>
    <row r="110">
      <c r="A110" s="15"/>
      <c r="B110" s="7"/>
      <c r="C110" s="16"/>
      <c r="E110" s="9"/>
      <c r="G110" s="16"/>
      <c r="I110" s="9"/>
      <c r="K110" s="16"/>
      <c r="M110" s="9"/>
      <c r="O110" s="16"/>
      <c r="Q110" s="7"/>
      <c r="R110" s="25"/>
      <c r="S110" s="28"/>
      <c r="U110" s="28"/>
      <c r="W110" s="14"/>
      <c r="Y110" s="14"/>
      <c r="Z110" s="55"/>
      <c r="AA110" t="b">
        <v>0</v>
      </c>
      <c r="AC110" t="b">
        <v>0</v>
      </c>
      <c r="AE110" t="b">
        <v>0</v>
      </c>
      <c r="AG110" t="b">
        <v>0</v>
      </c>
      <c r="AJ110" s="14"/>
      <c r="AL110" s="14"/>
    </row>
    <row r="111">
      <c r="A111" s="15"/>
      <c r="B111" s="7"/>
      <c r="C111" s="16"/>
      <c r="E111" s="9"/>
      <c r="G111" s="16"/>
      <c r="I111" s="9"/>
      <c r="K111" s="16"/>
      <c r="M111" s="9"/>
      <c r="O111" s="16"/>
      <c r="Q111" s="7"/>
      <c r="R111" s="25"/>
      <c r="S111" s="28"/>
      <c r="U111" s="28"/>
      <c r="W111" s="14"/>
      <c r="Y111" s="14"/>
      <c r="Z111" s="55"/>
      <c r="AA111" t="b">
        <v>0</v>
      </c>
      <c r="AC111" t="b">
        <v>0</v>
      </c>
      <c r="AE111" t="b">
        <v>0</v>
      </c>
      <c r="AG111" t="b">
        <v>0</v>
      </c>
      <c r="AJ111" s="14"/>
      <c r="AL111" s="14"/>
    </row>
    <row r="112">
      <c r="A112" s="15"/>
      <c r="B112" s="7"/>
      <c r="C112" s="16"/>
      <c r="E112" s="9"/>
      <c r="G112" s="16"/>
      <c r="I112" s="9"/>
      <c r="K112" s="16"/>
      <c r="M112" s="9"/>
      <c r="O112" s="16"/>
      <c r="Q112" s="7"/>
      <c r="R112" s="25"/>
      <c r="S112" s="28"/>
      <c r="U112" s="28"/>
      <c r="W112" s="14"/>
      <c r="Y112" s="14"/>
      <c r="Z112" s="55"/>
      <c r="AA112" t="b">
        <v>0</v>
      </c>
      <c r="AC112" t="b">
        <v>0</v>
      </c>
      <c r="AE112" t="b">
        <v>0</v>
      </c>
      <c r="AG112" t="b">
        <v>0</v>
      </c>
      <c r="AJ112" s="14"/>
      <c r="AL112" s="14"/>
    </row>
    <row r="113">
      <c r="A113" s="15"/>
      <c r="B113" s="7"/>
      <c r="C113" s="16"/>
      <c r="E113" s="9"/>
      <c r="G113" s="16"/>
      <c r="I113" s="9"/>
      <c r="K113" s="16"/>
      <c r="M113" s="9"/>
      <c r="O113" s="16"/>
      <c r="Q113" s="7"/>
      <c r="R113" s="25"/>
      <c r="S113" s="28"/>
      <c r="U113" s="28"/>
      <c r="W113" s="14"/>
      <c r="Y113" s="14"/>
      <c r="Z113" s="55"/>
      <c r="AA113" t="b">
        <v>0</v>
      </c>
      <c r="AC113" t="b">
        <v>0</v>
      </c>
      <c r="AE113" t="b">
        <v>0</v>
      </c>
      <c r="AG113" t="b">
        <v>0</v>
      </c>
      <c r="AJ113" s="14"/>
      <c r="AL113" s="14"/>
    </row>
    <row r="114">
      <c r="A114" s="15"/>
      <c r="B114" s="7"/>
      <c r="C114" s="16"/>
      <c r="E114" s="9"/>
      <c r="G114" s="16"/>
      <c r="I114" s="9"/>
      <c r="K114" s="16"/>
      <c r="M114" s="9"/>
      <c r="O114" s="16"/>
      <c r="Q114" s="7"/>
      <c r="R114" s="25"/>
      <c r="S114" s="28"/>
      <c r="U114" s="28"/>
      <c r="W114" s="14"/>
      <c r="Y114" s="14"/>
      <c r="Z114" s="55"/>
      <c r="AA114" t="b">
        <v>0</v>
      </c>
      <c r="AC114" t="b">
        <v>0</v>
      </c>
      <c r="AE114" t="b">
        <v>0</v>
      </c>
      <c r="AG114" t="b">
        <v>0</v>
      </c>
      <c r="AJ114" s="14"/>
      <c r="AL114" s="14"/>
    </row>
    <row r="115">
      <c r="A115" s="15"/>
      <c r="B115" s="7"/>
      <c r="C115" s="16"/>
      <c r="E115" s="9"/>
      <c r="G115" s="16"/>
      <c r="I115" s="9"/>
      <c r="K115" s="16"/>
      <c r="M115" s="9"/>
      <c r="O115" s="16"/>
      <c r="Q115" s="7"/>
      <c r="R115" s="25"/>
      <c r="S115" s="28"/>
      <c r="U115" s="28"/>
      <c r="W115" s="14"/>
      <c r="Y115" s="14"/>
      <c r="Z115" s="55"/>
      <c r="AA115" t="b">
        <v>0</v>
      </c>
      <c r="AC115" t="b">
        <v>0</v>
      </c>
      <c r="AE115" t="b">
        <v>0</v>
      </c>
      <c r="AG115" t="b">
        <v>0</v>
      </c>
      <c r="AJ115" s="14"/>
      <c r="AL115" s="14"/>
    </row>
    <row r="116">
      <c r="A116" s="15"/>
      <c r="B116" s="7"/>
      <c r="C116" s="16"/>
      <c r="E116" s="9"/>
      <c r="G116" s="16"/>
      <c r="I116" s="9"/>
      <c r="K116" s="16"/>
      <c r="M116" s="9"/>
      <c r="O116" s="16"/>
      <c r="Q116" s="7"/>
      <c r="R116" s="25"/>
      <c r="S116" s="28"/>
      <c r="U116" s="28"/>
      <c r="W116" s="14"/>
      <c r="Y116" s="14"/>
      <c r="Z116" s="55"/>
      <c r="AA116" t="b">
        <v>0</v>
      </c>
      <c r="AC116" t="b">
        <v>0</v>
      </c>
      <c r="AE116" t="b">
        <v>0</v>
      </c>
      <c r="AG116" t="b">
        <v>0</v>
      </c>
      <c r="AJ116" s="14"/>
      <c r="AL116" s="14"/>
    </row>
    <row r="117">
      <c r="A117" s="15"/>
      <c r="B117" s="7"/>
      <c r="C117" s="16"/>
      <c r="E117" s="9"/>
      <c r="G117" s="16"/>
      <c r="I117" s="9"/>
      <c r="K117" s="16"/>
      <c r="M117" s="9"/>
      <c r="O117" s="16"/>
      <c r="Q117" s="7"/>
      <c r="R117" s="25"/>
      <c r="S117" s="28"/>
      <c r="U117" s="28"/>
      <c r="W117" s="14"/>
      <c r="Y117" s="14"/>
      <c r="Z117" s="55"/>
      <c r="AA117" t="b">
        <v>0</v>
      </c>
      <c r="AC117" t="b">
        <v>0</v>
      </c>
      <c r="AE117" t="b">
        <v>0</v>
      </c>
      <c r="AG117" t="b">
        <v>0</v>
      </c>
      <c r="AJ117" s="14"/>
      <c r="AL117" s="14"/>
    </row>
    <row r="118">
      <c r="A118" s="15"/>
      <c r="B118" s="7"/>
      <c r="C118" s="16"/>
      <c r="E118" s="9"/>
      <c r="G118" s="16"/>
      <c r="I118" s="9"/>
      <c r="K118" s="16"/>
      <c r="M118" s="9"/>
      <c r="O118" s="16"/>
      <c r="Q118" s="7"/>
      <c r="R118" s="25"/>
      <c r="S118" s="28"/>
      <c r="U118" s="28"/>
      <c r="W118" s="14"/>
      <c r="Y118" s="14"/>
      <c r="Z118" s="55"/>
      <c r="AA118" t="b">
        <v>0</v>
      </c>
      <c r="AC118" t="b">
        <v>0</v>
      </c>
      <c r="AE118" t="b">
        <v>0</v>
      </c>
      <c r="AG118" t="b">
        <v>0</v>
      </c>
      <c r="AJ118" s="14"/>
      <c r="AL118" s="14"/>
    </row>
    <row r="119">
      <c r="A119" s="15"/>
      <c r="B119" s="7"/>
      <c r="C119" s="16"/>
      <c r="E119" s="9"/>
      <c r="G119" s="16"/>
      <c r="I119" s="9"/>
      <c r="K119" s="16"/>
      <c r="M119" s="9"/>
      <c r="O119" s="16"/>
      <c r="Q119" s="7"/>
      <c r="R119" s="25"/>
      <c r="S119" s="28"/>
      <c r="U119" s="28"/>
      <c r="W119" s="14"/>
      <c r="Y119" s="14"/>
      <c r="Z119" s="55"/>
      <c r="AA119" t="b">
        <v>0</v>
      </c>
      <c r="AC119" t="b">
        <v>0</v>
      </c>
      <c r="AE119" t="b">
        <v>0</v>
      </c>
      <c r="AG119" t="b">
        <v>0</v>
      </c>
      <c r="AJ119" s="14"/>
      <c r="AL119" s="14"/>
    </row>
    <row r="120">
      <c r="A120" s="15"/>
      <c r="B120" s="7"/>
      <c r="C120" s="16"/>
      <c r="E120" s="9"/>
      <c r="G120" s="16"/>
      <c r="I120" s="9"/>
      <c r="K120" s="16"/>
      <c r="M120" s="9"/>
      <c r="O120" s="16"/>
      <c r="Q120" s="7"/>
      <c r="R120" s="25"/>
      <c r="S120" s="28"/>
      <c r="U120" s="28"/>
      <c r="W120" s="14"/>
      <c r="Y120" s="14"/>
      <c r="Z120" s="55"/>
      <c r="AA120" t="b">
        <v>0</v>
      </c>
      <c r="AC120" t="b">
        <v>0</v>
      </c>
      <c r="AE120" t="b">
        <v>0</v>
      </c>
      <c r="AG120" t="b">
        <v>0</v>
      </c>
      <c r="AJ120" s="14"/>
      <c r="AL120" s="14"/>
    </row>
    <row r="121">
      <c r="A121" s="15"/>
      <c r="B121" s="7"/>
      <c r="C121" s="16"/>
      <c r="E121" s="9"/>
      <c r="G121" s="16"/>
      <c r="I121" s="9"/>
      <c r="K121" s="16"/>
      <c r="M121" s="9"/>
      <c r="O121" s="16"/>
      <c r="Q121" s="7"/>
      <c r="R121" s="25"/>
      <c r="S121" s="28"/>
      <c r="U121" s="28"/>
      <c r="W121" s="14"/>
      <c r="Y121" s="14"/>
      <c r="Z121" s="55"/>
      <c r="AA121" t="b">
        <v>0</v>
      </c>
      <c r="AC121" t="b">
        <v>0</v>
      </c>
      <c r="AE121" t="b">
        <v>0</v>
      </c>
      <c r="AG121" t="b">
        <v>0</v>
      </c>
      <c r="AJ121" s="14"/>
      <c r="AL121" s="14"/>
    </row>
    <row r="122">
      <c r="A122" s="15"/>
      <c r="B122" s="7"/>
      <c r="C122" s="16"/>
      <c r="E122" s="9"/>
      <c r="G122" s="16"/>
      <c r="I122" s="9"/>
      <c r="K122" s="16"/>
      <c r="M122" s="9"/>
      <c r="O122" s="16"/>
      <c r="Q122" s="7"/>
      <c r="R122" s="25"/>
      <c r="S122" s="28"/>
      <c r="U122" s="28"/>
      <c r="W122" s="14"/>
      <c r="Y122" s="14"/>
      <c r="Z122" s="55"/>
      <c r="AA122" t="b">
        <v>0</v>
      </c>
      <c r="AC122" t="b">
        <v>0</v>
      </c>
      <c r="AE122" t="b">
        <v>0</v>
      </c>
      <c r="AG122" t="b">
        <v>0</v>
      </c>
      <c r="AJ122" s="14"/>
      <c r="AL122" s="14"/>
    </row>
    <row r="123">
      <c r="A123" s="15"/>
      <c r="B123" s="7"/>
      <c r="C123" s="16"/>
      <c r="E123" s="9"/>
      <c r="G123" s="16"/>
      <c r="I123" s="9"/>
      <c r="K123" s="16"/>
      <c r="M123" s="9"/>
      <c r="O123" s="16"/>
      <c r="Q123" s="7"/>
      <c r="R123" s="25"/>
      <c r="S123" s="28"/>
      <c r="U123" s="28"/>
      <c r="W123" s="14"/>
      <c r="Y123" s="14"/>
      <c r="Z123" s="55"/>
      <c r="AA123" t="b">
        <v>0</v>
      </c>
      <c r="AC123" t="b">
        <v>0</v>
      </c>
      <c r="AE123" t="b">
        <v>0</v>
      </c>
      <c r="AG123" t="b">
        <v>0</v>
      </c>
      <c r="AJ123" s="14"/>
      <c r="AL123" s="14"/>
    </row>
    <row r="124">
      <c r="A124" s="15"/>
      <c r="B124" s="7"/>
      <c r="C124" s="16"/>
      <c r="E124" s="9"/>
      <c r="G124" s="16"/>
      <c r="I124" s="9"/>
      <c r="K124" s="16"/>
      <c r="M124" s="9"/>
      <c r="O124" s="16"/>
      <c r="Q124" s="7"/>
      <c r="R124" s="25"/>
      <c r="S124" s="28"/>
      <c r="U124" s="28"/>
      <c r="W124" s="14"/>
      <c r="Y124" s="14"/>
      <c r="Z124" s="55"/>
      <c r="AA124" t="b">
        <v>0</v>
      </c>
      <c r="AC124" t="b">
        <v>0</v>
      </c>
      <c r="AE124" t="b">
        <v>0</v>
      </c>
      <c r="AG124" t="b">
        <v>0</v>
      </c>
      <c r="AJ124" s="14"/>
      <c r="AL124" s="14"/>
    </row>
    <row r="125">
      <c r="A125" s="15"/>
      <c r="B125" s="7"/>
      <c r="C125" s="16"/>
      <c r="E125" s="9"/>
      <c r="G125" s="16"/>
      <c r="I125" s="9"/>
      <c r="K125" s="16"/>
      <c r="M125" s="9"/>
      <c r="O125" s="16"/>
      <c r="Q125" s="7"/>
      <c r="R125" s="25"/>
      <c r="S125" s="28"/>
      <c r="U125" s="28"/>
      <c r="W125" s="14"/>
      <c r="Y125" s="14"/>
      <c r="Z125" s="55"/>
      <c r="AA125" t="b">
        <v>0</v>
      </c>
      <c r="AC125" t="b">
        <v>0</v>
      </c>
      <c r="AE125" t="b">
        <v>0</v>
      </c>
      <c r="AG125" t="b">
        <v>0</v>
      </c>
      <c r="AJ125" s="14"/>
      <c r="AL125" s="14"/>
    </row>
    <row r="126">
      <c r="A126" s="15"/>
      <c r="B126" s="7"/>
      <c r="C126" s="16"/>
      <c r="E126" s="9"/>
      <c r="G126" s="16"/>
      <c r="I126" s="9"/>
      <c r="K126" s="16"/>
      <c r="M126" s="9"/>
      <c r="O126" s="16"/>
      <c r="Q126" s="7"/>
      <c r="R126" s="25"/>
      <c r="S126" s="28"/>
      <c r="U126" s="28"/>
      <c r="W126" s="14"/>
      <c r="Y126" s="14"/>
      <c r="Z126" s="55"/>
      <c r="AA126" t="b">
        <v>0</v>
      </c>
      <c r="AC126" t="b">
        <v>0</v>
      </c>
      <c r="AE126" t="b">
        <v>0</v>
      </c>
      <c r="AG126" t="b">
        <v>0</v>
      </c>
      <c r="AJ126" s="14"/>
      <c r="AL126" s="14"/>
    </row>
    <row r="127">
      <c r="A127" s="15"/>
      <c r="B127" s="7"/>
      <c r="C127" s="16"/>
      <c r="E127" s="9"/>
      <c r="G127" s="16"/>
      <c r="I127" s="9"/>
      <c r="K127" s="16"/>
      <c r="M127" s="9"/>
      <c r="O127" s="16"/>
      <c r="Q127" s="7"/>
      <c r="R127" s="25"/>
      <c r="S127" s="28"/>
      <c r="U127" s="28"/>
      <c r="W127" s="14"/>
      <c r="Y127" s="14"/>
      <c r="Z127" s="55"/>
      <c r="AA127" t="b">
        <v>0</v>
      </c>
      <c r="AC127" t="b">
        <v>0</v>
      </c>
      <c r="AE127" t="b">
        <v>0</v>
      </c>
      <c r="AG127" t="b">
        <v>0</v>
      </c>
      <c r="AJ127" s="14"/>
      <c r="AL127" s="14"/>
    </row>
    <row r="128">
      <c r="A128" s="15"/>
      <c r="B128" s="7"/>
      <c r="C128" s="16"/>
      <c r="E128" s="9"/>
      <c r="G128" s="16"/>
      <c r="I128" s="9"/>
      <c r="K128" s="16"/>
      <c r="M128" s="9"/>
      <c r="O128" s="16"/>
      <c r="Q128" s="7"/>
      <c r="R128" s="25"/>
      <c r="S128" s="28"/>
      <c r="U128" s="28"/>
      <c r="W128" s="14"/>
      <c r="Y128" s="14"/>
      <c r="Z128" s="55"/>
      <c r="AA128" t="b">
        <v>0</v>
      </c>
      <c r="AC128" t="b">
        <v>0</v>
      </c>
      <c r="AE128" t="b">
        <v>0</v>
      </c>
      <c r="AG128" t="b">
        <v>0</v>
      </c>
      <c r="AJ128" s="14"/>
      <c r="AL128" s="14"/>
    </row>
    <row r="129">
      <c r="A129" s="15"/>
      <c r="B129" s="7"/>
      <c r="C129" s="16"/>
      <c r="E129" s="9"/>
      <c r="G129" s="16"/>
      <c r="I129" s="9"/>
      <c r="K129" s="16"/>
      <c r="M129" s="9"/>
      <c r="O129" s="16"/>
      <c r="Q129" s="7"/>
      <c r="R129" s="25"/>
      <c r="S129" s="28"/>
      <c r="U129" s="28"/>
      <c r="W129" s="14"/>
      <c r="Y129" s="14"/>
      <c r="Z129" s="55"/>
      <c r="AA129" t="b">
        <v>0</v>
      </c>
      <c r="AC129" t="b">
        <v>0</v>
      </c>
      <c r="AE129" t="b">
        <v>0</v>
      </c>
      <c r="AG129" t="b">
        <v>0</v>
      </c>
      <c r="AJ129" s="14"/>
      <c r="AL129" s="14"/>
    </row>
    <row r="130">
      <c r="A130" s="15"/>
      <c r="B130" s="7"/>
      <c r="C130" s="16"/>
      <c r="E130" s="9"/>
      <c r="G130" s="16"/>
      <c r="I130" s="9"/>
      <c r="K130" s="16"/>
      <c r="M130" s="9"/>
      <c r="O130" s="16"/>
      <c r="Q130" s="7"/>
      <c r="R130" s="25"/>
      <c r="S130" s="28"/>
      <c r="U130" s="28"/>
      <c r="W130" s="14"/>
      <c r="Y130" s="14"/>
      <c r="Z130" s="55"/>
      <c r="AA130" t="b">
        <v>0</v>
      </c>
      <c r="AC130" t="b">
        <v>0</v>
      </c>
      <c r="AE130" t="b">
        <v>0</v>
      </c>
      <c r="AG130" t="b">
        <v>0</v>
      </c>
      <c r="AJ130" s="14"/>
      <c r="AL130" s="14"/>
    </row>
    <row r="131">
      <c r="A131" s="15"/>
      <c r="B131" s="7"/>
      <c r="C131" s="16"/>
      <c r="E131" s="9"/>
      <c r="G131" s="16"/>
      <c r="I131" s="9"/>
      <c r="K131" s="16"/>
      <c r="M131" s="9"/>
      <c r="O131" s="16"/>
      <c r="Q131" s="7"/>
      <c r="R131" s="25"/>
      <c r="S131" s="28"/>
      <c r="U131" s="28"/>
      <c r="W131" s="14"/>
      <c r="Y131" s="14"/>
      <c r="Z131" s="55"/>
      <c r="AA131" t="b">
        <v>0</v>
      </c>
      <c r="AC131" t="b">
        <v>0</v>
      </c>
      <c r="AE131" t="b">
        <v>0</v>
      </c>
      <c r="AG131" t="b">
        <v>0</v>
      </c>
      <c r="AJ131" s="14"/>
      <c r="AL131" s="14"/>
    </row>
    <row r="132">
      <c r="A132" s="15"/>
      <c r="B132" s="7"/>
      <c r="C132" s="16"/>
      <c r="E132" s="9"/>
      <c r="G132" s="16"/>
      <c r="I132" s="9"/>
      <c r="K132" s="16"/>
      <c r="M132" s="9"/>
      <c r="O132" s="16"/>
      <c r="Q132" s="7"/>
      <c r="R132" s="25"/>
      <c r="S132" s="28"/>
      <c r="U132" s="28"/>
      <c r="W132" s="14"/>
      <c r="Y132" s="14"/>
      <c r="Z132" s="55"/>
      <c r="AA132" t="b">
        <v>0</v>
      </c>
      <c r="AC132" t="b">
        <v>0</v>
      </c>
      <c r="AE132" t="b">
        <v>0</v>
      </c>
      <c r="AG132" t="b">
        <v>0</v>
      </c>
      <c r="AJ132" s="14"/>
      <c r="AL132" s="14"/>
    </row>
    <row r="133">
      <c r="A133" s="15"/>
      <c r="B133" s="7"/>
      <c r="C133" s="16"/>
      <c r="E133" s="9"/>
      <c r="G133" s="16"/>
      <c r="I133" s="9"/>
      <c r="K133" s="16"/>
      <c r="M133" s="9"/>
      <c r="O133" s="16"/>
      <c r="Q133" s="7"/>
      <c r="R133" s="25"/>
      <c r="S133" s="28"/>
      <c r="U133" s="28"/>
      <c r="W133" s="14"/>
      <c r="Y133" s="14"/>
      <c r="Z133" s="55"/>
      <c r="AA133" t="b">
        <v>0</v>
      </c>
      <c r="AC133" t="b">
        <v>0</v>
      </c>
      <c r="AE133" t="b">
        <v>0</v>
      </c>
      <c r="AG133" t="b">
        <v>0</v>
      </c>
      <c r="AJ133" s="14"/>
      <c r="AL133" s="14"/>
    </row>
    <row r="134">
      <c r="A134" s="15"/>
      <c r="B134" s="7"/>
      <c r="C134" s="16"/>
      <c r="E134" s="9"/>
      <c r="G134" s="16"/>
      <c r="I134" s="9"/>
      <c r="K134" s="16"/>
      <c r="M134" s="9"/>
      <c r="O134" s="16"/>
      <c r="Q134" s="7"/>
      <c r="R134" s="25"/>
      <c r="S134" s="28"/>
      <c r="U134" s="28"/>
      <c r="W134" s="14"/>
      <c r="Y134" s="14"/>
      <c r="Z134" s="55"/>
      <c r="AA134" t="b">
        <v>0</v>
      </c>
      <c r="AC134" t="b">
        <v>0</v>
      </c>
      <c r="AE134" t="b">
        <v>0</v>
      </c>
      <c r="AG134" t="b">
        <v>0</v>
      </c>
      <c r="AJ134" s="14"/>
      <c r="AL134" s="14"/>
    </row>
    <row r="135">
      <c r="A135" s="15"/>
      <c r="B135" s="7"/>
      <c r="C135" s="16"/>
      <c r="E135" s="9"/>
      <c r="G135" s="16"/>
      <c r="I135" s="9"/>
      <c r="K135" s="16"/>
      <c r="M135" s="9"/>
      <c r="O135" s="16"/>
      <c r="Q135" s="7"/>
      <c r="R135" s="25"/>
      <c r="S135" s="28"/>
      <c r="U135" s="28"/>
      <c r="W135" s="14"/>
      <c r="Y135" s="14"/>
      <c r="Z135" s="55"/>
      <c r="AA135" t="b">
        <v>0</v>
      </c>
      <c r="AC135" t="b">
        <v>0</v>
      </c>
      <c r="AE135" t="b">
        <v>0</v>
      </c>
      <c r="AG135" t="b">
        <v>0</v>
      </c>
      <c r="AJ135" s="14"/>
      <c r="AL135" s="14"/>
    </row>
    <row r="136">
      <c r="A136" s="15"/>
      <c r="B136" s="7"/>
      <c r="C136" s="16"/>
      <c r="E136" s="9"/>
      <c r="G136" s="16"/>
      <c r="I136" s="9"/>
      <c r="K136" s="16"/>
      <c r="M136" s="9"/>
      <c r="O136" s="16"/>
      <c r="Q136" s="7"/>
      <c r="R136" s="25"/>
      <c r="S136" s="28"/>
      <c r="U136" s="28"/>
      <c r="W136" s="14"/>
      <c r="Y136" s="14"/>
      <c r="Z136" s="55"/>
      <c r="AA136" t="b">
        <v>0</v>
      </c>
      <c r="AC136" t="b">
        <v>0</v>
      </c>
      <c r="AE136" t="b">
        <v>0</v>
      </c>
      <c r="AG136" t="b">
        <v>0</v>
      </c>
      <c r="AJ136" s="14"/>
      <c r="AL136" s="14"/>
    </row>
    <row r="137">
      <c r="A137" s="15"/>
      <c r="B137" s="7"/>
      <c r="C137" s="16"/>
      <c r="E137" s="9"/>
      <c r="G137" s="16"/>
      <c r="I137" s="9"/>
      <c r="K137" s="16"/>
      <c r="M137" s="9"/>
      <c r="O137" s="16"/>
      <c r="Q137" s="7"/>
      <c r="R137" s="25"/>
      <c r="S137" s="28"/>
      <c r="U137" s="28"/>
      <c r="W137" s="14"/>
      <c r="Y137" s="14"/>
      <c r="Z137" s="55"/>
      <c r="AA137" t="b">
        <v>0</v>
      </c>
      <c r="AC137" t="b">
        <v>0</v>
      </c>
      <c r="AE137" t="b">
        <v>0</v>
      </c>
      <c r="AG137" t="b">
        <v>0</v>
      </c>
      <c r="AJ137" s="14"/>
      <c r="AL137" s="14"/>
    </row>
    <row r="138">
      <c r="A138" s="15"/>
      <c r="B138" s="7"/>
      <c r="C138" s="16"/>
      <c r="E138" s="9"/>
      <c r="G138" s="16"/>
      <c r="I138" s="9"/>
      <c r="K138" s="16"/>
      <c r="M138" s="9"/>
      <c r="O138" s="16"/>
      <c r="Q138" s="7"/>
      <c r="R138" s="25"/>
      <c r="S138" s="28"/>
      <c r="U138" s="28"/>
      <c r="W138" s="14"/>
      <c r="Y138" s="14"/>
      <c r="Z138" s="55"/>
      <c r="AA138" t="b">
        <v>0</v>
      </c>
      <c r="AC138" t="b">
        <v>0</v>
      </c>
      <c r="AE138" t="b">
        <v>0</v>
      </c>
      <c r="AG138" t="b">
        <v>0</v>
      </c>
      <c r="AJ138" s="14"/>
      <c r="AL138" s="14"/>
    </row>
    <row r="139">
      <c r="A139" s="15"/>
      <c r="B139" s="7"/>
      <c r="C139" s="16"/>
      <c r="E139" s="9"/>
      <c r="G139" s="16"/>
      <c r="I139" s="9"/>
      <c r="K139" s="16"/>
      <c r="M139" s="9"/>
      <c r="O139" s="16"/>
      <c r="Q139" s="7"/>
      <c r="R139" s="25"/>
      <c r="S139" s="28"/>
      <c r="U139" s="28"/>
      <c r="W139" s="14"/>
      <c r="Y139" s="14"/>
      <c r="Z139" s="55"/>
      <c r="AA139" t="b">
        <v>0</v>
      </c>
      <c r="AC139" t="b">
        <v>0</v>
      </c>
      <c r="AE139" t="b">
        <v>0</v>
      </c>
      <c r="AG139" t="b">
        <v>0</v>
      </c>
      <c r="AJ139" s="14"/>
      <c r="AL139" s="14"/>
    </row>
    <row r="140">
      <c r="A140" s="15"/>
      <c r="B140" s="7"/>
      <c r="C140" s="16"/>
      <c r="E140" s="9"/>
      <c r="G140" s="16"/>
      <c r="I140" s="9"/>
      <c r="K140" s="16"/>
      <c r="M140" s="9"/>
      <c r="O140" s="16"/>
      <c r="Q140" s="7"/>
      <c r="R140" s="25"/>
      <c r="S140" s="28"/>
      <c r="U140" s="28"/>
      <c r="W140" s="14"/>
      <c r="Y140" s="14"/>
      <c r="Z140" s="55"/>
      <c r="AA140" t="b">
        <v>0</v>
      </c>
      <c r="AC140" t="b">
        <v>0</v>
      </c>
      <c r="AE140" t="b">
        <v>0</v>
      </c>
      <c r="AG140" t="b">
        <v>0</v>
      </c>
      <c r="AJ140" s="14"/>
      <c r="AL140" s="14"/>
    </row>
    <row r="141">
      <c r="A141" s="15"/>
      <c r="B141" s="7"/>
      <c r="C141" s="16"/>
      <c r="E141" s="9"/>
      <c r="G141" s="16"/>
      <c r="I141" s="9"/>
      <c r="K141" s="16"/>
      <c r="M141" s="9"/>
      <c r="O141" s="16"/>
      <c r="Q141" s="7"/>
      <c r="R141" s="25"/>
      <c r="S141" s="28"/>
      <c r="U141" s="28"/>
      <c r="W141" s="14"/>
      <c r="Y141" s="14"/>
      <c r="Z141" s="55"/>
      <c r="AA141" t="b">
        <v>0</v>
      </c>
      <c r="AC141" t="b">
        <v>0</v>
      </c>
      <c r="AE141" t="b">
        <v>0</v>
      </c>
      <c r="AG141" t="b">
        <v>0</v>
      </c>
      <c r="AJ141" s="14"/>
      <c r="AL141" s="14"/>
    </row>
    <row r="142">
      <c r="A142" s="15"/>
      <c r="B142" s="7"/>
      <c r="C142" s="16"/>
      <c r="E142" s="9"/>
      <c r="G142" s="16"/>
      <c r="I142" s="9"/>
      <c r="K142" s="16"/>
      <c r="M142" s="9"/>
      <c r="O142" s="16"/>
      <c r="Q142" s="7"/>
      <c r="R142" s="25"/>
      <c r="S142" s="28"/>
      <c r="U142" s="28"/>
      <c r="W142" s="14"/>
      <c r="Y142" s="14"/>
      <c r="Z142" s="55"/>
      <c r="AA142" t="b">
        <v>0</v>
      </c>
      <c r="AC142" t="b">
        <v>0</v>
      </c>
      <c r="AE142" t="b">
        <v>0</v>
      </c>
      <c r="AG142" t="b">
        <v>0</v>
      </c>
      <c r="AJ142" s="14"/>
      <c r="AL142" s="14"/>
    </row>
    <row r="143">
      <c r="A143" s="15"/>
      <c r="B143" s="7"/>
      <c r="C143" s="16"/>
      <c r="E143" s="9"/>
      <c r="G143" s="16"/>
      <c r="I143" s="9"/>
      <c r="K143" s="16"/>
      <c r="M143" s="9"/>
      <c r="O143" s="16"/>
      <c r="Q143" s="7"/>
      <c r="R143" s="25"/>
      <c r="S143" s="28"/>
      <c r="U143" s="28"/>
      <c r="W143" s="14"/>
      <c r="Y143" s="14"/>
      <c r="Z143" s="55"/>
      <c r="AA143" t="b">
        <v>0</v>
      </c>
      <c r="AC143" t="b">
        <v>0</v>
      </c>
      <c r="AE143" t="b">
        <v>0</v>
      </c>
      <c r="AG143" t="b">
        <v>0</v>
      </c>
      <c r="AJ143" s="14"/>
      <c r="AL143" s="14"/>
    </row>
    <row r="144">
      <c r="A144" s="15"/>
      <c r="B144" s="7"/>
      <c r="C144" s="16"/>
      <c r="E144" s="9"/>
      <c r="G144" s="16"/>
      <c r="I144" s="9"/>
      <c r="K144" s="16"/>
      <c r="M144" s="9"/>
      <c r="O144" s="16"/>
      <c r="Q144" s="7"/>
      <c r="R144" s="25"/>
      <c r="S144" s="28"/>
      <c r="U144" s="28"/>
      <c r="W144" s="14"/>
      <c r="Y144" s="14"/>
      <c r="Z144" s="55"/>
      <c r="AA144" t="b">
        <v>0</v>
      </c>
      <c r="AC144" t="b">
        <v>0</v>
      </c>
      <c r="AE144" t="b">
        <v>0</v>
      </c>
      <c r="AG144" t="b">
        <v>0</v>
      </c>
      <c r="AJ144" s="14"/>
      <c r="AL144" s="14"/>
    </row>
    <row r="145">
      <c r="A145" s="15"/>
      <c r="B145" s="7"/>
      <c r="C145" s="16"/>
      <c r="E145" s="9"/>
      <c r="G145" s="16"/>
      <c r="I145" s="9"/>
      <c r="K145" s="16"/>
      <c r="M145" s="9"/>
      <c r="O145" s="16"/>
      <c r="Q145" s="7"/>
      <c r="R145" s="25"/>
      <c r="S145" s="28"/>
      <c r="U145" s="28"/>
      <c r="W145" s="14"/>
      <c r="Y145" s="14"/>
      <c r="Z145" s="55"/>
      <c r="AA145" t="b">
        <v>0</v>
      </c>
      <c r="AC145" t="b">
        <v>0</v>
      </c>
      <c r="AE145" t="b">
        <v>0</v>
      </c>
      <c r="AG145" t="b">
        <v>0</v>
      </c>
      <c r="AJ145" s="14"/>
      <c r="AL145" s="14"/>
    </row>
    <row r="146">
      <c r="A146" s="15"/>
      <c r="B146" s="7"/>
      <c r="C146" s="16"/>
      <c r="E146" s="9"/>
      <c r="G146" s="16"/>
      <c r="I146" s="9"/>
      <c r="K146" s="16"/>
      <c r="M146" s="9"/>
      <c r="O146" s="16"/>
      <c r="Q146" s="7"/>
      <c r="R146" s="25"/>
      <c r="S146" s="28"/>
      <c r="U146" s="28"/>
      <c r="W146" s="14"/>
      <c r="Y146" s="14"/>
      <c r="Z146" s="55"/>
      <c r="AA146" t="b">
        <v>0</v>
      </c>
      <c r="AC146" t="b">
        <v>0</v>
      </c>
      <c r="AE146" t="b">
        <v>0</v>
      </c>
      <c r="AG146" t="b">
        <v>0</v>
      </c>
      <c r="AJ146" s="14"/>
      <c r="AL146" s="14"/>
    </row>
    <row r="147">
      <c r="A147" s="15"/>
      <c r="B147" s="7"/>
      <c r="C147" s="16"/>
      <c r="E147" s="9"/>
      <c r="G147" s="16"/>
      <c r="I147" s="9"/>
      <c r="K147" s="16"/>
      <c r="M147" s="9"/>
      <c r="O147" s="16"/>
      <c r="Q147" s="7"/>
      <c r="R147" s="25"/>
      <c r="S147" s="28"/>
      <c r="U147" s="28"/>
      <c r="W147" s="14"/>
      <c r="Y147" s="14"/>
      <c r="Z147" s="55"/>
      <c r="AA147" t="b">
        <v>0</v>
      </c>
      <c r="AC147" t="b">
        <v>0</v>
      </c>
      <c r="AE147" t="b">
        <v>0</v>
      </c>
      <c r="AG147" t="b">
        <v>0</v>
      </c>
      <c r="AJ147" s="14"/>
      <c r="AL147" s="14"/>
    </row>
    <row r="148">
      <c r="A148" s="15"/>
      <c r="B148" s="7"/>
      <c r="C148" s="16"/>
      <c r="E148" s="9"/>
      <c r="G148" s="16"/>
      <c r="I148" s="9"/>
      <c r="K148" s="16"/>
      <c r="M148" s="9"/>
      <c r="O148" s="16"/>
      <c r="Q148" s="7"/>
      <c r="R148" s="25"/>
      <c r="S148" s="28"/>
      <c r="U148" s="28"/>
      <c r="W148" s="14"/>
      <c r="Y148" s="14"/>
      <c r="Z148" s="55"/>
      <c r="AA148" t="b">
        <v>0</v>
      </c>
      <c r="AC148" t="b">
        <v>0</v>
      </c>
      <c r="AE148" t="b">
        <v>0</v>
      </c>
      <c r="AG148" t="b">
        <v>0</v>
      </c>
      <c r="AJ148" s="14"/>
      <c r="AL148" s="14"/>
    </row>
    <row r="149">
      <c r="A149" s="15"/>
      <c r="B149" s="7"/>
      <c r="C149" s="16"/>
      <c r="E149" s="9"/>
      <c r="G149" s="16"/>
      <c r="I149" s="9"/>
      <c r="K149" s="16"/>
      <c r="M149" s="9"/>
      <c r="O149" s="16"/>
      <c r="Q149" s="7"/>
      <c r="R149" s="25"/>
      <c r="S149" s="28"/>
      <c r="U149" s="28"/>
      <c r="W149" s="14"/>
      <c r="Y149" s="14"/>
      <c r="Z149" s="55"/>
      <c r="AA149" t="b">
        <v>0</v>
      </c>
      <c r="AC149" t="b">
        <v>0</v>
      </c>
      <c r="AE149" t="b">
        <v>0</v>
      </c>
      <c r="AG149" t="b">
        <v>0</v>
      </c>
      <c r="AJ149" s="14"/>
      <c r="AL149" s="14"/>
    </row>
    <row r="150">
      <c r="A150" s="15"/>
      <c r="B150" s="7"/>
      <c r="C150" s="16"/>
      <c r="E150" s="9"/>
      <c r="G150" s="16"/>
      <c r="I150" s="9"/>
      <c r="K150" s="16"/>
      <c r="M150" s="9"/>
      <c r="O150" s="16"/>
      <c r="Q150" s="7"/>
      <c r="R150" s="25"/>
      <c r="S150" s="28"/>
      <c r="U150" s="28"/>
      <c r="W150" s="14"/>
      <c r="Y150" s="14"/>
      <c r="Z150" s="55"/>
      <c r="AA150" t="b">
        <v>0</v>
      </c>
      <c r="AC150" t="b">
        <v>0</v>
      </c>
      <c r="AE150" t="b">
        <v>0</v>
      </c>
      <c r="AG150" t="b">
        <v>0</v>
      </c>
      <c r="AJ150" s="14"/>
      <c r="AL150" s="14"/>
    </row>
    <row r="151">
      <c r="A151" s="15"/>
      <c r="B151" s="7"/>
      <c r="C151" s="16"/>
      <c r="E151" s="9"/>
      <c r="G151" s="16"/>
      <c r="I151" s="9"/>
      <c r="K151" s="16"/>
      <c r="M151" s="9"/>
      <c r="O151" s="16"/>
      <c r="Q151" s="7"/>
      <c r="R151" s="25"/>
      <c r="S151" s="28"/>
      <c r="U151" s="28"/>
      <c r="W151" s="14"/>
      <c r="Y151" s="14"/>
      <c r="Z151" s="55"/>
      <c r="AA151" t="b">
        <v>0</v>
      </c>
      <c r="AC151" t="b">
        <v>0</v>
      </c>
      <c r="AE151" t="b">
        <v>0</v>
      </c>
      <c r="AG151" t="b">
        <v>0</v>
      </c>
      <c r="AJ151" s="14"/>
      <c r="AL151" s="14"/>
    </row>
    <row r="152">
      <c r="A152" s="15"/>
      <c r="B152" s="7"/>
      <c r="C152" s="16"/>
      <c r="E152" s="9"/>
      <c r="G152" s="16"/>
      <c r="I152" s="9"/>
      <c r="K152" s="16"/>
      <c r="M152" s="9"/>
      <c r="O152" s="16"/>
      <c r="Q152" s="7"/>
      <c r="R152" s="25"/>
      <c r="S152" s="28"/>
      <c r="U152" s="28"/>
      <c r="W152" s="14"/>
      <c r="Y152" s="14"/>
      <c r="Z152" s="55"/>
      <c r="AA152" t="b">
        <v>0</v>
      </c>
      <c r="AC152" t="b">
        <v>0</v>
      </c>
      <c r="AE152" t="b">
        <v>0</v>
      </c>
      <c r="AG152" t="b">
        <v>0</v>
      </c>
      <c r="AJ152" s="14"/>
      <c r="AL152" s="14"/>
    </row>
    <row r="153">
      <c r="A153" s="15"/>
      <c r="B153" s="7"/>
      <c r="C153" s="16"/>
      <c r="E153" s="9"/>
      <c r="G153" s="16"/>
      <c r="I153" s="9"/>
      <c r="K153" s="16"/>
      <c r="M153" s="9"/>
      <c r="O153" s="16"/>
      <c r="Q153" s="7"/>
      <c r="R153" s="25"/>
      <c r="S153" s="28"/>
      <c r="U153" s="28"/>
      <c r="W153" s="14"/>
      <c r="Y153" s="14"/>
      <c r="Z153" s="55"/>
      <c r="AA153" t="b">
        <v>0</v>
      </c>
      <c r="AC153" t="b">
        <v>0</v>
      </c>
      <c r="AE153" t="b">
        <v>0</v>
      </c>
      <c r="AG153" t="b">
        <v>0</v>
      </c>
      <c r="AJ153" s="14"/>
      <c r="AL153" s="14"/>
    </row>
    <row r="154">
      <c r="A154" s="15"/>
      <c r="B154" s="7"/>
      <c r="C154" s="16"/>
      <c r="E154" s="9"/>
      <c r="G154" s="16"/>
      <c r="I154" s="9"/>
      <c r="K154" s="16"/>
      <c r="M154" s="9"/>
      <c r="O154" s="16"/>
      <c r="Q154" s="7"/>
      <c r="R154" s="25"/>
      <c r="S154" s="28"/>
      <c r="U154" s="28"/>
      <c r="W154" s="14"/>
      <c r="Y154" s="14"/>
      <c r="Z154" s="55"/>
      <c r="AA154" t="b">
        <v>0</v>
      </c>
      <c r="AC154" t="b">
        <v>0</v>
      </c>
      <c r="AE154" t="b">
        <v>0</v>
      </c>
      <c r="AG154" t="b">
        <v>0</v>
      </c>
      <c r="AJ154" s="14"/>
      <c r="AL154" s="14"/>
    </row>
    <row r="155">
      <c r="A155" s="15"/>
      <c r="B155" s="7"/>
      <c r="C155" s="16"/>
      <c r="E155" s="9"/>
      <c r="G155" s="16"/>
      <c r="I155" s="9"/>
      <c r="K155" s="16"/>
      <c r="M155" s="9"/>
      <c r="O155" s="16"/>
      <c r="Q155" s="7"/>
      <c r="R155" s="25"/>
      <c r="S155" s="28"/>
      <c r="U155" s="28"/>
      <c r="W155" s="14"/>
      <c r="Y155" s="14"/>
      <c r="Z155" s="55"/>
      <c r="AA155" t="b">
        <v>0</v>
      </c>
      <c r="AC155" t="b">
        <v>0</v>
      </c>
      <c r="AE155" t="b">
        <v>0</v>
      </c>
      <c r="AG155" t="b">
        <v>0</v>
      </c>
      <c r="AJ155" s="14"/>
      <c r="AL155" s="14"/>
    </row>
    <row r="156">
      <c r="A156" s="15"/>
      <c r="B156" s="7"/>
      <c r="C156" s="16"/>
      <c r="E156" s="9"/>
      <c r="G156" s="16"/>
      <c r="I156" s="9"/>
      <c r="K156" s="16"/>
      <c r="M156" s="9"/>
      <c r="O156" s="16"/>
      <c r="Q156" s="7"/>
      <c r="R156" s="25"/>
      <c r="S156" s="28"/>
      <c r="U156" s="28"/>
      <c r="W156" s="14"/>
      <c r="Y156" s="14"/>
      <c r="Z156" s="55"/>
      <c r="AA156" t="b">
        <v>0</v>
      </c>
      <c r="AC156" t="b">
        <v>0</v>
      </c>
      <c r="AE156" t="b">
        <v>0</v>
      </c>
      <c r="AG156" t="b">
        <v>0</v>
      </c>
      <c r="AJ156" s="14"/>
      <c r="AL156" s="14"/>
    </row>
    <row r="157">
      <c r="A157" s="15"/>
      <c r="B157" s="7"/>
      <c r="C157" s="16"/>
      <c r="E157" s="9"/>
      <c r="G157" s="16"/>
      <c r="I157" s="9"/>
      <c r="K157" s="16"/>
      <c r="M157" s="9"/>
      <c r="O157" s="16"/>
      <c r="Q157" s="7"/>
      <c r="R157" s="25"/>
      <c r="S157" s="28"/>
      <c r="U157" s="28"/>
      <c r="W157" s="14"/>
      <c r="Y157" s="14"/>
      <c r="Z157" s="55"/>
      <c r="AA157" t="b">
        <v>0</v>
      </c>
      <c r="AC157" t="b">
        <v>0</v>
      </c>
      <c r="AE157" t="b">
        <v>0</v>
      </c>
      <c r="AG157" t="b">
        <v>0</v>
      </c>
      <c r="AJ157" s="14"/>
      <c r="AL157" s="14"/>
    </row>
    <row r="158">
      <c r="A158" s="15"/>
      <c r="B158" s="7"/>
      <c r="C158" s="16"/>
      <c r="E158" s="9"/>
      <c r="G158" s="16"/>
      <c r="I158" s="9"/>
      <c r="K158" s="16"/>
      <c r="M158" s="9"/>
      <c r="O158" s="16"/>
      <c r="Q158" s="7"/>
      <c r="R158" s="25"/>
      <c r="S158" s="28"/>
      <c r="U158" s="28"/>
      <c r="W158" s="14"/>
      <c r="Y158" s="14"/>
      <c r="Z158" s="55"/>
      <c r="AA158" t="b">
        <v>0</v>
      </c>
      <c r="AC158" t="b">
        <v>0</v>
      </c>
      <c r="AE158" t="b">
        <v>0</v>
      </c>
      <c r="AG158" t="b">
        <v>0</v>
      </c>
      <c r="AJ158" s="14"/>
      <c r="AL158" s="14"/>
    </row>
    <row r="159">
      <c r="A159" s="15"/>
      <c r="B159" s="7"/>
      <c r="C159" s="16"/>
      <c r="E159" s="9"/>
      <c r="G159" s="16"/>
      <c r="I159" s="9"/>
      <c r="K159" s="16"/>
      <c r="M159" s="9"/>
      <c r="O159" s="16"/>
      <c r="Q159" s="7"/>
      <c r="R159" s="25"/>
      <c r="S159" s="28"/>
      <c r="U159" s="28"/>
      <c r="W159" s="14"/>
      <c r="Y159" s="14"/>
      <c r="Z159" s="55"/>
      <c r="AA159" t="b">
        <v>0</v>
      </c>
      <c r="AC159" t="b">
        <v>0</v>
      </c>
      <c r="AE159" t="b">
        <v>0</v>
      </c>
      <c r="AG159" t="b">
        <v>0</v>
      </c>
      <c r="AJ159" s="14"/>
      <c r="AL159" s="14"/>
    </row>
    <row r="160">
      <c r="A160" s="15"/>
      <c r="B160" s="7"/>
      <c r="C160" s="16"/>
      <c r="E160" s="9"/>
      <c r="G160" s="16"/>
      <c r="I160" s="9"/>
      <c r="K160" s="16"/>
      <c r="M160" s="9"/>
      <c r="O160" s="16"/>
      <c r="Q160" s="7"/>
      <c r="R160" s="25"/>
      <c r="S160" s="28"/>
      <c r="U160" s="28"/>
      <c r="W160" s="14"/>
      <c r="Y160" s="14"/>
      <c r="Z160" s="55"/>
      <c r="AA160" t="b">
        <v>0</v>
      </c>
      <c r="AC160" t="b">
        <v>0</v>
      </c>
      <c r="AE160" t="b">
        <v>0</v>
      </c>
      <c r="AG160" t="b">
        <v>0</v>
      </c>
      <c r="AJ160" s="14"/>
      <c r="AL160" s="14"/>
    </row>
    <row r="161">
      <c r="A161" s="15"/>
      <c r="B161" s="7"/>
      <c r="C161" s="16"/>
      <c r="E161" s="9"/>
      <c r="G161" s="16"/>
      <c r="I161" s="9"/>
      <c r="K161" s="16"/>
      <c r="M161" s="9"/>
      <c r="O161" s="16"/>
      <c r="Q161" s="7"/>
      <c r="R161" s="25"/>
      <c r="S161" s="28"/>
      <c r="U161" s="28"/>
      <c r="W161" s="14"/>
      <c r="Y161" s="14"/>
      <c r="Z161" s="55"/>
      <c r="AA161" t="b">
        <v>0</v>
      </c>
      <c r="AC161" t="b">
        <v>0</v>
      </c>
      <c r="AE161" t="b">
        <v>0</v>
      </c>
      <c r="AG161" t="b">
        <v>0</v>
      </c>
      <c r="AJ161" s="14"/>
      <c r="AL161" s="14"/>
    </row>
    <row r="162">
      <c r="A162" s="15"/>
      <c r="B162" s="7"/>
      <c r="C162" s="16"/>
      <c r="E162" s="9"/>
      <c r="G162" s="16"/>
      <c r="I162" s="9"/>
      <c r="K162" s="16"/>
      <c r="M162" s="9"/>
      <c r="O162" s="16"/>
      <c r="Q162" s="7"/>
      <c r="R162" s="25"/>
      <c r="S162" s="28"/>
      <c r="U162" s="28"/>
      <c r="W162" s="14"/>
      <c r="Y162" s="14"/>
      <c r="Z162" s="55"/>
      <c r="AA162" t="b">
        <v>0</v>
      </c>
      <c r="AC162" t="b">
        <v>0</v>
      </c>
      <c r="AE162" t="b">
        <v>0</v>
      </c>
      <c r="AG162" t="b">
        <v>0</v>
      </c>
      <c r="AJ162" s="14"/>
      <c r="AL162" s="14"/>
    </row>
    <row r="163">
      <c r="A163" s="15"/>
      <c r="B163" s="7"/>
      <c r="C163" s="16"/>
      <c r="E163" s="9"/>
      <c r="G163" s="16"/>
      <c r="I163" s="9"/>
      <c r="K163" s="16"/>
      <c r="M163" s="9"/>
      <c r="O163" s="16"/>
      <c r="Q163" s="7"/>
      <c r="R163" s="25"/>
      <c r="S163" s="28"/>
      <c r="U163" s="28"/>
      <c r="W163" s="14"/>
      <c r="Y163" s="14"/>
      <c r="Z163" s="55"/>
      <c r="AA163" t="b">
        <v>0</v>
      </c>
      <c r="AC163" t="b">
        <v>0</v>
      </c>
      <c r="AE163" t="b">
        <v>0</v>
      </c>
      <c r="AG163" t="b">
        <v>0</v>
      </c>
      <c r="AJ163" s="14"/>
      <c r="AL163" s="14"/>
    </row>
    <row r="164">
      <c r="A164" s="15"/>
      <c r="B164" s="7"/>
      <c r="C164" s="16"/>
      <c r="E164" s="9"/>
      <c r="G164" s="16"/>
      <c r="I164" s="9"/>
      <c r="K164" s="16"/>
      <c r="M164" s="9"/>
      <c r="O164" s="16"/>
      <c r="Q164" s="7"/>
      <c r="R164" s="25"/>
      <c r="S164" s="28"/>
      <c r="U164" s="28"/>
      <c r="W164" s="14"/>
      <c r="Y164" s="14"/>
      <c r="Z164" s="55"/>
      <c r="AA164" t="b">
        <v>0</v>
      </c>
      <c r="AC164" t="b">
        <v>0</v>
      </c>
      <c r="AE164" t="b">
        <v>0</v>
      </c>
      <c r="AG164" t="b">
        <v>0</v>
      </c>
      <c r="AJ164" s="14"/>
      <c r="AL164" s="14"/>
    </row>
    <row r="165">
      <c r="A165" s="15"/>
      <c r="B165" s="7"/>
      <c r="C165" s="16"/>
      <c r="E165" s="9"/>
      <c r="G165" s="16"/>
      <c r="I165" s="9"/>
      <c r="K165" s="16"/>
      <c r="M165" s="9"/>
      <c r="O165" s="16"/>
      <c r="Q165" s="7"/>
      <c r="R165" s="25"/>
      <c r="S165" s="28"/>
      <c r="U165" s="28"/>
      <c r="W165" s="14"/>
      <c r="Y165" s="14"/>
      <c r="Z165" s="55"/>
      <c r="AA165" t="b">
        <v>0</v>
      </c>
      <c r="AC165" t="b">
        <v>0</v>
      </c>
      <c r="AE165" t="b">
        <v>0</v>
      </c>
      <c r="AG165" t="b">
        <v>0</v>
      </c>
      <c r="AJ165" s="14"/>
      <c r="AL165" s="14"/>
    </row>
    <row r="166">
      <c r="A166" s="15"/>
      <c r="B166" s="7"/>
      <c r="C166" s="16"/>
      <c r="E166" s="9"/>
      <c r="G166" s="16"/>
      <c r="I166" s="9"/>
      <c r="K166" s="16"/>
      <c r="M166" s="9"/>
      <c r="O166" s="16"/>
      <c r="Q166" s="7"/>
      <c r="R166" s="25"/>
      <c r="S166" s="28"/>
      <c r="U166" s="28"/>
      <c r="W166" s="14"/>
      <c r="Y166" s="14"/>
      <c r="Z166" s="55"/>
      <c r="AA166" t="b">
        <v>0</v>
      </c>
      <c r="AC166" t="b">
        <v>0</v>
      </c>
      <c r="AE166" t="b">
        <v>0</v>
      </c>
      <c r="AG166" t="b">
        <v>0</v>
      </c>
      <c r="AJ166" s="14"/>
      <c r="AL166" s="14"/>
    </row>
    <row r="167">
      <c r="A167" s="15"/>
      <c r="B167" s="7"/>
      <c r="C167" s="16"/>
      <c r="E167" s="9"/>
      <c r="G167" s="16"/>
      <c r="I167" s="9"/>
      <c r="K167" s="16"/>
      <c r="M167" s="9"/>
      <c r="O167" s="16"/>
      <c r="Q167" s="7"/>
      <c r="R167" s="25"/>
      <c r="S167" s="28"/>
      <c r="U167" s="28"/>
      <c r="W167" s="14"/>
      <c r="Y167" s="14"/>
      <c r="Z167" s="55"/>
      <c r="AA167" t="b">
        <v>0</v>
      </c>
      <c r="AC167" t="b">
        <v>0</v>
      </c>
      <c r="AE167" t="b">
        <v>0</v>
      </c>
      <c r="AG167" t="b">
        <v>0</v>
      </c>
      <c r="AJ167" s="14"/>
      <c r="AL167" s="14"/>
    </row>
    <row r="168">
      <c r="A168" s="15"/>
      <c r="B168" s="7"/>
      <c r="C168" s="16"/>
      <c r="E168" s="9"/>
      <c r="G168" s="16"/>
      <c r="I168" s="9"/>
      <c r="K168" s="16"/>
      <c r="M168" s="9"/>
      <c r="O168" s="16"/>
      <c r="Q168" s="7"/>
      <c r="R168" s="25"/>
      <c r="S168" s="28"/>
      <c r="U168" s="28"/>
      <c r="W168" s="14"/>
      <c r="Y168" s="14"/>
      <c r="Z168" s="55"/>
      <c r="AA168" t="b">
        <v>0</v>
      </c>
      <c r="AC168" t="b">
        <v>0</v>
      </c>
      <c r="AE168" t="b">
        <v>0</v>
      </c>
      <c r="AG168" t="b">
        <v>0</v>
      </c>
      <c r="AJ168" s="14"/>
      <c r="AL168" s="14"/>
    </row>
    <row r="169">
      <c r="A169" s="15"/>
      <c r="B169" s="7"/>
      <c r="C169" s="16"/>
      <c r="E169" s="9"/>
      <c r="G169" s="16"/>
      <c r="I169" s="9"/>
      <c r="K169" s="16"/>
      <c r="M169" s="9"/>
      <c r="O169" s="16"/>
      <c r="Q169" s="7"/>
      <c r="R169" s="25"/>
      <c r="S169" s="28"/>
      <c r="U169" s="28"/>
      <c r="W169" s="14"/>
      <c r="Y169" s="14"/>
      <c r="Z169" s="55"/>
      <c r="AA169" t="b">
        <v>0</v>
      </c>
      <c r="AC169" t="b">
        <v>0</v>
      </c>
      <c r="AE169" t="b">
        <v>0</v>
      </c>
      <c r="AG169" t="b">
        <v>0</v>
      </c>
      <c r="AJ169" s="14"/>
      <c r="AL169" s="14"/>
    </row>
    <row r="170">
      <c r="A170" s="15"/>
      <c r="B170" s="7"/>
      <c r="C170" s="16"/>
      <c r="E170" s="9"/>
      <c r="G170" s="16"/>
      <c r="I170" s="9"/>
      <c r="K170" s="16"/>
      <c r="M170" s="9"/>
      <c r="O170" s="16"/>
      <c r="Q170" s="7"/>
      <c r="R170" s="25"/>
      <c r="S170" s="28"/>
      <c r="U170" s="28"/>
      <c r="W170" s="14"/>
      <c r="Y170" s="14"/>
      <c r="Z170" s="55"/>
      <c r="AA170" t="b">
        <v>0</v>
      </c>
      <c r="AC170" t="b">
        <v>0</v>
      </c>
      <c r="AE170" t="b">
        <v>0</v>
      </c>
      <c r="AG170" t="b">
        <v>0</v>
      </c>
      <c r="AJ170" s="14"/>
      <c r="AL170" s="14"/>
    </row>
    <row r="171">
      <c r="A171" s="15"/>
      <c r="B171" s="7"/>
      <c r="C171" s="16"/>
      <c r="E171" s="9"/>
      <c r="G171" s="16"/>
      <c r="I171" s="9"/>
      <c r="K171" s="16"/>
      <c r="M171" s="9"/>
      <c r="O171" s="16"/>
      <c r="Q171" s="7"/>
      <c r="R171" s="25"/>
      <c r="S171" s="28"/>
      <c r="U171" s="28"/>
      <c r="W171" s="14"/>
      <c r="Y171" s="14"/>
      <c r="Z171" s="55"/>
      <c r="AA171" t="b">
        <v>0</v>
      </c>
      <c r="AC171" t="b">
        <v>0</v>
      </c>
      <c r="AE171" t="b">
        <v>0</v>
      </c>
      <c r="AG171" t="b">
        <v>0</v>
      </c>
      <c r="AJ171" s="14"/>
      <c r="AL171" s="14"/>
    </row>
    <row r="172">
      <c r="A172" s="15"/>
      <c r="B172" s="7"/>
      <c r="C172" s="16"/>
      <c r="E172" s="9"/>
      <c r="G172" s="16"/>
      <c r="I172" s="9"/>
      <c r="K172" s="16"/>
      <c r="M172" s="9"/>
      <c r="O172" s="16"/>
      <c r="Q172" s="7"/>
      <c r="R172" s="25"/>
      <c r="S172" s="28"/>
      <c r="U172" s="28"/>
      <c r="W172" s="14"/>
      <c r="Y172" s="14"/>
      <c r="Z172" s="55"/>
      <c r="AA172" t="b">
        <v>0</v>
      </c>
      <c r="AC172" t="b">
        <v>0</v>
      </c>
      <c r="AE172" t="b">
        <v>0</v>
      </c>
      <c r="AG172" t="b">
        <v>0</v>
      </c>
      <c r="AJ172" s="14"/>
      <c r="AL172" s="14"/>
    </row>
    <row r="173">
      <c r="A173" s="15"/>
      <c r="B173" s="7"/>
      <c r="C173" s="16"/>
      <c r="E173" s="9"/>
      <c r="G173" s="16"/>
      <c r="I173" s="9"/>
      <c r="K173" s="16"/>
      <c r="M173" s="9"/>
      <c r="O173" s="16"/>
      <c r="Q173" s="7"/>
      <c r="R173" s="25"/>
      <c r="S173" s="28"/>
      <c r="U173" s="28"/>
      <c r="W173" s="14"/>
      <c r="Y173" s="14"/>
      <c r="Z173" s="55"/>
      <c r="AA173" t="b">
        <v>0</v>
      </c>
      <c r="AC173" t="b">
        <v>0</v>
      </c>
      <c r="AE173" t="b">
        <v>0</v>
      </c>
      <c r="AG173" t="b">
        <v>0</v>
      </c>
      <c r="AJ173" s="14"/>
      <c r="AL173" s="14"/>
    </row>
    <row r="174">
      <c r="A174" s="15"/>
      <c r="B174" s="7"/>
      <c r="C174" s="16"/>
      <c r="E174" s="9"/>
      <c r="G174" s="16"/>
      <c r="I174" s="9"/>
      <c r="K174" s="16"/>
      <c r="M174" s="9"/>
      <c r="O174" s="16"/>
      <c r="Q174" s="7"/>
      <c r="R174" s="25"/>
      <c r="S174" s="28"/>
      <c r="U174" s="28"/>
      <c r="W174" s="14"/>
      <c r="Y174" s="14"/>
      <c r="Z174" s="55"/>
      <c r="AA174" t="b">
        <v>0</v>
      </c>
      <c r="AC174" t="b">
        <v>0</v>
      </c>
      <c r="AE174" t="b">
        <v>0</v>
      </c>
      <c r="AG174" t="b">
        <v>0</v>
      </c>
      <c r="AJ174" s="14"/>
      <c r="AL174" s="14"/>
    </row>
    <row r="175">
      <c r="A175" s="15"/>
      <c r="B175" s="7"/>
      <c r="C175" s="16"/>
      <c r="E175" s="9"/>
      <c r="G175" s="16"/>
      <c r="I175" s="9"/>
      <c r="K175" s="16"/>
      <c r="M175" s="9"/>
      <c r="O175" s="16"/>
      <c r="Q175" s="7"/>
      <c r="R175" s="25"/>
      <c r="S175" s="28"/>
      <c r="U175" s="28"/>
      <c r="W175" s="14"/>
      <c r="Y175" s="14"/>
      <c r="Z175" s="55"/>
      <c r="AA175" t="b">
        <v>0</v>
      </c>
      <c r="AC175" t="b">
        <v>0</v>
      </c>
      <c r="AE175" t="b">
        <v>0</v>
      </c>
      <c r="AG175" t="b">
        <v>0</v>
      </c>
      <c r="AJ175" s="14"/>
      <c r="AL175" s="14"/>
    </row>
    <row r="176">
      <c r="A176" s="15"/>
      <c r="B176" s="7"/>
      <c r="C176" s="16"/>
      <c r="E176" s="9"/>
      <c r="G176" s="16"/>
      <c r="I176" s="9"/>
      <c r="K176" s="16"/>
      <c r="M176" s="9"/>
      <c r="O176" s="16"/>
      <c r="Q176" s="7"/>
      <c r="R176" s="25"/>
      <c r="S176" s="28"/>
      <c r="U176" s="28"/>
      <c r="W176" s="14"/>
      <c r="Y176" s="14"/>
      <c r="Z176" s="55"/>
      <c r="AA176" t="b">
        <v>0</v>
      </c>
      <c r="AC176" t="b">
        <v>0</v>
      </c>
      <c r="AE176" t="b">
        <v>0</v>
      </c>
      <c r="AG176" t="b">
        <v>0</v>
      </c>
      <c r="AJ176" s="14"/>
      <c r="AL176" s="14"/>
    </row>
    <row r="177">
      <c r="A177" s="15"/>
      <c r="B177" s="7"/>
      <c r="C177" s="16"/>
      <c r="E177" s="9"/>
      <c r="G177" s="16"/>
      <c r="I177" s="9"/>
      <c r="K177" s="16"/>
      <c r="M177" s="9"/>
      <c r="O177" s="16"/>
      <c r="Q177" s="7"/>
      <c r="R177" s="25"/>
      <c r="S177" s="28"/>
      <c r="U177" s="28"/>
      <c r="W177" s="14"/>
      <c r="Y177" s="14"/>
      <c r="Z177" s="55"/>
      <c r="AA177" t="b">
        <v>0</v>
      </c>
      <c r="AC177" t="b">
        <v>0</v>
      </c>
      <c r="AE177" t="b">
        <v>0</v>
      </c>
      <c r="AG177" t="b">
        <v>0</v>
      </c>
      <c r="AJ177" s="14"/>
      <c r="AL177" s="14"/>
    </row>
    <row r="178">
      <c r="A178" s="15"/>
      <c r="B178" s="7"/>
      <c r="C178" s="16"/>
      <c r="E178" s="9"/>
      <c r="G178" s="16"/>
      <c r="I178" s="9"/>
      <c r="K178" s="16"/>
      <c r="M178" s="9"/>
      <c r="O178" s="16"/>
      <c r="Q178" s="7"/>
      <c r="R178" s="25"/>
      <c r="S178" s="28"/>
      <c r="U178" s="28"/>
      <c r="W178" s="14"/>
      <c r="Y178" s="14"/>
      <c r="Z178" s="55"/>
      <c r="AA178" t="b">
        <v>0</v>
      </c>
      <c r="AC178" t="b">
        <v>0</v>
      </c>
      <c r="AE178" t="b">
        <v>0</v>
      </c>
      <c r="AG178" t="b">
        <v>0</v>
      </c>
      <c r="AJ178" s="14"/>
      <c r="AL178" s="14"/>
    </row>
    <row r="179">
      <c r="A179" s="15"/>
      <c r="B179" s="7"/>
      <c r="C179" s="16"/>
      <c r="E179" s="9"/>
      <c r="G179" s="16"/>
      <c r="I179" s="9"/>
      <c r="K179" s="16"/>
      <c r="M179" s="9"/>
      <c r="O179" s="16"/>
      <c r="Q179" s="7"/>
      <c r="R179" s="25"/>
      <c r="S179" s="28"/>
      <c r="U179" s="28"/>
      <c r="W179" s="14"/>
      <c r="Y179" s="14"/>
      <c r="Z179" s="55"/>
      <c r="AA179" t="b">
        <v>0</v>
      </c>
      <c r="AC179" t="b">
        <v>0</v>
      </c>
      <c r="AE179" t="b">
        <v>0</v>
      </c>
      <c r="AG179" t="b">
        <v>0</v>
      </c>
      <c r="AJ179" s="14"/>
      <c r="AL179" s="14"/>
    </row>
    <row r="180">
      <c r="A180" s="15"/>
      <c r="B180" s="7"/>
      <c r="C180" s="16"/>
      <c r="E180" s="9"/>
      <c r="G180" s="16"/>
      <c r="I180" s="9"/>
      <c r="K180" s="16"/>
      <c r="M180" s="9"/>
      <c r="O180" s="16"/>
      <c r="Q180" s="7"/>
      <c r="R180" s="25"/>
      <c r="S180" s="28"/>
      <c r="U180" s="28"/>
      <c r="W180" s="14"/>
      <c r="Y180" s="14"/>
      <c r="Z180" s="55"/>
      <c r="AA180" t="b">
        <v>0</v>
      </c>
      <c r="AC180" t="b">
        <v>0</v>
      </c>
      <c r="AE180" t="b">
        <v>0</v>
      </c>
      <c r="AG180" t="b">
        <v>0</v>
      </c>
      <c r="AJ180" s="14"/>
      <c r="AL180" s="14"/>
    </row>
    <row r="181">
      <c r="A181" s="15"/>
      <c r="B181" s="7"/>
      <c r="C181" s="16"/>
      <c r="E181" s="9"/>
      <c r="G181" s="16"/>
      <c r="I181" s="9"/>
      <c r="K181" s="16"/>
      <c r="M181" s="9"/>
      <c r="O181" s="16"/>
      <c r="Q181" s="7"/>
      <c r="R181" s="25"/>
      <c r="S181" s="28"/>
      <c r="U181" s="28"/>
      <c r="W181" s="14"/>
      <c r="Y181" s="14"/>
      <c r="Z181" s="55"/>
      <c r="AA181" t="b">
        <v>0</v>
      </c>
      <c r="AC181" t="b">
        <v>0</v>
      </c>
      <c r="AE181" t="b">
        <v>0</v>
      </c>
      <c r="AG181" t="b">
        <v>0</v>
      </c>
      <c r="AJ181" s="14"/>
      <c r="AL181" s="14"/>
    </row>
    <row r="182">
      <c r="A182" s="15"/>
      <c r="B182" s="7"/>
      <c r="C182" s="16"/>
      <c r="E182" s="9"/>
      <c r="G182" s="16"/>
      <c r="I182" s="9"/>
      <c r="K182" s="16"/>
      <c r="M182" s="9"/>
      <c r="O182" s="16"/>
      <c r="Q182" s="7"/>
      <c r="R182" s="25"/>
      <c r="S182" s="28"/>
      <c r="U182" s="28"/>
      <c r="W182" s="14"/>
      <c r="Y182" s="14"/>
      <c r="Z182" s="55"/>
      <c r="AA182" t="b">
        <v>0</v>
      </c>
      <c r="AC182" t="b">
        <v>0</v>
      </c>
      <c r="AE182" t="b">
        <v>0</v>
      </c>
      <c r="AG182" t="b">
        <v>0</v>
      </c>
      <c r="AJ182" s="14"/>
      <c r="AL182" s="14"/>
    </row>
    <row r="183">
      <c r="A183" s="15"/>
      <c r="B183" s="7"/>
      <c r="C183" s="16"/>
      <c r="E183" s="9"/>
      <c r="G183" s="16"/>
      <c r="I183" s="9"/>
      <c r="K183" s="16"/>
      <c r="M183" s="9"/>
      <c r="O183" s="16"/>
      <c r="Q183" s="7"/>
      <c r="R183" s="25"/>
      <c r="S183" s="28"/>
      <c r="U183" s="28"/>
      <c r="W183" s="14"/>
      <c r="Y183" s="14"/>
      <c r="Z183" s="55"/>
      <c r="AA183" t="b">
        <v>0</v>
      </c>
      <c r="AC183" t="b">
        <v>0</v>
      </c>
      <c r="AE183" t="b">
        <v>0</v>
      </c>
      <c r="AG183" t="b">
        <v>0</v>
      </c>
      <c r="AJ183" s="14"/>
      <c r="AL183" s="14"/>
    </row>
    <row r="184">
      <c r="A184" s="15"/>
      <c r="B184" s="7"/>
      <c r="C184" s="16"/>
      <c r="E184" s="9"/>
      <c r="G184" s="16"/>
      <c r="I184" s="9"/>
      <c r="K184" s="16"/>
      <c r="M184" s="9"/>
      <c r="O184" s="16"/>
      <c r="Q184" s="7"/>
      <c r="R184" s="25"/>
      <c r="S184" s="28"/>
      <c r="U184" s="28"/>
      <c r="W184" s="14"/>
      <c r="Y184" s="14"/>
      <c r="Z184" s="55"/>
      <c r="AA184" t="b">
        <v>0</v>
      </c>
      <c r="AC184" t="b">
        <v>0</v>
      </c>
      <c r="AE184" t="b">
        <v>0</v>
      </c>
      <c r="AG184" t="b">
        <v>0</v>
      </c>
      <c r="AJ184" s="14"/>
      <c r="AL184" s="14"/>
    </row>
    <row r="185">
      <c r="A185" s="15"/>
      <c r="B185" s="7"/>
      <c r="C185" s="16"/>
      <c r="E185" s="9"/>
      <c r="G185" s="16"/>
      <c r="I185" s="9"/>
      <c r="K185" s="16"/>
      <c r="M185" s="9"/>
      <c r="O185" s="16"/>
      <c r="Q185" s="7"/>
      <c r="R185" s="25"/>
      <c r="S185" s="28"/>
      <c r="U185" s="28"/>
      <c r="W185" s="14"/>
      <c r="Y185" s="14"/>
      <c r="Z185" s="55"/>
      <c r="AA185" t="b">
        <v>0</v>
      </c>
      <c r="AC185" t="b">
        <v>0</v>
      </c>
      <c r="AE185" t="b">
        <v>0</v>
      </c>
      <c r="AG185" t="b">
        <v>0</v>
      </c>
      <c r="AJ185" s="14"/>
      <c r="AL185" s="14"/>
    </row>
    <row r="186">
      <c r="A186" s="15"/>
      <c r="B186" s="7"/>
      <c r="C186" s="16"/>
      <c r="E186" s="9"/>
      <c r="G186" s="16"/>
      <c r="I186" s="9"/>
      <c r="K186" s="16"/>
      <c r="M186" s="9"/>
      <c r="O186" s="16"/>
      <c r="Q186" s="7"/>
      <c r="R186" s="25"/>
      <c r="S186" s="28"/>
      <c r="U186" s="28"/>
      <c r="W186" s="14"/>
      <c r="Y186" s="14"/>
      <c r="Z186" s="55"/>
      <c r="AA186" t="b">
        <v>0</v>
      </c>
      <c r="AC186" t="b">
        <v>0</v>
      </c>
      <c r="AE186" t="b">
        <v>0</v>
      </c>
      <c r="AG186" t="b">
        <v>0</v>
      </c>
      <c r="AJ186" s="14"/>
      <c r="AL186" s="14"/>
    </row>
    <row r="187">
      <c r="A187" s="15"/>
      <c r="B187" s="7"/>
      <c r="C187" s="16"/>
      <c r="E187" s="9"/>
      <c r="G187" s="16"/>
      <c r="I187" s="9"/>
      <c r="K187" s="16"/>
      <c r="M187" s="9"/>
      <c r="O187" s="16"/>
      <c r="Q187" s="7"/>
      <c r="R187" s="25"/>
      <c r="S187" s="28"/>
      <c r="U187" s="28"/>
      <c r="W187" s="14"/>
      <c r="Y187" s="14"/>
      <c r="Z187" s="55"/>
      <c r="AA187" t="b">
        <v>0</v>
      </c>
      <c r="AC187" t="b">
        <v>0</v>
      </c>
      <c r="AE187" t="b">
        <v>0</v>
      </c>
      <c r="AG187" t="b">
        <v>0</v>
      </c>
      <c r="AJ187" s="14"/>
      <c r="AL187" s="14"/>
    </row>
    <row r="188">
      <c r="A188" s="15"/>
      <c r="B188" s="7"/>
      <c r="C188" s="16"/>
      <c r="E188" s="9"/>
      <c r="G188" s="16"/>
      <c r="I188" s="9"/>
      <c r="K188" s="16"/>
      <c r="M188" s="9"/>
      <c r="O188" s="16"/>
      <c r="Q188" s="7"/>
      <c r="R188" s="25"/>
      <c r="S188" s="28"/>
      <c r="U188" s="28"/>
      <c r="W188" s="14"/>
      <c r="Y188" s="14"/>
      <c r="Z188" s="55"/>
      <c r="AA188" t="b">
        <v>0</v>
      </c>
      <c r="AC188" t="b">
        <v>0</v>
      </c>
      <c r="AE188" t="b">
        <v>0</v>
      </c>
      <c r="AG188" t="b">
        <v>0</v>
      </c>
      <c r="AJ188" s="14"/>
      <c r="AL188" s="14"/>
    </row>
    <row r="189">
      <c r="A189" s="15"/>
      <c r="B189" s="7"/>
      <c r="C189" s="16"/>
      <c r="E189" s="9"/>
      <c r="G189" s="16"/>
      <c r="I189" s="9"/>
      <c r="K189" s="16"/>
      <c r="M189" s="9"/>
      <c r="O189" s="16"/>
      <c r="Q189" s="7"/>
      <c r="R189" s="25"/>
      <c r="S189" s="28"/>
      <c r="U189" s="28"/>
      <c r="W189" s="14"/>
      <c r="Y189" s="14"/>
      <c r="Z189" s="55"/>
      <c r="AA189" t="b">
        <v>0</v>
      </c>
      <c r="AC189" t="b">
        <v>0</v>
      </c>
      <c r="AE189" t="b">
        <v>0</v>
      </c>
      <c r="AG189" t="b">
        <v>0</v>
      </c>
      <c r="AJ189" s="14"/>
      <c r="AL189" s="14"/>
    </row>
    <row r="190">
      <c r="A190" s="15"/>
      <c r="B190" s="7"/>
      <c r="C190" s="16"/>
      <c r="E190" s="9"/>
      <c r="G190" s="16"/>
      <c r="I190" s="9"/>
      <c r="K190" s="16"/>
      <c r="M190" s="9"/>
      <c r="O190" s="16"/>
      <c r="Q190" s="7"/>
      <c r="R190" s="25"/>
      <c r="S190" s="28"/>
      <c r="U190" s="28"/>
      <c r="W190" s="14"/>
      <c r="Y190" s="14"/>
      <c r="Z190" s="55"/>
      <c r="AA190" t="b">
        <v>0</v>
      </c>
      <c r="AC190" t="b">
        <v>0</v>
      </c>
      <c r="AE190" t="b">
        <v>0</v>
      </c>
      <c r="AG190" t="b">
        <v>0</v>
      </c>
      <c r="AJ190" s="14"/>
      <c r="AL190" s="14"/>
    </row>
    <row r="191">
      <c r="A191" s="15"/>
      <c r="B191" s="7"/>
      <c r="C191" s="16"/>
      <c r="E191" s="9"/>
      <c r="G191" s="16"/>
      <c r="I191" s="9"/>
      <c r="K191" s="16"/>
      <c r="M191" s="9"/>
      <c r="O191" s="16"/>
      <c r="Q191" s="7"/>
      <c r="R191" s="25"/>
      <c r="S191" s="28"/>
      <c r="U191" s="28"/>
      <c r="W191" s="14"/>
      <c r="Y191" s="14"/>
      <c r="Z191" s="55"/>
      <c r="AA191" t="b">
        <v>0</v>
      </c>
      <c r="AC191" t="b">
        <v>0</v>
      </c>
      <c r="AE191" t="b">
        <v>0</v>
      </c>
      <c r="AG191" t="b">
        <v>0</v>
      </c>
      <c r="AJ191" s="14"/>
      <c r="AL191" s="14"/>
    </row>
    <row r="192">
      <c r="A192" s="15"/>
      <c r="B192" s="7"/>
      <c r="C192" s="16"/>
      <c r="E192" s="9"/>
      <c r="G192" s="16"/>
      <c r="I192" s="9"/>
      <c r="K192" s="16"/>
      <c r="M192" s="9"/>
      <c r="O192" s="16"/>
      <c r="Q192" s="7"/>
      <c r="R192" s="25"/>
      <c r="S192" s="28"/>
      <c r="U192" s="28"/>
      <c r="W192" s="14"/>
      <c r="Y192" s="14"/>
      <c r="Z192" s="55"/>
      <c r="AA192" t="b">
        <v>0</v>
      </c>
      <c r="AC192" t="b">
        <v>0</v>
      </c>
      <c r="AE192" t="b">
        <v>0</v>
      </c>
      <c r="AG192" t="b">
        <v>0</v>
      </c>
      <c r="AJ192" s="14"/>
      <c r="AL192" s="14"/>
    </row>
    <row r="193">
      <c r="A193" s="15"/>
      <c r="B193" s="7"/>
      <c r="C193" s="16"/>
      <c r="E193" s="9"/>
      <c r="G193" s="16"/>
      <c r="I193" s="9"/>
      <c r="K193" s="16"/>
      <c r="M193" s="9"/>
      <c r="O193" s="16"/>
      <c r="Q193" s="7"/>
      <c r="R193" s="25"/>
      <c r="S193" s="28"/>
      <c r="U193" s="28"/>
      <c r="W193" s="14"/>
      <c r="Y193" s="14"/>
      <c r="Z193" s="55"/>
      <c r="AA193" t="b">
        <v>0</v>
      </c>
      <c r="AC193" t="b">
        <v>0</v>
      </c>
      <c r="AE193" t="b">
        <v>0</v>
      </c>
      <c r="AG193" t="b">
        <v>0</v>
      </c>
      <c r="AJ193" s="14"/>
      <c r="AL193" s="14"/>
    </row>
    <row r="194">
      <c r="A194" s="15"/>
      <c r="B194" s="7"/>
      <c r="C194" s="16"/>
      <c r="E194" s="9"/>
      <c r="G194" s="16"/>
      <c r="I194" s="9"/>
      <c r="K194" s="16"/>
      <c r="M194" s="9"/>
      <c r="O194" s="16"/>
      <c r="Q194" s="7"/>
      <c r="R194" s="25"/>
      <c r="S194" s="28"/>
      <c r="U194" s="28"/>
      <c r="W194" s="14"/>
      <c r="Y194" s="14"/>
      <c r="Z194" s="55"/>
      <c r="AA194" t="b">
        <v>0</v>
      </c>
      <c r="AC194" t="b">
        <v>0</v>
      </c>
      <c r="AE194" t="b">
        <v>0</v>
      </c>
      <c r="AG194" t="b">
        <v>0</v>
      </c>
      <c r="AJ194" s="14"/>
      <c r="AL194" s="14"/>
    </row>
    <row r="195">
      <c r="A195" s="15"/>
      <c r="B195" s="7"/>
      <c r="C195" s="16"/>
      <c r="E195" s="9"/>
      <c r="G195" s="16"/>
      <c r="I195" s="9"/>
      <c r="K195" s="16"/>
      <c r="M195" s="9"/>
      <c r="O195" s="16"/>
      <c r="Q195" s="7"/>
      <c r="R195" s="25"/>
      <c r="S195" s="28"/>
      <c r="U195" s="28"/>
      <c r="W195" s="14"/>
      <c r="Y195" s="14"/>
      <c r="Z195" s="55"/>
      <c r="AA195" t="b">
        <v>0</v>
      </c>
      <c r="AC195" t="b">
        <v>0</v>
      </c>
      <c r="AE195" t="b">
        <v>0</v>
      </c>
      <c r="AG195" t="b">
        <v>0</v>
      </c>
      <c r="AJ195" s="14"/>
      <c r="AL195" s="14"/>
    </row>
    <row r="196">
      <c r="A196" s="15"/>
      <c r="B196" s="7"/>
      <c r="C196" s="16"/>
      <c r="E196" s="9"/>
      <c r="G196" s="16"/>
      <c r="I196" s="9"/>
      <c r="K196" s="16"/>
      <c r="M196" s="9"/>
      <c r="O196" s="16"/>
      <c r="Q196" s="7"/>
      <c r="R196" s="25"/>
      <c r="S196" s="28"/>
      <c r="U196" s="28"/>
      <c r="W196" s="14"/>
      <c r="Y196" s="14"/>
      <c r="Z196" s="55"/>
      <c r="AA196" t="b">
        <v>0</v>
      </c>
      <c r="AC196" t="b">
        <v>0</v>
      </c>
      <c r="AE196" t="b">
        <v>0</v>
      </c>
      <c r="AG196" t="b">
        <v>0</v>
      </c>
      <c r="AJ196" s="14"/>
      <c r="AL196" s="14"/>
    </row>
    <row r="197">
      <c r="A197" s="15"/>
      <c r="B197" s="7"/>
      <c r="C197" s="16"/>
      <c r="E197" s="9"/>
      <c r="G197" s="16"/>
      <c r="I197" s="9"/>
      <c r="K197" s="16"/>
      <c r="M197" s="9"/>
      <c r="O197" s="16"/>
      <c r="Q197" s="7"/>
      <c r="R197" s="25"/>
      <c r="S197" s="28"/>
      <c r="U197" s="28"/>
      <c r="W197" s="14"/>
      <c r="Y197" s="14"/>
      <c r="Z197" s="55"/>
      <c r="AA197" t="b">
        <v>0</v>
      </c>
      <c r="AC197" t="b">
        <v>0</v>
      </c>
      <c r="AE197" t="b">
        <v>0</v>
      </c>
      <c r="AG197" t="b">
        <v>0</v>
      </c>
      <c r="AJ197" s="14"/>
      <c r="AL197" s="14"/>
    </row>
    <row r="198">
      <c r="A198" s="15"/>
      <c r="B198" s="7"/>
      <c r="C198" s="16"/>
      <c r="E198" s="9"/>
      <c r="G198" s="16"/>
      <c r="I198" s="9"/>
      <c r="K198" s="16"/>
      <c r="M198" s="9"/>
      <c r="O198" s="16"/>
      <c r="Q198" s="7"/>
      <c r="R198" s="25"/>
      <c r="S198" s="28"/>
      <c r="U198" s="28"/>
      <c r="W198" s="14"/>
      <c r="Y198" s="14"/>
      <c r="Z198" s="55"/>
      <c r="AA198" t="b">
        <v>0</v>
      </c>
      <c r="AC198" t="b">
        <v>0</v>
      </c>
      <c r="AE198" t="b">
        <v>0</v>
      </c>
      <c r="AG198" t="b">
        <v>0</v>
      </c>
      <c r="AJ198" s="14"/>
      <c r="AL198" s="14"/>
    </row>
    <row r="199">
      <c r="A199" s="15"/>
      <c r="B199" s="7"/>
      <c r="C199" s="16"/>
      <c r="E199" s="9"/>
      <c r="G199" s="16"/>
      <c r="I199" s="9"/>
      <c r="K199" s="16"/>
      <c r="M199" s="9"/>
      <c r="O199" s="16"/>
      <c r="Q199" s="7"/>
      <c r="R199" s="25"/>
      <c r="S199" s="28"/>
      <c r="U199" s="28"/>
      <c r="W199" s="14"/>
      <c r="Y199" s="14"/>
      <c r="Z199" s="55"/>
      <c r="AA199" t="b">
        <v>0</v>
      </c>
      <c r="AC199" t="b">
        <v>0</v>
      </c>
      <c r="AE199" t="b">
        <v>0</v>
      </c>
      <c r="AG199" t="b">
        <v>0</v>
      </c>
      <c r="AJ199" s="14"/>
      <c r="AL199" s="14"/>
    </row>
    <row r="200">
      <c r="A200" s="15"/>
      <c r="B200" s="7"/>
      <c r="C200" s="16"/>
      <c r="E200" s="9"/>
      <c r="G200" s="16"/>
      <c r="I200" s="9"/>
      <c r="K200" s="16"/>
      <c r="M200" s="9"/>
      <c r="O200" s="16"/>
      <c r="Q200" s="7"/>
      <c r="R200" s="25"/>
      <c r="S200" s="28"/>
      <c r="U200" s="28"/>
      <c r="W200" s="14"/>
      <c r="Y200" s="14"/>
      <c r="Z200" s="55"/>
      <c r="AA200" t="b">
        <v>0</v>
      </c>
      <c r="AC200" t="b">
        <v>0</v>
      </c>
      <c r="AE200" t="b">
        <v>0</v>
      </c>
      <c r="AG200" t="b">
        <v>0</v>
      </c>
      <c r="AJ200" s="14"/>
      <c r="AL200" s="14"/>
    </row>
    <row r="201">
      <c r="A201" s="15"/>
      <c r="B201" s="7"/>
      <c r="C201" s="16"/>
      <c r="E201" s="9"/>
      <c r="G201" s="16"/>
      <c r="I201" s="9"/>
      <c r="K201" s="16"/>
      <c r="M201" s="9"/>
      <c r="O201" s="16"/>
      <c r="Q201" s="7"/>
      <c r="R201" s="25"/>
      <c r="S201" s="28"/>
      <c r="U201" s="28"/>
      <c r="W201" s="14"/>
      <c r="Y201" s="14"/>
      <c r="Z201" s="55"/>
      <c r="AA201" t="b">
        <v>0</v>
      </c>
      <c r="AC201" t="b">
        <v>0</v>
      </c>
      <c r="AE201" t="b">
        <v>0</v>
      </c>
      <c r="AG201" t="b">
        <v>0</v>
      </c>
      <c r="AJ201" s="14"/>
      <c r="AL201" s="14"/>
    </row>
    <row r="202">
      <c r="A202" s="15"/>
      <c r="B202" s="7"/>
      <c r="C202" s="16"/>
      <c r="E202" s="9"/>
      <c r="G202" s="16"/>
      <c r="I202" s="9"/>
      <c r="K202" s="16"/>
      <c r="M202" s="9"/>
      <c r="O202" s="16"/>
      <c r="Q202" s="7"/>
      <c r="R202" s="25"/>
      <c r="S202" s="28"/>
      <c r="U202" s="28"/>
      <c r="W202" s="14"/>
      <c r="Y202" s="14"/>
      <c r="Z202" s="55"/>
      <c r="AA202" t="b">
        <v>0</v>
      </c>
      <c r="AC202" t="b">
        <v>0</v>
      </c>
      <c r="AE202" t="b">
        <v>0</v>
      </c>
      <c r="AG202" t="b">
        <v>0</v>
      </c>
      <c r="AJ202" s="14"/>
      <c r="AL202" s="14"/>
    </row>
    <row r="203">
      <c r="A203" s="15"/>
      <c r="B203" s="7"/>
      <c r="C203" s="16"/>
      <c r="E203" s="9"/>
      <c r="G203" s="16"/>
      <c r="I203" s="9"/>
      <c r="K203" s="16"/>
      <c r="M203" s="9"/>
      <c r="O203" s="16"/>
      <c r="Q203" s="7"/>
      <c r="R203" s="25"/>
      <c r="S203" s="28"/>
      <c r="U203" s="28"/>
      <c r="W203" s="14"/>
      <c r="Y203" s="14"/>
      <c r="Z203" s="55"/>
      <c r="AA203" t="b">
        <v>0</v>
      </c>
      <c r="AC203" t="b">
        <v>0</v>
      </c>
      <c r="AE203" t="b">
        <v>0</v>
      </c>
      <c r="AG203" t="b">
        <v>0</v>
      </c>
      <c r="AJ203" s="14"/>
      <c r="AL203" s="14"/>
    </row>
    <row r="204">
      <c r="A204" s="15"/>
      <c r="B204" s="7"/>
      <c r="C204" s="16"/>
      <c r="E204" s="9"/>
      <c r="G204" s="16"/>
      <c r="I204" s="9"/>
      <c r="K204" s="16"/>
      <c r="M204" s="9"/>
      <c r="O204" s="16"/>
      <c r="Q204" s="7"/>
      <c r="R204" s="25"/>
      <c r="S204" s="28"/>
      <c r="U204" s="28"/>
      <c r="W204" s="14"/>
      <c r="Y204" s="14"/>
      <c r="Z204" s="55"/>
      <c r="AA204" t="b">
        <v>0</v>
      </c>
      <c r="AC204" t="b">
        <v>0</v>
      </c>
      <c r="AE204" t="b">
        <v>0</v>
      </c>
      <c r="AG204" t="b">
        <v>0</v>
      </c>
      <c r="AJ204" s="14"/>
      <c r="AL204" s="14"/>
    </row>
    <row r="205">
      <c r="A205" s="15"/>
      <c r="B205" s="7"/>
      <c r="C205" s="16"/>
      <c r="E205" s="9"/>
      <c r="G205" s="16"/>
      <c r="I205" s="9"/>
      <c r="K205" s="16"/>
      <c r="M205" s="9"/>
      <c r="O205" s="16"/>
      <c r="Q205" s="7"/>
      <c r="R205" s="25"/>
      <c r="S205" s="28"/>
      <c r="U205" s="28"/>
      <c r="W205" s="14"/>
      <c r="Y205" s="14"/>
      <c r="Z205" s="55"/>
      <c r="AA205" t="b">
        <v>0</v>
      </c>
      <c r="AC205" t="b">
        <v>0</v>
      </c>
      <c r="AE205" t="b">
        <v>0</v>
      </c>
      <c r="AG205" t="b">
        <v>0</v>
      </c>
      <c r="AJ205" s="14"/>
      <c r="AL205" s="14"/>
    </row>
    <row r="206">
      <c r="A206" s="15"/>
      <c r="B206" s="7"/>
      <c r="C206" s="16"/>
      <c r="E206" s="9"/>
      <c r="G206" s="16"/>
      <c r="I206" s="9"/>
      <c r="K206" s="16"/>
      <c r="M206" s="9"/>
      <c r="O206" s="16"/>
      <c r="Q206" s="7"/>
      <c r="R206" s="25"/>
      <c r="S206" s="28"/>
      <c r="U206" s="28"/>
      <c r="W206" s="14"/>
      <c r="Y206" s="14"/>
      <c r="Z206" s="55"/>
      <c r="AA206" t="b">
        <v>0</v>
      </c>
      <c r="AC206" t="b">
        <v>0</v>
      </c>
      <c r="AE206" t="b">
        <v>0</v>
      </c>
      <c r="AG206" t="b">
        <v>0</v>
      </c>
      <c r="AJ206" s="14"/>
      <c r="AL206" s="14"/>
    </row>
    <row r="207">
      <c r="A207" s="15"/>
      <c r="B207" s="7"/>
      <c r="C207" s="16"/>
      <c r="E207" s="9"/>
      <c r="G207" s="16"/>
      <c r="I207" s="9"/>
      <c r="K207" s="16"/>
      <c r="M207" s="9"/>
      <c r="O207" s="16"/>
      <c r="Q207" s="7"/>
      <c r="R207" s="25"/>
      <c r="S207" s="28"/>
      <c r="U207" s="28"/>
      <c r="W207" s="14"/>
      <c r="Y207" s="14"/>
      <c r="Z207" s="55"/>
      <c r="AA207" t="b">
        <v>0</v>
      </c>
      <c r="AC207" t="b">
        <v>0</v>
      </c>
      <c r="AE207" t="b">
        <v>0</v>
      </c>
      <c r="AG207" t="b">
        <v>0</v>
      </c>
      <c r="AJ207" s="14"/>
      <c r="AL207" s="14"/>
    </row>
    <row r="208">
      <c r="A208" s="15"/>
      <c r="B208" s="7"/>
      <c r="C208" s="16"/>
      <c r="E208" s="9"/>
      <c r="G208" s="16"/>
      <c r="I208" s="9"/>
      <c r="K208" s="16"/>
      <c r="M208" s="9"/>
      <c r="O208" s="16"/>
      <c r="Q208" s="7"/>
      <c r="R208" s="25"/>
      <c r="S208" s="28"/>
      <c r="U208" s="28"/>
      <c r="W208" s="14"/>
      <c r="Y208" s="14"/>
      <c r="Z208" s="55"/>
      <c r="AA208" t="b">
        <v>0</v>
      </c>
      <c r="AC208" t="b">
        <v>0</v>
      </c>
      <c r="AE208" t="b">
        <v>0</v>
      </c>
      <c r="AG208" t="b">
        <v>0</v>
      </c>
      <c r="AJ208" s="14"/>
      <c r="AL208" s="14"/>
    </row>
    <row r="209">
      <c r="A209" s="15"/>
      <c r="B209" s="7"/>
      <c r="C209" s="16"/>
      <c r="E209" s="9"/>
      <c r="G209" s="16"/>
      <c r="I209" s="9"/>
      <c r="K209" s="16"/>
      <c r="M209" s="9"/>
      <c r="O209" s="16"/>
      <c r="Q209" s="7"/>
      <c r="R209" s="25"/>
      <c r="S209" s="28"/>
      <c r="U209" s="28"/>
      <c r="W209" s="14"/>
      <c r="Y209" s="14"/>
      <c r="Z209" s="55"/>
      <c r="AA209" t="b">
        <v>0</v>
      </c>
      <c r="AC209" t="b">
        <v>0</v>
      </c>
      <c r="AE209" t="b">
        <v>0</v>
      </c>
      <c r="AG209" t="b">
        <v>0</v>
      </c>
      <c r="AJ209" s="14"/>
      <c r="AL209" s="14"/>
    </row>
    <row r="210">
      <c r="A210" s="15"/>
      <c r="B210" s="7"/>
      <c r="C210" s="16"/>
      <c r="E210" s="9"/>
      <c r="G210" s="16"/>
      <c r="I210" s="9"/>
      <c r="K210" s="16"/>
      <c r="M210" s="9"/>
      <c r="O210" s="16"/>
      <c r="Q210" s="7"/>
      <c r="R210" s="25"/>
      <c r="S210" s="28"/>
      <c r="U210" s="28"/>
      <c r="W210" s="14"/>
      <c r="Y210" s="14"/>
      <c r="Z210" s="55"/>
      <c r="AA210" t="b">
        <v>0</v>
      </c>
      <c r="AC210" t="b">
        <v>0</v>
      </c>
      <c r="AE210" t="b">
        <v>0</v>
      </c>
      <c r="AG210" t="b">
        <v>0</v>
      </c>
      <c r="AJ210" s="14"/>
      <c r="AL210" s="14"/>
    </row>
    <row r="211">
      <c r="A211" s="15"/>
      <c r="B211" s="7"/>
      <c r="C211" s="16"/>
      <c r="E211" s="9"/>
      <c r="G211" s="16"/>
      <c r="I211" s="9"/>
      <c r="K211" s="16"/>
      <c r="M211" s="9"/>
      <c r="O211" s="16"/>
      <c r="Q211" s="7"/>
      <c r="R211" s="25"/>
      <c r="S211" s="28"/>
      <c r="U211" s="28"/>
      <c r="W211" s="14"/>
      <c r="Y211" s="14"/>
      <c r="Z211" s="55"/>
      <c r="AA211" t="b">
        <v>0</v>
      </c>
      <c r="AC211" t="b">
        <v>0</v>
      </c>
      <c r="AE211" t="b">
        <v>0</v>
      </c>
      <c r="AG211" t="b">
        <v>0</v>
      </c>
      <c r="AJ211" s="14"/>
      <c r="AL211" s="14"/>
    </row>
    <row r="212">
      <c r="A212" s="15"/>
      <c r="B212" s="7"/>
      <c r="C212" s="16"/>
      <c r="E212" s="9"/>
      <c r="G212" s="16"/>
      <c r="I212" s="9"/>
      <c r="K212" s="16"/>
      <c r="M212" s="9"/>
      <c r="O212" s="16"/>
      <c r="Q212" s="7"/>
      <c r="R212" s="25"/>
      <c r="S212" s="28"/>
      <c r="U212" s="28"/>
      <c r="W212" s="14"/>
      <c r="Y212" s="14"/>
      <c r="Z212" s="55"/>
      <c r="AA212" t="b">
        <v>0</v>
      </c>
      <c r="AC212" t="b">
        <v>0</v>
      </c>
      <c r="AE212" t="b">
        <v>0</v>
      </c>
      <c r="AG212" t="b">
        <v>0</v>
      </c>
      <c r="AJ212" s="14"/>
      <c r="AL212" s="14"/>
    </row>
    <row r="213">
      <c r="A213" s="15"/>
      <c r="B213" s="7"/>
      <c r="C213" s="16"/>
      <c r="E213" s="9"/>
      <c r="G213" s="16"/>
      <c r="I213" s="9"/>
      <c r="K213" s="16"/>
      <c r="M213" s="9"/>
      <c r="O213" s="16"/>
      <c r="Q213" s="7"/>
      <c r="R213" s="25"/>
      <c r="S213" s="28"/>
      <c r="U213" s="28"/>
      <c r="W213" s="14"/>
      <c r="Y213" s="14"/>
      <c r="Z213" s="55"/>
      <c r="AA213" t="b">
        <v>0</v>
      </c>
      <c r="AC213" t="b">
        <v>0</v>
      </c>
      <c r="AE213" t="b">
        <v>0</v>
      </c>
      <c r="AG213" t="b">
        <v>0</v>
      </c>
      <c r="AJ213" s="14"/>
      <c r="AL213" s="14"/>
    </row>
    <row r="214">
      <c r="A214" s="15"/>
      <c r="B214" s="7"/>
      <c r="C214" s="16"/>
      <c r="E214" s="9"/>
      <c r="G214" s="16"/>
      <c r="I214" s="9"/>
      <c r="K214" s="16"/>
      <c r="M214" s="9"/>
      <c r="O214" s="16"/>
      <c r="Q214" s="7"/>
      <c r="R214" s="25"/>
      <c r="S214" s="28"/>
      <c r="U214" s="28"/>
      <c r="W214" s="14"/>
      <c r="Y214" s="14"/>
      <c r="Z214" s="55"/>
      <c r="AA214" t="b">
        <v>0</v>
      </c>
      <c r="AC214" t="b">
        <v>0</v>
      </c>
      <c r="AE214" t="b">
        <v>0</v>
      </c>
      <c r="AG214" t="b">
        <v>0</v>
      </c>
      <c r="AJ214" s="14"/>
      <c r="AL214" s="14"/>
    </row>
    <row r="215">
      <c r="A215" s="15"/>
      <c r="B215" s="7"/>
      <c r="C215" s="16"/>
      <c r="E215" s="9"/>
      <c r="G215" s="16"/>
      <c r="I215" s="9"/>
      <c r="K215" s="16"/>
      <c r="M215" s="9"/>
      <c r="O215" s="16"/>
      <c r="Q215" s="7"/>
      <c r="R215" s="25"/>
      <c r="S215" s="28"/>
      <c r="U215" s="28"/>
      <c r="W215" s="14"/>
      <c r="Y215" s="14"/>
      <c r="Z215" s="55"/>
      <c r="AA215" t="b">
        <v>0</v>
      </c>
      <c r="AC215" t="b">
        <v>0</v>
      </c>
      <c r="AE215" t="b">
        <v>0</v>
      </c>
      <c r="AG215" t="b">
        <v>0</v>
      </c>
      <c r="AJ215" s="14"/>
      <c r="AL215" s="14"/>
    </row>
    <row r="216">
      <c r="A216" s="15"/>
      <c r="B216" s="7"/>
      <c r="C216" s="16"/>
      <c r="E216" s="9"/>
      <c r="G216" s="16"/>
      <c r="I216" s="9"/>
      <c r="K216" s="16"/>
      <c r="M216" s="9"/>
      <c r="O216" s="16"/>
      <c r="Q216" s="7"/>
      <c r="R216" s="25"/>
      <c r="S216" s="28"/>
      <c r="U216" s="28"/>
      <c r="W216" s="14"/>
      <c r="Y216" s="14"/>
      <c r="Z216" s="55"/>
      <c r="AA216" t="b">
        <v>0</v>
      </c>
      <c r="AC216" t="b">
        <v>0</v>
      </c>
      <c r="AE216" t="b">
        <v>0</v>
      </c>
      <c r="AG216" t="b">
        <v>0</v>
      </c>
      <c r="AJ216" s="14"/>
      <c r="AL216" s="14"/>
    </row>
    <row r="217">
      <c r="A217" s="15"/>
      <c r="B217" s="7"/>
      <c r="C217" s="16"/>
      <c r="E217" s="9"/>
      <c r="G217" s="16"/>
      <c r="I217" s="9"/>
      <c r="K217" s="16"/>
      <c r="M217" s="9"/>
      <c r="O217" s="16"/>
      <c r="Q217" s="7"/>
      <c r="R217" s="25"/>
      <c r="S217" s="28"/>
      <c r="U217" s="28"/>
      <c r="W217" s="14"/>
      <c r="Y217" s="14"/>
      <c r="Z217" s="55"/>
      <c r="AA217" t="b">
        <v>0</v>
      </c>
      <c r="AC217" t="b">
        <v>0</v>
      </c>
      <c r="AE217" t="b">
        <v>0</v>
      </c>
      <c r="AG217" t="b">
        <v>0</v>
      </c>
      <c r="AJ217" s="14"/>
      <c r="AL217" s="14"/>
    </row>
    <row r="218">
      <c r="A218" s="15"/>
      <c r="B218" s="7"/>
      <c r="C218" s="16"/>
      <c r="E218" s="9"/>
      <c r="G218" s="16"/>
      <c r="I218" s="9"/>
      <c r="K218" s="16"/>
      <c r="M218" s="9"/>
      <c r="O218" s="16"/>
      <c r="Q218" s="7"/>
      <c r="R218" s="25"/>
      <c r="S218" s="28"/>
      <c r="U218" s="28"/>
      <c r="W218" s="14"/>
      <c r="Y218" s="14"/>
      <c r="Z218" s="55"/>
      <c r="AA218" t="b">
        <v>0</v>
      </c>
      <c r="AC218" t="b">
        <v>0</v>
      </c>
      <c r="AE218" t="b">
        <v>0</v>
      </c>
      <c r="AG218" t="b">
        <v>0</v>
      </c>
      <c r="AJ218" s="14"/>
      <c r="AL218" s="14"/>
    </row>
    <row r="219">
      <c r="A219" s="15"/>
      <c r="B219" s="7"/>
      <c r="C219" s="16"/>
      <c r="E219" s="9"/>
      <c r="G219" s="16"/>
      <c r="I219" s="9"/>
      <c r="K219" s="16"/>
      <c r="M219" s="9"/>
      <c r="O219" s="16"/>
      <c r="Q219" s="7"/>
      <c r="R219" s="25"/>
      <c r="S219" s="28"/>
      <c r="U219" s="28"/>
      <c r="W219" s="14"/>
      <c r="Y219" s="14"/>
      <c r="Z219" s="55"/>
      <c r="AA219" t="b">
        <v>0</v>
      </c>
      <c r="AC219" t="b">
        <v>0</v>
      </c>
      <c r="AE219" t="b">
        <v>0</v>
      </c>
      <c r="AG219" t="b">
        <v>0</v>
      </c>
      <c r="AJ219" s="14"/>
      <c r="AL219" s="14"/>
    </row>
    <row r="220">
      <c r="A220" s="15"/>
      <c r="B220" s="7"/>
      <c r="C220" s="16"/>
      <c r="E220" s="9"/>
      <c r="G220" s="16"/>
      <c r="I220" s="9"/>
      <c r="K220" s="16"/>
      <c r="M220" s="9"/>
      <c r="O220" s="16"/>
      <c r="Q220" s="7"/>
      <c r="R220" s="25"/>
      <c r="S220" s="28"/>
      <c r="U220" s="28"/>
      <c r="W220" s="14"/>
      <c r="Y220" s="14"/>
      <c r="Z220" s="55"/>
      <c r="AA220" t="b">
        <v>0</v>
      </c>
      <c r="AC220" t="b">
        <v>0</v>
      </c>
      <c r="AE220" t="b">
        <v>0</v>
      </c>
      <c r="AG220" t="b">
        <v>0</v>
      </c>
      <c r="AJ220" s="14"/>
      <c r="AL220" s="14"/>
    </row>
    <row r="221">
      <c r="A221" s="15"/>
      <c r="B221" s="7"/>
      <c r="C221" s="16"/>
      <c r="E221" s="9"/>
      <c r="G221" s="16"/>
      <c r="I221" s="9"/>
      <c r="K221" s="16"/>
      <c r="M221" s="9"/>
      <c r="O221" s="16"/>
      <c r="Q221" s="7"/>
      <c r="R221" s="25"/>
      <c r="S221" s="28"/>
      <c r="U221" s="28"/>
      <c r="W221" s="14"/>
      <c r="Y221" s="14"/>
      <c r="Z221" s="55"/>
      <c r="AA221" t="b">
        <v>0</v>
      </c>
      <c r="AC221" t="b">
        <v>0</v>
      </c>
      <c r="AE221" t="b">
        <v>0</v>
      </c>
      <c r="AG221" t="b">
        <v>0</v>
      </c>
      <c r="AJ221" s="14"/>
      <c r="AL221" s="14"/>
    </row>
    <row r="222">
      <c r="A222" s="15"/>
      <c r="B222" s="7"/>
      <c r="C222" s="16"/>
      <c r="E222" s="9"/>
      <c r="G222" s="16"/>
      <c r="I222" s="9"/>
      <c r="K222" s="16"/>
      <c r="M222" s="9"/>
      <c r="O222" s="16"/>
      <c r="Q222" s="7"/>
      <c r="R222" s="25"/>
      <c r="S222" s="28"/>
      <c r="U222" s="28"/>
      <c r="W222" s="14"/>
      <c r="Y222" s="14"/>
      <c r="Z222" s="55"/>
      <c r="AA222" t="b">
        <v>0</v>
      </c>
      <c r="AC222" t="b">
        <v>0</v>
      </c>
      <c r="AE222" t="b">
        <v>0</v>
      </c>
      <c r="AG222" t="b">
        <v>0</v>
      </c>
      <c r="AJ222" s="14"/>
      <c r="AL222" s="14"/>
    </row>
    <row r="223">
      <c r="A223" s="15"/>
      <c r="B223" s="7"/>
      <c r="C223" s="16"/>
      <c r="E223" s="9"/>
      <c r="G223" s="16"/>
      <c r="I223" s="9"/>
      <c r="K223" s="16"/>
      <c r="M223" s="9"/>
      <c r="O223" s="16"/>
      <c r="Q223" s="7"/>
      <c r="R223" s="25"/>
      <c r="S223" s="28"/>
      <c r="U223" s="28"/>
      <c r="W223" s="14"/>
      <c r="Y223" s="14"/>
      <c r="Z223" s="55"/>
      <c r="AA223" t="b">
        <v>0</v>
      </c>
      <c r="AC223" t="b">
        <v>0</v>
      </c>
      <c r="AE223" t="b">
        <v>0</v>
      </c>
      <c r="AG223" t="b">
        <v>0</v>
      </c>
      <c r="AJ223" s="14"/>
      <c r="AL223" s="14"/>
    </row>
    <row r="224">
      <c r="A224" s="15"/>
      <c r="B224" s="7"/>
      <c r="C224" s="16"/>
      <c r="E224" s="9"/>
      <c r="G224" s="16"/>
      <c r="I224" s="9"/>
      <c r="K224" s="16"/>
      <c r="M224" s="9"/>
      <c r="O224" s="16"/>
      <c r="Q224" s="7"/>
      <c r="R224" s="25"/>
      <c r="S224" s="28"/>
      <c r="U224" s="28"/>
      <c r="W224" s="14"/>
      <c r="Y224" s="14"/>
      <c r="Z224" s="55"/>
      <c r="AA224" t="b">
        <v>0</v>
      </c>
      <c r="AC224" t="b">
        <v>0</v>
      </c>
      <c r="AE224" t="b">
        <v>0</v>
      </c>
      <c r="AG224" t="b">
        <v>0</v>
      </c>
      <c r="AJ224" s="14"/>
      <c r="AL224" s="14"/>
    </row>
    <row r="225">
      <c r="A225" s="15"/>
      <c r="B225" s="7"/>
      <c r="C225" s="16"/>
      <c r="E225" s="9"/>
      <c r="G225" s="16"/>
      <c r="I225" s="9"/>
      <c r="K225" s="16"/>
      <c r="M225" s="9"/>
      <c r="O225" s="16"/>
      <c r="Q225" s="7"/>
      <c r="R225" s="25"/>
      <c r="S225" s="28"/>
      <c r="U225" s="28"/>
      <c r="W225" s="14"/>
      <c r="Y225" s="14"/>
      <c r="Z225" s="55"/>
      <c r="AA225" t="b">
        <v>0</v>
      </c>
      <c r="AC225" t="b">
        <v>0</v>
      </c>
      <c r="AE225" t="b">
        <v>0</v>
      </c>
      <c r="AG225" t="b">
        <v>0</v>
      </c>
      <c r="AJ225" s="14"/>
      <c r="AL225" s="14"/>
    </row>
    <row r="226">
      <c r="A226" s="15"/>
      <c r="B226" s="7"/>
      <c r="C226" s="16"/>
      <c r="E226" s="9"/>
      <c r="G226" s="16"/>
      <c r="I226" s="9"/>
      <c r="K226" s="16"/>
      <c r="M226" s="9"/>
      <c r="O226" s="16"/>
      <c r="Q226" s="7"/>
      <c r="R226" s="25"/>
      <c r="S226" s="28"/>
      <c r="U226" s="28"/>
      <c r="W226" s="14"/>
      <c r="Y226" s="14"/>
      <c r="Z226" s="55"/>
      <c r="AA226" t="b">
        <v>0</v>
      </c>
      <c r="AC226" t="b">
        <v>0</v>
      </c>
      <c r="AE226" t="b">
        <v>0</v>
      </c>
      <c r="AG226" t="b">
        <v>0</v>
      </c>
      <c r="AJ226" s="14"/>
      <c r="AL226" s="14"/>
    </row>
    <row r="227">
      <c r="A227" s="15"/>
      <c r="B227" s="7"/>
      <c r="C227" s="16"/>
      <c r="E227" s="9"/>
      <c r="G227" s="16"/>
      <c r="I227" s="9"/>
      <c r="K227" s="16"/>
      <c r="M227" s="9"/>
      <c r="O227" s="16"/>
      <c r="Q227" s="7"/>
      <c r="R227" s="25"/>
      <c r="S227" s="28"/>
      <c r="U227" s="28"/>
      <c r="W227" s="14"/>
      <c r="Y227" s="14"/>
      <c r="Z227" s="55"/>
      <c r="AA227" t="b">
        <v>0</v>
      </c>
      <c r="AC227" t="b">
        <v>0</v>
      </c>
      <c r="AE227" t="b">
        <v>0</v>
      </c>
      <c r="AG227" t="b">
        <v>0</v>
      </c>
      <c r="AJ227" s="14"/>
      <c r="AL227" s="14"/>
    </row>
    <row r="228">
      <c r="A228" s="15"/>
      <c r="B228" s="7"/>
      <c r="C228" s="16"/>
      <c r="E228" s="9"/>
      <c r="G228" s="16"/>
      <c r="I228" s="9"/>
      <c r="K228" s="16"/>
      <c r="M228" s="9"/>
      <c r="O228" s="16"/>
      <c r="Q228" s="7"/>
      <c r="R228" s="25"/>
      <c r="S228" s="28"/>
      <c r="U228" s="28"/>
      <c r="W228" s="14"/>
      <c r="Y228" s="14"/>
      <c r="Z228" s="55"/>
      <c r="AA228" t="b">
        <v>0</v>
      </c>
      <c r="AC228" t="b">
        <v>0</v>
      </c>
      <c r="AE228" t="b">
        <v>0</v>
      </c>
      <c r="AG228" t="b">
        <v>0</v>
      </c>
      <c r="AJ228" s="14"/>
      <c r="AL228" s="14"/>
    </row>
    <row r="229">
      <c r="A229" s="15"/>
      <c r="B229" s="7"/>
      <c r="C229" s="16"/>
      <c r="E229" s="9"/>
      <c r="G229" s="16"/>
      <c r="I229" s="9"/>
      <c r="K229" s="16"/>
      <c r="M229" s="9"/>
      <c r="O229" s="16"/>
      <c r="Q229" s="7"/>
      <c r="R229" s="25"/>
      <c r="S229" s="28"/>
      <c r="U229" s="28"/>
      <c r="W229" s="14"/>
      <c r="Y229" s="14"/>
      <c r="Z229" s="55"/>
      <c r="AA229" t="b">
        <v>0</v>
      </c>
      <c r="AC229" t="b">
        <v>0</v>
      </c>
      <c r="AE229" t="b">
        <v>0</v>
      </c>
      <c r="AG229" t="b">
        <v>0</v>
      </c>
      <c r="AJ229" s="14"/>
      <c r="AL229" s="14"/>
    </row>
    <row r="230">
      <c r="A230" s="15"/>
      <c r="B230" s="7"/>
      <c r="C230" s="16"/>
      <c r="E230" s="9"/>
      <c r="G230" s="16"/>
      <c r="I230" s="9"/>
      <c r="K230" s="16"/>
      <c r="M230" s="9"/>
      <c r="O230" s="16"/>
      <c r="Q230" s="7"/>
      <c r="R230" s="25"/>
      <c r="S230" s="28"/>
      <c r="U230" s="28"/>
      <c r="W230" s="14"/>
      <c r="Y230" s="14"/>
      <c r="Z230" s="55"/>
      <c r="AA230" t="b">
        <v>0</v>
      </c>
      <c r="AC230" t="b">
        <v>0</v>
      </c>
      <c r="AE230" t="b">
        <v>0</v>
      </c>
      <c r="AG230" t="b">
        <v>0</v>
      </c>
      <c r="AJ230" s="14"/>
      <c r="AL230" s="14"/>
    </row>
    <row r="231">
      <c r="A231" s="15"/>
      <c r="B231" s="7"/>
      <c r="C231" s="16"/>
      <c r="E231" s="9"/>
      <c r="G231" s="16"/>
      <c r="I231" s="9"/>
      <c r="K231" s="16"/>
      <c r="M231" s="9"/>
      <c r="O231" s="16"/>
      <c r="Q231" s="7"/>
      <c r="R231" s="25"/>
      <c r="S231" s="28"/>
      <c r="U231" s="28"/>
      <c r="W231" s="14"/>
      <c r="Y231" s="14"/>
      <c r="Z231" s="55"/>
      <c r="AA231" t="b">
        <v>0</v>
      </c>
      <c r="AC231" t="b">
        <v>0</v>
      </c>
      <c r="AE231" t="b">
        <v>0</v>
      </c>
      <c r="AG231" t="b">
        <v>0</v>
      </c>
      <c r="AJ231" s="14"/>
      <c r="AL231" s="14"/>
    </row>
    <row r="232">
      <c r="A232" s="15"/>
      <c r="B232" s="7"/>
      <c r="C232" s="16"/>
      <c r="E232" s="9"/>
      <c r="G232" s="16"/>
      <c r="I232" s="9"/>
      <c r="K232" s="16"/>
      <c r="M232" s="9"/>
      <c r="O232" s="16"/>
      <c r="Q232" s="7"/>
      <c r="R232" s="25"/>
      <c r="S232" s="28"/>
      <c r="U232" s="28"/>
      <c r="W232" s="14"/>
      <c r="Y232" s="14"/>
      <c r="Z232" s="55"/>
      <c r="AA232" t="b">
        <v>0</v>
      </c>
      <c r="AC232" t="b">
        <v>0</v>
      </c>
      <c r="AE232" t="b">
        <v>0</v>
      </c>
      <c r="AG232" t="b">
        <v>0</v>
      </c>
      <c r="AJ232" s="14"/>
      <c r="AL232" s="14"/>
    </row>
    <row r="233">
      <c r="A233" s="15"/>
      <c r="B233" s="7"/>
      <c r="C233" s="16"/>
      <c r="E233" s="9"/>
      <c r="G233" s="16"/>
      <c r="I233" s="9"/>
      <c r="K233" s="16"/>
      <c r="M233" s="9"/>
      <c r="O233" s="16"/>
      <c r="Q233" s="7"/>
      <c r="R233" s="25"/>
      <c r="S233" s="28"/>
      <c r="U233" s="28"/>
      <c r="W233" s="14"/>
      <c r="Y233" s="14"/>
      <c r="Z233" s="55"/>
      <c r="AA233" t="b">
        <v>0</v>
      </c>
      <c r="AC233" t="b">
        <v>0</v>
      </c>
      <c r="AE233" t="b">
        <v>0</v>
      </c>
      <c r="AG233" t="b">
        <v>0</v>
      </c>
      <c r="AJ233" s="14"/>
      <c r="AL233" s="14"/>
    </row>
    <row r="234">
      <c r="A234" s="15"/>
      <c r="B234" s="7"/>
      <c r="C234" s="16"/>
      <c r="E234" s="9"/>
      <c r="G234" s="16"/>
      <c r="I234" s="9"/>
      <c r="K234" s="16"/>
      <c r="M234" s="9"/>
      <c r="O234" s="16"/>
      <c r="Q234" s="7"/>
      <c r="R234" s="25"/>
      <c r="S234" s="28"/>
      <c r="U234" s="28"/>
      <c r="W234" s="14"/>
      <c r="Y234" s="14"/>
      <c r="Z234" s="55"/>
      <c r="AA234" t="b">
        <v>0</v>
      </c>
      <c r="AC234" t="b">
        <v>0</v>
      </c>
      <c r="AE234" t="b">
        <v>0</v>
      </c>
      <c r="AG234" t="b">
        <v>0</v>
      </c>
      <c r="AJ234" s="14"/>
      <c r="AL234" s="14"/>
    </row>
    <row r="235">
      <c r="A235" s="15"/>
      <c r="B235" s="7"/>
      <c r="C235" s="16"/>
      <c r="E235" s="9"/>
      <c r="G235" s="16"/>
      <c r="I235" s="9"/>
      <c r="K235" s="16"/>
      <c r="M235" s="9"/>
      <c r="O235" s="16"/>
      <c r="Q235" s="7"/>
      <c r="R235" s="25"/>
      <c r="S235" s="28"/>
      <c r="U235" s="28"/>
      <c r="W235" s="14"/>
      <c r="Y235" s="14"/>
      <c r="Z235" s="55"/>
      <c r="AA235" t="b">
        <v>0</v>
      </c>
      <c r="AC235" t="b">
        <v>0</v>
      </c>
      <c r="AE235" t="b">
        <v>0</v>
      </c>
      <c r="AG235" t="b">
        <v>0</v>
      </c>
      <c r="AJ235" s="14"/>
      <c r="AL235" s="14"/>
    </row>
    <row r="236">
      <c r="A236" s="15"/>
      <c r="B236" s="7"/>
      <c r="C236" s="16"/>
      <c r="E236" s="9"/>
      <c r="G236" s="16"/>
      <c r="I236" s="9"/>
      <c r="K236" s="16"/>
      <c r="M236" s="9"/>
      <c r="O236" s="16"/>
      <c r="Q236" s="7"/>
      <c r="R236" s="25"/>
      <c r="S236" s="28"/>
      <c r="U236" s="28"/>
      <c r="W236" s="14"/>
      <c r="Y236" s="14"/>
      <c r="Z236" s="55"/>
      <c r="AA236" t="b">
        <v>0</v>
      </c>
      <c r="AC236" t="b">
        <v>0</v>
      </c>
      <c r="AE236" t="b">
        <v>0</v>
      </c>
      <c r="AG236" t="b">
        <v>0</v>
      </c>
      <c r="AJ236" s="14"/>
      <c r="AL236" s="14"/>
    </row>
    <row r="237">
      <c r="A237" s="15"/>
      <c r="B237" s="7"/>
      <c r="C237" s="16"/>
      <c r="E237" s="9"/>
      <c r="G237" s="16"/>
      <c r="I237" s="9"/>
      <c r="K237" s="16"/>
      <c r="M237" s="9"/>
      <c r="O237" s="16"/>
      <c r="Q237" s="7"/>
      <c r="R237" s="25"/>
      <c r="S237" s="28"/>
      <c r="U237" s="28"/>
      <c r="W237" s="14"/>
      <c r="Y237" s="14"/>
      <c r="Z237" s="55"/>
      <c r="AA237" t="b">
        <v>0</v>
      </c>
      <c r="AC237" t="b">
        <v>0</v>
      </c>
      <c r="AE237" t="b">
        <v>0</v>
      </c>
      <c r="AG237" t="b">
        <v>0</v>
      </c>
      <c r="AJ237" s="14"/>
      <c r="AL237" s="14"/>
    </row>
    <row r="238">
      <c r="A238" s="15"/>
      <c r="B238" s="7"/>
      <c r="C238" s="16"/>
      <c r="E238" s="9"/>
      <c r="G238" s="16"/>
      <c r="I238" s="9"/>
      <c r="K238" s="16"/>
      <c r="M238" s="9"/>
      <c r="O238" s="16"/>
      <c r="Q238" s="7"/>
      <c r="R238" s="25"/>
      <c r="S238" s="28"/>
      <c r="U238" s="28"/>
      <c r="W238" s="14"/>
      <c r="Y238" s="14"/>
      <c r="Z238" s="55"/>
      <c r="AA238" t="b">
        <v>0</v>
      </c>
      <c r="AC238" t="b">
        <v>0</v>
      </c>
      <c r="AE238" t="b">
        <v>0</v>
      </c>
      <c r="AG238" t="b">
        <v>0</v>
      </c>
      <c r="AJ238" s="14"/>
      <c r="AL238" s="14"/>
    </row>
    <row r="239">
      <c r="A239" s="15"/>
      <c r="B239" s="7"/>
      <c r="C239" s="16"/>
      <c r="E239" s="9"/>
      <c r="G239" s="16"/>
      <c r="I239" s="9"/>
      <c r="K239" s="16"/>
      <c r="M239" s="9"/>
      <c r="O239" s="16"/>
      <c r="Q239" s="7"/>
      <c r="R239" s="25"/>
      <c r="S239" s="28"/>
      <c r="U239" s="28"/>
      <c r="W239" s="14"/>
      <c r="Y239" s="14"/>
      <c r="Z239" s="55"/>
      <c r="AA239" t="b">
        <v>0</v>
      </c>
      <c r="AC239" t="b">
        <v>0</v>
      </c>
      <c r="AE239" t="b">
        <v>0</v>
      </c>
      <c r="AG239" t="b">
        <v>0</v>
      </c>
      <c r="AJ239" s="14"/>
      <c r="AL239" s="14"/>
    </row>
    <row r="240">
      <c r="A240" s="15"/>
      <c r="B240" s="7"/>
      <c r="C240" s="16"/>
      <c r="E240" s="9"/>
      <c r="G240" s="16"/>
      <c r="I240" s="9"/>
      <c r="K240" s="16"/>
      <c r="M240" s="9"/>
      <c r="O240" s="16"/>
      <c r="Q240" s="7"/>
      <c r="R240" s="25"/>
      <c r="S240" s="28"/>
      <c r="U240" s="28"/>
      <c r="W240" s="14"/>
      <c r="Y240" s="14"/>
      <c r="Z240" s="55"/>
      <c r="AA240" t="b">
        <v>0</v>
      </c>
      <c r="AC240" t="b">
        <v>0</v>
      </c>
      <c r="AE240" t="b">
        <v>0</v>
      </c>
      <c r="AG240" t="b">
        <v>0</v>
      </c>
      <c r="AJ240" s="14"/>
      <c r="AL240" s="14"/>
    </row>
    <row r="241">
      <c r="A241" s="15"/>
      <c r="B241" s="7"/>
      <c r="C241" s="16"/>
      <c r="E241" s="9"/>
      <c r="G241" s="16"/>
      <c r="I241" s="9"/>
      <c r="K241" s="16"/>
      <c r="M241" s="9"/>
      <c r="O241" s="16"/>
      <c r="Q241" s="7"/>
      <c r="R241" s="25"/>
      <c r="S241" s="28"/>
      <c r="U241" s="28"/>
      <c r="W241" s="14"/>
      <c r="Y241" s="14"/>
      <c r="Z241" s="55"/>
      <c r="AA241" t="b">
        <v>0</v>
      </c>
      <c r="AC241" t="b">
        <v>0</v>
      </c>
      <c r="AE241" t="b">
        <v>0</v>
      </c>
      <c r="AG241" t="b">
        <v>0</v>
      </c>
      <c r="AJ241" s="14"/>
      <c r="AL241" s="14"/>
    </row>
    <row r="242">
      <c r="A242" s="15"/>
      <c r="B242" s="7"/>
      <c r="C242" s="16"/>
      <c r="E242" s="9"/>
      <c r="G242" s="16"/>
      <c r="I242" s="9"/>
      <c r="K242" s="16"/>
      <c r="M242" s="9"/>
      <c r="O242" s="16"/>
      <c r="Q242" s="7"/>
      <c r="R242" s="25"/>
      <c r="S242" s="28"/>
      <c r="U242" s="28"/>
      <c r="W242" s="14"/>
      <c r="Y242" s="14"/>
      <c r="Z242" s="55"/>
      <c r="AA242" t="b">
        <v>0</v>
      </c>
      <c r="AC242" t="b">
        <v>0</v>
      </c>
      <c r="AE242" t="b">
        <v>0</v>
      </c>
      <c r="AG242" t="b">
        <v>0</v>
      </c>
      <c r="AJ242" s="14"/>
      <c r="AL242" s="14"/>
    </row>
    <row r="243">
      <c r="A243" s="15"/>
      <c r="B243" s="7"/>
      <c r="C243" s="16"/>
      <c r="E243" s="9"/>
      <c r="G243" s="16"/>
      <c r="I243" s="9"/>
      <c r="K243" s="16"/>
      <c r="M243" s="9"/>
      <c r="O243" s="16"/>
      <c r="Q243" s="7"/>
      <c r="R243" s="25"/>
      <c r="S243" s="28"/>
      <c r="U243" s="28"/>
      <c r="W243" s="14"/>
      <c r="Y243" s="14"/>
      <c r="Z243" s="55"/>
      <c r="AA243" t="b">
        <v>0</v>
      </c>
      <c r="AC243" t="b">
        <v>0</v>
      </c>
      <c r="AE243" t="b">
        <v>0</v>
      </c>
      <c r="AG243" t="b">
        <v>0</v>
      </c>
      <c r="AJ243" s="14"/>
      <c r="AL243" s="14"/>
    </row>
    <row r="244">
      <c r="A244" s="15"/>
      <c r="B244" s="7"/>
      <c r="C244" s="16"/>
      <c r="E244" s="9"/>
      <c r="G244" s="16"/>
      <c r="I244" s="9"/>
      <c r="K244" s="16"/>
      <c r="M244" s="9"/>
      <c r="O244" s="16"/>
      <c r="Q244" s="7"/>
      <c r="R244" s="25"/>
      <c r="S244" s="28"/>
      <c r="U244" s="28"/>
      <c r="W244" s="14"/>
      <c r="Y244" s="14"/>
      <c r="Z244" s="55"/>
      <c r="AA244" t="b">
        <v>0</v>
      </c>
      <c r="AC244" t="b">
        <v>0</v>
      </c>
      <c r="AE244" t="b">
        <v>0</v>
      </c>
      <c r="AG244" t="b">
        <v>0</v>
      </c>
      <c r="AJ244" s="14"/>
      <c r="AL244" s="14"/>
    </row>
    <row r="245">
      <c r="A245" s="15"/>
      <c r="B245" s="7"/>
      <c r="C245" s="16"/>
      <c r="E245" s="9"/>
      <c r="G245" s="16"/>
      <c r="I245" s="9"/>
      <c r="K245" s="16"/>
      <c r="M245" s="9"/>
      <c r="O245" s="16"/>
      <c r="Q245" s="7"/>
      <c r="R245" s="25"/>
      <c r="S245" s="28"/>
      <c r="U245" s="28"/>
      <c r="W245" s="14"/>
      <c r="Y245" s="14"/>
      <c r="Z245" s="55"/>
      <c r="AA245" t="b">
        <v>0</v>
      </c>
      <c r="AC245" t="b">
        <v>0</v>
      </c>
      <c r="AE245" t="b">
        <v>0</v>
      </c>
      <c r="AG245" t="b">
        <v>0</v>
      </c>
      <c r="AJ245" s="14"/>
      <c r="AL245" s="14"/>
    </row>
    <row r="246">
      <c r="A246" s="15"/>
      <c r="B246" s="7"/>
      <c r="C246" s="16"/>
      <c r="E246" s="9"/>
      <c r="G246" s="16"/>
      <c r="I246" s="9"/>
      <c r="K246" s="16"/>
      <c r="M246" s="9"/>
      <c r="O246" s="16"/>
      <c r="Q246" s="7"/>
      <c r="R246" s="25"/>
      <c r="S246" s="28"/>
      <c r="U246" s="28"/>
      <c r="W246" s="14"/>
      <c r="Y246" s="14"/>
      <c r="Z246" s="55"/>
      <c r="AA246" t="b">
        <v>0</v>
      </c>
      <c r="AC246" t="b">
        <v>0</v>
      </c>
      <c r="AE246" t="b">
        <v>0</v>
      </c>
      <c r="AG246" t="b">
        <v>0</v>
      </c>
      <c r="AJ246" s="14"/>
      <c r="AL246" s="14"/>
    </row>
    <row r="247">
      <c r="A247" s="15"/>
      <c r="B247" s="7"/>
      <c r="C247" s="16"/>
      <c r="E247" s="9"/>
      <c r="G247" s="16"/>
      <c r="I247" s="9"/>
      <c r="K247" s="16"/>
      <c r="M247" s="9"/>
      <c r="O247" s="16"/>
      <c r="Q247" s="7"/>
      <c r="R247" s="25"/>
      <c r="S247" s="28"/>
      <c r="U247" s="28"/>
      <c r="W247" s="14"/>
      <c r="Y247" s="14"/>
      <c r="Z247" s="55"/>
      <c r="AA247" t="b">
        <v>0</v>
      </c>
      <c r="AC247" t="b">
        <v>0</v>
      </c>
      <c r="AE247" t="b">
        <v>0</v>
      </c>
      <c r="AG247" t="b">
        <v>0</v>
      </c>
      <c r="AJ247" s="14"/>
      <c r="AL247" s="14"/>
    </row>
    <row r="248">
      <c r="A248" s="15"/>
      <c r="B248" s="7"/>
      <c r="C248" s="16"/>
      <c r="E248" s="9"/>
      <c r="G248" s="16"/>
      <c r="I248" s="9"/>
      <c r="K248" s="16"/>
      <c r="M248" s="9"/>
      <c r="O248" s="16"/>
      <c r="Q248" s="7"/>
      <c r="R248" s="25"/>
      <c r="S248" s="28"/>
      <c r="U248" s="28"/>
      <c r="W248" s="14"/>
      <c r="Y248" s="14"/>
      <c r="Z248" s="55"/>
      <c r="AA248" t="b">
        <v>0</v>
      </c>
      <c r="AC248" t="b">
        <v>0</v>
      </c>
      <c r="AE248" t="b">
        <v>0</v>
      </c>
      <c r="AG248" t="b">
        <v>0</v>
      </c>
      <c r="AJ248" s="14"/>
      <c r="AL248" s="14"/>
    </row>
    <row r="249">
      <c r="A249" s="15"/>
      <c r="B249" s="7"/>
      <c r="C249" s="16"/>
      <c r="E249" s="9"/>
      <c r="G249" s="16"/>
      <c r="I249" s="9"/>
      <c r="K249" s="16"/>
      <c r="M249" s="9"/>
      <c r="O249" s="16"/>
      <c r="Q249" s="7"/>
      <c r="R249" s="25"/>
      <c r="S249" s="28"/>
      <c r="U249" s="28"/>
      <c r="W249" s="14"/>
      <c r="Y249" s="14"/>
      <c r="Z249" s="55"/>
      <c r="AA249" t="b">
        <v>0</v>
      </c>
      <c r="AC249" t="b">
        <v>0</v>
      </c>
      <c r="AE249" t="b">
        <v>0</v>
      </c>
      <c r="AG249" t="b">
        <v>0</v>
      </c>
      <c r="AJ249" s="14"/>
      <c r="AL249" s="14"/>
    </row>
    <row r="250">
      <c r="A250" s="15"/>
      <c r="B250" s="7"/>
      <c r="C250" s="16"/>
      <c r="E250" s="9"/>
      <c r="G250" s="16"/>
      <c r="I250" s="9"/>
      <c r="K250" s="16"/>
      <c r="M250" s="9"/>
      <c r="O250" s="16"/>
      <c r="Q250" s="7"/>
      <c r="R250" s="25"/>
      <c r="S250" s="28"/>
      <c r="U250" s="28"/>
      <c r="W250" s="14"/>
      <c r="Y250" s="14"/>
      <c r="Z250" s="55"/>
      <c r="AA250" t="b">
        <v>0</v>
      </c>
      <c r="AC250" t="b">
        <v>0</v>
      </c>
      <c r="AE250" t="b">
        <v>0</v>
      </c>
      <c r="AG250" t="b">
        <v>0</v>
      </c>
      <c r="AJ250" s="14"/>
      <c r="AL250" s="14"/>
    </row>
    <row r="251">
      <c r="A251" s="15"/>
      <c r="B251" s="7"/>
      <c r="C251" s="16"/>
      <c r="E251" s="9"/>
      <c r="G251" s="16"/>
      <c r="I251" s="9"/>
      <c r="K251" s="16"/>
      <c r="M251" s="9"/>
      <c r="O251" s="16"/>
      <c r="Q251" s="7"/>
      <c r="R251" s="25"/>
      <c r="S251" s="28"/>
      <c r="U251" s="28"/>
      <c r="W251" s="14"/>
      <c r="Y251" s="14"/>
      <c r="Z251" s="55"/>
      <c r="AA251" t="b">
        <v>0</v>
      </c>
      <c r="AC251" t="b">
        <v>0</v>
      </c>
      <c r="AE251" t="b">
        <v>0</v>
      </c>
      <c r="AG251" t="b">
        <v>0</v>
      </c>
      <c r="AJ251" s="14"/>
      <c r="AL251" s="14"/>
    </row>
    <row r="252">
      <c r="A252" s="15"/>
      <c r="B252" s="7"/>
      <c r="C252" s="16"/>
      <c r="E252" s="9"/>
      <c r="G252" s="16"/>
      <c r="I252" s="9"/>
      <c r="K252" s="16"/>
      <c r="M252" s="9"/>
      <c r="O252" s="16"/>
      <c r="Q252" s="7"/>
      <c r="R252" s="25"/>
      <c r="S252" s="28"/>
      <c r="U252" s="28"/>
      <c r="W252" s="14"/>
      <c r="Y252" s="14"/>
      <c r="Z252" s="55"/>
      <c r="AA252" t="b">
        <v>0</v>
      </c>
      <c r="AC252" t="b">
        <v>0</v>
      </c>
      <c r="AE252" t="b">
        <v>0</v>
      </c>
      <c r="AG252" t="b">
        <v>0</v>
      </c>
      <c r="AJ252" s="14"/>
      <c r="AL252" s="14"/>
    </row>
    <row r="253">
      <c r="A253" s="15"/>
      <c r="B253" s="7"/>
      <c r="C253" s="16"/>
      <c r="E253" s="9"/>
      <c r="G253" s="16"/>
      <c r="I253" s="9"/>
      <c r="K253" s="16"/>
      <c r="M253" s="9"/>
      <c r="O253" s="16"/>
      <c r="Q253" s="7"/>
      <c r="R253" s="25"/>
      <c r="S253" s="28"/>
      <c r="U253" s="28"/>
      <c r="W253" s="14"/>
      <c r="Y253" s="14"/>
      <c r="Z253" s="55"/>
      <c r="AA253" t="b">
        <v>0</v>
      </c>
      <c r="AC253" t="b">
        <v>0</v>
      </c>
      <c r="AE253" t="b">
        <v>0</v>
      </c>
      <c r="AG253" t="b">
        <v>0</v>
      </c>
      <c r="AJ253" s="14"/>
      <c r="AL253" s="14"/>
    </row>
    <row r="254">
      <c r="A254" s="15"/>
      <c r="B254" s="7"/>
      <c r="C254" s="16"/>
      <c r="E254" s="9"/>
      <c r="G254" s="16"/>
      <c r="I254" s="9"/>
      <c r="K254" s="16"/>
      <c r="M254" s="9"/>
      <c r="O254" s="16"/>
      <c r="Q254" s="7"/>
      <c r="R254" s="25"/>
      <c r="S254" s="28"/>
      <c r="U254" s="28"/>
      <c r="W254" s="14"/>
      <c r="Y254" s="14"/>
      <c r="Z254" s="55"/>
      <c r="AA254" t="b">
        <v>0</v>
      </c>
      <c r="AC254" t="b">
        <v>0</v>
      </c>
      <c r="AE254" t="b">
        <v>0</v>
      </c>
      <c r="AG254" t="b">
        <v>0</v>
      </c>
      <c r="AJ254" s="14"/>
      <c r="AL254" s="14"/>
    </row>
    <row r="255">
      <c r="A255" s="15"/>
      <c r="B255" s="7"/>
      <c r="C255" s="16"/>
      <c r="E255" s="9"/>
      <c r="G255" s="16"/>
      <c r="I255" s="9"/>
      <c r="K255" s="16"/>
      <c r="M255" s="9"/>
      <c r="O255" s="16"/>
      <c r="Q255" s="7"/>
      <c r="R255" s="25"/>
      <c r="S255" s="28"/>
      <c r="U255" s="28"/>
      <c r="W255" s="14"/>
      <c r="Y255" s="14"/>
      <c r="Z255" s="55"/>
      <c r="AA255" t="b">
        <v>0</v>
      </c>
      <c r="AC255" t="b">
        <v>0</v>
      </c>
      <c r="AE255" t="b">
        <v>0</v>
      </c>
      <c r="AG255" t="b">
        <v>0</v>
      </c>
      <c r="AJ255" s="14"/>
      <c r="AL255" s="14"/>
    </row>
    <row r="256">
      <c r="A256" s="15"/>
      <c r="B256" s="7"/>
      <c r="C256" s="16"/>
      <c r="E256" s="9"/>
      <c r="G256" s="16"/>
      <c r="I256" s="9"/>
      <c r="K256" s="16"/>
      <c r="M256" s="9"/>
      <c r="O256" s="16"/>
      <c r="Q256" s="7"/>
      <c r="R256" s="25"/>
      <c r="S256" s="28"/>
      <c r="U256" s="28"/>
      <c r="W256" s="14"/>
      <c r="Y256" s="14"/>
      <c r="Z256" s="55"/>
      <c r="AA256" t="b">
        <v>0</v>
      </c>
      <c r="AC256" t="b">
        <v>0</v>
      </c>
      <c r="AE256" t="b">
        <v>0</v>
      </c>
      <c r="AG256" t="b">
        <v>0</v>
      </c>
      <c r="AJ256" s="14"/>
      <c r="AL256" s="14"/>
    </row>
    <row r="257">
      <c r="A257" s="15"/>
      <c r="B257" s="7"/>
      <c r="C257" s="16"/>
      <c r="E257" s="9"/>
      <c r="G257" s="16"/>
      <c r="I257" s="9"/>
      <c r="K257" s="16"/>
      <c r="M257" s="9"/>
      <c r="O257" s="16"/>
      <c r="Q257" s="7"/>
      <c r="R257" s="25"/>
      <c r="S257" s="28"/>
      <c r="U257" s="28"/>
      <c r="W257" s="14"/>
      <c r="Y257" s="14"/>
      <c r="Z257" s="55"/>
      <c r="AA257" t="b">
        <v>0</v>
      </c>
      <c r="AC257" t="b">
        <v>0</v>
      </c>
      <c r="AE257" t="b">
        <v>0</v>
      </c>
      <c r="AG257" t="b">
        <v>0</v>
      </c>
      <c r="AJ257" s="14"/>
      <c r="AL257" s="14"/>
    </row>
    <row r="258">
      <c r="A258" s="15"/>
      <c r="B258" s="7"/>
      <c r="C258" s="16"/>
      <c r="E258" s="9"/>
      <c r="G258" s="16"/>
      <c r="I258" s="9"/>
      <c r="K258" s="16"/>
      <c r="M258" s="9"/>
      <c r="O258" s="16"/>
      <c r="Q258" s="7"/>
      <c r="R258" s="25"/>
      <c r="S258" s="28"/>
      <c r="U258" s="28"/>
      <c r="W258" s="14"/>
      <c r="Y258" s="14"/>
      <c r="Z258" s="55"/>
      <c r="AA258" t="b">
        <v>0</v>
      </c>
      <c r="AC258" t="b">
        <v>0</v>
      </c>
      <c r="AE258" t="b">
        <v>0</v>
      </c>
      <c r="AG258" t="b">
        <v>0</v>
      </c>
      <c r="AJ258" s="14"/>
      <c r="AL258" s="14"/>
    </row>
    <row r="259">
      <c r="A259" s="15"/>
      <c r="B259" s="7"/>
      <c r="C259" s="16"/>
      <c r="E259" s="9"/>
      <c r="G259" s="16"/>
      <c r="I259" s="9"/>
      <c r="K259" s="16"/>
      <c r="M259" s="9"/>
      <c r="O259" s="16"/>
      <c r="Q259" s="7"/>
      <c r="R259" s="25"/>
      <c r="S259" s="28"/>
      <c r="U259" s="28"/>
      <c r="W259" s="14"/>
      <c r="Y259" s="14"/>
      <c r="Z259" s="55"/>
      <c r="AA259" t="b">
        <v>0</v>
      </c>
      <c r="AC259" t="b">
        <v>0</v>
      </c>
      <c r="AE259" t="b">
        <v>0</v>
      </c>
      <c r="AG259" t="b">
        <v>0</v>
      </c>
      <c r="AJ259" s="14"/>
      <c r="AL259" s="14"/>
    </row>
    <row r="260">
      <c r="A260" s="15"/>
      <c r="B260" s="7"/>
      <c r="C260" s="16"/>
      <c r="E260" s="9"/>
      <c r="G260" s="16"/>
      <c r="I260" s="9"/>
      <c r="K260" s="16"/>
      <c r="M260" s="9"/>
      <c r="O260" s="16"/>
      <c r="Q260" s="7"/>
      <c r="R260" s="25"/>
      <c r="S260" s="28"/>
      <c r="U260" s="28"/>
      <c r="W260" s="14"/>
      <c r="Y260" s="14"/>
      <c r="Z260" s="55"/>
      <c r="AA260" t="b">
        <v>0</v>
      </c>
      <c r="AC260" t="b">
        <v>0</v>
      </c>
      <c r="AE260" t="b">
        <v>0</v>
      </c>
      <c r="AG260" t="b">
        <v>0</v>
      </c>
      <c r="AJ260" s="14"/>
      <c r="AL260" s="14"/>
    </row>
    <row r="261">
      <c r="A261" s="15"/>
      <c r="B261" s="7"/>
      <c r="C261" s="16"/>
      <c r="E261" s="9"/>
      <c r="G261" s="16"/>
      <c r="I261" s="9"/>
      <c r="K261" s="16"/>
      <c r="M261" s="9"/>
      <c r="O261" s="16"/>
      <c r="Q261" s="7"/>
      <c r="R261" s="25"/>
      <c r="S261" s="28"/>
      <c r="U261" s="28"/>
      <c r="W261" s="14"/>
      <c r="Y261" s="14"/>
      <c r="Z261" s="55"/>
      <c r="AA261" t="b">
        <v>0</v>
      </c>
      <c r="AC261" t="b">
        <v>0</v>
      </c>
      <c r="AE261" t="b">
        <v>0</v>
      </c>
      <c r="AG261" t="b">
        <v>0</v>
      </c>
      <c r="AJ261" s="14"/>
      <c r="AL261" s="14"/>
    </row>
    <row r="262">
      <c r="A262" s="15"/>
      <c r="B262" s="7"/>
      <c r="C262" s="16"/>
      <c r="E262" s="9"/>
      <c r="G262" s="16"/>
      <c r="I262" s="9"/>
      <c r="K262" s="16"/>
      <c r="M262" s="9"/>
      <c r="O262" s="16"/>
      <c r="Q262" s="7"/>
      <c r="R262" s="25"/>
      <c r="S262" s="28"/>
      <c r="U262" s="28"/>
      <c r="W262" s="14"/>
      <c r="Y262" s="14"/>
      <c r="Z262" s="55"/>
      <c r="AA262" t="b">
        <v>0</v>
      </c>
      <c r="AC262" t="b">
        <v>0</v>
      </c>
      <c r="AE262" t="b">
        <v>0</v>
      </c>
      <c r="AG262" t="b">
        <v>0</v>
      </c>
      <c r="AJ262" s="14"/>
      <c r="AL262" s="14"/>
    </row>
    <row r="263">
      <c r="A263" s="15"/>
      <c r="B263" s="7"/>
      <c r="C263" s="16"/>
      <c r="E263" s="9"/>
      <c r="G263" s="16"/>
      <c r="I263" s="9"/>
      <c r="K263" s="16"/>
      <c r="M263" s="9"/>
      <c r="O263" s="16"/>
      <c r="Q263" s="7"/>
      <c r="R263" s="25"/>
      <c r="S263" s="28"/>
      <c r="U263" s="28"/>
      <c r="W263" s="14"/>
      <c r="Y263" s="14"/>
      <c r="Z263" s="55"/>
      <c r="AA263" t="b">
        <v>0</v>
      </c>
      <c r="AC263" t="b">
        <v>0</v>
      </c>
      <c r="AE263" t="b">
        <v>0</v>
      </c>
      <c r="AG263" t="b">
        <v>0</v>
      </c>
      <c r="AJ263" s="14"/>
      <c r="AL263" s="14"/>
    </row>
    <row r="264">
      <c r="A264" s="15"/>
      <c r="B264" s="7"/>
      <c r="C264" s="16"/>
      <c r="E264" s="9"/>
      <c r="G264" s="16"/>
      <c r="I264" s="9"/>
      <c r="K264" s="16"/>
      <c r="M264" s="9"/>
      <c r="O264" s="16"/>
      <c r="Q264" s="7"/>
      <c r="R264" s="25"/>
      <c r="S264" s="28"/>
      <c r="U264" s="28"/>
      <c r="W264" s="14"/>
      <c r="Y264" s="14"/>
      <c r="Z264" s="55"/>
      <c r="AA264" t="b">
        <v>0</v>
      </c>
      <c r="AC264" t="b">
        <v>0</v>
      </c>
      <c r="AE264" t="b">
        <v>0</v>
      </c>
      <c r="AG264" t="b">
        <v>0</v>
      </c>
      <c r="AJ264" s="14"/>
      <c r="AL264" s="14"/>
    </row>
    <row r="265">
      <c r="A265" s="15"/>
      <c r="B265" s="7"/>
      <c r="C265" s="16"/>
      <c r="E265" s="9"/>
      <c r="G265" s="16"/>
      <c r="I265" s="9"/>
      <c r="K265" s="16"/>
      <c r="M265" s="9"/>
      <c r="O265" s="16"/>
      <c r="Q265" s="7"/>
      <c r="R265" s="25"/>
      <c r="S265" s="28"/>
      <c r="U265" s="28"/>
      <c r="W265" s="14"/>
      <c r="Y265" s="14"/>
      <c r="Z265" s="55"/>
      <c r="AA265" t="b">
        <v>0</v>
      </c>
      <c r="AC265" t="b">
        <v>0</v>
      </c>
      <c r="AE265" t="b">
        <v>0</v>
      </c>
      <c r="AG265" t="b">
        <v>0</v>
      </c>
      <c r="AJ265" s="14"/>
      <c r="AL265" s="14"/>
    </row>
    <row r="266">
      <c r="A266" s="15"/>
      <c r="B266" s="7"/>
      <c r="C266" s="16"/>
      <c r="E266" s="9"/>
      <c r="G266" s="16"/>
      <c r="I266" s="9"/>
      <c r="K266" s="16"/>
      <c r="M266" s="9"/>
      <c r="O266" s="16"/>
      <c r="Q266" s="7"/>
      <c r="R266" s="25"/>
      <c r="S266" s="28"/>
      <c r="U266" s="28"/>
      <c r="W266" s="14"/>
      <c r="Y266" s="14"/>
      <c r="Z266" s="55"/>
      <c r="AA266" t="b">
        <v>0</v>
      </c>
      <c r="AC266" t="b">
        <v>0</v>
      </c>
      <c r="AE266" t="b">
        <v>0</v>
      </c>
      <c r="AG266" t="b">
        <v>0</v>
      </c>
      <c r="AJ266" s="14"/>
      <c r="AL266" s="14"/>
    </row>
    <row r="267">
      <c r="A267" s="15"/>
      <c r="B267" s="7"/>
      <c r="C267" s="16"/>
      <c r="E267" s="9"/>
      <c r="G267" s="16"/>
      <c r="I267" s="9"/>
      <c r="K267" s="16"/>
      <c r="M267" s="9"/>
      <c r="O267" s="16"/>
      <c r="Q267" s="7"/>
      <c r="R267" s="25"/>
      <c r="S267" s="28"/>
      <c r="U267" s="28"/>
      <c r="W267" s="14"/>
      <c r="Y267" s="14"/>
      <c r="Z267" s="55"/>
      <c r="AA267" t="b">
        <v>0</v>
      </c>
      <c r="AC267" t="b">
        <v>0</v>
      </c>
      <c r="AE267" t="b">
        <v>0</v>
      </c>
      <c r="AG267" t="b">
        <v>0</v>
      </c>
      <c r="AJ267" s="14"/>
      <c r="AL267" s="14"/>
    </row>
    <row r="268">
      <c r="A268" s="15"/>
      <c r="B268" s="7"/>
      <c r="C268" s="16"/>
      <c r="E268" s="9"/>
      <c r="G268" s="16"/>
      <c r="I268" s="9"/>
      <c r="K268" s="16"/>
      <c r="M268" s="9"/>
      <c r="O268" s="16"/>
      <c r="Q268" s="7"/>
      <c r="R268" s="25"/>
      <c r="S268" s="28"/>
      <c r="U268" s="28"/>
      <c r="W268" s="14"/>
      <c r="Y268" s="14"/>
      <c r="Z268" s="55"/>
      <c r="AA268" t="b">
        <v>0</v>
      </c>
      <c r="AC268" t="b">
        <v>0</v>
      </c>
      <c r="AE268" t="b">
        <v>0</v>
      </c>
      <c r="AG268" t="b">
        <v>0</v>
      </c>
      <c r="AJ268" s="14"/>
      <c r="AL268" s="14"/>
    </row>
    <row r="269">
      <c r="A269" s="15"/>
      <c r="B269" s="7"/>
      <c r="C269" s="16"/>
      <c r="E269" s="9"/>
      <c r="G269" s="16"/>
      <c r="I269" s="9"/>
      <c r="K269" s="16"/>
      <c r="M269" s="9"/>
      <c r="O269" s="16"/>
      <c r="Q269" s="7"/>
      <c r="R269" s="25"/>
      <c r="S269" s="28"/>
      <c r="U269" s="28"/>
      <c r="W269" s="14"/>
      <c r="Y269" s="14"/>
      <c r="Z269" s="55"/>
      <c r="AA269" t="b">
        <v>0</v>
      </c>
      <c r="AC269" t="b">
        <v>0</v>
      </c>
      <c r="AE269" t="b">
        <v>0</v>
      </c>
      <c r="AG269" t="b">
        <v>0</v>
      </c>
      <c r="AJ269" s="14"/>
      <c r="AL269" s="14"/>
    </row>
    <row r="270">
      <c r="A270" s="15"/>
      <c r="B270" s="7"/>
      <c r="C270" s="16"/>
      <c r="E270" s="9"/>
      <c r="G270" s="16"/>
      <c r="I270" s="9"/>
      <c r="K270" s="16"/>
      <c r="M270" s="9"/>
      <c r="O270" s="16"/>
      <c r="Q270" s="7"/>
      <c r="R270" s="25"/>
      <c r="S270" s="28"/>
      <c r="U270" s="28"/>
      <c r="W270" s="14"/>
      <c r="Y270" s="14"/>
      <c r="Z270" s="55"/>
      <c r="AA270" t="b">
        <v>0</v>
      </c>
      <c r="AC270" t="b">
        <v>0</v>
      </c>
      <c r="AE270" t="b">
        <v>0</v>
      </c>
      <c r="AG270" t="b">
        <v>0</v>
      </c>
      <c r="AJ270" s="14"/>
      <c r="AL270" s="14"/>
    </row>
    <row r="271">
      <c r="A271" s="15"/>
      <c r="B271" s="7"/>
      <c r="C271" s="16"/>
      <c r="E271" s="9"/>
      <c r="G271" s="16"/>
      <c r="I271" s="9"/>
      <c r="K271" s="16"/>
      <c r="M271" s="9"/>
      <c r="O271" s="16"/>
      <c r="Q271" s="7"/>
      <c r="R271" s="25"/>
      <c r="S271" s="28"/>
      <c r="U271" s="28"/>
      <c r="W271" s="14"/>
      <c r="Y271" s="14"/>
      <c r="Z271" s="55"/>
      <c r="AA271" t="b">
        <v>0</v>
      </c>
      <c r="AC271" t="b">
        <v>0</v>
      </c>
      <c r="AE271" t="b">
        <v>0</v>
      </c>
      <c r="AG271" t="b">
        <v>0</v>
      </c>
      <c r="AJ271" s="14"/>
      <c r="AL271" s="14"/>
    </row>
    <row r="272">
      <c r="A272" s="15"/>
      <c r="B272" s="7"/>
      <c r="C272" s="16"/>
      <c r="E272" s="9"/>
      <c r="G272" s="16"/>
      <c r="I272" s="9"/>
      <c r="K272" s="16"/>
      <c r="M272" s="9"/>
      <c r="O272" s="16"/>
      <c r="Q272" s="7"/>
      <c r="R272" s="25"/>
      <c r="S272" s="28"/>
      <c r="U272" s="28"/>
      <c r="W272" s="14"/>
      <c r="Y272" s="14"/>
      <c r="Z272" s="55"/>
      <c r="AA272" t="b">
        <v>0</v>
      </c>
      <c r="AC272" t="b">
        <v>0</v>
      </c>
      <c r="AE272" t="b">
        <v>0</v>
      </c>
      <c r="AG272" t="b">
        <v>0</v>
      </c>
      <c r="AJ272" s="14"/>
      <c r="AL272" s="14"/>
    </row>
    <row r="273">
      <c r="A273" s="15"/>
      <c r="B273" s="7"/>
      <c r="C273" s="16"/>
      <c r="E273" s="9"/>
      <c r="G273" s="16"/>
      <c r="I273" s="9"/>
      <c r="K273" s="16"/>
      <c r="M273" s="9"/>
      <c r="O273" s="16"/>
      <c r="Q273" s="7"/>
      <c r="R273" s="25"/>
      <c r="S273" s="28"/>
      <c r="U273" s="28"/>
      <c r="W273" s="14"/>
      <c r="Y273" s="14"/>
      <c r="Z273" s="55"/>
      <c r="AA273" t="b">
        <v>0</v>
      </c>
      <c r="AC273" t="b">
        <v>0</v>
      </c>
      <c r="AE273" t="b">
        <v>0</v>
      </c>
      <c r="AG273" t="b">
        <v>0</v>
      </c>
      <c r="AJ273" s="14"/>
      <c r="AL273" s="14"/>
    </row>
    <row r="274">
      <c r="A274" s="15"/>
      <c r="B274" s="7"/>
      <c r="C274" s="16"/>
      <c r="E274" s="9"/>
      <c r="G274" s="16"/>
      <c r="I274" s="9"/>
      <c r="K274" s="16"/>
      <c r="M274" s="9"/>
      <c r="O274" s="16"/>
      <c r="Q274" s="7"/>
      <c r="R274" s="25"/>
      <c r="S274" s="28"/>
      <c r="U274" s="28"/>
      <c r="W274" s="14"/>
      <c r="Y274" s="14"/>
      <c r="Z274" s="55"/>
      <c r="AA274" t="b">
        <v>0</v>
      </c>
      <c r="AC274" t="b">
        <v>0</v>
      </c>
      <c r="AE274" t="b">
        <v>0</v>
      </c>
      <c r="AG274" t="b">
        <v>0</v>
      </c>
      <c r="AJ274" s="14"/>
      <c r="AL274" s="14"/>
    </row>
    <row r="275">
      <c r="A275" s="15"/>
      <c r="B275" s="7"/>
      <c r="C275" s="16"/>
      <c r="E275" s="9"/>
      <c r="G275" s="16"/>
      <c r="I275" s="9"/>
      <c r="K275" s="16"/>
      <c r="M275" s="9"/>
      <c r="O275" s="16"/>
      <c r="Q275" s="7"/>
      <c r="R275" s="25"/>
      <c r="S275" s="28"/>
      <c r="U275" s="28"/>
      <c r="W275" s="14"/>
      <c r="Y275" s="14"/>
      <c r="Z275" s="55"/>
      <c r="AA275" t="b">
        <v>0</v>
      </c>
      <c r="AC275" t="b">
        <v>0</v>
      </c>
      <c r="AE275" t="b">
        <v>0</v>
      </c>
      <c r="AG275" t="b">
        <v>0</v>
      </c>
      <c r="AJ275" s="14"/>
      <c r="AL275" s="14"/>
    </row>
    <row r="276">
      <c r="A276" s="15"/>
      <c r="B276" s="7"/>
      <c r="C276" s="16"/>
      <c r="E276" s="9"/>
      <c r="G276" s="16"/>
      <c r="I276" s="9"/>
      <c r="K276" s="16"/>
      <c r="M276" s="9"/>
      <c r="O276" s="16"/>
      <c r="Q276" s="7"/>
      <c r="R276" s="25"/>
      <c r="S276" s="28"/>
      <c r="U276" s="28"/>
      <c r="W276" s="14"/>
      <c r="Y276" s="14"/>
      <c r="Z276" s="55"/>
      <c r="AA276" t="b">
        <v>0</v>
      </c>
      <c r="AC276" t="b">
        <v>0</v>
      </c>
      <c r="AE276" t="b">
        <v>0</v>
      </c>
      <c r="AG276" t="b">
        <v>0</v>
      </c>
      <c r="AJ276" s="14"/>
      <c r="AL276" s="14"/>
    </row>
    <row r="277">
      <c r="A277" s="15"/>
      <c r="B277" s="7"/>
      <c r="C277" s="16"/>
      <c r="E277" s="9"/>
      <c r="G277" s="16"/>
      <c r="I277" s="9"/>
      <c r="K277" s="16"/>
      <c r="M277" s="9"/>
      <c r="O277" s="16"/>
      <c r="Q277" s="7"/>
      <c r="R277" s="25"/>
      <c r="S277" s="28"/>
      <c r="U277" s="28"/>
      <c r="W277" s="14"/>
      <c r="Y277" s="14"/>
      <c r="Z277" s="55"/>
      <c r="AA277" t="b">
        <v>0</v>
      </c>
      <c r="AC277" t="b">
        <v>0</v>
      </c>
      <c r="AE277" t="b">
        <v>0</v>
      </c>
      <c r="AG277" t="b">
        <v>0</v>
      </c>
      <c r="AJ277" s="14"/>
      <c r="AL277" s="14"/>
    </row>
    <row r="278">
      <c r="A278" s="15"/>
      <c r="B278" s="7"/>
      <c r="C278" s="16"/>
      <c r="E278" s="9"/>
      <c r="G278" s="16"/>
      <c r="I278" s="9"/>
      <c r="K278" s="16"/>
      <c r="M278" s="9"/>
      <c r="O278" s="16"/>
      <c r="Q278" s="7"/>
      <c r="R278" s="25"/>
      <c r="S278" s="28"/>
      <c r="U278" s="28"/>
      <c r="W278" s="14"/>
      <c r="Y278" s="14"/>
      <c r="Z278" s="55"/>
      <c r="AA278" t="b">
        <v>0</v>
      </c>
      <c r="AC278" t="b">
        <v>0</v>
      </c>
      <c r="AE278" t="b">
        <v>0</v>
      </c>
      <c r="AG278" t="b">
        <v>0</v>
      </c>
      <c r="AJ278" s="14"/>
      <c r="AL278" s="14"/>
    </row>
    <row r="279">
      <c r="A279" s="15"/>
      <c r="B279" s="7"/>
      <c r="C279" s="16"/>
      <c r="E279" s="9"/>
      <c r="G279" s="16"/>
      <c r="I279" s="9"/>
      <c r="K279" s="16"/>
      <c r="M279" s="9"/>
      <c r="O279" s="16"/>
      <c r="Q279" s="7"/>
      <c r="R279" s="25"/>
      <c r="S279" s="28"/>
      <c r="U279" s="28"/>
      <c r="W279" s="14"/>
      <c r="Y279" s="14"/>
      <c r="Z279" s="55"/>
      <c r="AA279" t="b">
        <v>0</v>
      </c>
      <c r="AC279" t="b">
        <v>0</v>
      </c>
      <c r="AE279" t="b">
        <v>0</v>
      </c>
      <c r="AG279" t="b">
        <v>0</v>
      </c>
      <c r="AJ279" s="14"/>
      <c r="AL279" s="14"/>
    </row>
    <row r="280">
      <c r="A280" s="15"/>
      <c r="B280" s="7"/>
      <c r="C280" s="16"/>
      <c r="E280" s="9"/>
      <c r="G280" s="16"/>
      <c r="I280" s="9"/>
      <c r="K280" s="16"/>
      <c r="M280" s="9"/>
      <c r="O280" s="16"/>
      <c r="Q280" s="7"/>
      <c r="R280" s="25"/>
      <c r="S280" s="28"/>
      <c r="U280" s="28"/>
      <c r="W280" s="14"/>
      <c r="Y280" s="14"/>
      <c r="Z280" s="55"/>
      <c r="AA280" t="b">
        <v>0</v>
      </c>
      <c r="AC280" t="b">
        <v>0</v>
      </c>
      <c r="AE280" t="b">
        <v>0</v>
      </c>
      <c r="AG280" t="b">
        <v>0</v>
      </c>
      <c r="AJ280" s="14"/>
      <c r="AL280" s="14"/>
    </row>
    <row r="281">
      <c r="A281" s="15"/>
      <c r="B281" s="7"/>
      <c r="C281" s="16"/>
      <c r="E281" s="9"/>
      <c r="G281" s="16"/>
      <c r="I281" s="9"/>
      <c r="K281" s="16"/>
      <c r="M281" s="9"/>
      <c r="O281" s="16"/>
      <c r="Q281" s="7"/>
      <c r="R281" s="25"/>
      <c r="S281" s="28"/>
      <c r="U281" s="28"/>
      <c r="W281" s="14"/>
      <c r="Y281" s="14"/>
      <c r="Z281" s="55"/>
      <c r="AA281" t="b">
        <v>0</v>
      </c>
      <c r="AC281" t="b">
        <v>0</v>
      </c>
      <c r="AE281" t="b">
        <v>0</v>
      </c>
      <c r="AG281" t="b">
        <v>0</v>
      </c>
      <c r="AJ281" s="14"/>
      <c r="AL281" s="14"/>
    </row>
    <row r="282">
      <c r="A282" s="15"/>
      <c r="B282" s="7"/>
      <c r="C282" s="16"/>
      <c r="E282" s="9"/>
      <c r="G282" s="16"/>
      <c r="I282" s="9"/>
      <c r="K282" s="16"/>
      <c r="M282" s="9"/>
      <c r="O282" s="16"/>
      <c r="Q282" s="7"/>
      <c r="R282" s="25"/>
      <c r="S282" s="28"/>
      <c r="U282" s="28"/>
      <c r="W282" s="14"/>
      <c r="Y282" s="14"/>
      <c r="Z282" s="55"/>
      <c r="AA282" t="b">
        <v>0</v>
      </c>
      <c r="AC282" t="b">
        <v>0</v>
      </c>
      <c r="AE282" t="b">
        <v>0</v>
      </c>
      <c r="AG282" t="b">
        <v>0</v>
      </c>
      <c r="AJ282" s="14"/>
      <c r="AL282" s="14"/>
    </row>
    <row r="283">
      <c r="A283" s="15"/>
      <c r="B283" s="7"/>
      <c r="C283" s="16"/>
      <c r="E283" s="9"/>
      <c r="G283" s="16"/>
      <c r="I283" s="9"/>
      <c r="K283" s="16"/>
      <c r="M283" s="9"/>
      <c r="O283" s="16"/>
      <c r="Q283" s="7"/>
      <c r="R283" s="25"/>
      <c r="S283" s="28"/>
      <c r="U283" s="28"/>
      <c r="W283" s="14"/>
      <c r="Y283" s="14"/>
      <c r="Z283" s="55"/>
      <c r="AA283" t="b">
        <v>0</v>
      </c>
      <c r="AC283" t="b">
        <v>0</v>
      </c>
      <c r="AE283" t="b">
        <v>0</v>
      </c>
      <c r="AG283" t="b">
        <v>0</v>
      </c>
      <c r="AJ283" s="14"/>
      <c r="AL283" s="14"/>
    </row>
    <row r="284">
      <c r="A284" s="15"/>
      <c r="B284" s="7"/>
      <c r="C284" s="16"/>
      <c r="E284" s="9"/>
      <c r="G284" s="16"/>
      <c r="I284" s="9"/>
      <c r="K284" s="16"/>
      <c r="M284" s="9"/>
      <c r="O284" s="16"/>
      <c r="Q284" s="7"/>
      <c r="R284" s="25"/>
      <c r="S284" s="28"/>
      <c r="U284" s="28"/>
      <c r="W284" s="14"/>
      <c r="Y284" s="14"/>
      <c r="Z284" s="55"/>
      <c r="AA284" t="b">
        <v>0</v>
      </c>
      <c r="AC284" t="b">
        <v>0</v>
      </c>
      <c r="AE284" t="b">
        <v>0</v>
      </c>
      <c r="AG284" t="b">
        <v>0</v>
      </c>
      <c r="AJ284" s="14"/>
      <c r="AL284" s="14"/>
    </row>
    <row r="285">
      <c r="A285" s="15"/>
      <c r="B285" s="7"/>
      <c r="C285" s="16"/>
      <c r="E285" s="9"/>
      <c r="G285" s="16"/>
      <c r="I285" s="9"/>
      <c r="K285" s="16"/>
      <c r="M285" s="9"/>
      <c r="O285" s="16"/>
      <c r="Q285" s="7"/>
      <c r="R285" s="25"/>
      <c r="S285" s="28"/>
      <c r="U285" s="28"/>
      <c r="W285" s="14"/>
      <c r="Y285" s="14"/>
      <c r="Z285" s="55"/>
      <c r="AA285" t="b">
        <v>0</v>
      </c>
      <c r="AC285" t="b">
        <v>0</v>
      </c>
      <c r="AE285" t="b">
        <v>0</v>
      </c>
      <c r="AG285" t="b">
        <v>0</v>
      </c>
      <c r="AJ285" s="14"/>
      <c r="AL285" s="14"/>
    </row>
    <row r="286">
      <c r="A286" s="15"/>
      <c r="B286" s="7"/>
      <c r="C286" s="16"/>
      <c r="E286" s="9"/>
      <c r="G286" s="16"/>
      <c r="I286" s="9"/>
      <c r="K286" s="16"/>
      <c r="M286" s="9"/>
      <c r="O286" s="16"/>
      <c r="Q286" s="7"/>
      <c r="R286" s="25"/>
      <c r="S286" s="28"/>
      <c r="U286" s="28"/>
      <c r="W286" s="14"/>
      <c r="Y286" s="14"/>
      <c r="Z286" s="55"/>
      <c r="AA286" t="b">
        <v>0</v>
      </c>
      <c r="AC286" t="b">
        <v>0</v>
      </c>
      <c r="AE286" t="b">
        <v>0</v>
      </c>
      <c r="AG286" t="b">
        <v>0</v>
      </c>
      <c r="AJ286" s="14"/>
      <c r="AL286" s="14"/>
    </row>
    <row r="287">
      <c r="A287" s="15"/>
      <c r="B287" s="7"/>
      <c r="C287" s="16"/>
      <c r="E287" s="9"/>
      <c r="G287" s="16"/>
      <c r="I287" s="9"/>
      <c r="K287" s="16"/>
      <c r="M287" s="9"/>
      <c r="O287" s="16"/>
      <c r="Q287" s="7"/>
      <c r="R287" s="25"/>
      <c r="S287" s="28"/>
      <c r="U287" s="28"/>
      <c r="W287" s="14"/>
      <c r="Y287" s="14"/>
      <c r="Z287" s="55"/>
      <c r="AA287" t="b">
        <v>0</v>
      </c>
      <c r="AC287" t="b">
        <v>0</v>
      </c>
      <c r="AE287" t="b">
        <v>0</v>
      </c>
      <c r="AG287" t="b">
        <v>0</v>
      </c>
      <c r="AJ287" s="14"/>
      <c r="AL287" s="14"/>
    </row>
    <row r="288">
      <c r="A288" s="15"/>
      <c r="B288" s="7"/>
      <c r="C288" s="16"/>
      <c r="E288" s="9"/>
      <c r="G288" s="16"/>
      <c r="I288" s="9"/>
      <c r="K288" s="16"/>
      <c r="M288" s="9"/>
      <c r="O288" s="16"/>
      <c r="Q288" s="7"/>
      <c r="R288" s="25"/>
      <c r="S288" s="28"/>
      <c r="U288" s="28"/>
      <c r="W288" s="14"/>
      <c r="Y288" s="14"/>
      <c r="Z288" s="55"/>
      <c r="AA288" t="b">
        <v>0</v>
      </c>
      <c r="AC288" t="b">
        <v>0</v>
      </c>
      <c r="AE288" t="b">
        <v>0</v>
      </c>
      <c r="AG288" t="b">
        <v>0</v>
      </c>
      <c r="AJ288" s="14"/>
      <c r="AL288" s="14"/>
    </row>
    <row r="289">
      <c r="A289" s="15"/>
      <c r="B289" s="7"/>
      <c r="C289" s="16"/>
      <c r="E289" s="9"/>
      <c r="G289" s="16"/>
      <c r="I289" s="9"/>
      <c r="K289" s="16"/>
      <c r="M289" s="9"/>
      <c r="O289" s="16"/>
      <c r="Q289" s="7"/>
      <c r="R289" s="25"/>
      <c r="S289" s="28"/>
      <c r="U289" s="28"/>
      <c r="W289" s="14"/>
      <c r="Y289" s="14"/>
      <c r="Z289" s="55"/>
      <c r="AA289" t="b">
        <v>0</v>
      </c>
      <c r="AC289" t="b">
        <v>0</v>
      </c>
      <c r="AE289" t="b">
        <v>0</v>
      </c>
      <c r="AG289" t="b">
        <v>0</v>
      </c>
      <c r="AJ289" s="14"/>
      <c r="AL289" s="14"/>
    </row>
    <row r="290">
      <c r="A290" s="15"/>
      <c r="B290" s="7"/>
      <c r="C290" s="16"/>
      <c r="E290" s="9"/>
      <c r="G290" s="16"/>
      <c r="I290" s="9"/>
      <c r="K290" s="16"/>
      <c r="M290" s="9"/>
      <c r="O290" s="16"/>
      <c r="Q290" s="7"/>
      <c r="R290" s="25"/>
      <c r="S290" s="28"/>
      <c r="U290" s="28"/>
      <c r="W290" s="14"/>
      <c r="Y290" s="14"/>
      <c r="Z290" s="55"/>
      <c r="AA290" t="b">
        <v>0</v>
      </c>
      <c r="AC290" t="b">
        <v>0</v>
      </c>
      <c r="AE290" t="b">
        <v>0</v>
      </c>
      <c r="AG290" t="b">
        <v>0</v>
      </c>
      <c r="AJ290" s="14"/>
      <c r="AL290" s="14"/>
    </row>
    <row r="291">
      <c r="A291" s="15"/>
      <c r="B291" s="7"/>
      <c r="C291" s="16"/>
      <c r="E291" s="9"/>
      <c r="G291" s="16"/>
      <c r="I291" s="9"/>
      <c r="K291" s="16"/>
      <c r="M291" s="9"/>
      <c r="O291" s="16"/>
      <c r="Q291" s="7"/>
      <c r="R291" s="25"/>
      <c r="S291" s="28"/>
      <c r="U291" s="28"/>
      <c r="W291" s="14"/>
      <c r="Y291" s="14"/>
      <c r="Z291" s="55"/>
      <c r="AA291" t="b">
        <v>0</v>
      </c>
      <c r="AC291" t="b">
        <v>0</v>
      </c>
      <c r="AE291" t="b">
        <v>0</v>
      </c>
      <c r="AG291" t="b">
        <v>0</v>
      </c>
      <c r="AJ291" s="14"/>
      <c r="AL291" s="14"/>
    </row>
    <row r="292">
      <c r="A292" s="15"/>
      <c r="B292" s="7"/>
      <c r="C292" s="16"/>
      <c r="E292" s="9"/>
      <c r="G292" s="16"/>
      <c r="I292" s="9"/>
      <c r="K292" s="16"/>
      <c r="M292" s="9"/>
      <c r="O292" s="16"/>
      <c r="Q292" s="7"/>
      <c r="R292" s="25"/>
      <c r="S292" s="28"/>
      <c r="U292" s="28"/>
      <c r="W292" s="14"/>
      <c r="Y292" s="14"/>
      <c r="Z292" s="55"/>
      <c r="AA292" t="b">
        <v>0</v>
      </c>
      <c r="AC292" t="b">
        <v>0</v>
      </c>
      <c r="AE292" t="b">
        <v>0</v>
      </c>
      <c r="AG292" t="b">
        <v>0</v>
      </c>
      <c r="AJ292" s="14"/>
      <c r="AL292" s="14"/>
    </row>
    <row r="293">
      <c r="A293" s="15"/>
      <c r="B293" s="7"/>
      <c r="C293" s="16"/>
      <c r="E293" s="9"/>
      <c r="G293" s="16"/>
      <c r="I293" s="9"/>
      <c r="K293" s="16"/>
      <c r="M293" s="9"/>
      <c r="O293" s="16"/>
      <c r="Q293" s="7"/>
      <c r="R293" s="25"/>
      <c r="S293" s="28"/>
      <c r="U293" s="28"/>
      <c r="W293" s="14"/>
      <c r="Y293" s="14"/>
      <c r="Z293" s="55"/>
      <c r="AA293" t="b">
        <v>0</v>
      </c>
      <c r="AC293" t="b">
        <v>0</v>
      </c>
      <c r="AE293" t="b">
        <v>0</v>
      </c>
      <c r="AG293" t="b">
        <v>0</v>
      </c>
      <c r="AJ293" s="14"/>
      <c r="AL293" s="14"/>
    </row>
    <row r="294">
      <c r="A294" s="15"/>
      <c r="B294" s="7"/>
      <c r="C294" s="16"/>
      <c r="E294" s="9"/>
      <c r="G294" s="16"/>
      <c r="I294" s="9"/>
      <c r="K294" s="16"/>
      <c r="M294" s="9"/>
      <c r="O294" s="16"/>
      <c r="Q294" s="7"/>
      <c r="R294" s="25"/>
      <c r="S294" s="28"/>
      <c r="U294" s="28"/>
      <c r="W294" s="14"/>
      <c r="Y294" s="14"/>
      <c r="Z294" s="55"/>
      <c r="AA294" t="b">
        <v>0</v>
      </c>
      <c r="AC294" t="b">
        <v>0</v>
      </c>
      <c r="AE294" t="b">
        <v>0</v>
      </c>
      <c r="AG294" t="b">
        <v>0</v>
      </c>
      <c r="AJ294" s="14"/>
      <c r="AL294" s="14"/>
    </row>
    <row r="295">
      <c r="A295" s="15"/>
      <c r="B295" s="7"/>
      <c r="C295" s="16"/>
      <c r="E295" s="9"/>
      <c r="G295" s="16"/>
      <c r="I295" s="9"/>
      <c r="K295" s="16"/>
      <c r="M295" s="9"/>
      <c r="O295" s="16"/>
      <c r="Q295" s="7"/>
      <c r="R295" s="25"/>
      <c r="S295" s="28"/>
      <c r="U295" s="28"/>
      <c r="W295" s="14"/>
      <c r="Y295" s="14"/>
      <c r="Z295" s="55"/>
      <c r="AA295" t="b">
        <v>0</v>
      </c>
      <c r="AC295" t="b">
        <v>0</v>
      </c>
      <c r="AE295" t="b">
        <v>0</v>
      </c>
      <c r="AG295" t="b">
        <v>0</v>
      </c>
      <c r="AJ295" s="14"/>
      <c r="AL295" s="14"/>
    </row>
    <row r="296">
      <c r="A296" s="15"/>
      <c r="B296" s="7"/>
      <c r="C296" s="16"/>
      <c r="E296" s="9"/>
      <c r="G296" s="16"/>
      <c r="I296" s="9"/>
      <c r="K296" s="16"/>
      <c r="M296" s="9"/>
      <c r="O296" s="16"/>
      <c r="Q296" s="7"/>
      <c r="R296" s="25"/>
      <c r="S296" s="28"/>
      <c r="U296" s="28"/>
      <c r="W296" s="14"/>
      <c r="Y296" s="14"/>
      <c r="Z296" s="55"/>
      <c r="AA296" t="b">
        <v>0</v>
      </c>
      <c r="AC296" t="b">
        <v>0</v>
      </c>
      <c r="AE296" t="b">
        <v>0</v>
      </c>
      <c r="AG296" t="b">
        <v>0</v>
      </c>
      <c r="AJ296" s="14"/>
      <c r="AL296" s="14"/>
    </row>
    <row r="297">
      <c r="A297" s="15"/>
      <c r="B297" s="7"/>
      <c r="C297" s="16"/>
      <c r="E297" s="9"/>
      <c r="G297" s="16"/>
      <c r="I297" s="9"/>
      <c r="K297" s="16"/>
      <c r="M297" s="9"/>
      <c r="O297" s="16"/>
      <c r="Q297" s="7"/>
      <c r="R297" s="25"/>
      <c r="S297" s="28"/>
      <c r="U297" s="28"/>
      <c r="W297" s="14"/>
      <c r="Y297" s="14"/>
      <c r="Z297" s="55"/>
      <c r="AA297" t="b">
        <v>0</v>
      </c>
      <c r="AC297" t="b">
        <v>0</v>
      </c>
      <c r="AE297" t="b">
        <v>0</v>
      </c>
      <c r="AG297" t="b">
        <v>0</v>
      </c>
      <c r="AJ297" s="14"/>
      <c r="AL297" s="14"/>
    </row>
    <row r="298">
      <c r="A298" s="15"/>
      <c r="B298" s="7"/>
      <c r="C298" s="16"/>
      <c r="E298" s="9"/>
      <c r="G298" s="16"/>
      <c r="I298" s="9"/>
      <c r="K298" s="16"/>
      <c r="M298" s="9"/>
      <c r="O298" s="16"/>
      <c r="Q298" s="7"/>
      <c r="R298" s="25"/>
      <c r="S298" s="28"/>
      <c r="U298" s="28"/>
      <c r="W298" s="14"/>
      <c r="Y298" s="14"/>
      <c r="Z298" s="55"/>
      <c r="AA298" t="b">
        <v>0</v>
      </c>
      <c r="AC298" t="b">
        <v>0</v>
      </c>
      <c r="AE298" t="b">
        <v>0</v>
      </c>
      <c r="AG298" t="b">
        <v>0</v>
      </c>
      <c r="AJ298" s="14"/>
      <c r="AL298" s="14"/>
    </row>
    <row r="299">
      <c r="A299" s="15"/>
      <c r="B299" s="7"/>
      <c r="C299" s="16"/>
      <c r="E299" s="9"/>
      <c r="G299" s="16"/>
      <c r="I299" s="9"/>
      <c r="K299" s="16"/>
      <c r="M299" s="9"/>
      <c r="O299" s="16"/>
      <c r="Q299" s="7"/>
      <c r="R299" s="25"/>
      <c r="S299" s="28"/>
      <c r="U299" s="28"/>
      <c r="W299" s="14"/>
      <c r="Y299" s="14"/>
      <c r="Z299" s="55"/>
      <c r="AA299" t="b">
        <v>0</v>
      </c>
      <c r="AC299" t="b">
        <v>0</v>
      </c>
      <c r="AE299" t="b">
        <v>0</v>
      </c>
      <c r="AG299" t="b">
        <v>0</v>
      </c>
      <c r="AJ299" s="14"/>
      <c r="AL299" s="14"/>
    </row>
    <row r="300">
      <c r="A300" s="15"/>
      <c r="B300" s="7"/>
      <c r="C300" s="16"/>
      <c r="E300" s="9"/>
      <c r="G300" s="16"/>
      <c r="I300" s="9"/>
      <c r="K300" s="16"/>
      <c r="M300" s="9"/>
      <c r="O300" s="16"/>
      <c r="Q300" s="7"/>
      <c r="R300" s="25"/>
      <c r="S300" s="28"/>
      <c r="U300" s="28"/>
      <c r="W300" s="14"/>
      <c r="Y300" s="14"/>
      <c r="Z300" s="55"/>
      <c r="AA300" t="b">
        <v>0</v>
      </c>
      <c r="AC300" t="b">
        <v>0</v>
      </c>
      <c r="AE300" t="b">
        <v>0</v>
      </c>
      <c r="AG300" t="b">
        <v>0</v>
      </c>
      <c r="AJ300" s="14"/>
      <c r="AL300" s="14"/>
    </row>
    <row r="301">
      <c r="A301" s="15"/>
      <c r="B301" s="7"/>
      <c r="C301" s="16"/>
      <c r="E301" s="9"/>
      <c r="G301" s="16"/>
      <c r="I301" s="9"/>
      <c r="K301" s="16"/>
      <c r="M301" s="9"/>
      <c r="O301" s="16"/>
      <c r="Q301" s="7"/>
      <c r="R301" s="25"/>
      <c r="S301" s="28"/>
      <c r="U301" s="28"/>
      <c r="W301" s="14"/>
      <c r="Y301" s="14"/>
      <c r="Z301" s="55"/>
      <c r="AA301" t="b">
        <v>0</v>
      </c>
      <c r="AC301" t="b">
        <v>0</v>
      </c>
      <c r="AE301" t="b">
        <v>0</v>
      </c>
      <c r="AG301" t="b">
        <v>0</v>
      </c>
      <c r="AJ301" s="14"/>
      <c r="AL301" s="14"/>
    </row>
    <row r="302">
      <c r="A302" s="15"/>
      <c r="B302" s="7"/>
      <c r="C302" s="16"/>
      <c r="E302" s="9"/>
      <c r="G302" s="16"/>
      <c r="I302" s="9"/>
      <c r="K302" s="16"/>
      <c r="M302" s="9"/>
      <c r="O302" s="16"/>
      <c r="Q302" s="7"/>
      <c r="R302" s="25"/>
      <c r="S302" s="28"/>
      <c r="U302" s="28"/>
      <c r="W302" s="14"/>
      <c r="Y302" s="14"/>
      <c r="Z302" s="55"/>
      <c r="AA302" t="b">
        <v>0</v>
      </c>
      <c r="AC302" t="b">
        <v>0</v>
      </c>
      <c r="AE302" t="b">
        <v>0</v>
      </c>
      <c r="AG302" t="b">
        <v>0</v>
      </c>
      <c r="AJ302" s="14"/>
      <c r="AL302" s="14"/>
    </row>
    <row r="303">
      <c r="A303" s="15"/>
      <c r="B303" s="7"/>
      <c r="C303" s="16"/>
      <c r="E303" s="9"/>
      <c r="G303" s="16"/>
      <c r="I303" s="9"/>
      <c r="K303" s="16"/>
      <c r="M303" s="9"/>
      <c r="O303" s="16"/>
      <c r="Q303" s="7"/>
      <c r="R303" s="25"/>
      <c r="S303" s="28"/>
      <c r="U303" s="28"/>
      <c r="W303" s="14"/>
      <c r="Y303" s="14"/>
      <c r="Z303" s="55"/>
      <c r="AA303" t="b">
        <v>0</v>
      </c>
      <c r="AC303" t="b">
        <v>0</v>
      </c>
      <c r="AE303" t="b">
        <v>0</v>
      </c>
      <c r="AG303" t="b">
        <v>0</v>
      </c>
      <c r="AJ303" s="14"/>
      <c r="AL303" s="14"/>
    </row>
    <row r="304">
      <c r="A304" s="15"/>
      <c r="B304" s="7"/>
      <c r="C304" s="16"/>
      <c r="E304" s="9"/>
      <c r="G304" s="16"/>
      <c r="I304" s="9"/>
      <c r="K304" s="16"/>
      <c r="M304" s="9"/>
      <c r="O304" s="16"/>
      <c r="Q304" s="7"/>
      <c r="R304" s="25"/>
      <c r="S304" s="28"/>
      <c r="U304" s="28"/>
      <c r="W304" s="14"/>
      <c r="Y304" s="14"/>
      <c r="Z304" s="55"/>
      <c r="AA304" t="b">
        <v>0</v>
      </c>
      <c r="AC304" t="b">
        <v>0</v>
      </c>
      <c r="AE304" t="b">
        <v>0</v>
      </c>
      <c r="AG304" t="b">
        <v>0</v>
      </c>
      <c r="AJ304" s="14"/>
      <c r="AL304" s="14"/>
    </row>
    <row r="305">
      <c r="A305" s="15"/>
      <c r="B305" s="7"/>
      <c r="C305" s="16"/>
      <c r="E305" s="9"/>
      <c r="G305" s="16"/>
      <c r="I305" s="9"/>
      <c r="K305" s="16"/>
      <c r="M305" s="9"/>
      <c r="O305" s="16"/>
      <c r="Q305" s="7"/>
      <c r="R305" s="25"/>
      <c r="S305" s="28"/>
      <c r="U305" s="28"/>
      <c r="W305" s="14"/>
      <c r="Y305" s="14"/>
      <c r="Z305" s="55"/>
      <c r="AA305" t="b">
        <v>0</v>
      </c>
      <c r="AC305" t="b">
        <v>0</v>
      </c>
      <c r="AE305" t="b">
        <v>0</v>
      </c>
      <c r="AG305" t="b">
        <v>0</v>
      </c>
      <c r="AJ305" s="14"/>
      <c r="AL305" s="14"/>
    </row>
    <row r="306">
      <c r="A306" s="15"/>
      <c r="B306" s="7"/>
      <c r="C306" s="16"/>
      <c r="E306" s="9"/>
      <c r="G306" s="16"/>
      <c r="I306" s="9"/>
      <c r="K306" s="16"/>
      <c r="M306" s="9"/>
      <c r="O306" s="16"/>
      <c r="Q306" s="7"/>
      <c r="R306" s="25"/>
      <c r="S306" s="28"/>
      <c r="U306" s="28"/>
      <c r="W306" s="14"/>
      <c r="Y306" s="14"/>
      <c r="Z306" s="55"/>
      <c r="AA306" t="b">
        <v>0</v>
      </c>
      <c r="AC306" t="b">
        <v>0</v>
      </c>
      <c r="AE306" t="b">
        <v>0</v>
      </c>
      <c r="AG306" t="b">
        <v>0</v>
      </c>
      <c r="AJ306" s="14"/>
      <c r="AL306" s="14"/>
    </row>
    <row r="307">
      <c r="A307" s="15"/>
      <c r="B307" s="7"/>
      <c r="C307" s="16"/>
      <c r="E307" s="9"/>
      <c r="G307" s="16"/>
      <c r="I307" s="9"/>
      <c r="K307" s="16"/>
      <c r="M307" s="9"/>
      <c r="O307" s="16"/>
      <c r="Q307" s="7"/>
      <c r="R307" s="25"/>
      <c r="S307" s="28"/>
      <c r="U307" s="28"/>
      <c r="W307" s="14"/>
      <c r="Y307" s="14"/>
      <c r="Z307" s="55"/>
      <c r="AA307" t="b">
        <v>0</v>
      </c>
      <c r="AC307" t="b">
        <v>0</v>
      </c>
      <c r="AE307" t="b">
        <v>0</v>
      </c>
      <c r="AG307" t="b">
        <v>0</v>
      </c>
      <c r="AJ307" s="14"/>
      <c r="AL307" s="14"/>
    </row>
    <row r="308">
      <c r="A308" s="15"/>
      <c r="B308" s="7"/>
      <c r="C308" s="16"/>
      <c r="E308" s="9"/>
      <c r="G308" s="16"/>
      <c r="I308" s="9"/>
      <c r="K308" s="16"/>
      <c r="M308" s="9"/>
      <c r="O308" s="16"/>
      <c r="Q308" s="7"/>
      <c r="R308" s="25"/>
      <c r="S308" s="28"/>
      <c r="U308" s="28"/>
      <c r="W308" s="14"/>
      <c r="Y308" s="14"/>
      <c r="Z308" s="55"/>
      <c r="AA308" t="b">
        <v>0</v>
      </c>
      <c r="AC308" t="b">
        <v>0</v>
      </c>
      <c r="AE308" t="b">
        <v>0</v>
      </c>
      <c r="AG308" t="b">
        <v>0</v>
      </c>
      <c r="AJ308" s="14"/>
      <c r="AL308" s="14"/>
    </row>
    <row r="309">
      <c r="A309" s="15"/>
      <c r="B309" s="7"/>
      <c r="C309" s="16"/>
      <c r="E309" s="9"/>
      <c r="G309" s="16"/>
      <c r="I309" s="9"/>
      <c r="K309" s="16"/>
      <c r="M309" s="9"/>
      <c r="O309" s="16"/>
      <c r="Q309" s="7"/>
      <c r="R309" s="25"/>
      <c r="S309" s="28"/>
      <c r="U309" s="28"/>
      <c r="W309" s="14"/>
      <c r="Y309" s="14"/>
      <c r="Z309" s="55"/>
      <c r="AA309" t="b">
        <v>0</v>
      </c>
      <c r="AC309" t="b">
        <v>0</v>
      </c>
      <c r="AE309" t="b">
        <v>0</v>
      </c>
      <c r="AG309" t="b">
        <v>0</v>
      </c>
      <c r="AJ309" s="14"/>
      <c r="AL309" s="14"/>
    </row>
    <row r="310">
      <c r="A310" s="15"/>
      <c r="B310" s="7"/>
      <c r="C310" s="16"/>
      <c r="E310" s="9"/>
      <c r="G310" s="16"/>
      <c r="I310" s="9"/>
      <c r="K310" s="16"/>
      <c r="M310" s="9"/>
      <c r="O310" s="16"/>
      <c r="Q310" s="7"/>
      <c r="R310" s="25"/>
      <c r="S310" s="28"/>
      <c r="U310" s="28"/>
      <c r="W310" s="14"/>
      <c r="Y310" s="14"/>
      <c r="Z310" s="55"/>
      <c r="AA310" t="b">
        <v>0</v>
      </c>
      <c r="AC310" t="b">
        <v>0</v>
      </c>
      <c r="AE310" t="b">
        <v>0</v>
      </c>
      <c r="AG310" t="b">
        <v>0</v>
      </c>
      <c r="AJ310" s="14"/>
      <c r="AL310" s="14"/>
    </row>
    <row r="311">
      <c r="A311" s="15"/>
      <c r="B311" s="7"/>
      <c r="C311" s="16"/>
      <c r="E311" s="9"/>
      <c r="G311" s="16"/>
      <c r="I311" s="9"/>
      <c r="K311" s="16"/>
      <c r="M311" s="9"/>
      <c r="O311" s="16"/>
      <c r="Q311" s="7"/>
      <c r="R311" s="25"/>
      <c r="S311" s="28"/>
      <c r="U311" s="28"/>
      <c r="W311" s="14"/>
      <c r="Y311" s="14"/>
      <c r="Z311" s="55"/>
      <c r="AA311" t="b">
        <v>0</v>
      </c>
      <c r="AC311" t="b">
        <v>0</v>
      </c>
      <c r="AE311" t="b">
        <v>0</v>
      </c>
      <c r="AG311" t="b">
        <v>0</v>
      </c>
      <c r="AJ311" s="14"/>
      <c r="AL311" s="14"/>
    </row>
    <row r="312">
      <c r="A312" s="15"/>
      <c r="B312" s="7"/>
      <c r="C312" s="16"/>
      <c r="E312" s="9"/>
      <c r="G312" s="16"/>
      <c r="I312" s="9"/>
      <c r="K312" s="16"/>
      <c r="M312" s="9"/>
      <c r="O312" s="16"/>
      <c r="Q312" s="7"/>
      <c r="R312" s="25"/>
      <c r="S312" s="28"/>
      <c r="U312" s="28"/>
      <c r="W312" s="14"/>
      <c r="Y312" s="14"/>
      <c r="Z312" s="55"/>
      <c r="AA312" t="b">
        <v>0</v>
      </c>
      <c r="AC312" t="b">
        <v>0</v>
      </c>
      <c r="AE312" t="b">
        <v>0</v>
      </c>
      <c r="AG312" t="b">
        <v>0</v>
      </c>
      <c r="AJ312" s="14"/>
      <c r="AL312" s="14"/>
    </row>
    <row r="313">
      <c r="A313" s="15"/>
      <c r="B313" s="7"/>
      <c r="C313" s="16"/>
      <c r="E313" s="9"/>
      <c r="G313" s="16"/>
      <c r="I313" s="9"/>
      <c r="K313" s="16"/>
      <c r="M313" s="9"/>
      <c r="O313" s="16"/>
      <c r="Q313" s="7"/>
      <c r="R313" s="25"/>
      <c r="S313" s="28"/>
      <c r="U313" s="28"/>
      <c r="W313" s="14"/>
      <c r="Y313" s="14"/>
      <c r="Z313" s="55"/>
      <c r="AA313" t="b">
        <v>0</v>
      </c>
      <c r="AC313" t="b">
        <v>0</v>
      </c>
      <c r="AE313" t="b">
        <v>0</v>
      </c>
      <c r="AG313" t="b">
        <v>0</v>
      </c>
      <c r="AJ313" s="14"/>
      <c r="AL313" s="14"/>
    </row>
    <row r="314">
      <c r="A314" s="15"/>
      <c r="B314" s="7"/>
      <c r="C314" s="16"/>
      <c r="E314" s="9"/>
      <c r="G314" s="16"/>
      <c r="I314" s="9"/>
      <c r="K314" s="16"/>
      <c r="M314" s="9"/>
      <c r="O314" s="16"/>
      <c r="Q314" s="7"/>
      <c r="R314" s="25"/>
      <c r="S314" s="28"/>
      <c r="U314" s="28"/>
      <c r="W314" s="14"/>
      <c r="Y314" s="14"/>
      <c r="Z314" s="55"/>
      <c r="AA314" t="b">
        <v>0</v>
      </c>
      <c r="AC314" t="b">
        <v>0</v>
      </c>
      <c r="AE314" t="b">
        <v>0</v>
      </c>
      <c r="AG314" t="b">
        <v>0</v>
      </c>
      <c r="AJ314" s="14"/>
      <c r="AL314" s="14"/>
    </row>
    <row r="315">
      <c r="A315" s="15"/>
      <c r="B315" s="7"/>
      <c r="C315" s="16"/>
      <c r="E315" s="9"/>
      <c r="G315" s="16"/>
      <c r="I315" s="9"/>
      <c r="K315" s="16"/>
      <c r="M315" s="9"/>
      <c r="O315" s="16"/>
      <c r="Q315" s="7"/>
      <c r="R315" s="25"/>
      <c r="S315" s="28"/>
      <c r="U315" s="28"/>
      <c r="W315" s="14"/>
      <c r="Y315" s="14"/>
      <c r="Z315" s="55"/>
      <c r="AA315" t="b">
        <v>0</v>
      </c>
      <c r="AC315" t="b">
        <v>0</v>
      </c>
      <c r="AE315" t="b">
        <v>0</v>
      </c>
      <c r="AG315" t="b">
        <v>0</v>
      </c>
      <c r="AJ315" s="14"/>
      <c r="AL315" s="14"/>
    </row>
    <row r="316">
      <c r="A316" s="15"/>
      <c r="B316" s="7"/>
      <c r="C316" s="16"/>
      <c r="E316" s="9"/>
      <c r="G316" s="16"/>
      <c r="I316" s="9"/>
      <c r="K316" s="16"/>
      <c r="M316" s="9"/>
      <c r="O316" s="16"/>
      <c r="Q316" s="7"/>
      <c r="R316" s="25"/>
      <c r="S316" s="28"/>
      <c r="U316" s="28"/>
      <c r="W316" s="14"/>
      <c r="Y316" s="14"/>
      <c r="Z316" s="55"/>
      <c r="AA316" t="b">
        <v>0</v>
      </c>
      <c r="AC316" t="b">
        <v>0</v>
      </c>
      <c r="AE316" t="b">
        <v>0</v>
      </c>
      <c r="AG316" t="b">
        <v>0</v>
      </c>
      <c r="AJ316" s="14"/>
      <c r="AL316" s="14"/>
    </row>
    <row r="317">
      <c r="A317" s="15"/>
      <c r="B317" s="7"/>
      <c r="C317" s="16"/>
      <c r="E317" s="9"/>
      <c r="G317" s="16"/>
      <c r="I317" s="9"/>
      <c r="K317" s="16"/>
      <c r="M317" s="9"/>
      <c r="O317" s="16"/>
      <c r="Q317" s="7"/>
      <c r="R317" s="25"/>
      <c r="S317" s="28"/>
      <c r="U317" s="28"/>
      <c r="W317" s="14"/>
      <c r="Y317" s="14"/>
      <c r="Z317" s="55"/>
      <c r="AA317" t="b">
        <v>0</v>
      </c>
      <c r="AC317" t="b">
        <v>0</v>
      </c>
      <c r="AE317" t="b">
        <v>0</v>
      </c>
      <c r="AG317" t="b">
        <v>0</v>
      </c>
      <c r="AJ317" s="14"/>
      <c r="AL317" s="14"/>
    </row>
    <row r="318">
      <c r="A318" s="15"/>
      <c r="B318" s="7"/>
      <c r="C318" s="16"/>
      <c r="E318" s="9"/>
      <c r="G318" s="16"/>
      <c r="I318" s="9"/>
      <c r="K318" s="16"/>
      <c r="M318" s="9"/>
      <c r="O318" s="16"/>
      <c r="Q318" s="7"/>
      <c r="R318" s="25"/>
      <c r="S318" s="28"/>
      <c r="U318" s="28"/>
      <c r="W318" s="14"/>
      <c r="Y318" s="14"/>
      <c r="Z318" s="55"/>
      <c r="AA318" t="b">
        <v>0</v>
      </c>
      <c r="AC318" t="b">
        <v>0</v>
      </c>
      <c r="AE318" t="b">
        <v>0</v>
      </c>
      <c r="AG318" t="b">
        <v>0</v>
      </c>
      <c r="AJ318" s="14"/>
      <c r="AL318" s="14"/>
    </row>
    <row r="319">
      <c r="A319" s="15"/>
      <c r="B319" s="7"/>
      <c r="C319" s="16"/>
      <c r="E319" s="9"/>
      <c r="G319" s="16"/>
      <c r="I319" s="9"/>
      <c r="K319" s="16"/>
      <c r="M319" s="9"/>
      <c r="O319" s="16"/>
      <c r="Q319" s="7"/>
      <c r="R319" s="25"/>
      <c r="S319" s="28"/>
      <c r="U319" s="28"/>
      <c r="W319" s="14"/>
      <c r="Y319" s="14"/>
      <c r="Z319" s="55"/>
      <c r="AA319" t="b">
        <v>0</v>
      </c>
      <c r="AC319" t="b">
        <v>0</v>
      </c>
      <c r="AE319" t="b">
        <v>0</v>
      </c>
      <c r="AG319" t="b">
        <v>0</v>
      </c>
      <c r="AJ319" s="14"/>
      <c r="AL319" s="14"/>
    </row>
    <row r="320">
      <c r="A320" s="15"/>
      <c r="B320" s="7"/>
      <c r="C320" s="16"/>
      <c r="E320" s="9"/>
      <c r="G320" s="16"/>
      <c r="I320" s="9"/>
      <c r="K320" s="16"/>
      <c r="M320" s="9"/>
      <c r="O320" s="16"/>
      <c r="Q320" s="7"/>
      <c r="R320" s="25"/>
      <c r="S320" s="28"/>
      <c r="U320" s="28"/>
      <c r="W320" s="14"/>
      <c r="Y320" s="14"/>
      <c r="Z320" s="55"/>
      <c r="AA320" t="b">
        <v>0</v>
      </c>
      <c r="AC320" t="b">
        <v>0</v>
      </c>
      <c r="AE320" t="b">
        <v>0</v>
      </c>
      <c r="AG320" t="b">
        <v>0</v>
      </c>
      <c r="AJ320" s="14"/>
      <c r="AL320" s="14"/>
    </row>
    <row r="321">
      <c r="A321" s="15"/>
      <c r="B321" s="7"/>
      <c r="C321" s="16"/>
      <c r="E321" s="9"/>
      <c r="G321" s="16"/>
      <c r="I321" s="9"/>
      <c r="K321" s="16"/>
      <c r="M321" s="9"/>
      <c r="O321" s="16"/>
      <c r="Q321" s="7"/>
      <c r="R321" s="25"/>
      <c r="S321" s="28"/>
      <c r="U321" s="28"/>
      <c r="W321" s="14"/>
      <c r="Y321" s="14"/>
      <c r="Z321" s="55"/>
      <c r="AA321" t="b">
        <v>0</v>
      </c>
      <c r="AC321" t="b">
        <v>0</v>
      </c>
      <c r="AE321" t="b">
        <v>0</v>
      </c>
      <c r="AG321" t="b">
        <v>0</v>
      </c>
      <c r="AJ321" s="14"/>
      <c r="AL321" s="14"/>
    </row>
    <row r="322">
      <c r="A322" s="15"/>
      <c r="B322" s="7"/>
      <c r="C322" s="16"/>
      <c r="E322" s="9"/>
      <c r="G322" s="16"/>
      <c r="I322" s="9"/>
      <c r="K322" s="16"/>
      <c r="M322" s="9"/>
      <c r="O322" s="16"/>
      <c r="Q322" s="7"/>
      <c r="R322" s="25"/>
      <c r="S322" s="28"/>
      <c r="U322" s="28"/>
      <c r="W322" s="14"/>
      <c r="Y322" s="14"/>
      <c r="Z322" s="55"/>
      <c r="AA322" t="b">
        <v>0</v>
      </c>
      <c r="AC322" t="b">
        <v>0</v>
      </c>
      <c r="AE322" t="b">
        <v>0</v>
      </c>
      <c r="AG322" t="b">
        <v>0</v>
      </c>
      <c r="AJ322" s="14"/>
      <c r="AL322" s="14"/>
    </row>
    <row r="323">
      <c r="A323" s="15"/>
      <c r="B323" s="7"/>
      <c r="C323" s="16"/>
      <c r="E323" s="9"/>
      <c r="G323" s="16"/>
      <c r="I323" s="9"/>
      <c r="K323" s="16"/>
      <c r="M323" s="9"/>
      <c r="O323" s="16"/>
      <c r="Q323" s="7"/>
      <c r="R323" s="25"/>
      <c r="S323" s="28"/>
      <c r="U323" s="28"/>
      <c r="W323" s="14"/>
      <c r="Y323" s="14"/>
      <c r="Z323" s="55"/>
      <c r="AA323" t="b">
        <v>0</v>
      </c>
      <c r="AC323" t="b">
        <v>0</v>
      </c>
      <c r="AE323" t="b">
        <v>0</v>
      </c>
      <c r="AG323" t="b">
        <v>0</v>
      </c>
      <c r="AJ323" s="14"/>
      <c r="AL323" s="14"/>
    </row>
    <row r="324">
      <c r="A324" s="15"/>
      <c r="B324" s="7"/>
      <c r="C324" s="16"/>
      <c r="E324" s="9"/>
      <c r="G324" s="16"/>
      <c r="I324" s="9"/>
      <c r="K324" s="16"/>
      <c r="M324" s="9"/>
      <c r="O324" s="16"/>
      <c r="Q324" s="7"/>
      <c r="R324" s="25"/>
      <c r="S324" s="28"/>
      <c r="U324" s="28"/>
      <c r="W324" s="14"/>
      <c r="Y324" s="14"/>
      <c r="Z324" s="55"/>
      <c r="AA324" t="b">
        <v>0</v>
      </c>
      <c r="AC324" t="b">
        <v>0</v>
      </c>
      <c r="AE324" t="b">
        <v>0</v>
      </c>
      <c r="AG324" t="b">
        <v>0</v>
      </c>
      <c r="AJ324" s="14"/>
      <c r="AL324" s="14"/>
    </row>
    <row r="325">
      <c r="A325" s="15"/>
      <c r="B325" s="7"/>
      <c r="C325" s="16"/>
      <c r="E325" s="9"/>
      <c r="G325" s="16"/>
      <c r="I325" s="9"/>
      <c r="K325" s="16"/>
      <c r="M325" s="9"/>
      <c r="O325" s="16"/>
      <c r="Q325" s="7"/>
      <c r="R325" s="25"/>
      <c r="S325" s="28"/>
      <c r="U325" s="28"/>
      <c r="W325" s="14"/>
      <c r="Y325" s="14"/>
      <c r="Z325" s="55"/>
      <c r="AA325" t="b">
        <v>0</v>
      </c>
      <c r="AC325" t="b">
        <v>0</v>
      </c>
      <c r="AE325" t="b">
        <v>0</v>
      </c>
      <c r="AG325" t="b">
        <v>0</v>
      </c>
      <c r="AJ325" s="14"/>
      <c r="AL325" s="14"/>
    </row>
    <row r="326">
      <c r="A326" s="15"/>
      <c r="B326" s="7"/>
      <c r="C326" s="16"/>
      <c r="E326" s="9"/>
      <c r="G326" s="16"/>
      <c r="I326" s="9"/>
      <c r="K326" s="16"/>
      <c r="M326" s="9"/>
      <c r="O326" s="16"/>
      <c r="Q326" s="7"/>
      <c r="R326" s="25"/>
      <c r="S326" s="28"/>
      <c r="U326" s="28"/>
      <c r="W326" s="14"/>
      <c r="Y326" s="14"/>
      <c r="Z326" s="55"/>
      <c r="AA326" t="b">
        <v>0</v>
      </c>
      <c r="AC326" t="b">
        <v>0</v>
      </c>
      <c r="AE326" t="b">
        <v>0</v>
      </c>
      <c r="AG326" t="b">
        <v>0</v>
      </c>
      <c r="AJ326" s="14"/>
      <c r="AL326" s="14"/>
    </row>
    <row r="327">
      <c r="A327" s="15"/>
      <c r="B327" s="7"/>
      <c r="C327" s="16"/>
      <c r="E327" s="9"/>
      <c r="G327" s="16"/>
      <c r="I327" s="9"/>
      <c r="K327" s="16"/>
      <c r="M327" s="9"/>
      <c r="O327" s="16"/>
      <c r="Q327" s="7"/>
      <c r="R327" s="25"/>
      <c r="S327" s="28"/>
      <c r="U327" s="28"/>
      <c r="W327" s="14"/>
      <c r="Y327" s="14"/>
      <c r="Z327" s="55"/>
      <c r="AA327" t="b">
        <v>0</v>
      </c>
      <c r="AC327" t="b">
        <v>0</v>
      </c>
      <c r="AE327" t="b">
        <v>0</v>
      </c>
      <c r="AG327" t="b">
        <v>0</v>
      </c>
      <c r="AJ327" s="14"/>
      <c r="AL327" s="14"/>
    </row>
    <row r="328">
      <c r="A328" s="15"/>
      <c r="B328" s="7"/>
      <c r="C328" s="16"/>
      <c r="E328" s="9"/>
      <c r="G328" s="16"/>
      <c r="I328" s="9"/>
      <c r="K328" s="16"/>
      <c r="M328" s="9"/>
      <c r="O328" s="16"/>
      <c r="Q328" s="7"/>
      <c r="R328" s="25"/>
      <c r="S328" s="28"/>
      <c r="U328" s="28"/>
      <c r="W328" s="14"/>
      <c r="Y328" s="14"/>
      <c r="Z328" s="55"/>
      <c r="AA328" t="b">
        <v>0</v>
      </c>
      <c r="AC328" t="b">
        <v>0</v>
      </c>
      <c r="AE328" t="b">
        <v>0</v>
      </c>
      <c r="AG328" t="b">
        <v>0</v>
      </c>
      <c r="AJ328" s="14"/>
      <c r="AL328" s="14"/>
    </row>
    <row r="329">
      <c r="A329" s="15"/>
      <c r="B329" s="7"/>
      <c r="C329" s="16"/>
      <c r="E329" s="9"/>
      <c r="G329" s="16"/>
      <c r="I329" s="9"/>
      <c r="K329" s="16"/>
      <c r="M329" s="9"/>
      <c r="O329" s="16"/>
      <c r="Q329" s="7"/>
      <c r="R329" s="25"/>
      <c r="S329" s="28"/>
      <c r="U329" s="28"/>
      <c r="W329" s="14"/>
      <c r="Y329" s="14"/>
      <c r="Z329" s="55"/>
      <c r="AA329" t="b">
        <v>0</v>
      </c>
      <c r="AC329" t="b">
        <v>0</v>
      </c>
      <c r="AE329" t="b">
        <v>0</v>
      </c>
      <c r="AG329" t="b">
        <v>0</v>
      </c>
      <c r="AJ329" s="14"/>
      <c r="AL329" s="14"/>
    </row>
    <row r="330">
      <c r="A330" s="15"/>
      <c r="B330" s="7"/>
      <c r="C330" s="16"/>
      <c r="E330" s="9"/>
      <c r="G330" s="16"/>
      <c r="I330" s="9"/>
      <c r="K330" s="16"/>
      <c r="M330" s="9"/>
      <c r="O330" s="16"/>
      <c r="Q330" s="7"/>
      <c r="R330" s="25"/>
      <c r="S330" s="28"/>
      <c r="U330" s="28"/>
      <c r="W330" s="14"/>
      <c r="Y330" s="14"/>
      <c r="Z330" s="55"/>
      <c r="AA330" t="b">
        <v>0</v>
      </c>
      <c r="AC330" t="b">
        <v>0</v>
      </c>
      <c r="AE330" t="b">
        <v>0</v>
      </c>
      <c r="AG330" t="b">
        <v>0</v>
      </c>
      <c r="AJ330" s="14"/>
      <c r="AL330" s="14"/>
    </row>
    <row r="331">
      <c r="A331" s="15"/>
      <c r="B331" s="7"/>
      <c r="C331" s="16"/>
      <c r="E331" s="9"/>
      <c r="G331" s="16"/>
      <c r="I331" s="9"/>
      <c r="K331" s="16"/>
      <c r="M331" s="9"/>
      <c r="O331" s="16"/>
      <c r="Q331" s="7"/>
      <c r="R331" s="25"/>
      <c r="S331" s="28"/>
      <c r="U331" s="28"/>
      <c r="W331" s="14"/>
      <c r="Y331" s="14"/>
      <c r="Z331" s="55"/>
      <c r="AA331" t="b">
        <v>0</v>
      </c>
      <c r="AC331" t="b">
        <v>0</v>
      </c>
      <c r="AE331" t="b">
        <v>0</v>
      </c>
      <c r="AG331" t="b">
        <v>0</v>
      </c>
      <c r="AJ331" s="14"/>
      <c r="AL331" s="14"/>
    </row>
    <row r="332">
      <c r="A332" s="15"/>
      <c r="B332" s="7"/>
      <c r="C332" s="16"/>
      <c r="E332" s="9"/>
      <c r="G332" s="16"/>
      <c r="I332" s="9"/>
      <c r="K332" s="16"/>
      <c r="M332" s="9"/>
      <c r="O332" s="16"/>
      <c r="Q332" s="7"/>
      <c r="R332" s="25"/>
      <c r="S332" s="28"/>
      <c r="U332" s="28"/>
      <c r="W332" s="14"/>
      <c r="Y332" s="14"/>
      <c r="Z332" s="55"/>
      <c r="AA332" t="b">
        <v>0</v>
      </c>
      <c r="AC332" t="b">
        <v>0</v>
      </c>
      <c r="AE332" t="b">
        <v>0</v>
      </c>
      <c r="AG332" t="b">
        <v>0</v>
      </c>
      <c r="AJ332" s="14"/>
      <c r="AL332" s="14"/>
    </row>
    <row r="333">
      <c r="A333" s="15"/>
      <c r="B333" s="7"/>
      <c r="C333" s="16"/>
      <c r="E333" s="9"/>
      <c r="G333" s="16"/>
      <c r="I333" s="9"/>
      <c r="K333" s="16"/>
      <c r="M333" s="9"/>
      <c r="O333" s="16"/>
      <c r="Q333" s="7"/>
      <c r="R333" s="25"/>
      <c r="S333" s="28"/>
      <c r="U333" s="28"/>
      <c r="W333" s="14"/>
      <c r="Y333" s="14"/>
      <c r="Z333" s="55"/>
      <c r="AA333" t="b">
        <v>0</v>
      </c>
      <c r="AC333" t="b">
        <v>0</v>
      </c>
      <c r="AE333" t="b">
        <v>0</v>
      </c>
      <c r="AG333" t="b">
        <v>0</v>
      </c>
      <c r="AJ333" s="14"/>
      <c r="AL333" s="14"/>
    </row>
    <row r="334">
      <c r="A334" s="15"/>
      <c r="B334" s="7"/>
      <c r="C334" s="16"/>
      <c r="E334" s="9"/>
      <c r="G334" s="16"/>
      <c r="I334" s="9"/>
      <c r="K334" s="16"/>
      <c r="M334" s="9"/>
      <c r="O334" s="16"/>
      <c r="Q334" s="7"/>
      <c r="R334" s="25"/>
      <c r="S334" s="28"/>
      <c r="U334" s="28"/>
      <c r="W334" s="14"/>
      <c r="Y334" s="14"/>
      <c r="Z334" s="55"/>
      <c r="AA334" t="b">
        <v>0</v>
      </c>
      <c r="AC334" t="b">
        <v>0</v>
      </c>
      <c r="AE334" t="b">
        <v>0</v>
      </c>
      <c r="AG334" t="b">
        <v>0</v>
      </c>
      <c r="AJ334" s="14"/>
      <c r="AL334" s="14"/>
    </row>
    <row r="335">
      <c r="A335" s="15"/>
      <c r="B335" s="7"/>
      <c r="C335" s="16"/>
      <c r="E335" s="9"/>
      <c r="G335" s="16"/>
      <c r="I335" s="9"/>
      <c r="K335" s="16"/>
      <c r="M335" s="9"/>
      <c r="O335" s="16"/>
      <c r="Q335" s="7"/>
      <c r="R335" s="25"/>
      <c r="S335" s="28"/>
      <c r="U335" s="28"/>
      <c r="W335" s="14"/>
      <c r="Y335" s="14"/>
      <c r="Z335" s="55"/>
      <c r="AA335" t="b">
        <v>0</v>
      </c>
      <c r="AC335" t="b">
        <v>0</v>
      </c>
      <c r="AE335" t="b">
        <v>0</v>
      </c>
      <c r="AG335" t="b">
        <v>0</v>
      </c>
      <c r="AJ335" s="14"/>
      <c r="AL335" s="14"/>
    </row>
    <row r="336">
      <c r="A336" s="15"/>
      <c r="B336" s="7"/>
      <c r="C336" s="16"/>
      <c r="E336" s="9"/>
      <c r="G336" s="16"/>
      <c r="I336" s="9"/>
      <c r="K336" s="16"/>
      <c r="M336" s="9"/>
      <c r="O336" s="16"/>
      <c r="Q336" s="7"/>
      <c r="R336" s="25"/>
      <c r="S336" s="28"/>
      <c r="U336" s="28"/>
      <c r="W336" s="14"/>
      <c r="Y336" s="14"/>
      <c r="Z336" s="55"/>
      <c r="AA336" t="b">
        <v>0</v>
      </c>
      <c r="AC336" t="b">
        <v>0</v>
      </c>
      <c r="AE336" t="b">
        <v>0</v>
      </c>
      <c r="AG336" t="b">
        <v>0</v>
      </c>
      <c r="AJ336" s="14"/>
      <c r="AL336" s="14"/>
    </row>
    <row r="337">
      <c r="A337" s="15"/>
      <c r="B337" s="7"/>
      <c r="C337" s="16"/>
      <c r="E337" s="9"/>
      <c r="G337" s="16"/>
      <c r="I337" s="9"/>
      <c r="K337" s="16"/>
      <c r="M337" s="9"/>
      <c r="O337" s="16"/>
      <c r="Q337" s="7"/>
      <c r="R337" s="25"/>
      <c r="S337" s="28"/>
      <c r="U337" s="28"/>
      <c r="W337" s="14"/>
      <c r="Y337" s="14"/>
      <c r="Z337" s="55"/>
      <c r="AA337" t="b">
        <v>0</v>
      </c>
      <c r="AC337" t="b">
        <v>0</v>
      </c>
      <c r="AE337" t="b">
        <v>0</v>
      </c>
      <c r="AG337" t="b">
        <v>0</v>
      </c>
      <c r="AJ337" s="14"/>
      <c r="AL337" s="14"/>
    </row>
    <row r="338">
      <c r="A338" s="15"/>
      <c r="B338" s="7"/>
      <c r="C338" s="16"/>
      <c r="E338" s="9"/>
      <c r="G338" s="16"/>
      <c r="I338" s="9"/>
      <c r="K338" s="16"/>
      <c r="M338" s="9"/>
      <c r="O338" s="16"/>
      <c r="Q338" s="7"/>
      <c r="R338" s="25"/>
      <c r="S338" s="28"/>
      <c r="U338" s="28"/>
      <c r="W338" s="14"/>
      <c r="Y338" s="14"/>
      <c r="Z338" s="55"/>
      <c r="AA338" t="b">
        <v>0</v>
      </c>
      <c r="AC338" t="b">
        <v>0</v>
      </c>
      <c r="AE338" t="b">
        <v>0</v>
      </c>
      <c r="AG338" t="b">
        <v>0</v>
      </c>
      <c r="AJ338" s="14"/>
      <c r="AL338" s="14"/>
    </row>
    <row r="339">
      <c r="A339" s="15"/>
      <c r="B339" s="7"/>
      <c r="C339" s="16"/>
      <c r="E339" s="9"/>
      <c r="G339" s="16"/>
      <c r="I339" s="9"/>
      <c r="K339" s="16"/>
      <c r="M339" s="9"/>
      <c r="O339" s="16"/>
      <c r="Q339" s="7"/>
      <c r="R339" s="25"/>
      <c r="S339" s="28"/>
      <c r="U339" s="28"/>
      <c r="W339" s="14"/>
      <c r="Y339" s="14"/>
      <c r="Z339" s="55"/>
      <c r="AA339" t="b">
        <v>0</v>
      </c>
      <c r="AC339" t="b">
        <v>0</v>
      </c>
      <c r="AE339" t="b">
        <v>0</v>
      </c>
      <c r="AG339" t="b">
        <v>0</v>
      </c>
      <c r="AJ339" s="14"/>
      <c r="AL339" s="14"/>
    </row>
    <row r="340">
      <c r="A340" s="15"/>
      <c r="B340" s="7"/>
      <c r="C340" s="16"/>
      <c r="E340" s="9"/>
      <c r="G340" s="16"/>
      <c r="I340" s="9"/>
      <c r="K340" s="16"/>
      <c r="M340" s="9"/>
      <c r="O340" s="16"/>
      <c r="Q340" s="7"/>
      <c r="R340" s="25"/>
      <c r="S340" s="28"/>
      <c r="U340" s="28"/>
      <c r="W340" s="14"/>
      <c r="Y340" s="14"/>
      <c r="Z340" s="55"/>
      <c r="AA340" t="b">
        <v>0</v>
      </c>
      <c r="AC340" t="b">
        <v>0</v>
      </c>
      <c r="AE340" t="b">
        <v>0</v>
      </c>
      <c r="AG340" t="b">
        <v>0</v>
      </c>
      <c r="AJ340" s="14"/>
      <c r="AL340" s="14"/>
    </row>
    <row r="341">
      <c r="A341" s="15"/>
      <c r="B341" s="7"/>
      <c r="C341" s="16"/>
      <c r="E341" s="9"/>
      <c r="G341" s="16"/>
      <c r="I341" s="9"/>
      <c r="K341" s="16"/>
      <c r="M341" s="9"/>
      <c r="O341" s="16"/>
      <c r="Q341" s="7"/>
      <c r="R341" s="25"/>
      <c r="S341" s="28"/>
      <c r="U341" s="28"/>
      <c r="W341" s="14"/>
      <c r="Y341" s="14"/>
      <c r="Z341" s="55"/>
      <c r="AA341" t="b">
        <v>0</v>
      </c>
      <c r="AC341" t="b">
        <v>0</v>
      </c>
      <c r="AE341" t="b">
        <v>0</v>
      </c>
      <c r="AG341" t="b">
        <v>0</v>
      </c>
      <c r="AJ341" s="14"/>
      <c r="AL341" s="14"/>
    </row>
    <row r="342">
      <c r="A342" s="15"/>
      <c r="B342" s="7"/>
      <c r="C342" s="16"/>
      <c r="E342" s="9"/>
      <c r="G342" s="16"/>
      <c r="I342" s="9"/>
      <c r="K342" s="16"/>
      <c r="M342" s="9"/>
      <c r="O342" s="16"/>
      <c r="Q342" s="7"/>
      <c r="R342" s="25"/>
      <c r="S342" s="28"/>
      <c r="U342" s="28"/>
      <c r="W342" s="14"/>
      <c r="Y342" s="14"/>
      <c r="Z342" s="55"/>
      <c r="AA342" t="b">
        <v>0</v>
      </c>
      <c r="AC342" t="b">
        <v>0</v>
      </c>
      <c r="AE342" t="b">
        <v>0</v>
      </c>
      <c r="AG342" t="b">
        <v>0</v>
      </c>
      <c r="AJ342" s="14"/>
      <c r="AL342" s="14"/>
    </row>
    <row r="343">
      <c r="A343" s="15"/>
      <c r="B343" s="7"/>
      <c r="C343" s="16"/>
      <c r="E343" s="9"/>
      <c r="G343" s="16"/>
      <c r="I343" s="9"/>
      <c r="K343" s="16"/>
      <c r="M343" s="9"/>
      <c r="O343" s="16"/>
      <c r="Q343" s="7"/>
      <c r="R343" s="25"/>
      <c r="S343" s="28"/>
      <c r="U343" s="28"/>
      <c r="W343" s="14"/>
      <c r="Y343" s="14"/>
      <c r="Z343" s="55"/>
      <c r="AA343" t="b">
        <v>0</v>
      </c>
      <c r="AC343" t="b">
        <v>0</v>
      </c>
      <c r="AE343" t="b">
        <v>0</v>
      </c>
      <c r="AG343" t="b">
        <v>0</v>
      </c>
      <c r="AJ343" s="14"/>
      <c r="AL343" s="14"/>
    </row>
    <row r="344">
      <c r="A344" s="15"/>
      <c r="B344" s="7"/>
      <c r="C344" s="16"/>
      <c r="E344" s="9"/>
      <c r="G344" s="16"/>
      <c r="I344" s="9"/>
      <c r="K344" s="16"/>
      <c r="M344" s="9"/>
      <c r="O344" s="16"/>
      <c r="Q344" s="7"/>
      <c r="R344" s="25"/>
      <c r="S344" s="28"/>
      <c r="U344" s="28"/>
      <c r="W344" s="14"/>
      <c r="Y344" s="14"/>
      <c r="Z344" s="55"/>
      <c r="AA344" t="b">
        <v>0</v>
      </c>
      <c r="AC344" t="b">
        <v>0</v>
      </c>
      <c r="AE344" t="b">
        <v>0</v>
      </c>
      <c r="AG344" t="b">
        <v>0</v>
      </c>
      <c r="AJ344" s="14"/>
      <c r="AL344" s="14"/>
    </row>
    <row r="345">
      <c r="A345" s="15"/>
      <c r="B345" s="7"/>
      <c r="C345" s="16"/>
      <c r="E345" s="9"/>
      <c r="G345" s="16"/>
      <c r="I345" s="9"/>
      <c r="K345" s="16"/>
      <c r="M345" s="9"/>
      <c r="O345" s="16"/>
      <c r="Q345" s="7"/>
      <c r="R345" s="25"/>
      <c r="S345" s="28"/>
      <c r="U345" s="28"/>
      <c r="W345" s="14"/>
      <c r="Y345" s="14"/>
      <c r="Z345" s="55"/>
      <c r="AA345" t="b">
        <v>0</v>
      </c>
      <c r="AC345" t="b">
        <v>0</v>
      </c>
      <c r="AE345" t="b">
        <v>0</v>
      </c>
      <c r="AG345" t="b">
        <v>0</v>
      </c>
      <c r="AJ345" s="14"/>
      <c r="AL345" s="14"/>
    </row>
    <row r="346">
      <c r="A346" s="15"/>
      <c r="B346" s="7"/>
      <c r="C346" s="16"/>
      <c r="E346" s="9"/>
      <c r="G346" s="16"/>
      <c r="I346" s="9"/>
      <c r="K346" s="16"/>
      <c r="M346" s="9"/>
      <c r="O346" s="16"/>
      <c r="Q346" s="7"/>
      <c r="R346" s="25"/>
      <c r="S346" s="28"/>
      <c r="U346" s="28"/>
      <c r="W346" s="14"/>
      <c r="Y346" s="14"/>
      <c r="Z346" s="55"/>
      <c r="AA346" t="b">
        <v>0</v>
      </c>
      <c r="AC346" t="b">
        <v>0</v>
      </c>
      <c r="AE346" t="b">
        <v>0</v>
      </c>
      <c r="AG346" t="b">
        <v>0</v>
      </c>
      <c r="AJ346" s="14"/>
      <c r="AL346" s="14"/>
    </row>
    <row r="347">
      <c r="A347" s="15"/>
      <c r="B347" s="7"/>
      <c r="C347" s="16"/>
      <c r="E347" s="9"/>
      <c r="G347" s="16"/>
      <c r="I347" s="9"/>
      <c r="K347" s="16"/>
      <c r="M347" s="9"/>
      <c r="O347" s="16"/>
      <c r="Q347" s="7"/>
      <c r="R347" s="25"/>
      <c r="S347" s="28"/>
      <c r="U347" s="28"/>
      <c r="W347" s="14"/>
      <c r="Y347" s="14"/>
      <c r="Z347" s="55"/>
      <c r="AA347" t="b">
        <v>0</v>
      </c>
      <c r="AC347" t="b">
        <v>0</v>
      </c>
      <c r="AE347" t="b">
        <v>0</v>
      </c>
      <c r="AG347" t="b">
        <v>0</v>
      </c>
      <c r="AJ347" s="14"/>
      <c r="AL347" s="14"/>
    </row>
    <row r="348">
      <c r="A348" s="15"/>
      <c r="B348" s="7"/>
      <c r="C348" s="16"/>
      <c r="E348" s="9"/>
      <c r="G348" s="16"/>
      <c r="I348" s="9"/>
      <c r="K348" s="16"/>
      <c r="M348" s="9"/>
      <c r="O348" s="16"/>
      <c r="Q348" s="7"/>
      <c r="R348" s="25"/>
      <c r="S348" s="28"/>
      <c r="U348" s="28"/>
      <c r="W348" s="14"/>
      <c r="Y348" s="14"/>
      <c r="Z348" s="55"/>
      <c r="AA348" t="b">
        <v>0</v>
      </c>
      <c r="AC348" t="b">
        <v>0</v>
      </c>
      <c r="AE348" t="b">
        <v>0</v>
      </c>
      <c r="AG348" t="b">
        <v>0</v>
      </c>
      <c r="AJ348" s="14"/>
      <c r="AL348" s="14"/>
    </row>
    <row r="349">
      <c r="A349" s="15"/>
      <c r="B349" s="7"/>
      <c r="C349" s="16"/>
      <c r="E349" s="9"/>
      <c r="G349" s="16"/>
      <c r="I349" s="9"/>
      <c r="K349" s="16"/>
      <c r="M349" s="9"/>
      <c r="O349" s="16"/>
      <c r="Q349" s="7"/>
      <c r="R349" s="25"/>
      <c r="S349" s="28"/>
      <c r="U349" s="28"/>
      <c r="W349" s="14"/>
      <c r="Y349" s="14"/>
      <c r="Z349" s="55"/>
      <c r="AA349" t="b">
        <v>0</v>
      </c>
      <c r="AC349" t="b">
        <v>0</v>
      </c>
      <c r="AE349" t="b">
        <v>0</v>
      </c>
      <c r="AG349" t="b">
        <v>0</v>
      </c>
      <c r="AJ349" s="14"/>
      <c r="AL349" s="14"/>
    </row>
    <row r="350">
      <c r="A350" s="15"/>
      <c r="B350" s="7"/>
      <c r="C350" s="16"/>
      <c r="E350" s="9"/>
      <c r="G350" s="16"/>
      <c r="I350" s="9"/>
      <c r="K350" s="16"/>
      <c r="M350" s="9"/>
      <c r="O350" s="16"/>
      <c r="Q350" s="7"/>
      <c r="R350" s="25"/>
      <c r="S350" s="28"/>
      <c r="U350" s="28"/>
      <c r="W350" s="14"/>
      <c r="Y350" s="14"/>
      <c r="Z350" s="55"/>
      <c r="AA350" t="b">
        <v>0</v>
      </c>
      <c r="AC350" t="b">
        <v>0</v>
      </c>
      <c r="AE350" t="b">
        <v>0</v>
      </c>
      <c r="AG350" t="b">
        <v>0</v>
      </c>
      <c r="AJ350" s="14"/>
      <c r="AL350" s="14"/>
    </row>
    <row r="351">
      <c r="A351" s="15"/>
      <c r="B351" s="7"/>
      <c r="C351" s="16"/>
      <c r="E351" s="9"/>
      <c r="G351" s="16"/>
      <c r="I351" s="9"/>
      <c r="K351" s="16"/>
      <c r="M351" s="9"/>
      <c r="O351" s="16"/>
      <c r="Q351" s="7"/>
      <c r="R351" s="25"/>
      <c r="S351" s="28"/>
      <c r="U351" s="28"/>
      <c r="W351" s="14"/>
      <c r="Y351" s="14"/>
      <c r="Z351" s="55"/>
      <c r="AA351" t="b">
        <v>0</v>
      </c>
      <c r="AC351" t="b">
        <v>0</v>
      </c>
      <c r="AE351" t="b">
        <v>0</v>
      </c>
      <c r="AG351" t="b">
        <v>0</v>
      </c>
      <c r="AJ351" s="14"/>
      <c r="AL351" s="14"/>
    </row>
    <row r="352">
      <c r="A352" s="15"/>
      <c r="B352" s="7"/>
      <c r="C352" s="16"/>
      <c r="E352" s="9"/>
      <c r="G352" s="16"/>
      <c r="I352" s="9"/>
      <c r="K352" s="16"/>
      <c r="M352" s="9"/>
      <c r="O352" s="16"/>
      <c r="Q352" s="7"/>
      <c r="R352" s="25"/>
      <c r="S352" s="28"/>
      <c r="U352" s="28"/>
      <c r="W352" s="14"/>
      <c r="Y352" s="14"/>
      <c r="Z352" s="55"/>
      <c r="AA352" t="b">
        <v>0</v>
      </c>
      <c r="AC352" t="b">
        <v>0</v>
      </c>
      <c r="AE352" t="b">
        <v>0</v>
      </c>
      <c r="AG352" t="b">
        <v>0</v>
      </c>
      <c r="AJ352" s="14"/>
      <c r="AL352" s="14"/>
    </row>
    <row r="353">
      <c r="A353" s="15"/>
      <c r="B353" s="7"/>
      <c r="C353" s="16"/>
      <c r="E353" s="9"/>
      <c r="G353" s="16"/>
      <c r="I353" s="9"/>
      <c r="K353" s="16"/>
      <c r="M353" s="9"/>
      <c r="O353" s="16"/>
      <c r="Q353" s="7"/>
      <c r="R353" s="25"/>
      <c r="S353" s="28"/>
      <c r="U353" s="28"/>
      <c r="W353" s="14"/>
      <c r="Y353" s="14"/>
      <c r="Z353" s="55"/>
      <c r="AA353" t="b">
        <v>0</v>
      </c>
      <c r="AC353" t="b">
        <v>0</v>
      </c>
      <c r="AE353" t="b">
        <v>0</v>
      </c>
      <c r="AG353" t="b">
        <v>0</v>
      </c>
      <c r="AJ353" s="14"/>
      <c r="AL353" s="14"/>
    </row>
    <row r="354">
      <c r="A354" s="15"/>
      <c r="B354" s="7"/>
      <c r="C354" s="16"/>
      <c r="E354" s="9"/>
      <c r="G354" s="16"/>
      <c r="I354" s="9"/>
      <c r="K354" s="16"/>
      <c r="M354" s="9"/>
      <c r="O354" s="16"/>
      <c r="Q354" s="7"/>
      <c r="R354" s="25"/>
      <c r="S354" s="28"/>
      <c r="U354" s="28"/>
      <c r="W354" s="14"/>
      <c r="Y354" s="14"/>
      <c r="Z354" s="55"/>
      <c r="AA354" t="b">
        <v>0</v>
      </c>
      <c r="AC354" t="b">
        <v>0</v>
      </c>
      <c r="AE354" t="b">
        <v>0</v>
      </c>
      <c r="AG354" t="b">
        <v>0</v>
      </c>
      <c r="AJ354" s="14"/>
      <c r="AL354" s="14"/>
    </row>
    <row r="355">
      <c r="A355" s="15"/>
      <c r="B355" s="7"/>
      <c r="C355" s="16"/>
      <c r="E355" s="9"/>
      <c r="G355" s="16"/>
      <c r="I355" s="9"/>
      <c r="K355" s="16"/>
      <c r="M355" s="9"/>
      <c r="O355" s="16"/>
      <c r="Q355" s="7"/>
      <c r="R355" s="25"/>
      <c r="S355" s="28"/>
      <c r="U355" s="28"/>
      <c r="W355" s="14"/>
      <c r="Y355" s="14"/>
      <c r="Z355" s="55"/>
      <c r="AA355" t="b">
        <v>0</v>
      </c>
      <c r="AC355" t="b">
        <v>0</v>
      </c>
      <c r="AE355" t="b">
        <v>0</v>
      </c>
      <c r="AG355" t="b">
        <v>0</v>
      </c>
      <c r="AJ355" s="14"/>
      <c r="AL355" s="14"/>
    </row>
    <row r="356">
      <c r="A356" s="15"/>
      <c r="B356" s="7"/>
      <c r="C356" s="16"/>
      <c r="E356" s="9"/>
      <c r="G356" s="16"/>
      <c r="I356" s="9"/>
      <c r="K356" s="16"/>
      <c r="M356" s="9"/>
      <c r="O356" s="16"/>
      <c r="Q356" s="7"/>
      <c r="R356" s="25"/>
      <c r="S356" s="28"/>
      <c r="U356" s="28"/>
      <c r="W356" s="14"/>
      <c r="Y356" s="14"/>
      <c r="Z356" s="55"/>
      <c r="AA356" t="b">
        <v>0</v>
      </c>
      <c r="AC356" t="b">
        <v>0</v>
      </c>
      <c r="AE356" t="b">
        <v>0</v>
      </c>
      <c r="AG356" t="b">
        <v>0</v>
      </c>
      <c r="AJ356" s="14"/>
      <c r="AL356" s="14"/>
    </row>
    <row r="357">
      <c r="A357" s="15"/>
      <c r="B357" s="7"/>
      <c r="C357" s="16"/>
      <c r="E357" s="9"/>
      <c r="G357" s="16"/>
      <c r="I357" s="9"/>
      <c r="K357" s="16"/>
      <c r="M357" s="9"/>
      <c r="O357" s="16"/>
      <c r="Q357" s="7"/>
      <c r="R357" s="25"/>
      <c r="S357" s="28"/>
      <c r="U357" s="28"/>
      <c r="W357" s="14"/>
      <c r="Y357" s="14"/>
      <c r="Z357" s="55"/>
      <c r="AA357" t="b">
        <v>0</v>
      </c>
      <c r="AC357" t="b">
        <v>0</v>
      </c>
      <c r="AE357" t="b">
        <v>0</v>
      </c>
      <c r="AG357" t="b">
        <v>0</v>
      </c>
      <c r="AJ357" s="14"/>
      <c r="AL357" s="14"/>
    </row>
    <row r="358">
      <c r="A358" s="15"/>
      <c r="B358" s="7"/>
      <c r="C358" s="16"/>
      <c r="E358" s="9"/>
      <c r="G358" s="16"/>
      <c r="I358" s="9"/>
      <c r="K358" s="16"/>
      <c r="M358" s="9"/>
      <c r="O358" s="16"/>
      <c r="Q358" s="7"/>
      <c r="R358" s="25"/>
      <c r="S358" s="28"/>
      <c r="U358" s="28"/>
      <c r="W358" s="14"/>
      <c r="Y358" s="14"/>
      <c r="Z358" s="55"/>
      <c r="AA358" t="b">
        <v>0</v>
      </c>
      <c r="AC358" t="b">
        <v>0</v>
      </c>
      <c r="AE358" t="b">
        <v>0</v>
      </c>
      <c r="AG358" t="b">
        <v>0</v>
      </c>
      <c r="AJ358" s="14"/>
      <c r="AL358" s="14"/>
    </row>
    <row r="359">
      <c r="A359" s="15"/>
      <c r="B359" s="7"/>
      <c r="C359" s="16"/>
      <c r="E359" s="9"/>
      <c r="G359" s="16"/>
      <c r="I359" s="9"/>
      <c r="K359" s="16"/>
      <c r="M359" s="9"/>
      <c r="O359" s="16"/>
      <c r="Q359" s="7"/>
      <c r="R359" s="25"/>
      <c r="S359" s="28"/>
      <c r="U359" s="28"/>
      <c r="W359" s="14"/>
      <c r="Y359" s="14"/>
      <c r="Z359" s="55"/>
      <c r="AA359" t="b">
        <v>0</v>
      </c>
      <c r="AC359" t="b">
        <v>0</v>
      </c>
      <c r="AE359" t="b">
        <v>0</v>
      </c>
      <c r="AG359" t="b">
        <v>0</v>
      </c>
      <c r="AJ359" s="14"/>
      <c r="AL359" s="14"/>
    </row>
    <row r="360">
      <c r="A360" s="15"/>
      <c r="B360" s="7"/>
      <c r="C360" s="16"/>
      <c r="E360" s="9"/>
      <c r="G360" s="16"/>
      <c r="I360" s="9"/>
      <c r="K360" s="16"/>
      <c r="M360" s="9"/>
      <c r="O360" s="16"/>
      <c r="Q360" s="7"/>
      <c r="R360" s="25"/>
      <c r="S360" s="28"/>
      <c r="U360" s="28"/>
      <c r="W360" s="14"/>
      <c r="Y360" s="14"/>
      <c r="Z360" s="55"/>
      <c r="AA360" t="b">
        <v>0</v>
      </c>
      <c r="AC360" t="b">
        <v>0</v>
      </c>
      <c r="AE360" t="b">
        <v>0</v>
      </c>
      <c r="AG360" t="b">
        <v>0</v>
      </c>
      <c r="AJ360" s="14"/>
      <c r="AL360" s="14"/>
    </row>
    <row r="361">
      <c r="A361" s="15"/>
      <c r="B361" s="7"/>
      <c r="C361" s="16"/>
      <c r="E361" s="9"/>
      <c r="G361" s="16"/>
      <c r="I361" s="9"/>
      <c r="K361" s="16"/>
      <c r="M361" s="9"/>
      <c r="O361" s="16"/>
      <c r="Q361" s="7"/>
      <c r="R361" s="25"/>
      <c r="S361" s="28"/>
      <c r="U361" s="28"/>
      <c r="W361" s="14"/>
      <c r="Y361" s="14"/>
      <c r="Z361" s="55"/>
      <c r="AA361" t="b">
        <v>0</v>
      </c>
      <c r="AC361" t="b">
        <v>0</v>
      </c>
      <c r="AE361" t="b">
        <v>0</v>
      </c>
      <c r="AG361" t="b">
        <v>0</v>
      </c>
      <c r="AJ361" s="14"/>
      <c r="AL361" s="14"/>
    </row>
    <row r="362">
      <c r="A362" s="15"/>
      <c r="B362" s="7"/>
      <c r="C362" s="16"/>
      <c r="E362" s="9"/>
      <c r="G362" s="16"/>
      <c r="I362" s="9"/>
      <c r="K362" s="16"/>
      <c r="M362" s="9"/>
      <c r="O362" s="16"/>
      <c r="Q362" s="7"/>
      <c r="R362" s="25"/>
      <c r="S362" s="28"/>
      <c r="U362" s="28"/>
      <c r="W362" s="14"/>
      <c r="Y362" s="14"/>
      <c r="Z362" s="55"/>
      <c r="AA362" t="b">
        <v>0</v>
      </c>
      <c r="AC362" t="b">
        <v>0</v>
      </c>
      <c r="AE362" t="b">
        <v>0</v>
      </c>
      <c r="AG362" t="b">
        <v>0</v>
      </c>
      <c r="AJ362" s="14"/>
      <c r="AL362" s="14"/>
    </row>
    <row r="363">
      <c r="A363" s="15"/>
      <c r="B363" s="7"/>
      <c r="C363" s="16"/>
      <c r="E363" s="9"/>
      <c r="G363" s="16"/>
      <c r="I363" s="9"/>
      <c r="K363" s="16"/>
      <c r="M363" s="9"/>
      <c r="O363" s="16"/>
      <c r="Q363" s="7"/>
      <c r="R363" s="25"/>
      <c r="S363" s="28"/>
      <c r="U363" s="28"/>
      <c r="W363" s="14"/>
      <c r="Y363" s="14"/>
      <c r="Z363" s="55"/>
      <c r="AA363" t="b">
        <v>0</v>
      </c>
      <c r="AC363" t="b">
        <v>0</v>
      </c>
      <c r="AE363" t="b">
        <v>0</v>
      </c>
      <c r="AG363" t="b">
        <v>0</v>
      </c>
      <c r="AJ363" s="14"/>
      <c r="AL363" s="14"/>
    </row>
    <row r="364">
      <c r="A364" s="15"/>
      <c r="B364" s="7"/>
      <c r="C364" s="16"/>
      <c r="E364" s="9"/>
      <c r="G364" s="16"/>
      <c r="I364" s="9"/>
      <c r="K364" s="16"/>
      <c r="M364" s="9"/>
      <c r="O364" s="16"/>
      <c r="Q364" s="7"/>
      <c r="R364" s="25"/>
      <c r="S364" s="28"/>
      <c r="U364" s="28"/>
      <c r="W364" s="14"/>
      <c r="Y364" s="14"/>
      <c r="Z364" s="55"/>
      <c r="AA364" t="b">
        <v>0</v>
      </c>
      <c r="AC364" t="b">
        <v>0</v>
      </c>
      <c r="AE364" t="b">
        <v>0</v>
      </c>
      <c r="AG364" t="b">
        <v>0</v>
      </c>
      <c r="AJ364" s="14"/>
      <c r="AL364" s="14"/>
    </row>
    <row r="365">
      <c r="A365" s="15"/>
      <c r="B365" s="7"/>
      <c r="C365" s="16"/>
      <c r="E365" s="9"/>
      <c r="G365" s="16"/>
      <c r="I365" s="9"/>
      <c r="K365" s="16"/>
      <c r="M365" s="9"/>
      <c r="O365" s="16"/>
      <c r="Q365" s="7"/>
      <c r="R365" s="25"/>
      <c r="S365" s="28"/>
      <c r="U365" s="28"/>
      <c r="W365" s="14"/>
      <c r="Y365" s="14"/>
      <c r="Z365" s="55"/>
      <c r="AA365" t="b">
        <v>0</v>
      </c>
      <c r="AC365" t="b">
        <v>0</v>
      </c>
      <c r="AE365" t="b">
        <v>0</v>
      </c>
      <c r="AG365" t="b">
        <v>0</v>
      </c>
      <c r="AJ365" s="14"/>
      <c r="AL365" s="14"/>
    </row>
    <row r="366">
      <c r="A366" s="15"/>
      <c r="B366" s="7"/>
      <c r="C366" s="16"/>
      <c r="E366" s="9"/>
      <c r="G366" s="16"/>
      <c r="I366" s="9"/>
      <c r="K366" s="16"/>
      <c r="M366" s="9"/>
      <c r="O366" s="16"/>
      <c r="Q366" s="7"/>
      <c r="R366" s="25"/>
      <c r="S366" s="28"/>
      <c r="U366" s="28"/>
      <c r="W366" s="14"/>
      <c r="Y366" s="14"/>
      <c r="Z366" s="55"/>
      <c r="AA366" t="b">
        <v>0</v>
      </c>
      <c r="AC366" t="b">
        <v>0</v>
      </c>
      <c r="AE366" t="b">
        <v>0</v>
      </c>
      <c r="AG366" t="b">
        <v>0</v>
      </c>
      <c r="AJ366" s="14"/>
      <c r="AL366" s="14"/>
    </row>
    <row r="367">
      <c r="A367" s="15"/>
      <c r="B367" s="7"/>
      <c r="C367" s="16"/>
      <c r="E367" s="9"/>
      <c r="G367" s="16"/>
      <c r="I367" s="9"/>
      <c r="K367" s="16"/>
      <c r="M367" s="9"/>
      <c r="O367" s="16"/>
      <c r="Q367" s="7"/>
      <c r="R367" s="25"/>
      <c r="S367" s="28"/>
      <c r="U367" s="28"/>
      <c r="W367" s="14"/>
      <c r="Y367" s="14"/>
      <c r="Z367" s="55"/>
      <c r="AA367" t="b">
        <v>0</v>
      </c>
      <c r="AC367" t="b">
        <v>0</v>
      </c>
      <c r="AE367" t="b">
        <v>0</v>
      </c>
      <c r="AG367" t="b">
        <v>0</v>
      </c>
      <c r="AJ367" s="14"/>
      <c r="AL367" s="14"/>
    </row>
    <row r="368">
      <c r="A368" s="15"/>
      <c r="B368" s="7"/>
      <c r="C368" s="16"/>
      <c r="E368" s="9"/>
      <c r="G368" s="16"/>
      <c r="I368" s="9"/>
      <c r="K368" s="16"/>
      <c r="M368" s="9"/>
      <c r="O368" s="16"/>
      <c r="Q368" s="7"/>
      <c r="R368" s="25"/>
      <c r="S368" s="28"/>
      <c r="U368" s="28"/>
      <c r="W368" s="14"/>
      <c r="Y368" s="14"/>
      <c r="Z368" s="55"/>
      <c r="AA368" t="b">
        <v>0</v>
      </c>
      <c r="AC368" t="b">
        <v>0</v>
      </c>
      <c r="AE368" t="b">
        <v>0</v>
      </c>
      <c r="AG368" t="b">
        <v>0</v>
      </c>
      <c r="AJ368" s="14"/>
      <c r="AL368" s="14"/>
    </row>
    <row r="369">
      <c r="A369" s="15"/>
      <c r="B369" s="7"/>
      <c r="C369" s="16"/>
      <c r="E369" s="9"/>
      <c r="G369" s="16"/>
      <c r="I369" s="9"/>
      <c r="K369" s="16"/>
      <c r="M369" s="9"/>
      <c r="O369" s="16"/>
      <c r="Q369" s="7"/>
      <c r="R369" s="25"/>
      <c r="S369" s="28"/>
      <c r="U369" s="28"/>
      <c r="W369" s="14"/>
      <c r="Y369" s="14"/>
      <c r="Z369" s="55"/>
      <c r="AA369" t="b">
        <v>0</v>
      </c>
      <c r="AC369" t="b">
        <v>0</v>
      </c>
      <c r="AE369" t="b">
        <v>0</v>
      </c>
      <c r="AG369" t="b">
        <v>0</v>
      </c>
      <c r="AJ369" s="14"/>
      <c r="AL369" s="14"/>
    </row>
    <row r="370">
      <c r="A370" s="15"/>
      <c r="B370" s="7"/>
      <c r="C370" s="16"/>
      <c r="E370" s="9"/>
      <c r="G370" s="16"/>
      <c r="I370" s="9"/>
      <c r="K370" s="16"/>
      <c r="M370" s="9"/>
      <c r="O370" s="16"/>
      <c r="Q370" s="7"/>
      <c r="R370" s="25"/>
      <c r="S370" s="28"/>
      <c r="U370" s="28"/>
      <c r="W370" s="14"/>
      <c r="Y370" s="14"/>
      <c r="Z370" s="55"/>
      <c r="AA370" t="b">
        <v>0</v>
      </c>
      <c r="AC370" t="b">
        <v>0</v>
      </c>
      <c r="AE370" t="b">
        <v>0</v>
      </c>
      <c r="AG370" t="b">
        <v>0</v>
      </c>
      <c r="AJ370" s="14"/>
      <c r="AL370" s="14"/>
    </row>
    <row r="371">
      <c r="A371" s="15"/>
      <c r="B371" s="7"/>
      <c r="C371" s="16"/>
      <c r="E371" s="9"/>
      <c r="G371" s="16"/>
      <c r="I371" s="9"/>
      <c r="K371" s="16"/>
      <c r="M371" s="9"/>
      <c r="O371" s="16"/>
      <c r="Q371" s="7"/>
      <c r="R371" s="25"/>
      <c r="S371" s="28"/>
      <c r="U371" s="28"/>
      <c r="W371" s="14"/>
      <c r="Y371" s="14"/>
      <c r="Z371" s="55"/>
      <c r="AA371" t="b">
        <v>0</v>
      </c>
      <c r="AC371" t="b">
        <v>0</v>
      </c>
      <c r="AE371" t="b">
        <v>0</v>
      </c>
      <c r="AG371" t="b">
        <v>0</v>
      </c>
      <c r="AJ371" s="14"/>
      <c r="AL371" s="14"/>
    </row>
    <row r="372">
      <c r="A372" s="15"/>
      <c r="B372" s="7"/>
      <c r="C372" s="16"/>
      <c r="E372" s="9"/>
      <c r="G372" s="16"/>
      <c r="I372" s="9"/>
      <c r="K372" s="16"/>
      <c r="M372" s="9"/>
      <c r="O372" s="16"/>
      <c r="Q372" s="7"/>
      <c r="R372" s="25"/>
      <c r="S372" s="28"/>
      <c r="U372" s="28"/>
      <c r="W372" s="14"/>
      <c r="Y372" s="14"/>
      <c r="Z372" s="55"/>
      <c r="AA372" t="b">
        <v>0</v>
      </c>
      <c r="AC372" t="b">
        <v>0</v>
      </c>
      <c r="AE372" t="b">
        <v>0</v>
      </c>
      <c r="AG372" t="b">
        <v>0</v>
      </c>
      <c r="AJ372" s="14"/>
      <c r="AL372" s="14"/>
    </row>
    <row r="373">
      <c r="A373" s="15"/>
      <c r="B373" s="7"/>
      <c r="C373" s="16"/>
      <c r="E373" s="9"/>
      <c r="G373" s="16"/>
      <c r="I373" s="9"/>
      <c r="K373" s="16"/>
      <c r="M373" s="9"/>
      <c r="O373" s="16"/>
      <c r="Q373" s="7"/>
      <c r="R373" s="25"/>
      <c r="S373" s="28"/>
      <c r="U373" s="28"/>
      <c r="W373" s="14"/>
      <c r="Y373" s="14"/>
      <c r="Z373" s="55"/>
      <c r="AA373" t="b">
        <v>0</v>
      </c>
      <c r="AC373" t="b">
        <v>0</v>
      </c>
      <c r="AE373" t="b">
        <v>0</v>
      </c>
      <c r="AG373" t="b">
        <v>0</v>
      </c>
      <c r="AJ373" s="14"/>
      <c r="AL373" s="14"/>
    </row>
    <row r="374">
      <c r="A374" s="15"/>
      <c r="B374" s="7"/>
      <c r="C374" s="16"/>
      <c r="E374" s="9"/>
      <c r="G374" s="16"/>
      <c r="I374" s="9"/>
      <c r="K374" s="16"/>
      <c r="M374" s="9"/>
      <c r="O374" s="16"/>
      <c r="Q374" s="7"/>
      <c r="R374" s="25"/>
      <c r="S374" s="28"/>
      <c r="U374" s="28"/>
      <c r="W374" s="14"/>
      <c r="Y374" s="14"/>
      <c r="Z374" s="55"/>
      <c r="AA374" t="b">
        <v>0</v>
      </c>
      <c r="AC374" t="b">
        <v>0</v>
      </c>
      <c r="AE374" t="b">
        <v>0</v>
      </c>
      <c r="AG374" t="b">
        <v>0</v>
      </c>
      <c r="AJ374" s="14"/>
      <c r="AL374" s="14"/>
    </row>
    <row r="375">
      <c r="A375" s="15"/>
      <c r="B375" s="7"/>
      <c r="C375" s="16"/>
      <c r="E375" s="9"/>
      <c r="G375" s="16"/>
      <c r="I375" s="9"/>
      <c r="K375" s="16"/>
      <c r="M375" s="9"/>
      <c r="O375" s="16"/>
      <c r="Q375" s="7"/>
      <c r="R375" s="25"/>
      <c r="S375" s="28"/>
      <c r="U375" s="28"/>
      <c r="W375" s="14"/>
      <c r="Y375" s="14"/>
      <c r="Z375" s="55"/>
      <c r="AA375" t="b">
        <v>0</v>
      </c>
      <c r="AC375" t="b">
        <v>0</v>
      </c>
      <c r="AE375" t="b">
        <v>0</v>
      </c>
      <c r="AG375" t="b">
        <v>0</v>
      </c>
      <c r="AJ375" s="14"/>
      <c r="AL375" s="14"/>
    </row>
    <row r="376">
      <c r="A376" s="15"/>
      <c r="B376" s="7"/>
      <c r="C376" s="16"/>
      <c r="E376" s="9"/>
      <c r="G376" s="16"/>
      <c r="I376" s="9"/>
      <c r="K376" s="16"/>
      <c r="M376" s="9"/>
      <c r="O376" s="16"/>
      <c r="Q376" s="7"/>
      <c r="R376" s="25"/>
      <c r="S376" s="28"/>
      <c r="U376" s="28"/>
      <c r="W376" s="14"/>
      <c r="Y376" s="14"/>
      <c r="Z376" s="55"/>
      <c r="AA376" t="b">
        <v>0</v>
      </c>
      <c r="AC376" t="b">
        <v>0</v>
      </c>
      <c r="AE376" t="b">
        <v>0</v>
      </c>
      <c r="AG376" t="b">
        <v>0</v>
      </c>
      <c r="AJ376" s="14"/>
      <c r="AL376" s="14"/>
    </row>
    <row r="377">
      <c r="A377" s="15"/>
      <c r="B377" s="7"/>
      <c r="C377" s="16"/>
      <c r="E377" s="9"/>
      <c r="G377" s="16"/>
      <c r="I377" s="9"/>
      <c r="K377" s="16"/>
      <c r="M377" s="9"/>
      <c r="O377" s="16"/>
      <c r="Q377" s="7"/>
      <c r="R377" s="25"/>
      <c r="S377" s="28"/>
      <c r="U377" s="28"/>
      <c r="W377" s="14"/>
      <c r="Y377" s="14"/>
      <c r="Z377" s="55"/>
      <c r="AA377" t="b">
        <v>0</v>
      </c>
      <c r="AC377" t="b">
        <v>0</v>
      </c>
      <c r="AE377" t="b">
        <v>0</v>
      </c>
      <c r="AG377" t="b">
        <v>0</v>
      </c>
      <c r="AJ377" s="14"/>
      <c r="AL377" s="14"/>
    </row>
    <row r="378">
      <c r="A378" s="15"/>
      <c r="B378" s="7"/>
      <c r="C378" s="16"/>
      <c r="E378" s="9"/>
      <c r="G378" s="16"/>
      <c r="I378" s="9"/>
      <c r="K378" s="16"/>
      <c r="M378" s="9"/>
      <c r="O378" s="16"/>
      <c r="Q378" s="7"/>
      <c r="R378" s="25"/>
      <c r="S378" s="28"/>
      <c r="U378" s="28"/>
      <c r="W378" s="14"/>
      <c r="Y378" s="14"/>
      <c r="Z378" s="55"/>
      <c r="AA378" t="b">
        <v>0</v>
      </c>
      <c r="AC378" t="b">
        <v>0</v>
      </c>
      <c r="AE378" t="b">
        <v>0</v>
      </c>
      <c r="AG378" t="b">
        <v>0</v>
      </c>
      <c r="AJ378" s="14"/>
      <c r="AL378" s="14"/>
    </row>
    <row r="379">
      <c r="A379" s="15"/>
      <c r="B379" s="7"/>
      <c r="C379" s="16"/>
      <c r="E379" s="9"/>
      <c r="G379" s="16"/>
      <c r="I379" s="9"/>
      <c r="K379" s="16"/>
      <c r="M379" s="9"/>
      <c r="O379" s="16"/>
      <c r="Q379" s="7"/>
      <c r="R379" s="25"/>
      <c r="S379" s="28"/>
      <c r="U379" s="28"/>
      <c r="W379" s="14"/>
      <c r="Y379" s="14"/>
      <c r="Z379" s="55"/>
      <c r="AA379" t="b">
        <v>0</v>
      </c>
      <c r="AC379" t="b">
        <v>0</v>
      </c>
      <c r="AE379" t="b">
        <v>0</v>
      </c>
      <c r="AG379" t="b">
        <v>0</v>
      </c>
      <c r="AJ379" s="14"/>
      <c r="AL379" s="14"/>
    </row>
    <row r="380">
      <c r="A380" s="15"/>
      <c r="B380" s="7"/>
      <c r="C380" s="16"/>
      <c r="E380" s="9"/>
      <c r="G380" s="16"/>
      <c r="I380" s="9"/>
      <c r="K380" s="16"/>
      <c r="M380" s="9"/>
      <c r="O380" s="16"/>
      <c r="Q380" s="7"/>
      <c r="R380" s="25"/>
      <c r="S380" s="28"/>
      <c r="U380" s="28"/>
      <c r="W380" s="14"/>
      <c r="Y380" s="14"/>
      <c r="Z380" s="55"/>
      <c r="AA380" t="b">
        <v>0</v>
      </c>
      <c r="AC380" t="b">
        <v>0</v>
      </c>
      <c r="AE380" t="b">
        <v>0</v>
      </c>
      <c r="AG380" t="b">
        <v>0</v>
      </c>
      <c r="AJ380" s="14"/>
      <c r="AL380" s="14"/>
    </row>
    <row r="381">
      <c r="A381" s="15"/>
      <c r="B381" s="7"/>
      <c r="C381" s="16"/>
      <c r="E381" s="9"/>
      <c r="G381" s="16"/>
      <c r="I381" s="9"/>
      <c r="K381" s="16"/>
      <c r="M381" s="9"/>
      <c r="O381" s="16"/>
      <c r="Q381" s="7"/>
      <c r="R381" s="25"/>
      <c r="S381" s="28"/>
      <c r="U381" s="28"/>
      <c r="W381" s="14"/>
      <c r="Y381" s="14"/>
      <c r="Z381" s="55"/>
      <c r="AA381" t="b">
        <v>0</v>
      </c>
      <c r="AC381" t="b">
        <v>0</v>
      </c>
      <c r="AE381" t="b">
        <v>0</v>
      </c>
      <c r="AG381" t="b">
        <v>0</v>
      </c>
      <c r="AJ381" s="14"/>
      <c r="AL381" s="14"/>
    </row>
    <row r="382">
      <c r="A382" s="15"/>
      <c r="B382" s="7"/>
      <c r="C382" s="16"/>
      <c r="E382" s="9"/>
      <c r="G382" s="16"/>
      <c r="I382" s="9"/>
      <c r="K382" s="16"/>
      <c r="M382" s="9"/>
      <c r="O382" s="16"/>
      <c r="Q382" s="7"/>
      <c r="R382" s="25"/>
      <c r="S382" s="28"/>
      <c r="U382" s="28"/>
      <c r="W382" s="14"/>
      <c r="Y382" s="14"/>
      <c r="Z382" s="55"/>
      <c r="AA382" t="b">
        <v>0</v>
      </c>
      <c r="AC382" t="b">
        <v>0</v>
      </c>
      <c r="AE382" t="b">
        <v>0</v>
      </c>
      <c r="AG382" t="b">
        <v>0</v>
      </c>
      <c r="AJ382" s="14"/>
      <c r="AL382" s="14"/>
    </row>
    <row r="383">
      <c r="A383" s="15"/>
      <c r="B383" s="7"/>
      <c r="C383" s="16"/>
      <c r="E383" s="9"/>
      <c r="G383" s="16"/>
      <c r="I383" s="9"/>
      <c r="K383" s="16"/>
      <c r="M383" s="9"/>
      <c r="O383" s="16"/>
      <c r="Q383" s="7"/>
      <c r="R383" s="25"/>
      <c r="S383" s="28"/>
      <c r="U383" s="28"/>
      <c r="W383" s="14"/>
      <c r="Y383" s="14"/>
      <c r="Z383" s="55"/>
      <c r="AA383" t="b">
        <v>0</v>
      </c>
      <c r="AC383" t="b">
        <v>0</v>
      </c>
      <c r="AE383" t="b">
        <v>0</v>
      </c>
      <c r="AG383" t="b">
        <v>0</v>
      </c>
      <c r="AJ383" s="14"/>
      <c r="AL383" s="14"/>
    </row>
    <row r="384">
      <c r="A384" s="15"/>
      <c r="B384" s="7"/>
      <c r="C384" s="16"/>
      <c r="E384" s="9"/>
      <c r="G384" s="16"/>
      <c r="I384" s="9"/>
      <c r="K384" s="16"/>
      <c r="M384" s="9"/>
      <c r="O384" s="16"/>
      <c r="Q384" s="7"/>
      <c r="R384" s="25"/>
      <c r="S384" s="28"/>
      <c r="U384" s="28"/>
      <c r="W384" s="14"/>
      <c r="Y384" s="14"/>
      <c r="Z384" s="55"/>
      <c r="AA384" t="b">
        <v>0</v>
      </c>
      <c r="AC384" t="b">
        <v>0</v>
      </c>
      <c r="AE384" t="b">
        <v>0</v>
      </c>
      <c r="AG384" t="b">
        <v>0</v>
      </c>
      <c r="AJ384" s="14"/>
      <c r="AL384" s="14"/>
    </row>
    <row r="385">
      <c r="A385" s="15"/>
      <c r="B385" s="7"/>
      <c r="C385" s="16"/>
      <c r="E385" s="9"/>
      <c r="G385" s="16"/>
      <c r="I385" s="9"/>
      <c r="K385" s="16"/>
      <c r="M385" s="9"/>
      <c r="O385" s="16"/>
      <c r="Q385" s="7"/>
      <c r="R385" s="25"/>
      <c r="S385" s="28"/>
      <c r="U385" s="28"/>
      <c r="W385" s="14"/>
      <c r="Y385" s="14"/>
      <c r="Z385" s="55"/>
      <c r="AA385" t="b">
        <v>0</v>
      </c>
      <c r="AC385" t="b">
        <v>0</v>
      </c>
      <c r="AE385" t="b">
        <v>0</v>
      </c>
      <c r="AG385" t="b">
        <v>0</v>
      </c>
      <c r="AJ385" s="14"/>
      <c r="AL385" s="14"/>
    </row>
    <row r="386">
      <c r="A386" s="15"/>
      <c r="B386" s="7"/>
      <c r="C386" s="16"/>
      <c r="E386" s="9"/>
      <c r="G386" s="16"/>
      <c r="I386" s="9"/>
      <c r="K386" s="16"/>
      <c r="M386" s="9"/>
      <c r="O386" s="16"/>
      <c r="Q386" s="7"/>
      <c r="R386" s="25"/>
      <c r="S386" s="28"/>
      <c r="U386" s="28"/>
      <c r="W386" s="14"/>
      <c r="Y386" s="14"/>
      <c r="Z386" s="55"/>
      <c r="AA386" t="b">
        <v>0</v>
      </c>
      <c r="AC386" t="b">
        <v>0</v>
      </c>
      <c r="AE386" t="b">
        <v>0</v>
      </c>
      <c r="AG386" t="b">
        <v>0</v>
      </c>
      <c r="AJ386" s="14"/>
      <c r="AL386" s="14"/>
    </row>
    <row r="387">
      <c r="A387" s="15"/>
      <c r="B387" s="7"/>
      <c r="C387" s="16"/>
      <c r="E387" s="9"/>
      <c r="G387" s="16"/>
      <c r="I387" s="9"/>
      <c r="K387" s="16"/>
      <c r="M387" s="9"/>
      <c r="O387" s="16"/>
      <c r="Q387" s="7"/>
      <c r="R387" s="25"/>
      <c r="S387" s="28"/>
      <c r="U387" s="28"/>
      <c r="W387" s="14"/>
      <c r="Y387" s="14"/>
      <c r="Z387" s="55"/>
      <c r="AA387" t="b">
        <v>0</v>
      </c>
      <c r="AC387" t="b">
        <v>0</v>
      </c>
      <c r="AE387" t="b">
        <v>0</v>
      </c>
      <c r="AG387" t="b">
        <v>0</v>
      </c>
      <c r="AJ387" s="14"/>
      <c r="AL387" s="14"/>
    </row>
    <row r="388">
      <c r="A388" s="15"/>
      <c r="B388" s="7"/>
      <c r="C388" s="16"/>
      <c r="E388" s="9"/>
      <c r="G388" s="16"/>
      <c r="I388" s="9"/>
      <c r="K388" s="16"/>
      <c r="M388" s="9"/>
      <c r="O388" s="16"/>
      <c r="Q388" s="7"/>
      <c r="R388" s="25"/>
      <c r="S388" s="28"/>
      <c r="U388" s="28"/>
      <c r="W388" s="14"/>
      <c r="Y388" s="14"/>
      <c r="Z388" s="55"/>
      <c r="AA388" t="b">
        <v>0</v>
      </c>
      <c r="AC388" t="b">
        <v>0</v>
      </c>
      <c r="AE388" t="b">
        <v>0</v>
      </c>
      <c r="AG388" t="b">
        <v>0</v>
      </c>
      <c r="AJ388" s="14"/>
      <c r="AL388" s="14"/>
    </row>
    <row r="389">
      <c r="A389" s="15"/>
      <c r="B389" s="7"/>
      <c r="C389" s="16"/>
      <c r="E389" s="9"/>
      <c r="G389" s="16"/>
      <c r="I389" s="9"/>
      <c r="K389" s="16"/>
      <c r="M389" s="9"/>
      <c r="O389" s="16"/>
      <c r="Q389" s="7"/>
      <c r="R389" s="25"/>
      <c r="S389" s="28"/>
      <c r="U389" s="28"/>
      <c r="W389" s="14"/>
      <c r="Y389" s="14"/>
      <c r="Z389" s="55"/>
      <c r="AA389" t="b">
        <v>0</v>
      </c>
      <c r="AC389" t="b">
        <v>0</v>
      </c>
      <c r="AE389" t="b">
        <v>0</v>
      </c>
      <c r="AG389" t="b">
        <v>0</v>
      </c>
      <c r="AJ389" s="14"/>
      <c r="AL389" s="14"/>
    </row>
    <row r="390">
      <c r="A390" s="15"/>
      <c r="B390" s="7"/>
      <c r="C390" s="16"/>
      <c r="E390" s="9"/>
      <c r="G390" s="16"/>
      <c r="I390" s="9"/>
      <c r="K390" s="16"/>
      <c r="M390" s="9"/>
      <c r="O390" s="16"/>
      <c r="Q390" s="7"/>
      <c r="R390" s="25"/>
      <c r="S390" s="28"/>
      <c r="U390" s="28"/>
      <c r="W390" s="14"/>
      <c r="Y390" s="14"/>
      <c r="Z390" s="55"/>
      <c r="AA390" t="b">
        <v>0</v>
      </c>
      <c r="AC390" t="b">
        <v>0</v>
      </c>
      <c r="AE390" t="b">
        <v>0</v>
      </c>
      <c r="AG390" t="b">
        <v>0</v>
      </c>
      <c r="AJ390" s="14"/>
      <c r="AL390" s="14"/>
    </row>
    <row r="391">
      <c r="A391" s="15"/>
      <c r="B391" s="7"/>
      <c r="C391" s="16"/>
      <c r="E391" s="9"/>
      <c r="G391" s="16"/>
      <c r="I391" s="9"/>
      <c r="K391" s="16"/>
      <c r="M391" s="9"/>
      <c r="O391" s="16"/>
      <c r="Q391" s="7"/>
      <c r="R391" s="25"/>
      <c r="S391" s="28"/>
      <c r="U391" s="28"/>
      <c r="W391" s="14"/>
      <c r="Y391" s="14"/>
      <c r="Z391" s="55"/>
      <c r="AA391" t="b">
        <v>0</v>
      </c>
      <c r="AC391" t="b">
        <v>0</v>
      </c>
      <c r="AE391" t="b">
        <v>0</v>
      </c>
      <c r="AG391" t="b">
        <v>0</v>
      </c>
      <c r="AJ391" s="14"/>
      <c r="AL391" s="14"/>
    </row>
    <row r="392">
      <c r="A392" s="15"/>
      <c r="B392" s="7"/>
      <c r="C392" s="16"/>
      <c r="E392" s="9"/>
      <c r="G392" s="16"/>
      <c r="I392" s="9"/>
      <c r="K392" s="16"/>
      <c r="M392" s="9"/>
      <c r="O392" s="16"/>
      <c r="Q392" s="7"/>
      <c r="R392" s="25"/>
      <c r="S392" s="28"/>
      <c r="U392" s="28"/>
      <c r="W392" s="14"/>
      <c r="Y392" s="14"/>
      <c r="Z392" s="55"/>
      <c r="AA392" t="b">
        <v>0</v>
      </c>
      <c r="AC392" t="b">
        <v>0</v>
      </c>
      <c r="AE392" t="b">
        <v>0</v>
      </c>
      <c r="AG392" t="b">
        <v>0</v>
      </c>
      <c r="AJ392" s="14"/>
      <c r="AL392" s="14"/>
    </row>
    <row r="393">
      <c r="A393" s="15"/>
      <c r="B393" s="7"/>
      <c r="C393" s="16"/>
      <c r="E393" s="9"/>
      <c r="G393" s="16"/>
      <c r="I393" s="9"/>
      <c r="K393" s="16"/>
      <c r="M393" s="9"/>
      <c r="O393" s="16"/>
      <c r="Q393" s="7"/>
      <c r="R393" s="25"/>
      <c r="S393" s="28"/>
      <c r="U393" s="28"/>
      <c r="W393" s="14"/>
      <c r="Y393" s="14"/>
      <c r="Z393" s="55"/>
      <c r="AA393" t="b">
        <v>0</v>
      </c>
      <c r="AC393" t="b">
        <v>0</v>
      </c>
      <c r="AE393" t="b">
        <v>0</v>
      </c>
      <c r="AG393" t="b">
        <v>0</v>
      </c>
      <c r="AJ393" s="14"/>
      <c r="AL393" s="14"/>
    </row>
    <row r="394">
      <c r="A394" s="15"/>
      <c r="B394" s="7"/>
      <c r="C394" s="16"/>
      <c r="E394" s="9"/>
      <c r="G394" s="16"/>
      <c r="I394" s="9"/>
      <c r="K394" s="16"/>
      <c r="M394" s="9"/>
      <c r="O394" s="16"/>
      <c r="Q394" s="7"/>
      <c r="R394" s="25"/>
      <c r="S394" s="28"/>
      <c r="U394" s="28"/>
      <c r="W394" s="14"/>
      <c r="Y394" s="14"/>
      <c r="Z394" s="55"/>
      <c r="AA394" t="b">
        <v>0</v>
      </c>
      <c r="AC394" t="b">
        <v>0</v>
      </c>
      <c r="AE394" t="b">
        <v>0</v>
      </c>
      <c r="AG394" t="b">
        <v>0</v>
      </c>
      <c r="AJ394" s="14"/>
      <c r="AL394" s="14"/>
    </row>
    <row r="395">
      <c r="A395" s="15"/>
      <c r="B395" s="7"/>
      <c r="C395" s="16"/>
      <c r="E395" s="9"/>
      <c r="G395" s="16"/>
      <c r="I395" s="9"/>
      <c r="K395" s="16"/>
      <c r="M395" s="9"/>
      <c r="O395" s="16"/>
      <c r="Q395" s="7"/>
      <c r="R395" s="25"/>
      <c r="S395" s="28"/>
      <c r="U395" s="28"/>
      <c r="W395" s="14"/>
      <c r="Y395" s="14"/>
      <c r="Z395" s="55"/>
      <c r="AA395" t="b">
        <v>0</v>
      </c>
      <c r="AC395" t="b">
        <v>0</v>
      </c>
      <c r="AE395" t="b">
        <v>0</v>
      </c>
      <c r="AG395" t="b">
        <v>0</v>
      </c>
      <c r="AJ395" s="14"/>
      <c r="AL395" s="14"/>
    </row>
    <row r="396">
      <c r="A396" s="15"/>
      <c r="B396" s="7"/>
      <c r="C396" s="16"/>
      <c r="E396" s="9"/>
      <c r="G396" s="16"/>
      <c r="I396" s="9"/>
      <c r="K396" s="16"/>
      <c r="M396" s="9"/>
      <c r="O396" s="16"/>
      <c r="Q396" s="7"/>
      <c r="R396" s="25"/>
      <c r="S396" s="28"/>
      <c r="U396" s="28"/>
      <c r="W396" s="14"/>
      <c r="Y396" s="14"/>
      <c r="Z396" s="55"/>
      <c r="AA396" t="b">
        <v>0</v>
      </c>
      <c r="AC396" t="b">
        <v>0</v>
      </c>
      <c r="AE396" t="b">
        <v>0</v>
      </c>
      <c r="AG396" t="b">
        <v>0</v>
      </c>
      <c r="AJ396" s="14"/>
      <c r="AL396" s="14"/>
    </row>
    <row r="397">
      <c r="A397" s="15"/>
      <c r="B397" s="7"/>
      <c r="C397" s="16"/>
      <c r="E397" s="9"/>
      <c r="G397" s="16"/>
      <c r="I397" s="9"/>
      <c r="K397" s="16"/>
      <c r="M397" s="9"/>
      <c r="O397" s="16"/>
      <c r="Q397" s="7"/>
      <c r="R397" s="25"/>
      <c r="S397" s="28"/>
      <c r="U397" s="28"/>
      <c r="W397" s="14"/>
      <c r="Y397" s="14"/>
      <c r="Z397" s="55"/>
      <c r="AA397" t="b">
        <v>0</v>
      </c>
      <c r="AC397" t="b">
        <v>0</v>
      </c>
      <c r="AE397" t="b">
        <v>0</v>
      </c>
      <c r="AG397" t="b">
        <v>0</v>
      </c>
      <c r="AJ397" s="14"/>
      <c r="AL397" s="14"/>
    </row>
    <row r="398">
      <c r="A398" s="15"/>
      <c r="B398" s="7"/>
      <c r="C398" s="16"/>
      <c r="E398" s="9"/>
      <c r="G398" s="16"/>
      <c r="I398" s="9"/>
      <c r="K398" s="16"/>
      <c r="M398" s="9"/>
      <c r="O398" s="16"/>
      <c r="Q398" s="7"/>
      <c r="R398" s="25"/>
      <c r="S398" s="28"/>
      <c r="U398" s="28"/>
      <c r="W398" s="14"/>
      <c r="Y398" s="14"/>
      <c r="Z398" s="55"/>
      <c r="AA398" t="b">
        <v>0</v>
      </c>
      <c r="AC398" t="b">
        <v>0</v>
      </c>
      <c r="AE398" t="b">
        <v>0</v>
      </c>
      <c r="AG398" t="b">
        <v>0</v>
      </c>
      <c r="AJ398" s="14"/>
      <c r="AL398" s="14"/>
    </row>
    <row r="399">
      <c r="A399" s="15"/>
      <c r="B399" s="7"/>
      <c r="C399" s="16"/>
      <c r="E399" s="9"/>
      <c r="G399" s="16"/>
      <c r="I399" s="9"/>
      <c r="K399" s="16"/>
      <c r="M399" s="9"/>
      <c r="O399" s="16"/>
      <c r="Q399" s="7"/>
      <c r="R399" s="25"/>
      <c r="S399" s="28"/>
      <c r="U399" s="28"/>
      <c r="W399" s="14"/>
      <c r="Y399" s="14"/>
      <c r="Z399" s="55"/>
      <c r="AA399" t="b">
        <v>0</v>
      </c>
      <c r="AC399" t="b">
        <v>0</v>
      </c>
      <c r="AE399" t="b">
        <v>0</v>
      </c>
      <c r="AG399" t="b">
        <v>0</v>
      </c>
      <c r="AJ399" s="14"/>
      <c r="AL399" s="14"/>
    </row>
    <row r="400">
      <c r="A400" s="15"/>
      <c r="B400" s="7"/>
      <c r="C400" s="16"/>
      <c r="E400" s="9"/>
      <c r="G400" s="16"/>
      <c r="I400" s="9"/>
      <c r="K400" s="16"/>
      <c r="M400" s="9"/>
      <c r="O400" s="16"/>
      <c r="Q400" s="7"/>
      <c r="R400" s="25"/>
      <c r="S400" s="28"/>
      <c r="U400" s="28"/>
      <c r="W400" s="14"/>
      <c r="Y400" s="14"/>
      <c r="Z400" s="55"/>
      <c r="AA400" t="b">
        <v>0</v>
      </c>
      <c r="AC400" t="b">
        <v>0</v>
      </c>
      <c r="AE400" t="b">
        <v>0</v>
      </c>
      <c r="AG400" t="b">
        <v>0</v>
      </c>
      <c r="AJ400" s="14"/>
      <c r="AL400" s="14"/>
    </row>
    <row r="401">
      <c r="A401" s="15"/>
      <c r="B401" s="7"/>
      <c r="C401" s="16"/>
      <c r="E401" s="9"/>
      <c r="G401" s="16"/>
      <c r="I401" s="9"/>
      <c r="K401" s="16"/>
      <c r="M401" s="9"/>
      <c r="O401" s="16"/>
      <c r="Q401" s="7"/>
      <c r="R401" s="25"/>
      <c r="S401" s="28"/>
      <c r="U401" s="28"/>
      <c r="W401" s="14"/>
      <c r="Y401" s="14"/>
      <c r="Z401" s="55"/>
      <c r="AA401" t="b">
        <v>0</v>
      </c>
      <c r="AC401" t="b">
        <v>0</v>
      </c>
      <c r="AE401" t="b">
        <v>0</v>
      </c>
      <c r="AG401" t="b">
        <v>0</v>
      </c>
      <c r="AJ401" s="14"/>
      <c r="AL401" s="14"/>
    </row>
    <row r="402">
      <c r="A402" s="15"/>
      <c r="B402" s="7"/>
      <c r="C402" s="16"/>
      <c r="E402" s="9"/>
      <c r="G402" s="16"/>
      <c r="I402" s="9"/>
      <c r="K402" s="16"/>
      <c r="M402" s="9"/>
      <c r="O402" s="16"/>
      <c r="Q402" s="7"/>
      <c r="R402" s="25"/>
      <c r="S402" s="28"/>
      <c r="U402" s="28"/>
      <c r="W402" s="14"/>
      <c r="Y402" s="14"/>
      <c r="Z402" s="55"/>
      <c r="AA402" t="b">
        <v>0</v>
      </c>
      <c r="AC402" t="b">
        <v>0</v>
      </c>
      <c r="AE402" t="b">
        <v>0</v>
      </c>
      <c r="AG402" t="b">
        <v>0</v>
      </c>
      <c r="AJ402" s="14"/>
      <c r="AL402" s="14"/>
    </row>
    <row r="403">
      <c r="A403" s="15"/>
      <c r="B403" s="7"/>
      <c r="C403" s="16"/>
      <c r="E403" s="9"/>
      <c r="G403" s="16"/>
      <c r="I403" s="9"/>
      <c r="K403" s="16"/>
      <c r="M403" s="9"/>
      <c r="O403" s="16"/>
      <c r="Q403" s="7"/>
      <c r="R403" s="25"/>
      <c r="S403" s="28"/>
      <c r="U403" s="28"/>
      <c r="W403" s="14"/>
      <c r="Y403" s="14"/>
      <c r="Z403" s="55"/>
      <c r="AA403" t="b">
        <v>0</v>
      </c>
      <c r="AC403" t="b">
        <v>0</v>
      </c>
      <c r="AE403" t="b">
        <v>0</v>
      </c>
      <c r="AG403" t="b">
        <v>0</v>
      </c>
      <c r="AJ403" s="14"/>
      <c r="AL403" s="14"/>
    </row>
    <row r="404">
      <c r="A404" s="15"/>
      <c r="B404" s="7"/>
      <c r="C404" s="16"/>
      <c r="E404" s="9"/>
      <c r="G404" s="16"/>
      <c r="I404" s="9"/>
      <c r="K404" s="16"/>
      <c r="M404" s="9"/>
      <c r="O404" s="16"/>
      <c r="Q404" s="7"/>
      <c r="R404" s="25"/>
      <c r="S404" s="28"/>
      <c r="U404" s="28"/>
      <c r="W404" s="14"/>
      <c r="Y404" s="14"/>
      <c r="Z404" s="55"/>
      <c r="AA404" t="b">
        <v>0</v>
      </c>
      <c r="AC404" t="b">
        <v>0</v>
      </c>
      <c r="AE404" t="b">
        <v>0</v>
      </c>
      <c r="AG404" t="b">
        <v>0</v>
      </c>
      <c r="AJ404" s="14"/>
      <c r="AL404" s="14"/>
    </row>
    <row r="405">
      <c r="A405" s="15"/>
      <c r="B405" s="7"/>
      <c r="C405" s="16"/>
      <c r="E405" s="9"/>
      <c r="G405" s="16"/>
      <c r="I405" s="9"/>
      <c r="K405" s="16"/>
      <c r="M405" s="9"/>
      <c r="O405" s="16"/>
      <c r="Q405" s="7"/>
      <c r="R405" s="25"/>
      <c r="S405" s="28"/>
      <c r="U405" s="28"/>
      <c r="W405" s="14"/>
      <c r="Y405" s="14"/>
      <c r="Z405" s="55"/>
      <c r="AA405" t="b">
        <v>0</v>
      </c>
      <c r="AC405" t="b">
        <v>0</v>
      </c>
      <c r="AE405" t="b">
        <v>0</v>
      </c>
      <c r="AG405" t="b">
        <v>0</v>
      </c>
      <c r="AJ405" s="14"/>
      <c r="AL405" s="14"/>
    </row>
    <row r="406">
      <c r="A406" s="15"/>
      <c r="B406" s="7"/>
      <c r="C406" s="16"/>
      <c r="E406" s="9"/>
      <c r="G406" s="16"/>
      <c r="I406" s="9"/>
      <c r="K406" s="16"/>
      <c r="M406" s="9"/>
      <c r="O406" s="16"/>
      <c r="Q406" s="7"/>
      <c r="R406" s="25"/>
      <c r="S406" s="28"/>
      <c r="U406" s="28"/>
      <c r="W406" s="14"/>
      <c r="Y406" s="14"/>
      <c r="Z406" s="55"/>
      <c r="AA406" t="b">
        <v>0</v>
      </c>
      <c r="AC406" t="b">
        <v>0</v>
      </c>
      <c r="AE406" t="b">
        <v>0</v>
      </c>
      <c r="AG406" t="b">
        <v>0</v>
      </c>
      <c r="AJ406" s="14"/>
      <c r="AL406" s="14"/>
    </row>
    <row r="407">
      <c r="A407" s="15"/>
      <c r="B407" s="7"/>
      <c r="C407" s="16"/>
      <c r="E407" s="9"/>
      <c r="G407" s="16"/>
      <c r="I407" s="9"/>
      <c r="K407" s="16"/>
      <c r="M407" s="9"/>
      <c r="O407" s="16"/>
      <c r="Q407" s="7"/>
      <c r="R407" s="25"/>
      <c r="S407" s="28"/>
      <c r="U407" s="28"/>
      <c r="W407" s="14"/>
      <c r="Y407" s="14"/>
      <c r="Z407" s="55"/>
      <c r="AA407" t="b">
        <v>0</v>
      </c>
      <c r="AC407" t="b">
        <v>0</v>
      </c>
      <c r="AE407" t="b">
        <v>0</v>
      </c>
      <c r="AG407" t="b">
        <v>0</v>
      </c>
      <c r="AJ407" s="14"/>
      <c r="AL407" s="14"/>
    </row>
    <row r="408">
      <c r="A408" s="15"/>
      <c r="B408" s="7"/>
      <c r="C408" s="16"/>
      <c r="E408" s="9"/>
      <c r="G408" s="16"/>
      <c r="I408" s="9"/>
      <c r="K408" s="16"/>
      <c r="M408" s="9"/>
      <c r="O408" s="16"/>
      <c r="Q408" s="7"/>
      <c r="R408" s="25"/>
      <c r="S408" s="28"/>
      <c r="U408" s="28"/>
      <c r="W408" s="14"/>
      <c r="Y408" s="14"/>
      <c r="Z408" s="55"/>
      <c r="AA408" t="b">
        <v>0</v>
      </c>
      <c r="AC408" t="b">
        <v>0</v>
      </c>
      <c r="AE408" t="b">
        <v>0</v>
      </c>
      <c r="AG408" t="b">
        <v>0</v>
      </c>
      <c r="AJ408" s="14"/>
      <c r="AL408" s="14"/>
    </row>
    <row r="409">
      <c r="A409" s="15"/>
      <c r="B409" s="7"/>
      <c r="C409" s="16"/>
      <c r="E409" s="9"/>
      <c r="G409" s="16"/>
      <c r="I409" s="9"/>
      <c r="K409" s="16"/>
      <c r="M409" s="9"/>
      <c r="O409" s="16"/>
      <c r="Q409" s="7"/>
      <c r="R409" s="25"/>
      <c r="S409" s="28"/>
      <c r="U409" s="28"/>
      <c r="W409" s="14"/>
      <c r="Y409" s="14"/>
      <c r="Z409" s="55"/>
      <c r="AA409" t="b">
        <v>0</v>
      </c>
      <c r="AC409" t="b">
        <v>0</v>
      </c>
      <c r="AE409" t="b">
        <v>0</v>
      </c>
      <c r="AG409" t="b">
        <v>0</v>
      </c>
      <c r="AJ409" s="14"/>
      <c r="AL409" s="14"/>
    </row>
    <row r="410">
      <c r="A410" s="15"/>
      <c r="B410" s="7"/>
      <c r="C410" s="16"/>
      <c r="E410" s="9"/>
      <c r="G410" s="16"/>
      <c r="I410" s="9"/>
      <c r="K410" s="16"/>
      <c r="M410" s="9"/>
      <c r="O410" s="16"/>
      <c r="Q410" s="7"/>
      <c r="R410" s="25"/>
      <c r="S410" s="28"/>
      <c r="U410" s="28"/>
      <c r="W410" s="14"/>
      <c r="Y410" s="14"/>
      <c r="Z410" s="55"/>
      <c r="AA410" t="b">
        <v>0</v>
      </c>
      <c r="AC410" t="b">
        <v>0</v>
      </c>
      <c r="AE410" t="b">
        <v>0</v>
      </c>
      <c r="AG410" t="b">
        <v>0</v>
      </c>
      <c r="AJ410" s="14"/>
      <c r="AL410" s="14"/>
    </row>
    <row r="411">
      <c r="A411" s="15"/>
      <c r="B411" s="7"/>
      <c r="C411" s="16"/>
      <c r="E411" s="9"/>
      <c r="G411" s="16"/>
      <c r="I411" s="9"/>
      <c r="K411" s="16"/>
      <c r="M411" s="9"/>
      <c r="O411" s="16"/>
      <c r="Q411" s="7"/>
      <c r="R411" s="25"/>
      <c r="S411" s="28"/>
      <c r="U411" s="28"/>
      <c r="W411" s="14"/>
      <c r="Y411" s="14"/>
      <c r="Z411" s="55"/>
      <c r="AA411" t="b">
        <v>0</v>
      </c>
      <c r="AC411" t="b">
        <v>0</v>
      </c>
      <c r="AE411" t="b">
        <v>0</v>
      </c>
      <c r="AG411" t="b">
        <v>0</v>
      </c>
      <c r="AJ411" s="14"/>
      <c r="AL411" s="14"/>
    </row>
    <row r="412">
      <c r="A412" s="15"/>
      <c r="B412" s="7"/>
      <c r="C412" s="16"/>
      <c r="E412" s="9"/>
      <c r="G412" s="16"/>
      <c r="I412" s="9"/>
      <c r="K412" s="16"/>
      <c r="M412" s="9"/>
      <c r="O412" s="16"/>
      <c r="Q412" s="7"/>
      <c r="R412" s="25"/>
      <c r="S412" s="28"/>
      <c r="U412" s="28"/>
      <c r="W412" s="14"/>
      <c r="Y412" s="14"/>
      <c r="Z412" s="55"/>
      <c r="AA412" t="b">
        <v>0</v>
      </c>
      <c r="AC412" t="b">
        <v>0</v>
      </c>
      <c r="AE412" t="b">
        <v>0</v>
      </c>
      <c r="AG412" t="b">
        <v>0</v>
      </c>
      <c r="AJ412" s="14"/>
      <c r="AL412" s="14"/>
    </row>
    <row r="413">
      <c r="A413" s="15"/>
      <c r="B413" s="7"/>
      <c r="C413" s="16"/>
      <c r="E413" s="9"/>
      <c r="G413" s="16"/>
      <c r="I413" s="9"/>
      <c r="K413" s="16"/>
      <c r="M413" s="9"/>
      <c r="O413" s="16"/>
      <c r="Q413" s="7"/>
      <c r="R413" s="25"/>
      <c r="S413" s="28"/>
      <c r="U413" s="28"/>
      <c r="W413" s="14"/>
      <c r="Y413" s="14"/>
      <c r="Z413" s="55"/>
      <c r="AA413" t="b">
        <v>0</v>
      </c>
      <c r="AC413" t="b">
        <v>0</v>
      </c>
      <c r="AE413" t="b">
        <v>0</v>
      </c>
      <c r="AG413" t="b">
        <v>0</v>
      </c>
      <c r="AJ413" s="14"/>
      <c r="AL413" s="14"/>
    </row>
    <row r="414">
      <c r="A414" s="15"/>
      <c r="B414" s="7"/>
      <c r="C414" s="16"/>
      <c r="E414" s="9"/>
      <c r="G414" s="16"/>
      <c r="I414" s="9"/>
      <c r="K414" s="16"/>
      <c r="M414" s="9"/>
      <c r="O414" s="16"/>
      <c r="Q414" s="7"/>
      <c r="R414" s="25"/>
      <c r="S414" s="28"/>
      <c r="U414" s="28"/>
      <c r="W414" s="14"/>
      <c r="Y414" s="14"/>
      <c r="Z414" s="55"/>
      <c r="AA414" t="b">
        <v>0</v>
      </c>
      <c r="AC414" t="b">
        <v>0</v>
      </c>
      <c r="AE414" t="b">
        <v>0</v>
      </c>
      <c r="AG414" t="b">
        <v>0</v>
      </c>
      <c r="AJ414" s="14"/>
      <c r="AL414" s="14"/>
    </row>
    <row r="415">
      <c r="A415" s="15"/>
      <c r="B415" s="7"/>
      <c r="C415" s="16"/>
      <c r="E415" s="9"/>
      <c r="G415" s="16"/>
      <c r="I415" s="9"/>
      <c r="K415" s="16"/>
      <c r="M415" s="9"/>
      <c r="O415" s="16"/>
      <c r="Q415" s="7"/>
      <c r="R415" s="25"/>
      <c r="S415" s="28"/>
      <c r="U415" s="28"/>
      <c r="W415" s="14"/>
      <c r="Y415" s="14"/>
      <c r="Z415" s="55"/>
      <c r="AA415" t="b">
        <v>0</v>
      </c>
      <c r="AC415" t="b">
        <v>0</v>
      </c>
      <c r="AE415" t="b">
        <v>0</v>
      </c>
      <c r="AG415" t="b">
        <v>0</v>
      </c>
      <c r="AJ415" s="14"/>
      <c r="AL415" s="14"/>
    </row>
    <row r="416">
      <c r="A416" s="15"/>
      <c r="B416" s="7"/>
      <c r="C416" s="16"/>
      <c r="E416" s="9"/>
      <c r="G416" s="16"/>
      <c r="I416" s="9"/>
      <c r="K416" s="16"/>
      <c r="M416" s="9"/>
      <c r="O416" s="16"/>
      <c r="Q416" s="7"/>
      <c r="R416" s="25"/>
      <c r="S416" s="28"/>
      <c r="U416" s="28"/>
      <c r="W416" s="14"/>
      <c r="Y416" s="14"/>
      <c r="Z416" s="55"/>
      <c r="AA416" t="b">
        <v>0</v>
      </c>
      <c r="AC416" t="b">
        <v>0</v>
      </c>
      <c r="AE416" t="b">
        <v>0</v>
      </c>
      <c r="AG416" t="b">
        <v>0</v>
      </c>
      <c r="AJ416" s="14"/>
      <c r="AL416" s="14"/>
    </row>
    <row r="417">
      <c r="A417" s="15"/>
      <c r="B417" s="7"/>
      <c r="C417" s="16"/>
      <c r="E417" s="9"/>
      <c r="G417" s="16"/>
      <c r="I417" s="9"/>
      <c r="K417" s="16"/>
      <c r="M417" s="9"/>
      <c r="O417" s="16"/>
      <c r="Q417" s="7"/>
      <c r="R417" s="25"/>
      <c r="S417" s="28"/>
      <c r="U417" s="28"/>
      <c r="W417" s="14"/>
      <c r="Y417" s="14"/>
      <c r="Z417" s="55"/>
      <c r="AA417" t="b">
        <v>0</v>
      </c>
      <c r="AC417" t="b">
        <v>0</v>
      </c>
      <c r="AE417" t="b">
        <v>0</v>
      </c>
      <c r="AG417" t="b">
        <v>0</v>
      </c>
      <c r="AJ417" s="14"/>
      <c r="AL417" s="14"/>
    </row>
    <row r="418">
      <c r="A418" s="15"/>
      <c r="B418" s="7"/>
      <c r="C418" s="16"/>
      <c r="E418" s="9"/>
      <c r="G418" s="16"/>
      <c r="I418" s="9"/>
      <c r="K418" s="16"/>
      <c r="M418" s="9"/>
      <c r="O418" s="16"/>
      <c r="Q418" s="7"/>
      <c r="R418" s="25"/>
      <c r="S418" s="28"/>
      <c r="U418" s="28"/>
      <c r="W418" s="14"/>
      <c r="Y418" s="14"/>
      <c r="Z418" s="55"/>
      <c r="AA418" t="b">
        <v>0</v>
      </c>
      <c r="AC418" t="b">
        <v>0</v>
      </c>
      <c r="AE418" t="b">
        <v>0</v>
      </c>
      <c r="AG418" t="b">
        <v>0</v>
      </c>
      <c r="AJ418" s="14"/>
      <c r="AL418" s="14"/>
    </row>
    <row r="419">
      <c r="A419" s="15"/>
      <c r="B419" s="7"/>
      <c r="C419" s="16"/>
      <c r="E419" s="9"/>
      <c r="G419" s="16"/>
      <c r="I419" s="9"/>
      <c r="K419" s="16"/>
      <c r="M419" s="9"/>
      <c r="O419" s="16"/>
      <c r="Q419" s="7"/>
      <c r="R419" s="25"/>
      <c r="S419" s="28"/>
      <c r="U419" s="28"/>
      <c r="W419" s="14"/>
      <c r="Y419" s="14"/>
      <c r="Z419" s="55"/>
      <c r="AA419" t="b">
        <v>0</v>
      </c>
      <c r="AC419" t="b">
        <v>0</v>
      </c>
      <c r="AE419" t="b">
        <v>0</v>
      </c>
      <c r="AG419" t="b">
        <v>0</v>
      </c>
      <c r="AJ419" s="14"/>
      <c r="AL419" s="14"/>
    </row>
    <row r="420">
      <c r="A420" s="15"/>
      <c r="B420" s="7"/>
      <c r="C420" s="16"/>
      <c r="E420" s="9"/>
      <c r="G420" s="16"/>
      <c r="I420" s="9"/>
      <c r="K420" s="16"/>
      <c r="M420" s="9"/>
      <c r="O420" s="16"/>
      <c r="Q420" s="7"/>
      <c r="R420" s="25"/>
      <c r="S420" s="28"/>
      <c r="U420" s="28"/>
      <c r="W420" s="14"/>
      <c r="Y420" s="14"/>
      <c r="Z420" s="55"/>
      <c r="AA420" t="b">
        <v>0</v>
      </c>
      <c r="AC420" t="b">
        <v>0</v>
      </c>
      <c r="AE420" t="b">
        <v>0</v>
      </c>
      <c r="AG420" t="b">
        <v>0</v>
      </c>
      <c r="AJ420" s="14"/>
      <c r="AL420" s="14"/>
    </row>
    <row r="421">
      <c r="A421" s="15"/>
      <c r="B421" s="7"/>
      <c r="C421" s="16"/>
      <c r="E421" s="9"/>
      <c r="G421" s="16"/>
      <c r="I421" s="9"/>
      <c r="K421" s="16"/>
      <c r="M421" s="9"/>
      <c r="O421" s="16"/>
      <c r="Q421" s="7"/>
      <c r="R421" s="25"/>
      <c r="S421" s="28"/>
      <c r="U421" s="28"/>
      <c r="W421" s="14"/>
      <c r="Y421" s="14"/>
      <c r="Z421" s="55"/>
      <c r="AA421" t="b">
        <v>0</v>
      </c>
      <c r="AC421" t="b">
        <v>0</v>
      </c>
      <c r="AE421" t="b">
        <v>0</v>
      </c>
      <c r="AG421" t="b">
        <v>0</v>
      </c>
      <c r="AJ421" s="14"/>
      <c r="AL421" s="14"/>
    </row>
    <row r="422">
      <c r="A422" s="15"/>
      <c r="B422" s="7"/>
      <c r="C422" s="16"/>
      <c r="E422" s="9"/>
      <c r="G422" s="16"/>
      <c r="I422" s="9"/>
      <c r="K422" s="16"/>
      <c r="M422" s="9"/>
      <c r="O422" s="16"/>
      <c r="Q422" s="7"/>
      <c r="R422" s="25"/>
      <c r="S422" s="28"/>
      <c r="U422" s="28"/>
      <c r="W422" s="14"/>
      <c r="Y422" s="14"/>
      <c r="Z422" s="55"/>
      <c r="AA422" t="b">
        <v>0</v>
      </c>
      <c r="AC422" t="b">
        <v>0</v>
      </c>
      <c r="AE422" t="b">
        <v>0</v>
      </c>
      <c r="AG422" t="b">
        <v>0</v>
      </c>
      <c r="AJ422" s="14"/>
      <c r="AL422" s="14"/>
    </row>
    <row r="423">
      <c r="A423" s="15"/>
      <c r="B423" s="7"/>
      <c r="C423" s="16"/>
      <c r="E423" s="9"/>
      <c r="G423" s="16"/>
      <c r="I423" s="9"/>
      <c r="K423" s="16"/>
      <c r="M423" s="9"/>
      <c r="O423" s="16"/>
      <c r="Q423" s="7"/>
      <c r="R423" s="25"/>
      <c r="S423" s="28"/>
      <c r="U423" s="28"/>
      <c r="W423" s="14"/>
      <c r="Y423" s="14"/>
      <c r="Z423" s="55"/>
      <c r="AA423" t="b">
        <v>0</v>
      </c>
      <c r="AC423" t="b">
        <v>0</v>
      </c>
      <c r="AE423" t="b">
        <v>0</v>
      </c>
      <c r="AG423" t="b">
        <v>0</v>
      </c>
      <c r="AJ423" s="14"/>
      <c r="AL423" s="14"/>
    </row>
    <row r="424">
      <c r="A424" s="15"/>
      <c r="B424" s="7"/>
      <c r="C424" s="16"/>
      <c r="E424" s="9"/>
      <c r="G424" s="16"/>
      <c r="I424" s="9"/>
      <c r="K424" s="16"/>
      <c r="M424" s="9"/>
      <c r="O424" s="16"/>
      <c r="Q424" s="7"/>
      <c r="R424" s="25"/>
      <c r="S424" s="28"/>
      <c r="U424" s="28"/>
      <c r="W424" s="14"/>
      <c r="Y424" s="14"/>
      <c r="Z424" s="55"/>
      <c r="AA424" t="b">
        <v>0</v>
      </c>
      <c r="AC424" t="b">
        <v>0</v>
      </c>
      <c r="AE424" t="b">
        <v>0</v>
      </c>
      <c r="AG424" t="b">
        <v>0</v>
      </c>
      <c r="AJ424" s="14"/>
      <c r="AL424" s="14"/>
    </row>
    <row r="425">
      <c r="A425" s="15"/>
      <c r="B425" s="7"/>
      <c r="C425" s="16"/>
      <c r="E425" s="9"/>
      <c r="G425" s="16"/>
      <c r="I425" s="9"/>
      <c r="K425" s="16"/>
      <c r="M425" s="9"/>
      <c r="O425" s="16"/>
      <c r="Q425" s="7"/>
      <c r="R425" s="25"/>
      <c r="S425" s="28"/>
      <c r="U425" s="28"/>
      <c r="W425" s="14"/>
      <c r="Y425" s="14"/>
      <c r="Z425" s="55"/>
      <c r="AA425" t="b">
        <v>0</v>
      </c>
      <c r="AC425" t="b">
        <v>0</v>
      </c>
      <c r="AE425" t="b">
        <v>0</v>
      </c>
      <c r="AG425" t="b">
        <v>0</v>
      </c>
      <c r="AJ425" s="14"/>
      <c r="AL425" s="14"/>
    </row>
    <row r="426">
      <c r="A426" s="15"/>
      <c r="B426" s="7"/>
      <c r="C426" s="16"/>
      <c r="E426" s="9"/>
      <c r="G426" s="16"/>
      <c r="I426" s="9"/>
      <c r="K426" s="16"/>
      <c r="M426" s="9"/>
      <c r="O426" s="16"/>
      <c r="Q426" s="7"/>
      <c r="R426" s="25"/>
      <c r="S426" s="28"/>
      <c r="U426" s="28"/>
      <c r="W426" s="14"/>
      <c r="Y426" s="14"/>
      <c r="Z426" s="55"/>
      <c r="AA426" t="b">
        <v>0</v>
      </c>
      <c r="AC426" t="b">
        <v>0</v>
      </c>
      <c r="AE426" t="b">
        <v>0</v>
      </c>
      <c r="AG426" t="b">
        <v>0</v>
      </c>
      <c r="AJ426" s="14"/>
      <c r="AL426" s="14"/>
    </row>
    <row r="427">
      <c r="A427" s="15"/>
      <c r="B427" s="7"/>
      <c r="C427" s="16"/>
      <c r="E427" s="9"/>
      <c r="G427" s="16"/>
      <c r="I427" s="9"/>
      <c r="K427" s="16"/>
      <c r="M427" s="9"/>
      <c r="O427" s="16"/>
      <c r="Q427" s="7"/>
      <c r="R427" s="25"/>
      <c r="S427" s="28"/>
      <c r="U427" s="28"/>
      <c r="W427" s="14"/>
      <c r="Y427" s="14"/>
      <c r="Z427" s="55"/>
      <c r="AA427" t="b">
        <v>0</v>
      </c>
      <c r="AC427" t="b">
        <v>0</v>
      </c>
      <c r="AE427" t="b">
        <v>0</v>
      </c>
      <c r="AG427" t="b">
        <v>0</v>
      </c>
      <c r="AJ427" s="14"/>
      <c r="AL427" s="14"/>
    </row>
    <row r="428">
      <c r="A428" s="15"/>
      <c r="B428" s="7"/>
      <c r="C428" s="16"/>
      <c r="E428" s="9"/>
      <c r="G428" s="16"/>
      <c r="I428" s="9"/>
      <c r="K428" s="16"/>
      <c r="M428" s="9"/>
      <c r="O428" s="16"/>
      <c r="Q428" s="7"/>
      <c r="R428" s="25"/>
      <c r="S428" s="28"/>
      <c r="U428" s="28"/>
      <c r="W428" s="14"/>
      <c r="Y428" s="14"/>
      <c r="Z428" s="55"/>
      <c r="AA428" t="b">
        <v>0</v>
      </c>
      <c r="AC428" t="b">
        <v>0</v>
      </c>
      <c r="AE428" t="b">
        <v>0</v>
      </c>
      <c r="AG428" t="b">
        <v>0</v>
      </c>
      <c r="AJ428" s="14"/>
      <c r="AL428" s="14"/>
    </row>
    <row r="429">
      <c r="A429" s="15"/>
      <c r="B429" s="7"/>
      <c r="C429" s="16"/>
      <c r="E429" s="9"/>
      <c r="G429" s="16"/>
      <c r="I429" s="9"/>
      <c r="K429" s="16"/>
      <c r="M429" s="9"/>
      <c r="O429" s="16"/>
      <c r="Q429" s="7"/>
      <c r="R429" s="25"/>
      <c r="S429" s="28"/>
      <c r="U429" s="28"/>
      <c r="W429" s="14"/>
      <c r="Y429" s="14"/>
      <c r="Z429" s="55"/>
      <c r="AA429" t="b">
        <v>0</v>
      </c>
      <c r="AC429" t="b">
        <v>0</v>
      </c>
      <c r="AE429" t="b">
        <v>0</v>
      </c>
      <c r="AG429" t="b">
        <v>0</v>
      </c>
      <c r="AJ429" s="14"/>
      <c r="AL429" s="14"/>
    </row>
    <row r="430">
      <c r="A430" s="15"/>
      <c r="B430" s="7"/>
      <c r="C430" s="16"/>
      <c r="E430" s="9"/>
      <c r="G430" s="16"/>
      <c r="I430" s="9"/>
      <c r="K430" s="16"/>
      <c r="M430" s="9"/>
      <c r="O430" s="16"/>
      <c r="Q430" s="7"/>
      <c r="R430" s="25"/>
      <c r="S430" s="28"/>
      <c r="U430" s="28"/>
      <c r="W430" s="14"/>
      <c r="Y430" s="14"/>
      <c r="Z430" s="55"/>
      <c r="AA430" t="b">
        <v>0</v>
      </c>
      <c r="AC430" t="b">
        <v>0</v>
      </c>
      <c r="AE430" t="b">
        <v>0</v>
      </c>
      <c r="AG430" t="b">
        <v>0</v>
      </c>
      <c r="AJ430" s="14"/>
      <c r="AL430" s="14"/>
    </row>
    <row r="431">
      <c r="A431" s="15"/>
      <c r="B431" s="7"/>
      <c r="C431" s="16"/>
      <c r="E431" s="9"/>
      <c r="G431" s="16"/>
      <c r="I431" s="9"/>
      <c r="K431" s="16"/>
      <c r="M431" s="9"/>
      <c r="O431" s="16"/>
      <c r="Q431" s="7"/>
      <c r="R431" s="25"/>
      <c r="S431" s="28"/>
      <c r="U431" s="28"/>
      <c r="W431" s="14"/>
      <c r="Y431" s="14"/>
      <c r="Z431" s="55"/>
      <c r="AA431" t="b">
        <v>0</v>
      </c>
      <c r="AC431" t="b">
        <v>0</v>
      </c>
      <c r="AE431" t="b">
        <v>0</v>
      </c>
      <c r="AG431" t="b">
        <v>0</v>
      </c>
      <c r="AJ431" s="14"/>
      <c r="AL431" s="14"/>
    </row>
    <row r="432">
      <c r="A432" s="15"/>
      <c r="B432" s="7"/>
      <c r="C432" s="16"/>
      <c r="E432" s="9"/>
      <c r="G432" s="16"/>
      <c r="I432" s="9"/>
      <c r="K432" s="16"/>
      <c r="M432" s="9"/>
      <c r="O432" s="16"/>
      <c r="Q432" s="7"/>
      <c r="R432" s="25"/>
      <c r="S432" s="28"/>
      <c r="U432" s="28"/>
      <c r="W432" s="14"/>
      <c r="Y432" s="14"/>
      <c r="Z432" s="55"/>
      <c r="AA432" t="b">
        <v>0</v>
      </c>
      <c r="AC432" t="b">
        <v>0</v>
      </c>
      <c r="AE432" t="b">
        <v>0</v>
      </c>
      <c r="AG432" t="b">
        <v>0</v>
      </c>
      <c r="AJ432" s="14"/>
      <c r="AL432" s="14"/>
    </row>
    <row r="433">
      <c r="A433" s="15"/>
      <c r="B433" s="7"/>
      <c r="C433" s="16"/>
      <c r="E433" s="9"/>
      <c r="G433" s="16"/>
      <c r="I433" s="9"/>
      <c r="K433" s="16"/>
      <c r="M433" s="9"/>
      <c r="O433" s="16"/>
      <c r="Q433" s="7"/>
      <c r="R433" s="25"/>
      <c r="S433" s="28"/>
      <c r="U433" s="28"/>
      <c r="W433" s="14"/>
      <c r="Y433" s="14"/>
      <c r="Z433" s="55"/>
      <c r="AA433" t="b">
        <v>0</v>
      </c>
      <c r="AC433" t="b">
        <v>0</v>
      </c>
      <c r="AE433" t="b">
        <v>0</v>
      </c>
      <c r="AG433" t="b">
        <v>0</v>
      </c>
      <c r="AJ433" s="14"/>
      <c r="AL433" s="14"/>
    </row>
    <row r="434">
      <c r="A434" s="15"/>
      <c r="B434" s="7"/>
      <c r="C434" s="16"/>
      <c r="E434" s="9"/>
      <c r="G434" s="16"/>
      <c r="I434" s="9"/>
      <c r="K434" s="16"/>
      <c r="M434" s="9"/>
      <c r="O434" s="16"/>
      <c r="Q434" s="7"/>
      <c r="R434" s="25"/>
      <c r="S434" s="28"/>
      <c r="U434" s="28"/>
      <c r="W434" s="14"/>
      <c r="Y434" s="14"/>
      <c r="Z434" s="55"/>
      <c r="AA434" t="b">
        <v>0</v>
      </c>
      <c r="AC434" t="b">
        <v>0</v>
      </c>
      <c r="AE434" t="b">
        <v>0</v>
      </c>
      <c r="AG434" t="b">
        <v>0</v>
      </c>
      <c r="AJ434" s="14"/>
      <c r="AL434" s="14"/>
    </row>
    <row r="435">
      <c r="A435" s="15"/>
      <c r="B435" s="7"/>
      <c r="C435" s="16"/>
      <c r="E435" s="9"/>
      <c r="G435" s="16"/>
      <c r="I435" s="9"/>
      <c r="K435" s="16"/>
      <c r="M435" s="9"/>
      <c r="O435" s="16"/>
      <c r="Q435" s="7"/>
      <c r="R435" s="25"/>
      <c r="S435" s="28"/>
      <c r="U435" s="28"/>
      <c r="W435" s="14"/>
      <c r="Y435" s="14"/>
      <c r="Z435" s="55"/>
      <c r="AA435" t="b">
        <v>0</v>
      </c>
      <c r="AC435" t="b">
        <v>0</v>
      </c>
      <c r="AE435" t="b">
        <v>0</v>
      </c>
      <c r="AG435" t="b">
        <v>0</v>
      </c>
      <c r="AJ435" s="14"/>
      <c r="AL435" s="14"/>
    </row>
    <row r="436">
      <c r="A436" s="15"/>
      <c r="B436" s="7"/>
      <c r="C436" s="16"/>
      <c r="E436" s="9"/>
      <c r="G436" s="16"/>
      <c r="I436" s="9"/>
      <c r="K436" s="16"/>
      <c r="M436" s="9"/>
      <c r="O436" s="16"/>
      <c r="Q436" s="7"/>
      <c r="R436" s="25"/>
      <c r="S436" s="28"/>
      <c r="U436" s="28"/>
      <c r="W436" s="14"/>
      <c r="Y436" s="14"/>
      <c r="Z436" s="55"/>
      <c r="AA436" t="b">
        <v>0</v>
      </c>
      <c r="AC436" t="b">
        <v>0</v>
      </c>
      <c r="AE436" t="b">
        <v>0</v>
      </c>
      <c r="AG436" t="b">
        <v>0</v>
      </c>
      <c r="AJ436" s="14"/>
      <c r="AL436" s="14"/>
    </row>
    <row r="437">
      <c r="A437" s="15"/>
      <c r="B437" s="7"/>
      <c r="C437" s="16"/>
      <c r="E437" s="9"/>
      <c r="G437" s="16"/>
      <c r="I437" s="9"/>
      <c r="K437" s="16"/>
      <c r="M437" s="9"/>
      <c r="O437" s="16"/>
      <c r="Q437" s="7"/>
      <c r="R437" s="25"/>
      <c r="S437" s="28"/>
      <c r="U437" s="28"/>
      <c r="W437" s="14"/>
      <c r="Y437" s="14"/>
      <c r="Z437" s="55"/>
      <c r="AA437" t="b">
        <v>0</v>
      </c>
      <c r="AC437" t="b">
        <v>0</v>
      </c>
      <c r="AE437" t="b">
        <v>0</v>
      </c>
      <c r="AG437" t="b">
        <v>0</v>
      </c>
      <c r="AJ437" s="14"/>
      <c r="AL437" s="14"/>
    </row>
    <row r="438">
      <c r="A438" s="15"/>
      <c r="B438" s="7"/>
      <c r="C438" s="16"/>
      <c r="E438" s="9"/>
      <c r="G438" s="16"/>
      <c r="I438" s="9"/>
      <c r="K438" s="16"/>
      <c r="M438" s="9"/>
      <c r="O438" s="16"/>
      <c r="Q438" s="7"/>
      <c r="R438" s="25"/>
      <c r="S438" s="28"/>
      <c r="U438" s="28"/>
      <c r="W438" s="14"/>
      <c r="Y438" s="14"/>
      <c r="Z438" s="55"/>
      <c r="AA438" t="b">
        <v>0</v>
      </c>
      <c r="AC438" t="b">
        <v>0</v>
      </c>
      <c r="AE438" t="b">
        <v>0</v>
      </c>
      <c r="AG438" t="b">
        <v>0</v>
      </c>
      <c r="AJ438" s="14"/>
      <c r="AL438" s="14"/>
    </row>
    <row r="439">
      <c r="A439" s="15"/>
      <c r="B439" s="7"/>
      <c r="C439" s="16"/>
      <c r="E439" s="9"/>
      <c r="G439" s="16"/>
      <c r="I439" s="9"/>
      <c r="K439" s="16"/>
      <c r="M439" s="9"/>
      <c r="O439" s="16"/>
      <c r="Q439" s="7"/>
      <c r="R439" s="25"/>
      <c r="S439" s="28"/>
      <c r="U439" s="28"/>
      <c r="W439" s="14"/>
      <c r="Y439" s="14"/>
      <c r="Z439" s="55"/>
      <c r="AA439" t="b">
        <v>0</v>
      </c>
      <c r="AC439" t="b">
        <v>0</v>
      </c>
      <c r="AE439" t="b">
        <v>0</v>
      </c>
      <c r="AG439" t="b">
        <v>0</v>
      </c>
      <c r="AJ439" s="14"/>
      <c r="AL439" s="14"/>
    </row>
    <row r="440">
      <c r="A440" s="15"/>
      <c r="B440" s="7"/>
      <c r="C440" s="16"/>
      <c r="E440" s="9"/>
      <c r="G440" s="16"/>
      <c r="I440" s="9"/>
      <c r="K440" s="16"/>
      <c r="M440" s="9"/>
      <c r="O440" s="16"/>
      <c r="Q440" s="7"/>
      <c r="R440" s="25"/>
      <c r="S440" s="28"/>
      <c r="U440" s="28"/>
      <c r="W440" s="14"/>
      <c r="Y440" s="14"/>
      <c r="Z440" s="55"/>
      <c r="AA440" t="b">
        <v>0</v>
      </c>
      <c r="AC440" t="b">
        <v>0</v>
      </c>
      <c r="AE440" t="b">
        <v>0</v>
      </c>
      <c r="AG440" t="b">
        <v>0</v>
      </c>
      <c r="AJ440" s="14"/>
      <c r="AL440" s="14"/>
    </row>
    <row r="441">
      <c r="A441" s="15"/>
      <c r="B441" s="7"/>
      <c r="C441" s="16"/>
      <c r="E441" s="9"/>
      <c r="G441" s="16"/>
      <c r="I441" s="9"/>
      <c r="K441" s="16"/>
      <c r="M441" s="9"/>
      <c r="O441" s="16"/>
      <c r="Q441" s="7"/>
      <c r="R441" s="25"/>
      <c r="S441" s="28"/>
      <c r="U441" s="28"/>
      <c r="W441" s="14"/>
      <c r="Y441" s="14"/>
      <c r="Z441" s="55"/>
      <c r="AA441" t="b">
        <v>0</v>
      </c>
      <c r="AC441" t="b">
        <v>0</v>
      </c>
      <c r="AE441" t="b">
        <v>0</v>
      </c>
      <c r="AG441" t="b">
        <v>0</v>
      </c>
      <c r="AJ441" s="14"/>
      <c r="AL441" s="14"/>
    </row>
    <row r="442">
      <c r="A442" s="15"/>
      <c r="B442" s="7"/>
      <c r="C442" s="16"/>
      <c r="E442" s="9"/>
      <c r="G442" s="16"/>
      <c r="I442" s="9"/>
      <c r="K442" s="16"/>
      <c r="M442" s="9"/>
      <c r="O442" s="16"/>
      <c r="Q442" s="7"/>
      <c r="R442" s="25"/>
      <c r="S442" s="28"/>
      <c r="U442" s="28"/>
      <c r="W442" s="14"/>
      <c r="Y442" s="14"/>
      <c r="Z442" s="55"/>
      <c r="AA442" t="b">
        <v>0</v>
      </c>
      <c r="AC442" t="b">
        <v>0</v>
      </c>
      <c r="AE442" t="b">
        <v>0</v>
      </c>
      <c r="AG442" t="b">
        <v>0</v>
      </c>
      <c r="AJ442" s="14"/>
      <c r="AL442" s="14"/>
    </row>
    <row r="443">
      <c r="A443" s="15"/>
      <c r="B443" s="7"/>
      <c r="C443" s="16"/>
      <c r="E443" s="9"/>
      <c r="G443" s="16"/>
      <c r="I443" s="9"/>
      <c r="K443" s="16"/>
      <c r="M443" s="9"/>
      <c r="O443" s="16"/>
      <c r="Q443" s="7"/>
      <c r="R443" s="25"/>
      <c r="S443" s="28"/>
      <c r="U443" s="28"/>
      <c r="W443" s="14"/>
      <c r="Y443" s="14"/>
      <c r="Z443" s="55"/>
      <c r="AA443" t="b">
        <v>0</v>
      </c>
      <c r="AC443" t="b">
        <v>0</v>
      </c>
      <c r="AE443" t="b">
        <v>0</v>
      </c>
      <c r="AG443" t="b">
        <v>0</v>
      </c>
      <c r="AJ443" s="14"/>
      <c r="AL443" s="14"/>
    </row>
    <row r="444">
      <c r="A444" s="15"/>
      <c r="B444" s="7"/>
      <c r="C444" s="16"/>
      <c r="E444" s="9"/>
      <c r="G444" s="16"/>
      <c r="I444" s="9"/>
      <c r="K444" s="16"/>
      <c r="M444" s="9"/>
      <c r="O444" s="16"/>
      <c r="Q444" s="7"/>
      <c r="R444" s="25"/>
      <c r="S444" s="28"/>
      <c r="U444" s="28"/>
      <c r="W444" s="14"/>
      <c r="Y444" s="14"/>
      <c r="Z444" s="55"/>
      <c r="AA444" t="b">
        <v>0</v>
      </c>
      <c r="AC444" t="b">
        <v>0</v>
      </c>
      <c r="AE444" t="b">
        <v>0</v>
      </c>
      <c r="AG444" t="b">
        <v>0</v>
      </c>
      <c r="AJ444" s="14"/>
      <c r="AL444" s="14"/>
    </row>
    <row r="445">
      <c r="A445" s="15"/>
      <c r="B445" s="7"/>
      <c r="C445" s="16"/>
      <c r="E445" s="9"/>
      <c r="G445" s="16"/>
      <c r="I445" s="9"/>
      <c r="K445" s="16"/>
      <c r="M445" s="9"/>
      <c r="O445" s="16"/>
      <c r="Q445" s="7"/>
      <c r="R445" s="25"/>
      <c r="S445" s="28"/>
      <c r="U445" s="28"/>
      <c r="W445" s="14"/>
      <c r="Y445" s="14"/>
      <c r="Z445" s="55"/>
      <c r="AA445" t="b">
        <v>0</v>
      </c>
      <c r="AC445" t="b">
        <v>0</v>
      </c>
      <c r="AE445" t="b">
        <v>0</v>
      </c>
      <c r="AG445" t="b">
        <v>0</v>
      </c>
      <c r="AJ445" s="14"/>
      <c r="AL445" s="14"/>
    </row>
    <row r="446">
      <c r="A446" s="15"/>
      <c r="B446" s="7"/>
      <c r="C446" s="16"/>
      <c r="E446" s="9"/>
      <c r="G446" s="16"/>
      <c r="I446" s="9"/>
      <c r="K446" s="16"/>
      <c r="M446" s="9"/>
      <c r="O446" s="16"/>
      <c r="Q446" s="7"/>
      <c r="R446" s="25"/>
      <c r="S446" s="28"/>
      <c r="U446" s="28"/>
      <c r="W446" s="14"/>
      <c r="Y446" s="14"/>
      <c r="Z446" s="55"/>
      <c r="AA446" t="b">
        <v>0</v>
      </c>
      <c r="AC446" t="b">
        <v>0</v>
      </c>
      <c r="AE446" t="b">
        <v>0</v>
      </c>
      <c r="AG446" t="b">
        <v>0</v>
      </c>
      <c r="AJ446" s="14"/>
      <c r="AL446" s="14"/>
    </row>
    <row r="447">
      <c r="A447" s="15"/>
      <c r="B447" s="7"/>
      <c r="C447" s="16"/>
      <c r="E447" s="9"/>
      <c r="G447" s="16"/>
      <c r="I447" s="9"/>
      <c r="K447" s="16"/>
      <c r="M447" s="9"/>
      <c r="O447" s="16"/>
      <c r="Q447" s="7"/>
      <c r="R447" s="25"/>
      <c r="S447" s="28"/>
      <c r="U447" s="28"/>
      <c r="W447" s="14"/>
      <c r="Y447" s="14"/>
      <c r="Z447" s="55"/>
      <c r="AA447" t="b">
        <v>0</v>
      </c>
      <c r="AC447" t="b">
        <v>0</v>
      </c>
      <c r="AE447" t="b">
        <v>0</v>
      </c>
      <c r="AG447" t="b">
        <v>0</v>
      </c>
      <c r="AJ447" s="14"/>
      <c r="AL447" s="14"/>
    </row>
    <row r="448">
      <c r="A448" s="15"/>
      <c r="B448" s="7"/>
      <c r="C448" s="16"/>
      <c r="E448" s="9"/>
      <c r="G448" s="16"/>
      <c r="I448" s="9"/>
      <c r="K448" s="16"/>
      <c r="M448" s="9"/>
      <c r="O448" s="16"/>
      <c r="Q448" s="7"/>
      <c r="R448" s="25"/>
      <c r="S448" s="28"/>
      <c r="U448" s="28"/>
      <c r="W448" s="14"/>
      <c r="Y448" s="14"/>
      <c r="Z448" s="55"/>
      <c r="AA448" t="b">
        <v>0</v>
      </c>
      <c r="AC448" t="b">
        <v>0</v>
      </c>
      <c r="AE448" t="b">
        <v>0</v>
      </c>
      <c r="AG448" t="b">
        <v>0</v>
      </c>
      <c r="AJ448" s="14"/>
      <c r="AL448" s="14"/>
    </row>
    <row r="449">
      <c r="A449" s="15"/>
      <c r="B449" s="7"/>
      <c r="C449" s="16"/>
      <c r="E449" s="9"/>
      <c r="G449" s="16"/>
      <c r="I449" s="9"/>
      <c r="K449" s="16"/>
      <c r="M449" s="9"/>
      <c r="O449" s="16"/>
      <c r="Q449" s="7"/>
      <c r="R449" s="25"/>
      <c r="S449" s="28"/>
      <c r="U449" s="28"/>
      <c r="W449" s="14"/>
      <c r="Y449" s="14"/>
      <c r="Z449" s="55"/>
      <c r="AA449" t="b">
        <v>0</v>
      </c>
      <c r="AC449" t="b">
        <v>0</v>
      </c>
      <c r="AE449" t="b">
        <v>0</v>
      </c>
      <c r="AG449" t="b">
        <v>0</v>
      </c>
      <c r="AJ449" s="14"/>
      <c r="AL449" s="14"/>
    </row>
    <row r="450">
      <c r="A450" s="15"/>
      <c r="B450" s="7"/>
      <c r="C450" s="16"/>
      <c r="E450" s="9"/>
      <c r="G450" s="16"/>
      <c r="I450" s="9"/>
      <c r="K450" s="16"/>
      <c r="M450" s="9"/>
      <c r="O450" s="16"/>
      <c r="Q450" s="7"/>
      <c r="R450" s="25"/>
      <c r="S450" s="28"/>
      <c r="U450" s="28"/>
      <c r="W450" s="14"/>
      <c r="Y450" s="14"/>
      <c r="Z450" s="55"/>
      <c r="AA450" t="b">
        <v>0</v>
      </c>
      <c r="AC450" t="b">
        <v>0</v>
      </c>
      <c r="AE450" t="b">
        <v>0</v>
      </c>
      <c r="AG450" t="b">
        <v>0</v>
      </c>
      <c r="AJ450" s="14"/>
      <c r="AL450" s="14"/>
    </row>
    <row r="451">
      <c r="A451" s="15"/>
      <c r="B451" s="7"/>
      <c r="C451" s="16"/>
      <c r="E451" s="9"/>
      <c r="G451" s="16"/>
      <c r="I451" s="9"/>
      <c r="K451" s="16"/>
      <c r="M451" s="9"/>
      <c r="O451" s="16"/>
      <c r="Q451" s="7"/>
      <c r="R451" s="25"/>
      <c r="S451" s="28"/>
      <c r="U451" s="28"/>
      <c r="W451" s="14"/>
      <c r="Y451" s="14"/>
      <c r="Z451" s="55"/>
      <c r="AA451" t="b">
        <v>0</v>
      </c>
      <c r="AC451" t="b">
        <v>0</v>
      </c>
      <c r="AE451" t="b">
        <v>0</v>
      </c>
      <c r="AG451" t="b">
        <v>0</v>
      </c>
      <c r="AJ451" s="14"/>
      <c r="AL451" s="14"/>
    </row>
    <row r="452">
      <c r="A452" s="15"/>
      <c r="B452" s="7"/>
      <c r="C452" s="16"/>
      <c r="E452" s="9"/>
      <c r="G452" s="16"/>
      <c r="I452" s="9"/>
      <c r="K452" s="16"/>
      <c r="M452" s="9"/>
      <c r="O452" s="16"/>
      <c r="Q452" s="7"/>
      <c r="R452" s="25"/>
      <c r="S452" s="28"/>
      <c r="U452" s="28"/>
      <c r="W452" s="14"/>
      <c r="Y452" s="14"/>
      <c r="Z452" s="55"/>
      <c r="AA452" t="b">
        <v>0</v>
      </c>
      <c r="AC452" t="b">
        <v>0</v>
      </c>
      <c r="AE452" t="b">
        <v>0</v>
      </c>
      <c r="AG452" t="b">
        <v>0</v>
      </c>
      <c r="AJ452" s="14"/>
      <c r="AL452" s="14"/>
    </row>
    <row r="453">
      <c r="A453" s="15"/>
      <c r="B453" s="7"/>
      <c r="C453" s="16"/>
      <c r="E453" s="9"/>
      <c r="G453" s="16"/>
      <c r="I453" s="9"/>
      <c r="K453" s="16"/>
      <c r="M453" s="9"/>
      <c r="O453" s="16"/>
      <c r="Q453" s="7"/>
      <c r="R453" s="25"/>
      <c r="S453" s="28"/>
      <c r="U453" s="28"/>
      <c r="W453" s="14"/>
      <c r="Y453" s="14"/>
      <c r="Z453" s="55"/>
      <c r="AA453" t="b">
        <v>0</v>
      </c>
      <c r="AC453" t="b">
        <v>0</v>
      </c>
      <c r="AE453" t="b">
        <v>0</v>
      </c>
      <c r="AG453" t="b">
        <v>0</v>
      </c>
      <c r="AJ453" s="14"/>
      <c r="AL453" s="14"/>
    </row>
    <row r="454">
      <c r="A454" s="15"/>
      <c r="B454" s="7"/>
      <c r="C454" s="16"/>
      <c r="E454" s="9"/>
      <c r="G454" s="16"/>
      <c r="I454" s="9"/>
      <c r="K454" s="16"/>
      <c r="M454" s="9"/>
      <c r="O454" s="16"/>
      <c r="Q454" s="7"/>
      <c r="R454" s="25"/>
      <c r="S454" s="28"/>
      <c r="U454" s="28"/>
      <c r="W454" s="14"/>
      <c r="Y454" s="14"/>
      <c r="Z454" s="55"/>
      <c r="AA454" t="b">
        <v>0</v>
      </c>
      <c r="AC454" t="b">
        <v>0</v>
      </c>
      <c r="AE454" t="b">
        <v>0</v>
      </c>
      <c r="AG454" t="b">
        <v>0</v>
      </c>
      <c r="AJ454" s="14"/>
      <c r="AL454" s="14"/>
    </row>
    <row r="455">
      <c r="A455" s="15"/>
      <c r="B455" s="7"/>
      <c r="C455" s="16"/>
      <c r="E455" s="9"/>
      <c r="G455" s="16"/>
      <c r="I455" s="9"/>
      <c r="K455" s="16"/>
      <c r="M455" s="9"/>
      <c r="O455" s="16"/>
      <c r="Q455" s="7"/>
      <c r="R455" s="25"/>
      <c r="S455" s="28"/>
      <c r="U455" s="28"/>
      <c r="W455" s="14"/>
      <c r="Y455" s="14"/>
      <c r="Z455" s="55"/>
      <c r="AA455" t="b">
        <v>0</v>
      </c>
      <c r="AC455" t="b">
        <v>0</v>
      </c>
      <c r="AE455" t="b">
        <v>0</v>
      </c>
      <c r="AG455" t="b">
        <v>0</v>
      </c>
      <c r="AJ455" s="14"/>
      <c r="AL455" s="14"/>
    </row>
    <row r="456">
      <c r="A456" s="15"/>
      <c r="B456" s="7"/>
      <c r="C456" s="16"/>
      <c r="E456" s="9"/>
      <c r="G456" s="16"/>
      <c r="I456" s="9"/>
      <c r="K456" s="16"/>
      <c r="M456" s="9"/>
      <c r="O456" s="16"/>
      <c r="Q456" s="7"/>
      <c r="R456" s="25"/>
      <c r="S456" s="28"/>
      <c r="U456" s="28"/>
      <c r="W456" s="14"/>
      <c r="Y456" s="14"/>
      <c r="Z456" s="55"/>
      <c r="AA456" t="b">
        <v>0</v>
      </c>
      <c r="AC456" t="b">
        <v>0</v>
      </c>
      <c r="AE456" t="b">
        <v>0</v>
      </c>
      <c r="AG456" t="b">
        <v>0</v>
      </c>
      <c r="AJ456" s="14"/>
      <c r="AL456" s="14"/>
    </row>
    <row r="457">
      <c r="A457" s="15"/>
      <c r="B457" s="7"/>
      <c r="C457" s="16"/>
      <c r="E457" s="9"/>
      <c r="G457" s="16"/>
      <c r="I457" s="9"/>
      <c r="K457" s="16"/>
      <c r="M457" s="9"/>
      <c r="O457" s="16"/>
      <c r="Q457" s="7"/>
      <c r="R457" s="25"/>
      <c r="S457" s="28"/>
      <c r="U457" s="28"/>
      <c r="W457" s="14"/>
      <c r="Y457" s="14"/>
      <c r="Z457" s="55"/>
      <c r="AA457" t="b">
        <v>0</v>
      </c>
      <c r="AC457" t="b">
        <v>0</v>
      </c>
      <c r="AE457" t="b">
        <v>0</v>
      </c>
      <c r="AG457" t="b">
        <v>0</v>
      </c>
      <c r="AJ457" s="14"/>
      <c r="AL457" s="14"/>
    </row>
    <row r="458">
      <c r="A458" s="15"/>
      <c r="B458" s="7"/>
      <c r="C458" s="16"/>
      <c r="E458" s="9"/>
      <c r="G458" s="16"/>
      <c r="I458" s="9"/>
      <c r="K458" s="16"/>
      <c r="M458" s="9"/>
      <c r="O458" s="16"/>
      <c r="Q458" s="7"/>
      <c r="R458" s="25"/>
      <c r="S458" s="28"/>
      <c r="U458" s="28"/>
      <c r="W458" s="14"/>
      <c r="Y458" s="14"/>
      <c r="Z458" s="55"/>
      <c r="AA458" t="b">
        <v>0</v>
      </c>
      <c r="AC458" t="b">
        <v>0</v>
      </c>
      <c r="AE458" t="b">
        <v>0</v>
      </c>
      <c r="AG458" t="b">
        <v>0</v>
      </c>
      <c r="AJ458" s="14"/>
      <c r="AL458" s="14"/>
    </row>
    <row r="459">
      <c r="A459" s="15"/>
      <c r="B459" s="7"/>
      <c r="C459" s="16"/>
      <c r="E459" s="9"/>
      <c r="G459" s="16"/>
      <c r="I459" s="9"/>
      <c r="K459" s="16"/>
      <c r="M459" s="9"/>
      <c r="O459" s="16"/>
      <c r="Q459" s="7"/>
      <c r="R459" s="25"/>
      <c r="S459" s="28"/>
      <c r="U459" s="28"/>
      <c r="W459" s="14"/>
      <c r="Y459" s="14"/>
      <c r="Z459" s="55"/>
      <c r="AA459" t="b">
        <v>0</v>
      </c>
      <c r="AC459" t="b">
        <v>0</v>
      </c>
      <c r="AE459" t="b">
        <v>0</v>
      </c>
      <c r="AG459" t="b">
        <v>0</v>
      </c>
      <c r="AJ459" s="14"/>
      <c r="AL459" s="14"/>
    </row>
    <row r="460">
      <c r="A460" s="15"/>
      <c r="B460" s="7"/>
      <c r="C460" s="16"/>
      <c r="E460" s="9"/>
      <c r="G460" s="16"/>
      <c r="I460" s="9"/>
      <c r="K460" s="16"/>
      <c r="M460" s="9"/>
      <c r="O460" s="16"/>
      <c r="Q460" s="7"/>
      <c r="R460" s="25"/>
      <c r="S460" s="28"/>
      <c r="U460" s="28"/>
      <c r="W460" s="14"/>
      <c r="Y460" s="14"/>
      <c r="Z460" s="55"/>
      <c r="AA460" t="b">
        <v>0</v>
      </c>
      <c r="AC460" t="b">
        <v>0</v>
      </c>
      <c r="AE460" t="b">
        <v>0</v>
      </c>
      <c r="AG460" t="b">
        <v>0</v>
      </c>
      <c r="AJ460" s="14"/>
      <c r="AL460" s="14"/>
    </row>
    <row r="461">
      <c r="A461" s="15"/>
      <c r="B461" s="7"/>
      <c r="C461" s="16"/>
      <c r="E461" s="9"/>
      <c r="G461" s="16"/>
      <c r="I461" s="9"/>
      <c r="K461" s="16"/>
      <c r="M461" s="9"/>
      <c r="O461" s="16"/>
      <c r="Q461" s="7"/>
      <c r="R461" s="25"/>
      <c r="S461" s="28"/>
      <c r="U461" s="28"/>
      <c r="W461" s="14"/>
      <c r="Y461" s="14"/>
      <c r="Z461" s="55"/>
      <c r="AA461" t="b">
        <v>0</v>
      </c>
      <c r="AC461" t="b">
        <v>0</v>
      </c>
      <c r="AE461" t="b">
        <v>0</v>
      </c>
      <c r="AG461" t="b">
        <v>0</v>
      </c>
      <c r="AJ461" s="14"/>
      <c r="AL461" s="14"/>
    </row>
    <row r="462">
      <c r="A462" s="15"/>
      <c r="B462" s="7"/>
      <c r="C462" s="16"/>
      <c r="E462" s="9"/>
      <c r="G462" s="16"/>
      <c r="I462" s="9"/>
      <c r="K462" s="16"/>
      <c r="M462" s="9"/>
      <c r="O462" s="16"/>
      <c r="Q462" s="7"/>
      <c r="R462" s="25"/>
      <c r="S462" s="28"/>
      <c r="U462" s="28"/>
      <c r="W462" s="14"/>
      <c r="Y462" s="14"/>
      <c r="Z462" s="55"/>
      <c r="AA462" t="b">
        <v>0</v>
      </c>
      <c r="AC462" t="b">
        <v>0</v>
      </c>
      <c r="AE462" t="b">
        <v>0</v>
      </c>
      <c r="AG462" t="b">
        <v>0</v>
      </c>
      <c r="AJ462" s="14"/>
      <c r="AL462" s="14"/>
    </row>
    <row r="463">
      <c r="A463" s="15"/>
      <c r="B463" s="7"/>
      <c r="C463" s="16"/>
      <c r="E463" s="9"/>
      <c r="G463" s="16"/>
      <c r="I463" s="9"/>
      <c r="K463" s="16"/>
      <c r="M463" s="9"/>
      <c r="O463" s="16"/>
      <c r="Q463" s="7"/>
      <c r="R463" s="25"/>
      <c r="S463" s="28"/>
      <c r="U463" s="28"/>
      <c r="W463" s="14"/>
      <c r="Y463" s="14"/>
      <c r="Z463" s="55"/>
      <c r="AA463" t="b">
        <v>0</v>
      </c>
      <c r="AC463" t="b">
        <v>0</v>
      </c>
      <c r="AE463" t="b">
        <v>0</v>
      </c>
      <c r="AG463" t="b">
        <v>0</v>
      </c>
      <c r="AJ463" s="14"/>
      <c r="AL463" s="14"/>
    </row>
    <row r="464">
      <c r="A464" s="15"/>
      <c r="B464" s="7"/>
      <c r="C464" s="16"/>
      <c r="E464" s="9"/>
      <c r="G464" s="16"/>
      <c r="I464" s="9"/>
      <c r="K464" s="16"/>
      <c r="M464" s="9"/>
      <c r="O464" s="16"/>
      <c r="Q464" s="7"/>
      <c r="R464" s="25"/>
      <c r="S464" s="28"/>
      <c r="U464" s="28"/>
      <c r="W464" s="14"/>
      <c r="Y464" s="14"/>
      <c r="Z464" s="55"/>
      <c r="AA464" t="b">
        <v>0</v>
      </c>
      <c r="AC464" t="b">
        <v>0</v>
      </c>
      <c r="AE464" t="b">
        <v>0</v>
      </c>
      <c r="AG464" t="b">
        <v>0</v>
      </c>
      <c r="AJ464" s="14"/>
      <c r="AL464" s="14"/>
    </row>
    <row r="465">
      <c r="A465" s="15"/>
      <c r="B465" s="7"/>
      <c r="C465" s="16"/>
      <c r="E465" s="9"/>
      <c r="G465" s="16"/>
      <c r="I465" s="9"/>
      <c r="K465" s="16"/>
      <c r="M465" s="9"/>
      <c r="O465" s="16"/>
      <c r="Q465" s="7"/>
      <c r="R465" s="25"/>
      <c r="S465" s="28"/>
      <c r="U465" s="28"/>
      <c r="W465" s="14"/>
      <c r="Y465" s="14"/>
      <c r="Z465" s="55"/>
      <c r="AA465" t="b">
        <v>0</v>
      </c>
      <c r="AC465" t="b">
        <v>0</v>
      </c>
      <c r="AE465" t="b">
        <v>0</v>
      </c>
      <c r="AG465" t="b">
        <v>0</v>
      </c>
      <c r="AJ465" s="14"/>
      <c r="AL465" s="14"/>
    </row>
    <row r="466">
      <c r="A466" s="15"/>
      <c r="B466" s="7"/>
      <c r="C466" s="16"/>
      <c r="E466" s="9"/>
      <c r="G466" s="16"/>
      <c r="I466" s="9"/>
      <c r="K466" s="16"/>
      <c r="M466" s="9"/>
      <c r="O466" s="16"/>
      <c r="Q466" s="7"/>
      <c r="R466" s="25"/>
      <c r="S466" s="28"/>
      <c r="U466" s="28"/>
      <c r="W466" s="14"/>
      <c r="Y466" s="14"/>
      <c r="Z466" s="55"/>
      <c r="AA466" t="b">
        <v>0</v>
      </c>
      <c r="AC466" t="b">
        <v>0</v>
      </c>
      <c r="AE466" t="b">
        <v>0</v>
      </c>
      <c r="AG466" t="b">
        <v>0</v>
      </c>
      <c r="AJ466" s="14"/>
      <c r="AL466" s="14"/>
    </row>
    <row r="467">
      <c r="A467" s="15"/>
      <c r="B467" s="7"/>
      <c r="C467" s="16"/>
      <c r="E467" s="9"/>
      <c r="G467" s="16"/>
      <c r="I467" s="9"/>
      <c r="K467" s="16"/>
      <c r="M467" s="9"/>
      <c r="O467" s="16"/>
      <c r="Q467" s="7"/>
      <c r="R467" s="25"/>
      <c r="S467" s="28"/>
      <c r="U467" s="28"/>
      <c r="W467" s="14"/>
      <c r="Y467" s="14"/>
      <c r="Z467" s="55"/>
      <c r="AA467" t="b">
        <v>0</v>
      </c>
      <c r="AC467" t="b">
        <v>0</v>
      </c>
      <c r="AE467" t="b">
        <v>0</v>
      </c>
      <c r="AG467" t="b">
        <v>0</v>
      </c>
      <c r="AJ467" s="14"/>
      <c r="AL467" s="14"/>
    </row>
    <row r="468">
      <c r="A468" s="15"/>
      <c r="B468" s="7"/>
      <c r="C468" s="16"/>
      <c r="E468" s="9"/>
      <c r="G468" s="16"/>
      <c r="I468" s="9"/>
      <c r="K468" s="16"/>
      <c r="M468" s="9"/>
      <c r="O468" s="16"/>
      <c r="Q468" s="7"/>
      <c r="R468" s="25"/>
      <c r="S468" s="28"/>
      <c r="U468" s="28"/>
      <c r="W468" s="14"/>
      <c r="Y468" s="14"/>
      <c r="Z468" s="55"/>
      <c r="AA468" t="b">
        <v>0</v>
      </c>
      <c r="AC468" t="b">
        <v>0</v>
      </c>
      <c r="AE468" t="b">
        <v>0</v>
      </c>
      <c r="AG468" t="b">
        <v>0</v>
      </c>
      <c r="AJ468" s="14"/>
      <c r="AL468" s="14"/>
    </row>
    <row r="469">
      <c r="A469" s="15"/>
      <c r="B469" s="7"/>
      <c r="C469" s="16"/>
      <c r="E469" s="9"/>
      <c r="G469" s="16"/>
      <c r="I469" s="9"/>
      <c r="K469" s="16"/>
      <c r="M469" s="9"/>
      <c r="O469" s="16"/>
      <c r="Q469" s="7"/>
      <c r="R469" s="25"/>
      <c r="S469" s="28"/>
      <c r="U469" s="28"/>
      <c r="W469" s="14"/>
      <c r="Y469" s="14"/>
      <c r="Z469" s="55"/>
      <c r="AA469" t="b">
        <v>0</v>
      </c>
      <c r="AC469" t="b">
        <v>0</v>
      </c>
      <c r="AE469" t="b">
        <v>0</v>
      </c>
      <c r="AG469" t="b">
        <v>0</v>
      </c>
      <c r="AJ469" s="14"/>
      <c r="AL469" s="14"/>
    </row>
    <row r="470">
      <c r="A470" s="15"/>
      <c r="B470" s="7"/>
      <c r="C470" s="16"/>
      <c r="E470" s="9"/>
      <c r="G470" s="16"/>
      <c r="I470" s="9"/>
      <c r="K470" s="16"/>
      <c r="M470" s="9"/>
      <c r="O470" s="16"/>
      <c r="Q470" s="7"/>
      <c r="R470" s="25"/>
      <c r="S470" s="28"/>
      <c r="U470" s="28"/>
      <c r="W470" s="14"/>
      <c r="Y470" s="14"/>
      <c r="Z470" s="55"/>
      <c r="AA470" t="b">
        <v>0</v>
      </c>
      <c r="AC470" t="b">
        <v>0</v>
      </c>
      <c r="AE470" t="b">
        <v>0</v>
      </c>
      <c r="AG470" t="b">
        <v>0</v>
      </c>
      <c r="AJ470" s="14"/>
      <c r="AL470" s="14"/>
    </row>
    <row r="471">
      <c r="A471" s="15"/>
      <c r="B471" s="7"/>
      <c r="C471" s="16"/>
      <c r="E471" s="9"/>
      <c r="G471" s="16"/>
      <c r="I471" s="9"/>
      <c r="K471" s="16"/>
      <c r="M471" s="9"/>
      <c r="O471" s="16"/>
      <c r="Q471" s="7"/>
      <c r="R471" s="25"/>
      <c r="S471" s="28"/>
      <c r="U471" s="28"/>
      <c r="W471" s="14"/>
      <c r="Y471" s="14"/>
      <c r="Z471" s="55"/>
      <c r="AA471" t="b">
        <v>0</v>
      </c>
      <c r="AC471" t="b">
        <v>0</v>
      </c>
      <c r="AE471" t="b">
        <v>0</v>
      </c>
      <c r="AG471" t="b">
        <v>0</v>
      </c>
      <c r="AJ471" s="14"/>
      <c r="AL471" s="14"/>
    </row>
    <row r="472">
      <c r="A472" s="15"/>
      <c r="B472" s="7"/>
      <c r="C472" s="16"/>
      <c r="E472" s="9"/>
      <c r="G472" s="16"/>
      <c r="I472" s="9"/>
      <c r="K472" s="16"/>
      <c r="M472" s="9"/>
      <c r="O472" s="16"/>
      <c r="Q472" s="7"/>
      <c r="R472" s="25"/>
      <c r="S472" s="28"/>
      <c r="U472" s="28"/>
      <c r="W472" s="14"/>
      <c r="Y472" s="14"/>
      <c r="Z472" s="55"/>
      <c r="AA472" t="b">
        <v>0</v>
      </c>
      <c r="AC472" t="b">
        <v>0</v>
      </c>
      <c r="AE472" t="b">
        <v>0</v>
      </c>
      <c r="AG472" t="b">
        <v>0</v>
      </c>
      <c r="AJ472" s="14"/>
      <c r="AL472" s="14"/>
    </row>
    <row r="473">
      <c r="A473" s="15"/>
      <c r="B473" s="7"/>
      <c r="C473" s="16"/>
      <c r="E473" s="9"/>
      <c r="G473" s="16"/>
      <c r="I473" s="9"/>
      <c r="K473" s="16"/>
      <c r="M473" s="9"/>
      <c r="O473" s="16"/>
      <c r="Q473" s="7"/>
      <c r="R473" s="25"/>
      <c r="S473" s="28"/>
      <c r="U473" s="28"/>
      <c r="W473" s="14"/>
      <c r="Y473" s="14"/>
      <c r="Z473" s="55"/>
      <c r="AA473" t="b">
        <v>0</v>
      </c>
      <c r="AC473" t="b">
        <v>0</v>
      </c>
      <c r="AE473" t="b">
        <v>0</v>
      </c>
      <c r="AG473" t="b">
        <v>0</v>
      </c>
      <c r="AJ473" s="14"/>
      <c r="AL473" s="14"/>
    </row>
    <row r="474">
      <c r="A474" s="15"/>
      <c r="B474" s="7"/>
      <c r="C474" s="16"/>
      <c r="E474" s="9"/>
      <c r="G474" s="16"/>
      <c r="I474" s="9"/>
      <c r="K474" s="16"/>
      <c r="M474" s="9"/>
      <c r="O474" s="16"/>
      <c r="Q474" s="7"/>
      <c r="R474" s="25"/>
      <c r="S474" s="28"/>
      <c r="U474" s="28"/>
      <c r="W474" s="14"/>
      <c r="Y474" s="14"/>
      <c r="Z474" s="55"/>
      <c r="AA474" t="b">
        <v>0</v>
      </c>
      <c r="AC474" t="b">
        <v>0</v>
      </c>
      <c r="AE474" t="b">
        <v>0</v>
      </c>
      <c r="AG474" t="b">
        <v>0</v>
      </c>
      <c r="AJ474" s="14"/>
      <c r="AL474" s="14"/>
    </row>
    <row r="475">
      <c r="A475" s="15"/>
      <c r="B475" s="7"/>
      <c r="C475" s="16"/>
      <c r="E475" s="9"/>
      <c r="G475" s="16"/>
      <c r="I475" s="9"/>
      <c r="K475" s="16"/>
      <c r="M475" s="9"/>
      <c r="O475" s="16"/>
      <c r="Q475" s="7"/>
      <c r="R475" s="25"/>
      <c r="S475" s="28"/>
      <c r="U475" s="28"/>
      <c r="W475" s="14"/>
      <c r="Y475" s="14"/>
      <c r="Z475" s="55"/>
      <c r="AA475" t="b">
        <v>0</v>
      </c>
      <c r="AC475" t="b">
        <v>0</v>
      </c>
      <c r="AE475" t="b">
        <v>0</v>
      </c>
      <c r="AG475" t="b">
        <v>0</v>
      </c>
      <c r="AJ475" s="14"/>
      <c r="AL475" s="14"/>
    </row>
    <row r="476">
      <c r="A476" s="15"/>
      <c r="B476" s="7"/>
      <c r="C476" s="16"/>
      <c r="E476" s="9"/>
      <c r="G476" s="16"/>
      <c r="I476" s="9"/>
      <c r="K476" s="16"/>
      <c r="M476" s="9"/>
      <c r="O476" s="16"/>
      <c r="Q476" s="7"/>
      <c r="R476" s="25"/>
      <c r="S476" s="28"/>
      <c r="U476" s="28"/>
      <c r="W476" s="14"/>
      <c r="Y476" s="14"/>
      <c r="Z476" s="55"/>
      <c r="AA476" t="b">
        <v>0</v>
      </c>
      <c r="AC476" t="b">
        <v>0</v>
      </c>
      <c r="AE476" t="b">
        <v>0</v>
      </c>
      <c r="AG476" t="b">
        <v>0</v>
      </c>
      <c r="AJ476" s="14"/>
      <c r="AL476" s="14"/>
    </row>
    <row r="477">
      <c r="A477" s="15"/>
      <c r="B477" s="7"/>
      <c r="C477" s="16"/>
      <c r="E477" s="9"/>
      <c r="G477" s="16"/>
      <c r="I477" s="9"/>
      <c r="K477" s="16"/>
      <c r="M477" s="9"/>
      <c r="O477" s="16"/>
      <c r="Q477" s="7"/>
      <c r="R477" s="25"/>
      <c r="S477" s="28"/>
      <c r="U477" s="28"/>
      <c r="W477" s="14"/>
      <c r="Y477" s="14"/>
      <c r="Z477" s="55"/>
      <c r="AA477" t="b">
        <v>0</v>
      </c>
      <c r="AC477" t="b">
        <v>0</v>
      </c>
      <c r="AE477" t="b">
        <v>0</v>
      </c>
      <c r="AG477" t="b">
        <v>0</v>
      </c>
      <c r="AJ477" s="14"/>
      <c r="AL477" s="14"/>
    </row>
    <row r="478">
      <c r="A478" s="15"/>
      <c r="B478" s="7"/>
      <c r="C478" s="16"/>
      <c r="E478" s="9"/>
      <c r="G478" s="16"/>
      <c r="I478" s="9"/>
      <c r="K478" s="16"/>
      <c r="M478" s="9"/>
      <c r="O478" s="16"/>
      <c r="Q478" s="7"/>
      <c r="R478" s="25"/>
      <c r="S478" s="28"/>
      <c r="U478" s="28"/>
      <c r="W478" s="14"/>
      <c r="Y478" s="14"/>
      <c r="Z478" s="55"/>
      <c r="AA478" t="b">
        <v>0</v>
      </c>
      <c r="AC478" t="b">
        <v>0</v>
      </c>
      <c r="AE478" t="b">
        <v>0</v>
      </c>
      <c r="AG478" t="b">
        <v>0</v>
      </c>
      <c r="AJ478" s="14"/>
      <c r="AL478" s="14"/>
    </row>
    <row r="479">
      <c r="A479" s="15"/>
      <c r="B479" s="7"/>
      <c r="C479" s="16"/>
      <c r="E479" s="9"/>
      <c r="G479" s="16"/>
      <c r="I479" s="9"/>
      <c r="K479" s="16"/>
      <c r="M479" s="9"/>
      <c r="O479" s="16"/>
      <c r="Q479" s="7"/>
      <c r="R479" s="25"/>
      <c r="S479" s="28"/>
      <c r="U479" s="28"/>
      <c r="W479" s="14"/>
      <c r="Y479" s="14"/>
      <c r="Z479" s="55"/>
      <c r="AA479" t="b">
        <v>0</v>
      </c>
      <c r="AC479" t="b">
        <v>0</v>
      </c>
      <c r="AE479" t="b">
        <v>0</v>
      </c>
      <c r="AG479" t="b">
        <v>0</v>
      </c>
      <c r="AJ479" s="14"/>
      <c r="AL479" s="14"/>
    </row>
    <row r="480">
      <c r="A480" s="15"/>
      <c r="B480" s="7"/>
      <c r="C480" s="16"/>
      <c r="E480" s="9"/>
      <c r="G480" s="16"/>
      <c r="I480" s="9"/>
      <c r="K480" s="16"/>
      <c r="M480" s="9"/>
      <c r="O480" s="16"/>
      <c r="Q480" s="7"/>
      <c r="R480" s="25"/>
      <c r="S480" s="28"/>
      <c r="U480" s="28"/>
      <c r="W480" s="14"/>
      <c r="Y480" s="14"/>
      <c r="Z480" s="55"/>
      <c r="AA480" t="b">
        <v>0</v>
      </c>
      <c r="AC480" t="b">
        <v>0</v>
      </c>
      <c r="AE480" t="b">
        <v>0</v>
      </c>
      <c r="AG480" t="b">
        <v>0</v>
      </c>
      <c r="AJ480" s="14"/>
      <c r="AL480" s="14"/>
    </row>
    <row r="481">
      <c r="A481" s="15"/>
      <c r="B481" s="7"/>
      <c r="C481" s="16"/>
      <c r="E481" s="9"/>
      <c r="G481" s="16"/>
      <c r="I481" s="9"/>
      <c r="K481" s="16"/>
      <c r="M481" s="9"/>
      <c r="O481" s="16"/>
      <c r="Q481" s="7"/>
      <c r="R481" s="25"/>
      <c r="S481" s="28"/>
      <c r="U481" s="28"/>
      <c r="W481" s="14"/>
      <c r="Y481" s="14"/>
      <c r="Z481" s="55"/>
      <c r="AA481" t="b">
        <v>0</v>
      </c>
      <c r="AC481" t="b">
        <v>0</v>
      </c>
      <c r="AE481" t="b">
        <v>0</v>
      </c>
      <c r="AG481" t="b">
        <v>0</v>
      </c>
      <c r="AJ481" s="14"/>
      <c r="AL481" s="14"/>
    </row>
    <row r="482">
      <c r="A482" s="15"/>
      <c r="B482" s="7"/>
      <c r="C482" s="16"/>
      <c r="E482" s="9"/>
      <c r="G482" s="16"/>
      <c r="I482" s="9"/>
      <c r="K482" s="16"/>
      <c r="M482" s="9"/>
      <c r="O482" s="16"/>
      <c r="Q482" s="7"/>
      <c r="R482" s="25"/>
      <c r="S482" s="28"/>
      <c r="U482" s="28"/>
      <c r="W482" s="14"/>
      <c r="Y482" s="14"/>
      <c r="Z482" s="55"/>
      <c r="AA482" t="b">
        <v>0</v>
      </c>
      <c r="AC482" t="b">
        <v>0</v>
      </c>
      <c r="AE482" t="b">
        <v>0</v>
      </c>
      <c r="AG482" t="b">
        <v>0</v>
      </c>
      <c r="AJ482" s="14"/>
      <c r="AL482" s="14"/>
    </row>
    <row r="483">
      <c r="A483" s="15"/>
      <c r="B483" s="7"/>
      <c r="C483" s="16"/>
      <c r="E483" s="9"/>
      <c r="G483" s="16"/>
      <c r="I483" s="9"/>
      <c r="K483" s="16"/>
      <c r="M483" s="9"/>
      <c r="O483" s="16"/>
      <c r="Q483" s="7"/>
      <c r="R483" s="25"/>
      <c r="S483" s="28"/>
      <c r="U483" s="28"/>
      <c r="W483" s="14"/>
      <c r="Y483" s="14"/>
      <c r="Z483" s="55"/>
      <c r="AA483" t="b">
        <v>0</v>
      </c>
      <c r="AC483" t="b">
        <v>0</v>
      </c>
      <c r="AE483" t="b">
        <v>0</v>
      </c>
      <c r="AG483" t="b">
        <v>0</v>
      </c>
      <c r="AJ483" s="14"/>
      <c r="AL483" s="14"/>
    </row>
    <row r="484">
      <c r="A484" s="15"/>
      <c r="B484" s="7"/>
      <c r="C484" s="16"/>
      <c r="E484" s="9"/>
      <c r="G484" s="16"/>
      <c r="I484" s="9"/>
      <c r="K484" s="16"/>
      <c r="M484" s="9"/>
      <c r="O484" s="16"/>
      <c r="Q484" s="7"/>
      <c r="R484" s="25"/>
      <c r="S484" s="28"/>
      <c r="U484" s="28"/>
      <c r="W484" s="14"/>
      <c r="Y484" s="14"/>
      <c r="Z484" s="55"/>
      <c r="AA484" t="b">
        <v>0</v>
      </c>
      <c r="AC484" t="b">
        <v>0</v>
      </c>
      <c r="AE484" t="b">
        <v>0</v>
      </c>
      <c r="AG484" t="b">
        <v>0</v>
      </c>
      <c r="AJ484" s="14"/>
      <c r="AL484" s="14"/>
    </row>
    <row r="485">
      <c r="A485" s="15"/>
      <c r="B485" s="7"/>
      <c r="C485" s="16"/>
      <c r="E485" s="9"/>
      <c r="G485" s="16"/>
      <c r="I485" s="9"/>
      <c r="K485" s="16"/>
      <c r="M485" s="9"/>
      <c r="O485" s="16"/>
      <c r="Q485" s="7"/>
      <c r="R485" s="25"/>
      <c r="S485" s="28"/>
      <c r="U485" s="28"/>
      <c r="W485" s="14"/>
      <c r="Y485" s="14"/>
      <c r="Z485" s="55"/>
      <c r="AA485" t="b">
        <v>0</v>
      </c>
      <c r="AC485" t="b">
        <v>0</v>
      </c>
      <c r="AE485" t="b">
        <v>0</v>
      </c>
      <c r="AG485" t="b">
        <v>0</v>
      </c>
      <c r="AJ485" s="14"/>
      <c r="AL485" s="14"/>
    </row>
    <row r="486">
      <c r="A486" s="15"/>
      <c r="B486" s="7"/>
      <c r="C486" s="16"/>
      <c r="E486" s="9"/>
      <c r="G486" s="16"/>
      <c r="I486" s="9"/>
      <c r="K486" s="16"/>
      <c r="M486" s="9"/>
      <c r="O486" s="16"/>
      <c r="Q486" s="7"/>
      <c r="R486" s="25"/>
      <c r="S486" s="28"/>
      <c r="U486" s="28"/>
      <c r="W486" s="14"/>
      <c r="Y486" s="14"/>
      <c r="Z486" s="55"/>
      <c r="AA486" t="b">
        <v>0</v>
      </c>
      <c r="AC486" t="b">
        <v>0</v>
      </c>
      <c r="AE486" t="b">
        <v>0</v>
      </c>
      <c r="AG486" t="b">
        <v>0</v>
      </c>
      <c r="AJ486" s="14"/>
      <c r="AL486" s="14"/>
    </row>
    <row r="487">
      <c r="A487" s="15"/>
      <c r="B487" s="7"/>
      <c r="C487" s="16"/>
      <c r="E487" s="9"/>
      <c r="G487" s="16"/>
      <c r="I487" s="9"/>
      <c r="K487" s="16"/>
      <c r="M487" s="9"/>
      <c r="O487" s="16"/>
      <c r="Q487" s="7"/>
      <c r="R487" s="25"/>
      <c r="S487" s="28"/>
      <c r="U487" s="28"/>
      <c r="W487" s="14"/>
      <c r="Y487" s="14"/>
      <c r="Z487" s="55"/>
      <c r="AA487" t="b">
        <v>0</v>
      </c>
      <c r="AC487" t="b">
        <v>0</v>
      </c>
      <c r="AE487" t="b">
        <v>0</v>
      </c>
      <c r="AG487" t="b">
        <v>0</v>
      </c>
      <c r="AJ487" s="14"/>
      <c r="AL487" s="14"/>
    </row>
    <row r="488">
      <c r="A488" s="15"/>
      <c r="B488" s="7"/>
      <c r="C488" s="16"/>
      <c r="E488" s="9"/>
      <c r="G488" s="16"/>
      <c r="I488" s="9"/>
      <c r="K488" s="16"/>
      <c r="M488" s="9"/>
      <c r="O488" s="16"/>
      <c r="Q488" s="7"/>
      <c r="R488" s="25"/>
      <c r="S488" s="28"/>
      <c r="U488" s="28"/>
      <c r="W488" s="14"/>
      <c r="Y488" s="14"/>
      <c r="Z488" s="55"/>
      <c r="AA488" t="b">
        <v>0</v>
      </c>
      <c r="AC488" t="b">
        <v>0</v>
      </c>
      <c r="AE488" t="b">
        <v>0</v>
      </c>
      <c r="AG488" t="b">
        <v>0</v>
      </c>
      <c r="AJ488" s="14"/>
      <c r="AL488" s="14"/>
    </row>
    <row r="489">
      <c r="A489" s="15"/>
      <c r="B489" s="7"/>
      <c r="C489" s="16"/>
      <c r="E489" s="9"/>
      <c r="G489" s="16"/>
      <c r="I489" s="9"/>
      <c r="K489" s="16"/>
      <c r="M489" s="9"/>
      <c r="O489" s="16"/>
      <c r="Q489" s="7"/>
      <c r="R489" s="25"/>
      <c r="S489" s="28"/>
      <c r="U489" s="28"/>
      <c r="W489" s="14"/>
      <c r="Y489" s="14"/>
      <c r="Z489" s="55"/>
      <c r="AA489" t="b">
        <v>0</v>
      </c>
      <c r="AC489" t="b">
        <v>0</v>
      </c>
      <c r="AE489" t="b">
        <v>0</v>
      </c>
      <c r="AG489" t="b">
        <v>0</v>
      </c>
      <c r="AJ489" s="14"/>
      <c r="AL489" s="14"/>
    </row>
    <row r="490">
      <c r="A490" s="15"/>
      <c r="B490" s="7"/>
      <c r="C490" s="16"/>
      <c r="E490" s="9"/>
      <c r="G490" s="16"/>
      <c r="I490" s="9"/>
      <c r="K490" s="16"/>
      <c r="M490" s="9"/>
      <c r="O490" s="16"/>
      <c r="Q490" s="7"/>
      <c r="R490" s="25"/>
      <c r="S490" s="28"/>
      <c r="U490" s="28"/>
      <c r="W490" s="14"/>
      <c r="Y490" s="14"/>
      <c r="Z490" s="55"/>
      <c r="AA490" t="b">
        <v>0</v>
      </c>
      <c r="AC490" t="b">
        <v>0</v>
      </c>
      <c r="AE490" t="b">
        <v>0</v>
      </c>
      <c r="AG490" t="b">
        <v>0</v>
      </c>
      <c r="AJ490" s="14"/>
      <c r="AL490" s="14"/>
    </row>
    <row r="491">
      <c r="A491" s="15"/>
      <c r="B491" s="7"/>
      <c r="C491" s="16"/>
      <c r="E491" s="9"/>
      <c r="G491" s="16"/>
      <c r="I491" s="9"/>
      <c r="K491" s="16"/>
      <c r="M491" s="9"/>
      <c r="O491" s="16"/>
      <c r="Q491" s="7"/>
      <c r="R491" s="25"/>
      <c r="S491" s="28"/>
      <c r="U491" s="28"/>
      <c r="W491" s="14"/>
      <c r="Y491" s="14"/>
      <c r="Z491" s="55"/>
      <c r="AA491" t="b">
        <v>0</v>
      </c>
      <c r="AC491" t="b">
        <v>0</v>
      </c>
      <c r="AE491" t="b">
        <v>0</v>
      </c>
      <c r="AG491" t="b">
        <v>0</v>
      </c>
      <c r="AJ491" s="14"/>
      <c r="AL491" s="14"/>
    </row>
    <row r="492">
      <c r="A492" s="15"/>
      <c r="B492" s="7"/>
      <c r="C492" s="16"/>
      <c r="E492" s="9"/>
      <c r="G492" s="16"/>
      <c r="I492" s="9"/>
      <c r="K492" s="16"/>
      <c r="M492" s="9"/>
      <c r="O492" s="16"/>
      <c r="Q492" s="7"/>
      <c r="R492" s="25"/>
      <c r="S492" s="28"/>
      <c r="U492" s="28"/>
      <c r="W492" s="14"/>
      <c r="Y492" s="14"/>
      <c r="Z492" s="55"/>
      <c r="AA492" t="b">
        <v>0</v>
      </c>
      <c r="AC492" t="b">
        <v>0</v>
      </c>
      <c r="AE492" t="b">
        <v>0</v>
      </c>
      <c r="AG492" t="b">
        <v>0</v>
      </c>
      <c r="AJ492" s="14"/>
      <c r="AL492" s="14"/>
    </row>
    <row r="493">
      <c r="A493" s="15"/>
      <c r="B493" s="7"/>
      <c r="C493" s="16"/>
      <c r="E493" s="9"/>
      <c r="G493" s="16"/>
      <c r="I493" s="9"/>
      <c r="K493" s="16"/>
      <c r="M493" s="9"/>
      <c r="O493" s="16"/>
      <c r="Q493" s="7"/>
      <c r="R493" s="25"/>
      <c r="S493" s="28"/>
      <c r="U493" s="28"/>
      <c r="W493" s="14"/>
      <c r="Y493" s="14"/>
      <c r="Z493" s="55"/>
      <c r="AA493" t="b">
        <v>0</v>
      </c>
      <c r="AC493" t="b">
        <v>0</v>
      </c>
      <c r="AE493" t="b">
        <v>0</v>
      </c>
      <c r="AG493" t="b">
        <v>0</v>
      </c>
      <c r="AJ493" s="14"/>
      <c r="AL493" s="14"/>
    </row>
    <row r="494">
      <c r="A494" s="15"/>
      <c r="B494" s="7"/>
      <c r="C494" s="16"/>
      <c r="E494" s="9"/>
      <c r="G494" s="16"/>
      <c r="I494" s="9"/>
      <c r="K494" s="16"/>
      <c r="M494" s="9"/>
      <c r="O494" s="16"/>
      <c r="Q494" s="7"/>
      <c r="R494" s="25"/>
      <c r="S494" s="28"/>
      <c r="U494" s="28"/>
      <c r="W494" s="14"/>
      <c r="Y494" s="14"/>
      <c r="Z494" s="55"/>
      <c r="AA494" t="b">
        <v>0</v>
      </c>
      <c r="AC494" t="b">
        <v>0</v>
      </c>
      <c r="AE494" t="b">
        <v>0</v>
      </c>
      <c r="AG494" t="b">
        <v>0</v>
      </c>
      <c r="AJ494" s="14"/>
      <c r="AL494" s="14"/>
    </row>
    <row r="495">
      <c r="A495" s="15"/>
      <c r="B495" s="7"/>
      <c r="C495" s="16"/>
      <c r="E495" s="9"/>
      <c r="G495" s="16"/>
      <c r="I495" s="9"/>
      <c r="K495" s="16"/>
      <c r="M495" s="9"/>
      <c r="O495" s="16"/>
      <c r="Q495" s="7"/>
      <c r="R495" s="25"/>
      <c r="S495" s="28"/>
      <c r="U495" s="28"/>
      <c r="W495" s="14"/>
      <c r="Y495" s="14"/>
      <c r="Z495" s="55"/>
      <c r="AA495" t="b">
        <v>0</v>
      </c>
      <c r="AC495" t="b">
        <v>0</v>
      </c>
      <c r="AE495" t="b">
        <v>0</v>
      </c>
      <c r="AG495" t="b">
        <v>0</v>
      </c>
      <c r="AJ495" s="14"/>
      <c r="AL495" s="14"/>
    </row>
    <row r="496">
      <c r="A496" s="15"/>
      <c r="B496" s="7"/>
      <c r="C496" s="16"/>
      <c r="E496" s="9"/>
      <c r="G496" s="16"/>
      <c r="I496" s="9"/>
      <c r="K496" s="16"/>
      <c r="M496" s="9"/>
      <c r="O496" s="16"/>
      <c r="Q496" s="7"/>
      <c r="R496" s="25"/>
      <c r="S496" s="28"/>
      <c r="U496" s="28"/>
      <c r="W496" s="14"/>
      <c r="Y496" s="14"/>
      <c r="Z496" s="55"/>
      <c r="AA496" t="b">
        <v>0</v>
      </c>
      <c r="AC496" t="b">
        <v>0</v>
      </c>
      <c r="AE496" t="b">
        <v>0</v>
      </c>
      <c r="AG496" t="b">
        <v>0</v>
      </c>
      <c r="AJ496" s="14"/>
      <c r="AL496" s="14"/>
    </row>
    <row r="497">
      <c r="A497" s="15"/>
      <c r="B497" s="7"/>
      <c r="C497" s="16"/>
      <c r="E497" s="9"/>
      <c r="G497" s="16"/>
      <c r="I497" s="9"/>
      <c r="K497" s="16"/>
      <c r="M497" s="9"/>
      <c r="O497" s="16"/>
      <c r="Q497" s="7"/>
      <c r="R497" s="25"/>
      <c r="S497" s="28"/>
      <c r="U497" s="28"/>
      <c r="W497" s="14"/>
      <c r="Y497" s="14"/>
      <c r="Z497" s="55"/>
      <c r="AA497" t="b">
        <v>0</v>
      </c>
      <c r="AC497" t="b">
        <v>0</v>
      </c>
      <c r="AE497" t="b">
        <v>0</v>
      </c>
      <c r="AG497" t="b">
        <v>0</v>
      </c>
      <c r="AJ497" s="14"/>
      <c r="AL497" s="14"/>
    </row>
    <row r="498">
      <c r="A498" s="15"/>
      <c r="B498" s="7"/>
      <c r="C498" s="16"/>
      <c r="E498" s="9"/>
      <c r="G498" s="16"/>
      <c r="I498" s="9"/>
      <c r="K498" s="16"/>
      <c r="M498" s="9"/>
      <c r="O498" s="16"/>
      <c r="Q498" s="7"/>
      <c r="R498" s="25"/>
      <c r="S498" s="28"/>
      <c r="U498" s="28"/>
      <c r="W498" s="14"/>
      <c r="Y498" s="14"/>
      <c r="Z498" s="55"/>
      <c r="AA498" t="b">
        <v>0</v>
      </c>
      <c r="AC498" t="b">
        <v>0</v>
      </c>
      <c r="AE498" t="b">
        <v>0</v>
      </c>
      <c r="AG498" t="b">
        <v>0</v>
      </c>
      <c r="AJ498" s="14"/>
      <c r="AL498" s="14"/>
    </row>
    <row r="499">
      <c r="A499" s="15"/>
      <c r="B499" s="7"/>
      <c r="C499" s="16"/>
      <c r="E499" s="9"/>
      <c r="G499" s="16"/>
      <c r="I499" s="9"/>
      <c r="K499" s="16"/>
      <c r="M499" s="9"/>
      <c r="O499" s="16"/>
      <c r="Q499" s="7"/>
      <c r="R499" s="25"/>
      <c r="S499" s="28"/>
      <c r="U499" s="28"/>
      <c r="W499" s="14"/>
      <c r="Y499" s="14"/>
      <c r="Z499" s="55"/>
      <c r="AA499" t="b">
        <v>0</v>
      </c>
      <c r="AC499" t="b">
        <v>0</v>
      </c>
      <c r="AE499" t="b">
        <v>0</v>
      </c>
      <c r="AG499" t="b">
        <v>0</v>
      </c>
      <c r="AJ499" s="14"/>
      <c r="AL499" s="14"/>
    </row>
    <row r="500">
      <c r="A500" s="15"/>
      <c r="B500" s="7"/>
      <c r="C500" s="16"/>
      <c r="E500" s="9"/>
      <c r="G500" s="16"/>
      <c r="I500" s="9"/>
      <c r="K500" s="16"/>
      <c r="M500" s="9"/>
      <c r="O500" s="16"/>
      <c r="Q500" s="7"/>
      <c r="R500" s="25"/>
      <c r="S500" s="28"/>
      <c r="U500" s="28"/>
      <c r="W500" s="14"/>
      <c r="Y500" s="14"/>
      <c r="Z500" s="55"/>
      <c r="AA500" t="b">
        <v>0</v>
      </c>
      <c r="AC500" t="b">
        <v>0</v>
      </c>
      <c r="AE500" t="b">
        <v>0</v>
      </c>
      <c r="AG500" t="b">
        <v>0</v>
      </c>
      <c r="AJ500" s="14"/>
      <c r="AL500" s="14"/>
    </row>
    <row r="501">
      <c r="A501" s="15"/>
      <c r="B501" s="7"/>
      <c r="C501" s="16"/>
      <c r="E501" s="9"/>
      <c r="G501" s="16"/>
      <c r="I501" s="9"/>
      <c r="K501" s="16"/>
      <c r="M501" s="9"/>
      <c r="O501" s="16"/>
      <c r="Q501" s="7"/>
      <c r="R501" s="25"/>
      <c r="S501" s="28"/>
      <c r="U501" s="28"/>
      <c r="W501" s="14"/>
      <c r="Y501" s="14"/>
      <c r="Z501" s="55"/>
      <c r="AA501" t="b">
        <v>0</v>
      </c>
      <c r="AC501" t="b">
        <v>0</v>
      </c>
      <c r="AE501" t="b">
        <v>0</v>
      </c>
      <c r="AG501" t="b">
        <v>0</v>
      </c>
      <c r="AJ501" s="14"/>
      <c r="AL501" s="14"/>
    </row>
    <row r="502">
      <c r="A502" s="15"/>
      <c r="B502" s="7"/>
      <c r="C502" s="16"/>
      <c r="E502" s="9"/>
      <c r="G502" s="16"/>
      <c r="I502" s="9"/>
      <c r="K502" s="16"/>
      <c r="M502" s="9"/>
      <c r="O502" s="16"/>
      <c r="Q502" s="7"/>
      <c r="R502" s="25"/>
      <c r="S502" s="28"/>
      <c r="U502" s="28"/>
      <c r="W502" s="14"/>
      <c r="Y502" s="14"/>
      <c r="Z502" s="55"/>
      <c r="AA502" t="b">
        <v>0</v>
      </c>
      <c r="AC502" t="b">
        <v>0</v>
      </c>
      <c r="AE502" t="b">
        <v>0</v>
      </c>
      <c r="AG502" t="b">
        <v>0</v>
      </c>
      <c r="AJ502" s="14"/>
      <c r="AL502" s="14"/>
    </row>
    <row r="503">
      <c r="A503" s="15"/>
      <c r="B503" s="7"/>
      <c r="C503" s="16"/>
      <c r="E503" s="9"/>
      <c r="G503" s="16"/>
      <c r="I503" s="9"/>
      <c r="K503" s="16"/>
      <c r="M503" s="9"/>
      <c r="O503" s="16"/>
      <c r="Q503" s="7"/>
      <c r="R503" s="25"/>
      <c r="S503" s="28"/>
      <c r="U503" s="28"/>
      <c r="W503" s="14"/>
      <c r="Y503" s="14"/>
      <c r="Z503" s="55"/>
      <c r="AA503" t="b">
        <v>0</v>
      </c>
      <c r="AC503" t="b">
        <v>0</v>
      </c>
      <c r="AE503" t="b">
        <v>0</v>
      </c>
      <c r="AG503" t="b">
        <v>0</v>
      </c>
      <c r="AJ503" s="14"/>
      <c r="AL503" s="14"/>
    </row>
    <row r="504">
      <c r="A504" s="15"/>
      <c r="B504" s="7"/>
      <c r="C504" s="16"/>
      <c r="E504" s="9"/>
      <c r="G504" s="16"/>
      <c r="I504" s="9"/>
      <c r="K504" s="16"/>
      <c r="M504" s="9"/>
      <c r="O504" s="16"/>
      <c r="Q504" s="7"/>
      <c r="R504" s="25"/>
      <c r="S504" s="28"/>
      <c r="U504" s="28"/>
      <c r="W504" s="14"/>
      <c r="Y504" s="14"/>
      <c r="Z504" s="55"/>
      <c r="AA504" t="b">
        <v>0</v>
      </c>
      <c r="AC504" t="b">
        <v>0</v>
      </c>
      <c r="AE504" t="b">
        <v>0</v>
      </c>
      <c r="AG504" t="b">
        <v>0</v>
      </c>
      <c r="AJ504" s="14"/>
      <c r="AL504" s="14"/>
    </row>
    <row r="505">
      <c r="A505" s="15"/>
      <c r="B505" s="7"/>
      <c r="C505" s="16"/>
      <c r="E505" s="9"/>
      <c r="G505" s="16"/>
      <c r="I505" s="9"/>
      <c r="K505" s="16"/>
      <c r="M505" s="9"/>
      <c r="O505" s="16"/>
      <c r="Q505" s="7"/>
      <c r="R505" s="25"/>
      <c r="S505" s="28"/>
      <c r="U505" s="28"/>
      <c r="W505" s="14"/>
      <c r="Y505" s="14"/>
      <c r="Z505" s="55"/>
      <c r="AA505" t="b">
        <v>0</v>
      </c>
      <c r="AC505" t="b">
        <v>0</v>
      </c>
      <c r="AE505" t="b">
        <v>0</v>
      </c>
      <c r="AG505" t="b">
        <v>0</v>
      </c>
      <c r="AJ505" s="14"/>
      <c r="AL505" s="14"/>
    </row>
    <row r="506">
      <c r="A506" s="15"/>
      <c r="B506" s="7"/>
      <c r="C506" s="16"/>
      <c r="E506" s="9"/>
      <c r="G506" s="16"/>
      <c r="I506" s="9"/>
      <c r="K506" s="16"/>
      <c r="M506" s="9"/>
      <c r="O506" s="16"/>
      <c r="Q506" s="7"/>
      <c r="R506" s="25"/>
      <c r="S506" s="28"/>
      <c r="U506" s="28"/>
      <c r="W506" s="14"/>
      <c r="Y506" s="14"/>
      <c r="Z506" s="55"/>
      <c r="AA506" t="b">
        <v>0</v>
      </c>
      <c r="AC506" t="b">
        <v>0</v>
      </c>
      <c r="AE506" t="b">
        <v>0</v>
      </c>
      <c r="AG506" t="b">
        <v>0</v>
      </c>
      <c r="AJ506" s="14"/>
      <c r="AL506" s="14"/>
    </row>
    <row r="507">
      <c r="A507" s="15"/>
      <c r="B507" s="7"/>
      <c r="C507" s="16"/>
      <c r="E507" s="9"/>
      <c r="G507" s="16"/>
      <c r="I507" s="9"/>
      <c r="K507" s="16"/>
      <c r="M507" s="9"/>
      <c r="O507" s="16"/>
      <c r="Q507" s="7"/>
      <c r="R507" s="25"/>
      <c r="S507" s="28"/>
      <c r="U507" s="28"/>
      <c r="W507" s="14"/>
      <c r="Y507" s="14"/>
      <c r="Z507" s="55"/>
      <c r="AA507" t="b">
        <v>0</v>
      </c>
      <c r="AC507" t="b">
        <v>0</v>
      </c>
      <c r="AE507" t="b">
        <v>0</v>
      </c>
      <c r="AG507" t="b">
        <v>0</v>
      </c>
      <c r="AJ507" s="14"/>
      <c r="AL507" s="14"/>
    </row>
    <row r="508">
      <c r="A508" s="15"/>
      <c r="B508" s="7"/>
      <c r="C508" s="16"/>
      <c r="E508" s="9"/>
      <c r="G508" s="16"/>
      <c r="I508" s="9"/>
      <c r="K508" s="16"/>
      <c r="M508" s="9"/>
      <c r="O508" s="16"/>
      <c r="Q508" s="7"/>
      <c r="R508" s="25"/>
      <c r="S508" s="28"/>
      <c r="U508" s="28"/>
      <c r="W508" s="14"/>
      <c r="Y508" s="14"/>
      <c r="Z508" s="55"/>
      <c r="AA508" t="b">
        <v>0</v>
      </c>
      <c r="AC508" t="b">
        <v>0</v>
      </c>
      <c r="AE508" t="b">
        <v>0</v>
      </c>
      <c r="AG508" t="b">
        <v>0</v>
      </c>
      <c r="AJ508" s="14"/>
      <c r="AL508" s="14"/>
    </row>
    <row r="509">
      <c r="A509" s="15"/>
      <c r="B509" s="7"/>
      <c r="C509" s="16"/>
      <c r="E509" s="9"/>
      <c r="G509" s="16"/>
      <c r="I509" s="9"/>
      <c r="K509" s="16"/>
      <c r="M509" s="9"/>
      <c r="O509" s="16"/>
      <c r="Q509" s="7"/>
      <c r="R509" s="25"/>
      <c r="S509" s="28"/>
      <c r="U509" s="28"/>
      <c r="W509" s="14"/>
      <c r="Y509" s="14"/>
      <c r="Z509" s="55"/>
      <c r="AA509" t="b">
        <v>0</v>
      </c>
      <c r="AC509" t="b">
        <v>0</v>
      </c>
      <c r="AE509" t="b">
        <v>0</v>
      </c>
      <c r="AG509" t="b">
        <v>0</v>
      </c>
      <c r="AJ509" s="14"/>
      <c r="AL509" s="14"/>
    </row>
    <row r="510">
      <c r="A510" s="15"/>
      <c r="B510" s="7"/>
      <c r="C510" s="16"/>
      <c r="E510" s="9"/>
      <c r="G510" s="16"/>
      <c r="I510" s="9"/>
      <c r="K510" s="16"/>
      <c r="M510" s="9"/>
      <c r="O510" s="16"/>
      <c r="Q510" s="7"/>
      <c r="R510" s="25"/>
      <c r="S510" s="28"/>
      <c r="U510" s="28"/>
      <c r="W510" s="14"/>
      <c r="Y510" s="14"/>
      <c r="Z510" s="55"/>
      <c r="AA510" t="b">
        <v>0</v>
      </c>
      <c r="AC510" t="b">
        <v>0</v>
      </c>
      <c r="AE510" t="b">
        <v>0</v>
      </c>
      <c r="AG510" t="b">
        <v>0</v>
      </c>
      <c r="AJ510" s="14"/>
      <c r="AL510" s="14"/>
    </row>
    <row r="511">
      <c r="A511" s="15"/>
      <c r="B511" s="7"/>
      <c r="C511" s="16"/>
      <c r="E511" s="9"/>
      <c r="G511" s="16"/>
      <c r="I511" s="9"/>
      <c r="K511" s="16"/>
      <c r="M511" s="9"/>
      <c r="O511" s="16"/>
      <c r="Q511" s="7"/>
      <c r="R511" s="25"/>
      <c r="S511" s="28"/>
      <c r="U511" s="28"/>
      <c r="W511" s="14"/>
      <c r="Y511" s="14"/>
      <c r="Z511" s="55"/>
      <c r="AA511" t="b">
        <v>0</v>
      </c>
      <c r="AC511" t="b">
        <v>0</v>
      </c>
      <c r="AE511" t="b">
        <v>0</v>
      </c>
      <c r="AG511" t="b">
        <v>0</v>
      </c>
      <c r="AJ511" s="14"/>
      <c r="AL511" s="14"/>
    </row>
    <row r="512">
      <c r="A512" s="15"/>
      <c r="B512" s="7"/>
      <c r="C512" s="16"/>
      <c r="E512" s="9"/>
      <c r="G512" s="16"/>
      <c r="I512" s="9"/>
      <c r="K512" s="16"/>
      <c r="M512" s="9"/>
      <c r="O512" s="16"/>
      <c r="Q512" s="7"/>
      <c r="R512" s="25"/>
      <c r="S512" s="28"/>
      <c r="U512" s="28"/>
      <c r="W512" s="14"/>
      <c r="Y512" s="14"/>
      <c r="Z512" s="55"/>
      <c r="AA512" t="b">
        <v>0</v>
      </c>
      <c r="AC512" t="b">
        <v>0</v>
      </c>
      <c r="AE512" t="b">
        <v>0</v>
      </c>
      <c r="AG512" t="b">
        <v>0</v>
      </c>
      <c r="AJ512" s="14"/>
      <c r="AL512" s="14"/>
    </row>
    <row r="513">
      <c r="A513" s="15"/>
      <c r="B513" s="7"/>
      <c r="C513" s="16"/>
      <c r="E513" s="9"/>
      <c r="G513" s="16"/>
      <c r="I513" s="9"/>
      <c r="K513" s="16"/>
      <c r="M513" s="9"/>
      <c r="O513" s="16"/>
      <c r="Q513" s="7"/>
      <c r="R513" s="25"/>
      <c r="S513" s="28"/>
      <c r="U513" s="28"/>
      <c r="W513" s="14"/>
      <c r="Y513" s="14"/>
      <c r="Z513" s="55"/>
      <c r="AA513" t="b">
        <v>0</v>
      </c>
      <c r="AC513" t="b">
        <v>0</v>
      </c>
      <c r="AE513" t="b">
        <v>0</v>
      </c>
      <c r="AG513" t="b">
        <v>0</v>
      </c>
      <c r="AJ513" s="14"/>
      <c r="AL513" s="14"/>
    </row>
    <row r="514">
      <c r="A514" s="15"/>
      <c r="B514" s="7"/>
      <c r="C514" s="16"/>
      <c r="E514" s="9"/>
      <c r="G514" s="16"/>
      <c r="I514" s="9"/>
      <c r="K514" s="16"/>
      <c r="M514" s="9"/>
      <c r="O514" s="16"/>
      <c r="Q514" s="7"/>
      <c r="R514" s="25"/>
      <c r="S514" s="28"/>
      <c r="U514" s="28"/>
      <c r="W514" s="14"/>
      <c r="Y514" s="14"/>
      <c r="Z514" s="55"/>
      <c r="AA514" t="b">
        <v>0</v>
      </c>
      <c r="AC514" t="b">
        <v>0</v>
      </c>
      <c r="AE514" t="b">
        <v>0</v>
      </c>
      <c r="AG514" t="b">
        <v>0</v>
      </c>
      <c r="AJ514" s="14"/>
      <c r="AL514" s="14"/>
    </row>
    <row r="515">
      <c r="A515" s="15"/>
      <c r="B515" s="7"/>
      <c r="C515" s="16"/>
      <c r="E515" s="9"/>
      <c r="G515" s="16"/>
      <c r="I515" s="9"/>
      <c r="K515" s="16"/>
      <c r="M515" s="9"/>
      <c r="O515" s="16"/>
      <c r="Q515" s="7"/>
      <c r="R515" s="25"/>
      <c r="S515" s="28"/>
      <c r="U515" s="28"/>
      <c r="W515" s="14"/>
      <c r="Y515" s="14"/>
      <c r="Z515" s="55"/>
      <c r="AA515" t="b">
        <v>0</v>
      </c>
      <c r="AC515" t="b">
        <v>0</v>
      </c>
      <c r="AE515" t="b">
        <v>0</v>
      </c>
      <c r="AG515" t="b">
        <v>0</v>
      </c>
      <c r="AJ515" s="14"/>
      <c r="AL515" s="14"/>
    </row>
    <row r="516">
      <c r="A516" s="15"/>
      <c r="B516" s="7"/>
      <c r="C516" s="16"/>
      <c r="E516" s="9"/>
      <c r="G516" s="16"/>
      <c r="I516" s="9"/>
      <c r="K516" s="16"/>
      <c r="M516" s="9"/>
      <c r="O516" s="16"/>
      <c r="Q516" s="7"/>
      <c r="R516" s="25"/>
      <c r="S516" s="28"/>
      <c r="U516" s="28"/>
      <c r="W516" s="14"/>
      <c r="Y516" s="14"/>
      <c r="Z516" s="55"/>
      <c r="AA516" t="b">
        <v>0</v>
      </c>
      <c r="AC516" t="b">
        <v>0</v>
      </c>
      <c r="AE516" t="b">
        <v>0</v>
      </c>
      <c r="AG516" t="b">
        <v>0</v>
      </c>
      <c r="AJ516" s="14"/>
      <c r="AL516" s="14"/>
    </row>
    <row r="517">
      <c r="A517" s="15"/>
      <c r="B517" s="7"/>
      <c r="C517" s="16"/>
      <c r="E517" s="9"/>
      <c r="G517" s="16"/>
      <c r="I517" s="9"/>
      <c r="K517" s="16"/>
      <c r="M517" s="9"/>
      <c r="O517" s="16"/>
      <c r="Q517" s="7"/>
      <c r="R517" s="25"/>
      <c r="S517" s="28"/>
      <c r="U517" s="28"/>
      <c r="W517" s="14"/>
      <c r="Y517" s="14"/>
      <c r="Z517" s="55"/>
      <c r="AA517" t="b">
        <v>0</v>
      </c>
      <c r="AC517" t="b">
        <v>0</v>
      </c>
      <c r="AE517" t="b">
        <v>0</v>
      </c>
      <c r="AG517" t="b">
        <v>0</v>
      </c>
      <c r="AJ517" s="14"/>
      <c r="AL517" s="14"/>
    </row>
    <row r="518">
      <c r="A518" s="15"/>
      <c r="B518" s="7"/>
      <c r="C518" s="16"/>
      <c r="E518" s="9"/>
      <c r="G518" s="16"/>
      <c r="I518" s="9"/>
      <c r="K518" s="16"/>
      <c r="M518" s="9"/>
      <c r="O518" s="16"/>
      <c r="Q518" s="7"/>
      <c r="R518" s="25"/>
      <c r="S518" s="28"/>
      <c r="U518" s="28"/>
      <c r="W518" s="14"/>
      <c r="Y518" s="14"/>
      <c r="Z518" s="55"/>
      <c r="AA518" t="b">
        <v>0</v>
      </c>
      <c r="AC518" t="b">
        <v>0</v>
      </c>
      <c r="AE518" t="b">
        <v>0</v>
      </c>
      <c r="AG518" t="b">
        <v>0</v>
      </c>
      <c r="AJ518" s="14"/>
      <c r="AL518" s="14"/>
    </row>
    <row r="519">
      <c r="A519" s="15"/>
      <c r="B519" s="7"/>
      <c r="C519" s="16"/>
      <c r="E519" s="9"/>
      <c r="G519" s="16"/>
      <c r="I519" s="9"/>
      <c r="K519" s="16"/>
      <c r="M519" s="9"/>
      <c r="O519" s="16"/>
      <c r="Q519" s="7"/>
      <c r="R519" s="25"/>
      <c r="S519" s="28"/>
      <c r="U519" s="28"/>
      <c r="W519" s="14"/>
      <c r="Y519" s="14"/>
      <c r="Z519" s="55"/>
      <c r="AA519" t="b">
        <v>0</v>
      </c>
      <c r="AC519" t="b">
        <v>0</v>
      </c>
      <c r="AE519" t="b">
        <v>0</v>
      </c>
      <c r="AG519" t="b">
        <v>0</v>
      </c>
      <c r="AJ519" s="14"/>
      <c r="AL519" s="14"/>
    </row>
    <row r="520">
      <c r="A520" s="15"/>
      <c r="B520" s="7"/>
      <c r="C520" s="16"/>
      <c r="E520" s="9"/>
      <c r="G520" s="16"/>
      <c r="I520" s="9"/>
      <c r="K520" s="16"/>
      <c r="M520" s="9"/>
      <c r="O520" s="16"/>
      <c r="Q520" s="7"/>
      <c r="R520" s="25"/>
      <c r="S520" s="28"/>
      <c r="U520" s="28"/>
      <c r="W520" s="14"/>
      <c r="Y520" s="14"/>
      <c r="Z520" s="55"/>
      <c r="AA520" t="b">
        <v>0</v>
      </c>
      <c r="AC520" t="b">
        <v>0</v>
      </c>
      <c r="AE520" t="b">
        <v>0</v>
      </c>
      <c r="AG520" t="b">
        <v>0</v>
      </c>
      <c r="AJ520" s="14"/>
      <c r="AL520" s="14"/>
    </row>
    <row r="521">
      <c r="A521" s="15"/>
      <c r="B521" s="7"/>
      <c r="C521" s="16"/>
      <c r="E521" s="9"/>
      <c r="G521" s="16"/>
      <c r="I521" s="9"/>
      <c r="K521" s="16"/>
      <c r="M521" s="9"/>
      <c r="O521" s="16"/>
      <c r="Q521" s="7"/>
      <c r="R521" s="25"/>
      <c r="S521" s="28"/>
      <c r="U521" s="28"/>
      <c r="W521" s="14"/>
      <c r="Y521" s="14"/>
      <c r="Z521" s="55"/>
      <c r="AA521" t="b">
        <v>0</v>
      </c>
      <c r="AC521" t="b">
        <v>0</v>
      </c>
      <c r="AE521" t="b">
        <v>0</v>
      </c>
      <c r="AG521" t="b">
        <v>0</v>
      </c>
      <c r="AJ521" s="14"/>
      <c r="AL521" s="14"/>
    </row>
    <row r="522">
      <c r="A522" s="15"/>
      <c r="B522" s="7"/>
      <c r="C522" s="16"/>
      <c r="E522" s="9"/>
      <c r="G522" s="16"/>
      <c r="I522" s="9"/>
      <c r="K522" s="16"/>
      <c r="M522" s="9"/>
      <c r="O522" s="16"/>
      <c r="Q522" s="7"/>
      <c r="R522" s="25"/>
      <c r="S522" s="28"/>
      <c r="U522" s="28"/>
      <c r="W522" s="14"/>
      <c r="Y522" s="14"/>
      <c r="Z522" s="55"/>
      <c r="AA522" t="b">
        <v>0</v>
      </c>
      <c r="AC522" t="b">
        <v>0</v>
      </c>
      <c r="AE522" t="b">
        <v>0</v>
      </c>
      <c r="AG522" t="b">
        <v>0</v>
      </c>
      <c r="AJ522" s="14"/>
      <c r="AL522" s="14"/>
    </row>
    <row r="523">
      <c r="A523" s="15"/>
      <c r="B523" s="7"/>
      <c r="C523" s="16"/>
      <c r="E523" s="9"/>
      <c r="G523" s="16"/>
      <c r="I523" s="9"/>
      <c r="K523" s="16"/>
      <c r="M523" s="9"/>
      <c r="O523" s="16"/>
      <c r="Q523" s="7"/>
      <c r="R523" s="25"/>
      <c r="S523" s="28"/>
      <c r="U523" s="28"/>
      <c r="W523" s="14"/>
      <c r="Y523" s="14"/>
      <c r="Z523" s="55"/>
      <c r="AA523" t="b">
        <v>0</v>
      </c>
      <c r="AC523" t="b">
        <v>0</v>
      </c>
      <c r="AE523" t="b">
        <v>0</v>
      </c>
      <c r="AG523" t="b">
        <v>0</v>
      </c>
      <c r="AJ523" s="14"/>
      <c r="AL523" s="14"/>
    </row>
    <row r="524">
      <c r="A524" s="15"/>
      <c r="B524" s="7"/>
      <c r="C524" s="16"/>
      <c r="E524" s="9"/>
      <c r="G524" s="16"/>
      <c r="I524" s="9"/>
      <c r="K524" s="16"/>
      <c r="M524" s="9"/>
      <c r="O524" s="16"/>
      <c r="Q524" s="7"/>
      <c r="R524" s="25"/>
      <c r="S524" s="28"/>
      <c r="U524" s="28"/>
      <c r="W524" s="14"/>
      <c r="Y524" s="14"/>
      <c r="Z524" s="55"/>
      <c r="AA524" t="b">
        <v>0</v>
      </c>
      <c r="AC524" t="b">
        <v>0</v>
      </c>
      <c r="AE524" t="b">
        <v>0</v>
      </c>
      <c r="AG524" t="b">
        <v>0</v>
      </c>
      <c r="AJ524" s="14"/>
      <c r="AL524" s="14"/>
    </row>
    <row r="525">
      <c r="A525" s="15"/>
      <c r="B525" s="7"/>
      <c r="C525" s="16"/>
      <c r="E525" s="9"/>
      <c r="G525" s="16"/>
      <c r="I525" s="9"/>
      <c r="K525" s="16"/>
      <c r="M525" s="9"/>
      <c r="O525" s="16"/>
      <c r="Q525" s="7"/>
      <c r="R525" s="25"/>
      <c r="S525" s="28"/>
      <c r="U525" s="28"/>
      <c r="W525" s="14"/>
      <c r="Y525" s="14"/>
      <c r="Z525" s="55"/>
      <c r="AA525" t="b">
        <v>0</v>
      </c>
      <c r="AC525" t="b">
        <v>0</v>
      </c>
      <c r="AE525" t="b">
        <v>0</v>
      </c>
      <c r="AG525" t="b">
        <v>0</v>
      </c>
      <c r="AJ525" s="14"/>
      <c r="AL525" s="14"/>
    </row>
    <row r="526">
      <c r="A526" s="15"/>
      <c r="B526" s="7"/>
      <c r="C526" s="16"/>
      <c r="E526" s="9"/>
      <c r="G526" s="16"/>
      <c r="I526" s="9"/>
      <c r="K526" s="16"/>
      <c r="M526" s="9"/>
      <c r="O526" s="16"/>
      <c r="Q526" s="7"/>
      <c r="R526" s="25"/>
      <c r="S526" s="28"/>
      <c r="U526" s="28"/>
      <c r="W526" s="14"/>
      <c r="Y526" s="14"/>
      <c r="Z526" s="55"/>
      <c r="AA526" t="b">
        <v>0</v>
      </c>
      <c r="AC526" t="b">
        <v>0</v>
      </c>
      <c r="AE526" t="b">
        <v>0</v>
      </c>
      <c r="AG526" t="b">
        <v>0</v>
      </c>
      <c r="AJ526" s="14"/>
      <c r="AL526" s="14"/>
    </row>
    <row r="527">
      <c r="A527" s="15"/>
      <c r="B527" s="7"/>
      <c r="C527" s="16"/>
      <c r="E527" s="9"/>
      <c r="G527" s="16"/>
      <c r="I527" s="9"/>
      <c r="K527" s="16"/>
      <c r="M527" s="9"/>
      <c r="O527" s="16"/>
      <c r="Q527" s="7"/>
      <c r="R527" s="25"/>
      <c r="S527" s="28"/>
      <c r="U527" s="28"/>
      <c r="W527" s="14"/>
      <c r="Y527" s="14"/>
      <c r="Z527" s="55"/>
      <c r="AA527" t="b">
        <v>0</v>
      </c>
      <c r="AC527" t="b">
        <v>0</v>
      </c>
      <c r="AE527" t="b">
        <v>0</v>
      </c>
      <c r="AG527" t="b">
        <v>0</v>
      </c>
      <c r="AJ527" s="14"/>
      <c r="AL527" s="14"/>
    </row>
    <row r="528">
      <c r="A528" s="15"/>
      <c r="B528" s="7"/>
      <c r="C528" s="16"/>
      <c r="E528" s="9"/>
      <c r="G528" s="16"/>
      <c r="I528" s="9"/>
      <c r="K528" s="16"/>
      <c r="M528" s="9"/>
      <c r="O528" s="16"/>
      <c r="Q528" s="7"/>
      <c r="R528" s="25"/>
      <c r="S528" s="28"/>
      <c r="U528" s="28"/>
      <c r="W528" s="14"/>
      <c r="Y528" s="14"/>
      <c r="Z528" s="55"/>
      <c r="AA528" t="b">
        <v>0</v>
      </c>
      <c r="AC528" t="b">
        <v>0</v>
      </c>
      <c r="AE528" t="b">
        <v>0</v>
      </c>
      <c r="AG528" t="b">
        <v>0</v>
      </c>
      <c r="AJ528" s="14"/>
      <c r="AL528" s="14"/>
    </row>
    <row r="529">
      <c r="A529" s="15"/>
      <c r="B529" s="7"/>
      <c r="C529" s="16"/>
      <c r="E529" s="9"/>
      <c r="G529" s="16"/>
      <c r="I529" s="9"/>
      <c r="K529" s="16"/>
      <c r="M529" s="9"/>
      <c r="O529" s="16"/>
      <c r="Q529" s="7"/>
      <c r="R529" s="25"/>
      <c r="S529" s="28"/>
      <c r="U529" s="28"/>
      <c r="W529" s="14"/>
      <c r="Y529" s="14"/>
      <c r="Z529" s="55"/>
      <c r="AA529" t="b">
        <v>0</v>
      </c>
      <c r="AC529" t="b">
        <v>0</v>
      </c>
      <c r="AE529" t="b">
        <v>0</v>
      </c>
      <c r="AG529" t="b">
        <v>0</v>
      </c>
      <c r="AJ529" s="14"/>
      <c r="AL529" s="14"/>
    </row>
    <row r="530">
      <c r="A530" s="15"/>
      <c r="B530" s="7"/>
      <c r="C530" s="16"/>
      <c r="E530" s="9"/>
      <c r="G530" s="16"/>
      <c r="I530" s="9"/>
      <c r="K530" s="16"/>
      <c r="M530" s="9"/>
      <c r="O530" s="16"/>
      <c r="Q530" s="7"/>
      <c r="R530" s="25"/>
      <c r="S530" s="28"/>
      <c r="U530" s="28"/>
      <c r="W530" s="14"/>
      <c r="Y530" s="14"/>
      <c r="Z530" s="55"/>
      <c r="AA530" t="b">
        <v>0</v>
      </c>
      <c r="AC530" t="b">
        <v>0</v>
      </c>
      <c r="AE530" t="b">
        <v>0</v>
      </c>
      <c r="AG530" t="b">
        <v>0</v>
      </c>
      <c r="AJ530" s="14"/>
      <c r="AL530" s="14"/>
    </row>
    <row r="531">
      <c r="A531" s="15"/>
      <c r="B531" s="7"/>
      <c r="C531" s="16"/>
      <c r="E531" s="9"/>
      <c r="G531" s="16"/>
      <c r="I531" s="9"/>
      <c r="K531" s="16"/>
      <c r="M531" s="9"/>
      <c r="O531" s="16"/>
      <c r="Q531" s="7"/>
      <c r="R531" s="25"/>
      <c r="S531" s="28"/>
      <c r="U531" s="28"/>
      <c r="W531" s="14"/>
      <c r="Y531" s="14"/>
      <c r="Z531" s="55"/>
      <c r="AA531" t="b">
        <v>0</v>
      </c>
      <c r="AC531" t="b">
        <v>0</v>
      </c>
      <c r="AE531" t="b">
        <v>0</v>
      </c>
      <c r="AG531" t="b">
        <v>0</v>
      </c>
      <c r="AJ531" s="14"/>
      <c r="AL531" s="14"/>
    </row>
    <row r="532">
      <c r="A532" s="15"/>
      <c r="B532" s="7"/>
      <c r="C532" s="16"/>
      <c r="E532" s="9"/>
      <c r="G532" s="16"/>
      <c r="I532" s="9"/>
      <c r="K532" s="16"/>
      <c r="M532" s="9"/>
      <c r="O532" s="16"/>
      <c r="Q532" s="7"/>
      <c r="R532" s="25"/>
      <c r="S532" s="28"/>
      <c r="U532" s="28"/>
      <c r="W532" s="14"/>
      <c r="Y532" s="14"/>
      <c r="Z532" s="55"/>
      <c r="AA532" t="b">
        <v>0</v>
      </c>
      <c r="AC532" t="b">
        <v>0</v>
      </c>
      <c r="AE532" t="b">
        <v>0</v>
      </c>
      <c r="AG532" t="b">
        <v>0</v>
      </c>
      <c r="AJ532" s="14"/>
      <c r="AL532" s="14"/>
    </row>
    <row r="533">
      <c r="A533" s="15"/>
      <c r="B533" s="7"/>
      <c r="C533" s="16"/>
      <c r="E533" s="9"/>
      <c r="G533" s="16"/>
      <c r="I533" s="9"/>
      <c r="K533" s="16"/>
      <c r="M533" s="9"/>
      <c r="O533" s="16"/>
      <c r="Q533" s="7"/>
      <c r="R533" s="25"/>
      <c r="S533" s="28"/>
      <c r="U533" s="28"/>
      <c r="W533" s="14"/>
      <c r="Y533" s="14"/>
      <c r="Z533" s="55"/>
      <c r="AA533" t="b">
        <v>0</v>
      </c>
      <c r="AC533" t="b">
        <v>0</v>
      </c>
      <c r="AE533" t="b">
        <v>0</v>
      </c>
      <c r="AG533" t="b">
        <v>0</v>
      </c>
      <c r="AJ533" s="14"/>
      <c r="AL533" s="14"/>
    </row>
    <row r="534">
      <c r="A534" s="15"/>
      <c r="B534" s="7"/>
      <c r="C534" s="16"/>
      <c r="E534" s="9"/>
      <c r="G534" s="16"/>
      <c r="I534" s="9"/>
      <c r="K534" s="16"/>
      <c r="M534" s="9"/>
      <c r="O534" s="16"/>
      <c r="Q534" s="7"/>
      <c r="R534" s="25"/>
      <c r="S534" s="28"/>
      <c r="U534" s="28"/>
      <c r="W534" s="14"/>
      <c r="Y534" s="14"/>
      <c r="Z534" s="55"/>
      <c r="AA534" t="b">
        <v>0</v>
      </c>
      <c r="AC534" t="b">
        <v>0</v>
      </c>
      <c r="AE534" t="b">
        <v>0</v>
      </c>
      <c r="AG534" t="b">
        <v>0</v>
      </c>
      <c r="AJ534" s="14"/>
      <c r="AL534" s="14"/>
    </row>
    <row r="535">
      <c r="A535" s="15"/>
      <c r="B535" s="7"/>
      <c r="C535" s="16"/>
      <c r="E535" s="9"/>
      <c r="G535" s="16"/>
      <c r="I535" s="9"/>
      <c r="K535" s="16"/>
      <c r="M535" s="9"/>
      <c r="O535" s="16"/>
      <c r="Q535" s="7"/>
      <c r="R535" s="25"/>
      <c r="S535" s="28"/>
      <c r="U535" s="28"/>
      <c r="W535" s="14"/>
      <c r="Y535" s="14"/>
      <c r="Z535" s="55"/>
      <c r="AA535" t="b">
        <v>0</v>
      </c>
      <c r="AC535" t="b">
        <v>0</v>
      </c>
      <c r="AE535" t="b">
        <v>0</v>
      </c>
      <c r="AG535" t="b">
        <v>0</v>
      </c>
      <c r="AJ535" s="14"/>
      <c r="AL535" s="14"/>
    </row>
    <row r="536">
      <c r="A536" s="15"/>
      <c r="B536" s="7"/>
      <c r="C536" s="16"/>
      <c r="E536" s="9"/>
      <c r="G536" s="16"/>
      <c r="I536" s="9"/>
      <c r="K536" s="16"/>
      <c r="M536" s="9"/>
      <c r="O536" s="16"/>
      <c r="Q536" s="7"/>
      <c r="R536" s="25"/>
      <c r="S536" s="28"/>
      <c r="U536" s="28"/>
      <c r="W536" s="14"/>
      <c r="Y536" s="14"/>
      <c r="Z536" s="55"/>
      <c r="AA536" t="b">
        <v>0</v>
      </c>
      <c r="AC536" t="b">
        <v>0</v>
      </c>
      <c r="AE536" t="b">
        <v>0</v>
      </c>
      <c r="AG536" t="b">
        <v>0</v>
      </c>
      <c r="AJ536" s="14"/>
      <c r="AL536" s="14"/>
    </row>
    <row r="537">
      <c r="A537" s="15"/>
      <c r="B537" s="7"/>
      <c r="C537" s="16"/>
      <c r="E537" s="9"/>
      <c r="G537" s="16"/>
      <c r="I537" s="9"/>
      <c r="K537" s="16"/>
      <c r="M537" s="9"/>
      <c r="O537" s="16"/>
      <c r="Q537" s="7"/>
      <c r="R537" s="25"/>
      <c r="S537" s="28"/>
      <c r="U537" s="28"/>
      <c r="W537" s="14"/>
      <c r="Y537" s="14"/>
      <c r="Z537" s="55"/>
      <c r="AA537" t="b">
        <v>0</v>
      </c>
      <c r="AC537" t="b">
        <v>0</v>
      </c>
      <c r="AE537" t="b">
        <v>0</v>
      </c>
      <c r="AG537" t="b">
        <v>0</v>
      </c>
      <c r="AJ537" s="14"/>
      <c r="AL537" s="14"/>
    </row>
    <row r="538">
      <c r="A538" s="15"/>
      <c r="B538" s="7"/>
      <c r="C538" s="16"/>
      <c r="E538" s="9"/>
      <c r="G538" s="16"/>
      <c r="I538" s="9"/>
      <c r="K538" s="16"/>
      <c r="M538" s="9"/>
      <c r="O538" s="16"/>
      <c r="Q538" s="7"/>
      <c r="R538" s="25"/>
      <c r="S538" s="28"/>
      <c r="U538" s="28"/>
      <c r="W538" s="14"/>
      <c r="Y538" s="14"/>
      <c r="Z538" s="55"/>
      <c r="AA538" t="b">
        <v>0</v>
      </c>
      <c r="AC538" t="b">
        <v>0</v>
      </c>
      <c r="AE538" t="b">
        <v>0</v>
      </c>
      <c r="AG538" t="b">
        <v>0</v>
      </c>
      <c r="AJ538" s="14"/>
      <c r="AL538" s="14"/>
    </row>
    <row r="539">
      <c r="A539" s="15"/>
      <c r="B539" s="7"/>
      <c r="C539" s="16"/>
      <c r="E539" s="9"/>
      <c r="G539" s="16"/>
      <c r="I539" s="9"/>
      <c r="K539" s="16"/>
      <c r="M539" s="9"/>
      <c r="O539" s="16"/>
      <c r="Q539" s="7"/>
      <c r="R539" s="25"/>
      <c r="S539" s="28"/>
      <c r="U539" s="28"/>
      <c r="W539" s="14"/>
      <c r="Y539" s="14"/>
      <c r="Z539" s="55"/>
      <c r="AA539" t="b">
        <v>0</v>
      </c>
      <c r="AC539" t="b">
        <v>0</v>
      </c>
      <c r="AE539" t="b">
        <v>0</v>
      </c>
      <c r="AG539" t="b">
        <v>0</v>
      </c>
      <c r="AJ539" s="14"/>
      <c r="AL539" s="14"/>
    </row>
    <row r="540">
      <c r="A540" s="15"/>
      <c r="B540" s="7"/>
      <c r="C540" s="16"/>
      <c r="E540" s="9"/>
      <c r="G540" s="16"/>
      <c r="I540" s="9"/>
      <c r="K540" s="16"/>
      <c r="M540" s="9"/>
      <c r="O540" s="16"/>
      <c r="Q540" s="7"/>
      <c r="R540" s="25"/>
      <c r="S540" s="28"/>
      <c r="U540" s="28"/>
      <c r="W540" s="14"/>
      <c r="Y540" s="14"/>
      <c r="Z540" s="55"/>
      <c r="AA540" t="b">
        <v>0</v>
      </c>
      <c r="AC540" t="b">
        <v>0</v>
      </c>
      <c r="AE540" t="b">
        <v>0</v>
      </c>
      <c r="AG540" t="b">
        <v>0</v>
      </c>
      <c r="AJ540" s="14"/>
      <c r="AL540" s="14"/>
    </row>
    <row r="541">
      <c r="A541" s="15"/>
      <c r="B541" s="7"/>
      <c r="C541" s="16"/>
      <c r="E541" s="9"/>
      <c r="G541" s="16"/>
      <c r="I541" s="9"/>
      <c r="K541" s="16"/>
      <c r="M541" s="9"/>
      <c r="O541" s="16"/>
      <c r="Q541" s="7"/>
      <c r="R541" s="25"/>
      <c r="S541" s="28"/>
      <c r="U541" s="28"/>
      <c r="W541" s="14"/>
      <c r="Y541" s="14"/>
      <c r="Z541" s="55"/>
      <c r="AA541" t="b">
        <v>0</v>
      </c>
      <c r="AC541" t="b">
        <v>0</v>
      </c>
      <c r="AE541" t="b">
        <v>0</v>
      </c>
      <c r="AG541" t="b">
        <v>0</v>
      </c>
      <c r="AJ541" s="14"/>
      <c r="AL541" s="14"/>
    </row>
    <row r="542">
      <c r="A542" s="15"/>
      <c r="B542" s="7"/>
      <c r="C542" s="16"/>
      <c r="E542" s="9"/>
      <c r="G542" s="16"/>
      <c r="I542" s="9"/>
      <c r="K542" s="16"/>
      <c r="M542" s="9"/>
      <c r="O542" s="16"/>
      <c r="Q542" s="7"/>
      <c r="R542" s="25"/>
      <c r="S542" s="28"/>
      <c r="U542" s="28"/>
      <c r="W542" s="14"/>
      <c r="Y542" s="14"/>
      <c r="Z542" s="55"/>
      <c r="AA542" t="b">
        <v>0</v>
      </c>
      <c r="AC542" t="b">
        <v>0</v>
      </c>
      <c r="AE542" t="b">
        <v>0</v>
      </c>
      <c r="AG542" t="b">
        <v>0</v>
      </c>
      <c r="AJ542" s="14"/>
      <c r="AL542" s="14"/>
    </row>
    <row r="543">
      <c r="A543" s="15"/>
      <c r="B543" s="7"/>
      <c r="C543" s="16"/>
      <c r="E543" s="9"/>
      <c r="G543" s="16"/>
      <c r="I543" s="9"/>
      <c r="K543" s="16"/>
      <c r="M543" s="9"/>
      <c r="O543" s="16"/>
      <c r="Q543" s="7"/>
      <c r="R543" s="25"/>
      <c r="S543" s="28"/>
      <c r="U543" s="28"/>
      <c r="W543" s="14"/>
      <c r="Y543" s="14"/>
      <c r="Z543" s="55"/>
      <c r="AA543" t="b">
        <v>0</v>
      </c>
      <c r="AC543" t="b">
        <v>0</v>
      </c>
      <c r="AE543" t="b">
        <v>0</v>
      </c>
      <c r="AG543" t="b">
        <v>0</v>
      </c>
      <c r="AJ543" s="14"/>
      <c r="AL543" s="14"/>
    </row>
    <row r="544">
      <c r="A544" s="15"/>
      <c r="B544" s="7"/>
      <c r="C544" s="16"/>
      <c r="E544" s="9"/>
      <c r="G544" s="16"/>
      <c r="I544" s="9"/>
      <c r="K544" s="16"/>
      <c r="M544" s="9"/>
      <c r="O544" s="16"/>
      <c r="Q544" s="7"/>
      <c r="R544" s="25"/>
      <c r="S544" s="28"/>
      <c r="U544" s="28"/>
      <c r="W544" s="14"/>
      <c r="Y544" s="14"/>
      <c r="Z544" s="55"/>
      <c r="AA544" t="b">
        <v>0</v>
      </c>
      <c r="AC544" t="b">
        <v>0</v>
      </c>
      <c r="AE544" t="b">
        <v>0</v>
      </c>
      <c r="AG544" t="b">
        <v>0</v>
      </c>
      <c r="AJ544" s="14"/>
      <c r="AL544" s="14"/>
    </row>
    <row r="545">
      <c r="A545" s="15"/>
      <c r="B545" s="7"/>
      <c r="C545" s="16"/>
      <c r="E545" s="9"/>
      <c r="G545" s="16"/>
      <c r="I545" s="9"/>
      <c r="K545" s="16"/>
      <c r="M545" s="9"/>
      <c r="O545" s="16"/>
      <c r="Q545" s="7"/>
      <c r="R545" s="25"/>
      <c r="S545" s="28"/>
      <c r="U545" s="28"/>
      <c r="W545" s="14"/>
      <c r="Y545" s="14"/>
      <c r="Z545" s="55"/>
      <c r="AA545" t="b">
        <v>0</v>
      </c>
      <c r="AC545" t="b">
        <v>0</v>
      </c>
      <c r="AE545" t="b">
        <v>0</v>
      </c>
      <c r="AG545" t="b">
        <v>0</v>
      </c>
      <c r="AJ545" s="14"/>
      <c r="AL545" s="14"/>
    </row>
    <row r="546">
      <c r="A546" s="15"/>
      <c r="B546" s="7"/>
      <c r="C546" s="16"/>
      <c r="E546" s="9"/>
      <c r="G546" s="16"/>
      <c r="I546" s="9"/>
      <c r="K546" s="16"/>
      <c r="M546" s="9"/>
      <c r="O546" s="16"/>
      <c r="Q546" s="7"/>
      <c r="R546" s="25"/>
      <c r="S546" s="28"/>
      <c r="U546" s="28"/>
      <c r="W546" s="14"/>
      <c r="Y546" s="14"/>
      <c r="Z546" s="55"/>
      <c r="AA546" t="b">
        <v>0</v>
      </c>
      <c r="AC546" t="b">
        <v>0</v>
      </c>
      <c r="AE546" t="b">
        <v>0</v>
      </c>
      <c r="AG546" t="b">
        <v>0</v>
      </c>
      <c r="AJ546" s="14"/>
      <c r="AL546" s="14"/>
    </row>
    <row r="547">
      <c r="A547" s="15"/>
      <c r="B547" s="7"/>
      <c r="C547" s="16"/>
      <c r="E547" s="9"/>
      <c r="G547" s="16"/>
      <c r="I547" s="9"/>
      <c r="K547" s="16"/>
      <c r="M547" s="9"/>
      <c r="O547" s="16"/>
      <c r="Q547" s="7"/>
      <c r="R547" s="25"/>
      <c r="S547" s="28"/>
      <c r="U547" s="28"/>
      <c r="W547" s="14"/>
      <c r="Y547" s="14"/>
      <c r="Z547" s="55"/>
      <c r="AA547" t="b">
        <v>0</v>
      </c>
      <c r="AC547" t="b">
        <v>0</v>
      </c>
      <c r="AE547" t="b">
        <v>0</v>
      </c>
      <c r="AG547" t="b">
        <v>0</v>
      </c>
      <c r="AJ547" s="14"/>
      <c r="AL547" s="14"/>
    </row>
    <row r="548">
      <c r="A548" s="15"/>
      <c r="B548" s="7"/>
      <c r="C548" s="16"/>
      <c r="E548" s="9"/>
      <c r="G548" s="16"/>
      <c r="I548" s="9"/>
      <c r="K548" s="16"/>
      <c r="M548" s="9"/>
      <c r="O548" s="16"/>
      <c r="Q548" s="7"/>
      <c r="R548" s="25"/>
      <c r="S548" s="28"/>
      <c r="U548" s="28"/>
      <c r="W548" s="14"/>
      <c r="Y548" s="14"/>
      <c r="Z548" s="55"/>
      <c r="AA548" t="b">
        <v>0</v>
      </c>
      <c r="AC548" t="b">
        <v>0</v>
      </c>
      <c r="AE548" t="b">
        <v>0</v>
      </c>
      <c r="AG548" t="b">
        <v>0</v>
      </c>
      <c r="AJ548" s="14"/>
      <c r="AL548" s="14"/>
    </row>
    <row r="549">
      <c r="A549" s="15"/>
      <c r="B549" s="7"/>
      <c r="C549" s="16"/>
      <c r="E549" s="9"/>
      <c r="G549" s="16"/>
      <c r="I549" s="9"/>
      <c r="K549" s="16"/>
      <c r="M549" s="9"/>
      <c r="O549" s="16"/>
      <c r="Q549" s="7"/>
      <c r="R549" s="25"/>
      <c r="S549" s="28"/>
      <c r="U549" s="28"/>
      <c r="W549" s="14"/>
      <c r="Y549" s="14"/>
      <c r="Z549" s="55"/>
      <c r="AA549" t="b">
        <v>0</v>
      </c>
      <c r="AC549" t="b">
        <v>0</v>
      </c>
      <c r="AE549" t="b">
        <v>0</v>
      </c>
      <c r="AG549" t="b">
        <v>0</v>
      </c>
      <c r="AJ549" s="14"/>
      <c r="AL549" s="14"/>
    </row>
    <row r="550">
      <c r="A550" s="15"/>
      <c r="B550" s="7"/>
      <c r="C550" s="16"/>
      <c r="E550" s="9"/>
      <c r="G550" s="16"/>
      <c r="I550" s="9"/>
      <c r="K550" s="16"/>
      <c r="M550" s="9"/>
      <c r="O550" s="16"/>
      <c r="Q550" s="7"/>
      <c r="R550" s="25"/>
      <c r="S550" s="28"/>
      <c r="U550" s="28"/>
      <c r="W550" s="14"/>
      <c r="Y550" s="14"/>
      <c r="Z550" s="55"/>
      <c r="AA550" t="b">
        <v>0</v>
      </c>
      <c r="AC550" t="b">
        <v>0</v>
      </c>
      <c r="AE550" t="b">
        <v>0</v>
      </c>
      <c r="AG550" t="b">
        <v>0</v>
      </c>
      <c r="AJ550" s="14"/>
      <c r="AL550" s="14"/>
    </row>
    <row r="551">
      <c r="A551" s="15"/>
      <c r="B551" s="7"/>
      <c r="C551" s="16"/>
      <c r="E551" s="9"/>
      <c r="G551" s="16"/>
      <c r="I551" s="9"/>
      <c r="K551" s="16"/>
      <c r="M551" s="9"/>
      <c r="O551" s="16"/>
      <c r="Q551" s="7"/>
      <c r="R551" s="25"/>
      <c r="S551" s="28"/>
      <c r="U551" s="28"/>
      <c r="W551" s="14"/>
      <c r="Y551" s="14"/>
      <c r="Z551" s="55"/>
      <c r="AA551" t="b">
        <v>0</v>
      </c>
      <c r="AC551" t="b">
        <v>0</v>
      </c>
      <c r="AE551" t="b">
        <v>0</v>
      </c>
      <c r="AG551" t="b">
        <v>0</v>
      </c>
      <c r="AJ551" s="14"/>
      <c r="AL551" s="14"/>
    </row>
    <row r="552">
      <c r="A552" s="15"/>
      <c r="B552" s="7"/>
      <c r="C552" s="16"/>
      <c r="E552" s="9"/>
      <c r="G552" s="16"/>
      <c r="I552" s="9"/>
      <c r="K552" s="16"/>
      <c r="M552" s="9"/>
      <c r="O552" s="16"/>
      <c r="Q552" s="7"/>
      <c r="R552" s="25"/>
      <c r="S552" s="28"/>
      <c r="U552" s="28"/>
      <c r="W552" s="14"/>
      <c r="Y552" s="14"/>
      <c r="Z552" s="55"/>
      <c r="AA552" t="b">
        <v>0</v>
      </c>
      <c r="AC552" t="b">
        <v>0</v>
      </c>
      <c r="AE552" t="b">
        <v>0</v>
      </c>
      <c r="AG552" t="b">
        <v>0</v>
      </c>
      <c r="AJ552" s="14"/>
      <c r="AL552" s="14"/>
    </row>
    <row r="553">
      <c r="A553" s="15"/>
      <c r="B553" s="7"/>
      <c r="C553" s="16"/>
      <c r="E553" s="9"/>
      <c r="G553" s="16"/>
      <c r="I553" s="9"/>
      <c r="K553" s="16"/>
      <c r="M553" s="9"/>
      <c r="O553" s="16"/>
      <c r="Q553" s="7"/>
      <c r="R553" s="25"/>
      <c r="S553" s="28"/>
      <c r="U553" s="28"/>
      <c r="W553" s="14"/>
      <c r="Y553" s="14"/>
      <c r="Z553" s="55"/>
      <c r="AA553" t="b">
        <v>0</v>
      </c>
      <c r="AC553" t="b">
        <v>0</v>
      </c>
      <c r="AE553" t="b">
        <v>0</v>
      </c>
      <c r="AG553" t="b">
        <v>0</v>
      </c>
      <c r="AJ553" s="14"/>
      <c r="AL553" s="14"/>
    </row>
    <row r="554">
      <c r="A554" s="15"/>
      <c r="B554" s="7"/>
      <c r="C554" s="16"/>
      <c r="E554" s="9"/>
      <c r="G554" s="16"/>
      <c r="I554" s="9"/>
      <c r="K554" s="16"/>
      <c r="M554" s="9"/>
      <c r="O554" s="16"/>
      <c r="Q554" s="7"/>
      <c r="R554" s="25"/>
      <c r="S554" s="28"/>
      <c r="U554" s="28"/>
      <c r="W554" s="14"/>
      <c r="Y554" s="14"/>
      <c r="Z554" s="55"/>
      <c r="AA554" t="b">
        <v>0</v>
      </c>
      <c r="AC554" t="b">
        <v>0</v>
      </c>
      <c r="AE554" t="b">
        <v>0</v>
      </c>
      <c r="AG554" t="b">
        <v>0</v>
      </c>
      <c r="AJ554" s="14"/>
      <c r="AL554" s="14"/>
    </row>
    <row r="555">
      <c r="A555" s="15"/>
      <c r="B555" s="7"/>
      <c r="C555" s="16"/>
      <c r="E555" s="9"/>
      <c r="G555" s="16"/>
      <c r="I555" s="9"/>
      <c r="K555" s="16"/>
      <c r="M555" s="9"/>
      <c r="O555" s="16"/>
      <c r="Q555" s="7"/>
      <c r="R555" s="25"/>
      <c r="S555" s="28"/>
      <c r="U555" s="28"/>
      <c r="W555" s="14"/>
      <c r="Y555" s="14"/>
      <c r="Z555" s="55"/>
      <c r="AA555" t="b">
        <v>0</v>
      </c>
      <c r="AC555" t="b">
        <v>0</v>
      </c>
      <c r="AE555" t="b">
        <v>0</v>
      </c>
      <c r="AG555" t="b">
        <v>0</v>
      </c>
      <c r="AJ555" s="14"/>
      <c r="AL555" s="14"/>
    </row>
    <row r="556">
      <c r="A556" s="15"/>
      <c r="B556" s="7"/>
      <c r="C556" s="16"/>
      <c r="E556" s="9"/>
      <c r="G556" s="16"/>
      <c r="I556" s="9"/>
      <c r="K556" s="16"/>
      <c r="M556" s="9"/>
      <c r="O556" s="16"/>
      <c r="Q556" s="7"/>
      <c r="R556" s="25"/>
      <c r="S556" s="28"/>
      <c r="U556" s="28"/>
      <c r="W556" s="14"/>
      <c r="Y556" s="14"/>
      <c r="Z556" s="55"/>
      <c r="AA556" t="b">
        <v>0</v>
      </c>
      <c r="AC556" t="b">
        <v>0</v>
      </c>
      <c r="AE556" t="b">
        <v>0</v>
      </c>
      <c r="AG556" t="b">
        <v>0</v>
      </c>
      <c r="AJ556" s="14"/>
      <c r="AL556" s="14"/>
    </row>
    <row r="557">
      <c r="A557" s="15"/>
      <c r="B557" s="7"/>
      <c r="C557" s="16"/>
      <c r="E557" s="9"/>
      <c r="G557" s="16"/>
      <c r="I557" s="9"/>
      <c r="K557" s="16"/>
      <c r="M557" s="9"/>
      <c r="O557" s="16"/>
      <c r="Q557" s="7"/>
      <c r="R557" s="25"/>
      <c r="S557" s="28"/>
      <c r="U557" s="28"/>
      <c r="W557" s="14"/>
      <c r="Y557" s="14"/>
      <c r="Z557" s="55"/>
      <c r="AA557" t="b">
        <v>0</v>
      </c>
      <c r="AC557" t="b">
        <v>0</v>
      </c>
      <c r="AE557" t="b">
        <v>0</v>
      </c>
      <c r="AG557" t="b">
        <v>0</v>
      </c>
      <c r="AJ557" s="14"/>
      <c r="AL557" s="14"/>
    </row>
    <row r="558">
      <c r="A558" s="15"/>
      <c r="B558" s="7"/>
      <c r="C558" s="16"/>
      <c r="E558" s="9"/>
      <c r="G558" s="16"/>
      <c r="I558" s="9"/>
      <c r="K558" s="16"/>
      <c r="M558" s="9"/>
      <c r="O558" s="16"/>
      <c r="Q558" s="7"/>
      <c r="R558" s="25"/>
      <c r="S558" s="28"/>
      <c r="U558" s="28"/>
      <c r="W558" s="14"/>
      <c r="Y558" s="14"/>
      <c r="Z558" s="55"/>
      <c r="AA558" t="b">
        <v>0</v>
      </c>
      <c r="AC558" t="b">
        <v>0</v>
      </c>
      <c r="AE558" t="b">
        <v>0</v>
      </c>
      <c r="AG558" t="b">
        <v>0</v>
      </c>
      <c r="AJ558" s="14"/>
      <c r="AL558" s="14"/>
    </row>
    <row r="559">
      <c r="A559" s="15"/>
      <c r="B559" s="7"/>
      <c r="C559" s="16"/>
      <c r="E559" s="9"/>
      <c r="G559" s="16"/>
      <c r="I559" s="9"/>
      <c r="K559" s="16"/>
      <c r="M559" s="9"/>
      <c r="O559" s="16"/>
      <c r="Q559" s="7"/>
      <c r="R559" s="25"/>
      <c r="S559" s="28"/>
      <c r="U559" s="28"/>
      <c r="W559" s="14"/>
      <c r="Y559" s="14"/>
      <c r="Z559" s="55"/>
      <c r="AA559" t="b">
        <v>0</v>
      </c>
      <c r="AC559" t="b">
        <v>0</v>
      </c>
      <c r="AE559" t="b">
        <v>0</v>
      </c>
      <c r="AG559" t="b">
        <v>0</v>
      </c>
      <c r="AJ559" s="14"/>
      <c r="AL559" s="14"/>
    </row>
    <row r="560">
      <c r="A560" s="15"/>
      <c r="B560" s="7"/>
      <c r="C560" s="16"/>
      <c r="E560" s="9"/>
      <c r="G560" s="16"/>
      <c r="I560" s="9"/>
      <c r="K560" s="16"/>
      <c r="M560" s="9"/>
      <c r="O560" s="16"/>
      <c r="Q560" s="7"/>
      <c r="R560" s="25"/>
      <c r="S560" s="28"/>
      <c r="U560" s="28"/>
      <c r="W560" s="14"/>
      <c r="Y560" s="14"/>
      <c r="Z560" s="55"/>
      <c r="AA560" t="b">
        <v>0</v>
      </c>
      <c r="AC560" t="b">
        <v>0</v>
      </c>
      <c r="AE560" t="b">
        <v>0</v>
      </c>
      <c r="AG560" t="b">
        <v>0</v>
      </c>
      <c r="AJ560" s="14"/>
      <c r="AL560" s="14"/>
    </row>
    <row r="561">
      <c r="A561" s="15"/>
      <c r="B561" s="7"/>
      <c r="C561" s="16"/>
      <c r="E561" s="9"/>
      <c r="G561" s="16"/>
      <c r="I561" s="9"/>
      <c r="K561" s="16"/>
      <c r="M561" s="9"/>
      <c r="O561" s="16"/>
      <c r="Q561" s="7"/>
      <c r="R561" s="25"/>
      <c r="S561" s="28"/>
      <c r="U561" s="28"/>
      <c r="W561" s="14"/>
      <c r="Y561" s="14"/>
      <c r="Z561" s="55"/>
      <c r="AA561" t="b">
        <v>0</v>
      </c>
      <c r="AC561" t="b">
        <v>0</v>
      </c>
      <c r="AE561" t="b">
        <v>0</v>
      </c>
      <c r="AG561" t="b">
        <v>0</v>
      </c>
      <c r="AJ561" s="14"/>
      <c r="AL561" s="14"/>
    </row>
    <row r="562">
      <c r="A562" s="15"/>
      <c r="B562" s="7"/>
      <c r="C562" s="16"/>
      <c r="E562" s="9"/>
      <c r="G562" s="16"/>
      <c r="I562" s="9"/>
      <c r="K562" s="16"/>
      <c r="M562" s="9"/>
      <c r="O562" s="16"/>
      <c r="Q562" s="7"/>
      <c r="R562" s="25"/>
      <c r="S562" s="28"/>
      <c r="U562" s="28"/>
      <c r="W562" s="14"/>
      <c r="Y562" s="14"/>
      <c r="Z562" s="55"/>
      <c r="AA562" t="b">
        <v>0</v>
      </c>
      <c r="AC562" t="b">
        <v>0</v>
      </c>
      <c r="AE562" t="b">
        <v>0</v>
      </c>
      <c r="AG562" t="b">
        <v>0</v>
      </c>
      <c r="AJ562" s="14"/>
      <c r="AL562" s="14"/>
    </row>
    <row r="563">
      <c r="A563" s="15"/>
      <c r="B563" s="7"/>
      <c r="C563" s="16"/>
      <c r="E563" s="9"/>
      <c r="G563" s="16"/>
      <c r="I563" s="9"/>
      <c r="K563" s="16"/>
      <c r="M563" s="9"/>
      <c r="O563" s="16"/>
      <c r="Q563" s="7"/>
      <c r="R563" s="25"/>
      <c r="S563" s="28"/>
      <c r="U563" s="28"/>
      <c r="W563" s="14"/>
      <c r="Y563" s="14"/>
      <c r="Z563" s="55"/>
      <c r="AA563" t="b">
        <v>0</v>
      </c>
      <c r="AC563" t="b">
        <v>0</v>
      </c>
      <c r="AE563" t="b">
        <v>0</v>
      </c>
      <c r="AG563" t="b">
        <v>0</v>
      </c>
      <c r="AJ563" s="14"/>
      <c r="AL563" s="14"/>
    </row>
    <row r="564">
      <c r="A564" s="15"/>
      <c r="B564" s="7"/>
      <c r="C564" s="16"/>
      <c r="E564" s="9"/>
      <c r="G564" s="16"/>
      <c r="I564" s="9"/>
      <c r="K564" s="16"/>
      <c r="M564" s="9"/>
      <c r="O564" s="16"/>
      <c r="Q564" s="7"/>
      <c r="R564" s="25"/>
      <c r="S564" s="28"/>
      <c r="U564" s="28"/>
      <c r="W564" s="14"/>
      <c r="Y564" s="14"/>
      <c r="Z564" s="55"/>
      <c r="AA564" t="b">
        <v>0</v>
      </c>
      <c r="AC564" t="b">
        <v>0</v>
      </c>
      <c r="AE564" t="b">
        <v>0</v>
      </c>
      <c r="AG564" t="b">
        <v>0</v>
      </c>
      <c r="AJ564" s="14"/>
      <c r="AL564" s="14"/>
    </row>
    <row r="565">
      <c r="A565" s="15"/>
      <c r="B565" s="7"/>
      <c r="C565" s="16"/>
      <c r="E565" s="9"/>
      <c r="G565" s="16"/>
      <c r="I565" s="9"/>
      <c r="K565" s="16"/>
      <c r="M565" s="9"/>
      <c r="O565" s="16"/>
      <c r="Q565" s="7"/>
      <c r="R565" s="25"/>
      <c r="S565" s="28"/>
      <c r="U565" s="28"/>
      <c r="W565" s="14"/>
      <c r="Y565" s="14"/>
      <c r="Z565" s="55"/>
      <c r="AA565" t="b">
        <v>0</v>
      </c>
      <c r="AC565" t="b">
        <v>0</v>
      </c>
      <c r="AE565" t="b">
        <v>0</v>
      </c>
      <c r="AG565" t="b">
        <v>0</v>
      </c>
      <c r="AJ565" s="14"/>
      <c r="AL565" s="14"/>
    </row>
    <row r="566">
      <c r="A566" s="15"/>
      <c r="B566" s="7"/>
      <c r="C566" s="16"/>
      <c r="E566" s="9"/>
      <c r="G566" s="16"/>
      <c r="I566" s="9"/>
      <c r="K566" s="16"/>
      <c r="M566" s="9"/>
      <c r="O566" s="16"/>
      <c r="Q566" s="7"/>
      <c r="R566" s="25"/>
      <c r="S566" s="28"/>
      <c r="U566" s="28"/>
      <c r="W566" s="14"/>
      <c r="Y566" s="14"/>
      <c r="Z566" s="55"/>
      <c r="AA566" t="b">
        <v>0</v>
      </c>
      <c r="AC566" t="b">
        <v>0</v>
      </c>
      <c r="AE566" t="b">
        <v>0</v>
      </c>
      <c r="AG566" t="b">
        <v>0</v>
      </c>
      <c r="AJ566" s="14"/>
      <c r="AL566" s="14"/>
    </row>
    <row r="567">
      <c r="A567" s="15"/>
      <c r="B567" s="7"/>
      <c r="C567" s="16"/>
      <c r="E567" s="9"/>
      <c r="G567" s="16"/>
      <c r="I567" s="9"/>
      <c r="K567" s="16"/>
      <c r="M567" s="9"/>
      <c r="O567" s="16"/>
      <c r="Q567" s="7"/>
      <c r="R567" s="25"/>
      <c r="S567" s="28"/>
      <c r="U567" s="28"/>
      <c r="W567" s="14"/>
      <c r="Y567" s="14"/>
      <c r="Z567" s="55"/>
      <c r="AA567" t="b">
        <v>0</v>
      </c>
      <c r="AC567" t="b">
        <v>0</v>
      </c>
      <c r="AE567" t="b">
        <v>0</v>
      </c>
      <c r="AG567" t="b">
        <v>0</v>
      </c>
      <c r="AJ567" s="14"/>
      <c r="AL567" s="14"/>
    </row>
    <row r="568">
      <c r="A568" s="15"/>
      <c r="B568" s="7"/>
      <c r="C568" s="16"/>
      <c r="E568" s="9"/>
      <c r="G568" s="16"/>
      <c r="I568" s="9"/>
      <c r="K568" s="16"/>
      <c r="M568" s="9"/>
      <c r="O568" s="16"/>
      <c r="Q568" s="7"/>
      <c r="R568" s="25"/>
      <c r="S568" s="28"/>
      <c r="U568" s="28"/>
      <c r="W568" s="14"/>
      <c r="Y568" s="14"/>
      <c r="Z568" s="55"/>
      <c r="AA568" t="b">
        <v>0</v>
      </c>
      <c r="AC568" t="b">
        <v>0</v>
      </c>
      <c r="AE568" t="b">
        <v>0</v>
      </c>
      <c r="AG568" t="b">
        <v>0</v>
      </c>
      <c r="AJ568" s="14"/>
      <c r="AL568" s="14"/>
    </row>
    <row r="569">
      <c r="A569" s="15"/>
      <c r="B569" s="7"/>
      <c r="C569" s="16"/>
      <c r="E569" s="9"/>
      <c r="G569" s="16"/>
      <c r="I569" s="9"/>
      <c r="K569" s="16"/>
      <c r="M569" s="9"/>
      <c r="O569" s="16"/>
      <c r="Q569" s="7"/>
      <c r="R569" s="25"/>
      <c r="S569" s="28"/>
      <c r="U569" s="28"/>
      <c r="W569" s="14"/>
      <c r="Y569" s="14"/>
      <c r="Z569" s="55"/>
      <c r="AA569" t="b">
        <v>0</v>
      </c>
      <c r="AC569" t="b">
        <v>0</v>
      </c>
      <c r="AE569" t="b">
        <v>0</v>
      </c>
      <c r="AG569" t="b">
        <v>0</v>
      </c>
      <c r="AJ569" s="14"/>
      <c r="AL569" s="14"/>
    </row>
    <row r="570">
      <c r="A570" s="15"/>
      <c r="B570" s="7"/>
      <c r="C570" s="16"/>
      <c r="E570" s="9"/>
      <c r="G570" s="16"/>
      <c r="I570" s="9"/>
      <c r="K570" s="16"/>
      <c r="M570" s="9"/>
      <c r="O570" s="16"/>
      <c r="Q570" s="7"/>
      <c r="R570" s="25"/>
      <c r="S570" s="28"/>
      <c r="U570" s="28"/>
      <c r="W570" s="14"/>
      <c r="Y570" s="14"/>
      <c r="Z570" s="55"/>
      <c r="AA570" t="b">
        <v>0</v>
      </c>
      <c r="AC570" t="b">
        <v>0</v>
      </c>
      <c r="AE570" t="b">
        <v>0</v>
      </c>
      <c r="AG570" t="b">
        <v>0</v>
      </c>
      <c r="AJ570" s="14"/>
      <c r="AL570" s="14"/>
    </row>
    <row r="571">
      <c r="A571" s="15"/>
      <c r="B571" s="7"/>
      <c r="C571" s="16"/>
      <c r="E571" s="9"/>
      <c r="G571" s="16"/>
      <c r="I571" s="9"/>
      <c r="K571" s="16"/>
      <c r="M571" s="9"/>
      <c r="O571" s="16"/>
      <c r="Q571" s="7"/>
      <c r="R571" s="25"/>
      <c r="S571" s="28"/>
      <c r="U571" s="28"/>
      <c r="W571" s="14"/>
      <c r="Y571" s="14"/>
      <c r="Z571" s="55"/>
      <c r="AA571" t="b">
        <v>0</v>
      </c>
      <c r="AC571" t="b">
        <v>0</v>
      </c>
      <c r="AE571" t="b">
        <v>0</v>
      </c>
      <c r="AG571" t="b">
        <v>0</v>
      </c>
      <c r="AJ571" s="14"/>
      <c r="AL571" s="14"/>
    </row>
    <row r="572">
      <c r="A572" s="15"/>
      <c r="B572" s="7"/>
      <c r="C572" s="16"/>
      <c r="E572" s="9"/>
      <c r="G572" s="16"/>
      <c r="I572" s="9"/>
      <c r="K572" s="16"/>
      <c r="M572" s="9"/>
      <c r="O572" s="16"/>
      <c r="Q572" s="7"/>
      <c r="R572" s="25"/>
      <c r="S572" s="28"/>
      <c r="U572" s="28"/>
      <c r="W572" s="14"/>
      <c r="Y572" s="14"/>
      <c r="Z572" s="55"/>
      <c r="AA572" t="b">
        <v>0</v>
      </c>
      <c r="AC572" t="b">
        <v>0</v>
      </c>
      <c r="AE572" t="b">
        <v>0</v>
      </c>
      <c r="AG572" t="b">
        <v>0</v>
      </c>
      <c r="AJ572" s="14"/>
      <c r="AL572" s="14"/>
    </row>
    <row r="573">
      <c r="A573" s="15"/>
      <c r="B573" s="7"/>
      <c r="C573" s="16"/>
      <c r="E573" s="9"/>
      <c r="G573" s="16"/>
      <c r="I573" s="9"/>
      <c r="K573" s="16"/>
      <c r="M573" s="9"/>
      <c r="O573" s="16"/>
      <c r="Q573" s="7"/>
      <c r="R573" s="25"/>
      <c r="S573" s="28"/>
      <c r="U573" s="28"/>
      <c r="W573" s="14"/>
      <c r="Y573" s="14"/>
      <c r="Z573" s="55"/>
      <c r="AA573" t="b">
        <v>0</v>
      </c>
      <c r="AC573" t="b">
        <v>0</v>
      </c>
      <c r="AE573" t="b">
        <v>0</v>
      </c>
      <c r="AG573" t="b">
        <v>0</v>
      </c>
      <c r="AJ573" s="14"/>
      <c r="AL573" s="14"/>
    </row>
    <row r="574">
      <c r="A574" s="15"/>
      <c r="B574" s="7"/>
      <c r="C574" s="16"/>
      <c r="E574" s="9"/>
      <c r="G574" s="16"/>
      <c r="I574" s="9"/>
      <c r="K574" s="16"/>
      <c r="M574" s="9"/>
      <c r="O574" s="16"/>
      <c r="Q574" s="7"/>
      <c r="R574" s="25"/>
      <c r="S574" s="28"/>
      <c r="U574" s="28"/>
      <c r="W574" s="14"/>
      <c r="Y574" s="14"/>
      <c r="Z574" s="55"/>
      <c r="AA574" t="b">
        <v>0</v>
      </c>
      <c r="AC574" t="b">
        <v>0</v>
      </c>
      <c r="AE574" t="b">
        <v>0</v>
      </c>
      <c r="AG574" t="b">
        <v>0</v>
      </c>
      <c r="AJ574" s="14"/>
      <c r="AL574" s="14"/>
    </row>
    <row r="575">
      <c r="A575" s="15"/>
      <c r="B575" s="7"/>
      <c r="C575" s="16"/>
      <c r="E575" s="9"/>
      <c r="G575" s="16"/>
      <c r="I575" s="9"/>
      <c r="K575" s="16"/>
      <c r="M575" s="9"/>
      <c r="O575" s="16"/>
      <c r="Q575" s="7"/>
      <c r="R575" s="25"/>
      <c r="S575" s="28"/>
      <c r="U575" s="28"/>
      <c r="W575" s="14"/>
      <c r="Y575" s="14"/>
      <c r="Z575" s="55"/>
      <c r="AA575" t="b">
        <v>0</v>
      </c>
      <c r="AC575" t="b">
        <v>0</v>
      </c>
      <c r="AE575" t="b">
        <v>0</v>
      </c>
      <c r="AG575" t="b">
        <v>0</v>
      </c>
      <c r="AJ575" s="14"/>
      <c r="AL575" s="14"/>
    </row>
    <row r="576">
      <c r="A576" s="15"/>
      <c r="B576" s="7"/>
      <c r="C576" s="16"/>
      <c r="E576" s="9"/>
      <c r="G576" s="16"/>
      <c r="I576" s="9"/>
      <c r="K576" s="16"/>
      <c r="M576" s="9"/>
      <c r="O576" s="16"/>
      <c r="Q576" s="7"/>
      <c r="R576" s="25"/>
      <c r="S576" s="28"/>
      <c r="U576" s="28"/>
      <c r="W576" s="14"/>
      <c r="Y576" s="14"/>
      <c r="Z576" s="55"/>
      <c r="AA576" t="b">
        <v>0</v>
      </c>
      <c r="AC576" t="b">
        <v>0</v>
      </c>
      <c r="AE576" t="b">
        <v>0</v>
      </c>
      <c r="AG576" t="b">
        <v>0</v>
      </c>
      <c r="AJ576" s="14"/>
      <c r="AL576" s="14"/>
    </row>
    <row r="577">
      <c r="A577" s="15"/>
      <c r="B577" s="7"/>
      <c r="C577" s="16"/>
      <c r="E577" s="9"/>
      <c r="G577" s="16"/>
      <c r="I577" s="9"/>
      <c r="K577" s="16"/>
      <c r="M577" s="9"/>
      <c r="O577" s="16"/>
      <c r="Q577" s="7"/>
      <c r="R577" s="25"/>
      <c r="S577" s="28"/>
      <c r="U577" s="28"/>
      <c r="W577" s="14"/>
      <c r="Y577" s="14"/>
      <c r="Z577" s="55"/>
      <c r="AA577" t="b">
        <v>0</v>
      </c>
      <c r="AC577" t="b">
        <v>0</v>
      </c>
      <c r="AE577" t="b">
        <v>0</v>
      </c>
      <c r="AG577" t="b">
        <v>0</v>
      </c>
      <c r="AJ577" s="14"/>
      <c r="AL577" s="14"/>
    </row>
    <row r="578">
      <c r="A578" s="15"/>
      <c r="B578" s="7"/>
      <c r="C578" s="16"/>
      <c r="E578" s="9"/>
      <c r="G578" s="16"/>
      <c r="I578" s="9"/>
      <c r="K578" s="16"/>
      <c r="M578" s="9"/>
      <c r="O578" s="16"/>
      <c r="Q578" s="7"/>
      <c r="R578" s="25"/>
      <c r="S578" s="28"/>
      <c r="U578" s="28"/>
      <c r="W578" s="14"/>
      <c r="Y578" s="14"/>
      <c r="Z578" s="55"/>
      <c r="AA578" t="b">
        <v>0</v>
      </c>
      <c r="AC578" t="b">
        <v>0</v>
      </c>
      <c r="AE578" t="b">
        <v>0</v>
      </c>
      <c r="AG578" t="b">
        <v>0</v>
      </c>
      <c r="AJ578" s="14"/>
      <c r="AL578" s="14"/>
    </row>
    <row r="579">
      <c r="A579" s="15"/>
      <c r="B579" s="7"/>
      <c r="C579" s="16"/>
      <c r="E579" s="9"/>
      <c r="G579" s="16"/>
      <c r="I579" s="9"/>
      <c r="K579" s="16"/>
      <c r="M579" s="9"/>
      <c r="O579" s="16"/>
      <c r="Q579" s="7"/>
      <c r="R579" s="25"/>
      <c r="S579" s="28"/>
      <c r="U579" s="28"/>
      <c r="W579" s="14"/>
      <c r="Y579" s="14"/>
      <c r="Z579" s="55"/>
      <c r="AA579" t="b">
        <v>0</v>
      </c>
      <c r="AC579" t="b">
        <v>0</v>
      </c>
      <c r="AE579" t="b">
        <v>0</v>
      </c>
      <c r="AG579" t="b">
        <v>0</v>
      </c>
      <c r="AJ579" s="14"/>
      <c r="AL579" s="14"/>
    </row>
    <row r="580">
      <c r="A580" s="15"/>
      <c r="B580" s="7"/>
      <c r="C580" s="16"/>
      <c r="E580" s="9"/>
      <c r="G580" s="16"/>
      <c r="I580" s="9"/>
      <c r="K580" s="16"/>
      <c r="M580" s="9"/>
      <c r="O580" s="16"/>
      <c r="Q580" s="7"/>
      <c r="R580" s="25"/>
      <c r="S580" s="28"/>
      <c r="U580" s="28"/>
      <c r="W580" s="14"/>
      <c r="Y580" s="14"/>
      <c r="Z580" s="55"/>
      <c r="AA580" t="b">
        <v>0</v>
      </c>
      <c r="AC580" t="b">
        <v>0</v>
      </c>
      <c r="AE580" t="b">
        <v>0</v>
      </c>
      <c r="AG580" t="b">
        <v>0</v>
      </c>
      <c r="AJ580" s="14"/>
      <c r="AL580" s="14"/>
    </row>
    <row r="581">
      <c r="A581" s="15"/>
      <c r="B581" s="7"/>
      <c r="C581" s="16"/>
      <c r="E581" s="9"/>
      <c r="G581" s="16"/>
      <c r="I581" s="9"/>
      <c r="K581" s="16"/>
      <c r="M581" s="9"/>
      <c r="O581" s="16"/>
      <c r="Q581" s="7"/>
      <c r="R581" s="25"/>
      <c r="S581" s="28"/>
      <c r="U581" s="28"/>
      <c r="W581" s="14"/>
      <c r="Y581" s="14"/>
      <c r="Z581" s="55"/>
      <c r="AA581" t="b">
        <v>0</v>
      </c>
      <c r="AC581" t="b">
        <v>0</v>
      </c>
      <c r="AE581" t="b">
        <v>0</v>
      </c>
      <c r="AG581" t="b">
        <v>0</v>
      </c>
      <c r="AJ581" s="14"/>
      <c r="AL581" s="14"/>
    </row>
    <row r="582">
      <c r="A582" s="15"/>
      <c r="B582" s="7"/>
      <c r="C582" s="16"/>
      <c r="E582" s="9"/>
      <c r="G582" s="16"/>
      <c r="I582" s="9"/>
      <c r="K582" s="16"/>
      <c r="M582" s="9"/>
      <c r="O582" s="16"/>
      <c r="Q582" s="7"/>
      <c r="R582" s="25"/>
      <c r="S582" s="28"/>
      <c r="U582" s="28"/>
      <c r="W582" s="14"/>
      <c r="Y582" s="14"/>
      <c r="Z582" s="55"/>
      <c r="AA582" t="b">
        <v>0</v>
      </c>
      <c r="AC582" t="b">
        <v>0</v>
      </c>
      <c r="AE582" t="b">
        <v>0</v>
      </c>
      <c r="AG582" t="b">
        <v>0</v>
      </c>
      <c r="AJ582" s="14"/>
      <c r="AL582" s="14"/>
    </row>
    <row r="583">
      <c r="A583" s="15"/>
      <c r="B583" s="7"/>
      <c r="C583" s="16"/>
      <c r="E583" s="9"/>
      <c r="G583" s="16"/>
      <c r="I583" s="9"/>
      <c r="K583" s="16"/>
      <c r="M583" s="9"/>
      <c r="O583" s="16"/>
      <c r="Q583" s="7"/>
      <c r="R583" s="25"/>
      <c r="S583" s="28"/>
      <c r="U583" s="28"/>
      <c r="W583" s="14"/>
      <c r="Y583" s="14"/>
      <c r="Z583" s="55"/>
      <c r="AA583" t="b">
        <v>0</v>
      </c>
      <c r="AC583" t="b">
        <v>0</v>
      </c>
      <c r="AE583" t="b">
        <v>0</v>
      </c>
      <c r="AG583" t="b">
        <v>0</v>
      </c>
      <c r="AJ583" s="14"/>
      <c r="AL583" s="14"/>
    </row>
    <row r="584">
      <c r="A584" s="15"/>
      <c r="B584" s="7"/>
      <c r="C584" s="16"/>
      <c r="E584" s="9"/>
      <c r="G584" s="16"/>
      <c r="I584" s="9"/>
      <c r="K584" s="16"/>
      <c r="M584" s="9"/>
      <c r="O584" s="16"/>
      <c r="Q584" s="7"/>
      <c r="R584" s="25"/>
      <c r="S584" s="28"/>
      <c r="U584" s="28"/>
      <c r="W584" s="14"/>
      <c r="Y584" s="14"/>
      <c r="Z584" s="55"/>
      <c r="AA584" t="b">
        <v>0</v>
      </c>
      <c r="AC584" t="b">
        <v>0</v>
      </c>
      <c r="AE584" t="b">
        <v>0</v>
      </c>
      <c r="AG584" t="b">
        <v>0</v>
      </c>
      <c r="AJ584" s="14"/>
      <c r="AL584" s="14"/>
    </row>
    <row r="585">
      <c r="A585" s="15"/>
      <c r="B585" s="7"/>
      <c r="C585" s="16"/>
      <c r="E585" s="9"/>
      <c r="G585" s="16"/>
      <c r="I585" s="9"/>
      <c r="K585" s="16"/>
      <c r="M585" s="9"/>
      <c r="O585" s="16"/>
      <c r="Q585" s="7"/>
      <c r="R585" s="25"/>
      <c r="S585" s="28"/>
      <c r="U585" s="28"/>
      <c r="W585" s="14"/>
      <c r="Y585" s="14"/>
      <c r="Z585" s="55"/>
      <c r="AA585" t="b">
        <v>0</v>
      </c>
      <c r="AC585" t="b">
        <v>0</v>
      </c>
      <c r="AE585" t="b">
        <v>0</v>
      </c>
      <c r="AG585" t="b">
        <v>0</v>
      </c>
      <c r="AJ585" s="14"/>
      <c r="AL585" s="14"/>
    </row>
    <row r="586">
      <c r="A586" s="15"/>
      <c r="B586" s="7"/>
      <c r="C586" s="16"/>
      <c r="E586" s="9"/>
      <c r="G586" s="16"/>
      <c r="I586" s="9"/>
      <c r="K586" s="16"/>
      <c r="M586" s="9"/>
      <c r="O586" s="16"/>
      <c r="Q586" s="7"/>
      <c r="R586" s="25"/>
      <c r="S586" s="28"/>
      <c r="U586" s="28"/>
      <c r="W586" s="14"/>
      <c r="Y586" s="14"/>
      <c r="Z586" s="55"/>
      <c r="AA586" t="b">
        <v>0</v>
      </c>
      <c r="AC586" t="b">
        <v>0</v>
      </c>
      <c r="AE586" t="b">
        <v>0</v>
      </c>
      <c r="AG586" t="b">
        <v>0</v>
      </c>
      <c r="AJ586" s="14"/>
      <c r="AL586" s="14"/>
    </row>
    <row r="587">
      <c r="A587" s="15"/>
      <c r="B587" s="7"/>
      <c r="C587" s="16"/>
      <c r="E587" s="9"/>
      <c r="G587" s="16"/>
      <c r="I587" s="9"/>
      <c r="K587" s="16"/>
      <c r="M587" s="9"/>
      <c r="O587" s="16"/>
      <c r="Q587" s="7"/>
      <c r="R587" s="25"/>
      <c r="S587" s="28"/>
      <c r="U587" s="28"/>
      <c r="W587" s="14"/>
      <c r="Y587" s="14"/>
      <c r="Z587" s="55"/>
      <c r="AA587" t="b">
        <v>0</v>
      </c>
      <c r="AC587" t="b">
        <v>0</v>
      </c>
      <c r="AE587" t="b">
        <v>0</v>
      </c>
      <c r="AG587" t="b">
        <v>0</v>
      </c>
      <c r="AJ587" s="14"/>
      <c r="AL587" s="14"/>
    </row>
    <row r="588">
      <c r="A588" s="15"/>
      <c r="B588" s="7"/>
      <c r="C588" s="16"/>
      <c r="E588" s="9"/>
      <c r="G588" s="16"/>
      <c r="I588" s="9"/>
      <c r="K588" s="16"/>
      <c r="M588" s="9"/>
      <c r="O588" s="16"/>
      <c r="Q588" s="7"/>
      <c r="R588" s="25"/>
      <c r="S588" s="28"/>
      <c r="U588" s="28"/>
      <c r="W588" s="14"/>
      <c r="Y588" s="14"/>
      <c r="Z588" s="55"/>
      <c r="AA588" t="b">
        <v>0</v>
      </c>
      <c r="AC588" t="b">
        <v>0</v>
      </c>
      <c r="AE588" t="b">
        <v>0</v>
      </c>
      <c r="AG588" t="b">
        <v>0</v>
      </c>
      <c r="AJ588" s="14"/>
      <c r="AL588" s="14"/>
    </row>
    <row r="589">
      <c r="A589" s="15"/>
      <c r="B589" s="7"/>
      <c r="C589" s="16"/>
      <c r="E589" s="9"/>
      <c r="G589" s="16"/>
      <c r="I589" s="9"/>
      <c r="K589" s="16"/>
      <c r="M589" s="9"/>
      <c r="O589" s="16"/>
      <c r="Q589" s="7"/>
      <c r="R589" s="25"/>
      <c r="S589" s="28"/>
      <c r="U589" s="28"/>
      <c r="W589" s="14"/>
      <c r="Y589" s="14"/>
      <c r="Z589" s="55"/>
      <c r="AA589" t="b">
        <v>0</v>
      </c>
      <c r="AC589" t="b">
        <v>0</v>
      </c>
      <c r="AE589" t="b">
        <v>0</v>
      </c>
      <c r="AG589" t="b">
        <v>0</v>
      </c>
      <c r="AJ589" s="14"/>
      <c r="AL589" s="14"/>
    </row>
    <row r="590">
      <c r="A590" s="15"/>
      <c r="B590" s="7"/>
      <c r="C590" s="16"/>
      <c r="E590" s="9"/>
      <c r="G590" s="16"/>
      <c r="I590" s="9"/>
      <c r="K590" s="16"/>
      <c r="M590" s="9"/>
      <c r="O590" s="16"/>
      <c r="Q590" s="7"/>
      <c r="R590" s="25"/>
      <c r="S590" s="28"/>
      <c r="U590" s="28"/>
      <c r="W590" s="14"/>
      <c r="Y590" s="14"/>
      <c r="Z590" s="55"/>
      <c r="AA590" t="b">
        <v>0</v>
      </c>
      <c r="AC590" t="b">
        <v>0</v>
      </c>
      <c r="AE590" t="b">
        <v>0</v>
      </c>
      <c r="AG590" t="b">
        <v>0</v>
      </c>
      <c r="AJ590" s="14"/>
      <c r="AL590" s="14"/>
    </row>
    <row r="591">
      <c r="A591" s="15"/>
      <c r="B591" s="7"/>
      <c r="C591" s="16"/>
      <c r="E591" s="9"/>
      <c r="G591" s="16"/>
      <c r="I591" s="9"/>
      <c r="K591" s="16"/>
      <c r="M591" s="9"/>
      <c r="O591" s="16"/>
      <c r="Q591" s="7"/>
      <c r="R591" s="25"/>
      <c r="S591" s="28"/>
      <c r="U591" s="28"/>
      <c r="W591" s="14"/>
      <c r="Y591" s="14"/>
      <c r="Z591" s="55"/>
      <c r="AA591" t="b">
        <v>0</v>
      </c>
      <c r="AC591" t="b">
        <v>0</v>
      </c>
      <c r="AE591" t="b">
        <v>0</v>
      </c>
      <c r="AG591" t="b">
        <v>0</v>
      </c>
      <c r="AJ591" s="14"/>
      <c r="AL591" s="14"/>
    </row>
    <row r="592">
      <c r="A592" s="15"/>
      <c r="B592" s="7"/>
      <c r="C592" s="16"/>
      <c r="E592" s="9"/>
      <c r="G592" s="16"/>
      <c r="I592" s="9"/>
      <c r="K592" s="16"/>
      <c r="M592" s="9"/>
      <c r="O592" s="16"/>
      <c r="Q592" s="7"/>
      <c r="R592" s="25"/>
      <c r="S592" s="28"/>
      <c r="U592" s="28"/>
      <c r="W592" s="14"/>
      <c r="Y592" s="14"/>
      <c r="Z592" s="55"/>
      <c r="AA592" t="b">
        <v>0</v>
      </c>
      <c r="AC592" t="b">
        <v>0</v>
      </c>
      <c r="AE592" t="b">
        <v>0</v>
      </c>
      <c r="AG592" t="b">
        <v>0</v>
      </c>
      <c r="AJ592" s="14"/>
      <c r="AL592" s="14"/>
    </row>
    <row r="593">
      <c r="A593" s="15"/>
      <c r="B593" s="7"/>
      <c r="C593" s="16"/>
      <c r="E593" s="9"/>
      <c r="G593" s="16"/>
      <c r="I593" s="9"/>
      <c r="K593" s="16"/>
      <c r="M593" s="9"/>
      <c r="O593" s="16"/>
      <c r="Q593" s="7"/>
      <c r="R593" s="25"/>
      <c r="S593" s="28"/>
      <c r="U593" s="28"/>
      <c r="W593" s="14"/>
      <c r="Y593" s="14"/>
      <c r="Z593" s="55"/>
      <c r="AA593" t="b">
        <v>0</v>
      </c>
      <c r="AC593" t="b">
        <v>0</v>
      </c>
      <c r="AE593" t="b">
        <v>0</v>
      </c>
      <c r="AG593" t="b">
        <v>0</v>
      </c>
      <c r="AJ593" s="14"/>
      <c r="AL593" s="14"/>
    </row>
    <row r="594">
      <c r="A594" s="15"/>
      <c r="B594" s="7"/>
      <c r="C594" s="16"/>
      <c r="E594" s="9"/>
      <c r="G594" s="16"/>
      <c r="I594" s="9"/>
      <c r="K594" s="16"/>
      <c r="M594" s="9"/>
      <c r="O594" s="16"/>
      <c r="Q594" s="7"/>
      <c r="R594" s="25"/>
      <c r="S594" s="28"/>
      <c r="U594" s="28"/>
      <c r="W594" s="14"/>
      <c r="Y594" s="14"/>
      <c r="Z594" s="55"/>
      <c r="AA594" t="b">
        <v>0</v>
      </c>
      <c r="AC594" t="b">
        <v>0</v>
      </c>
      <c r="AE594" t="b">
        <v>0</v>
      </c>
      <c r="AG594" t="b">
        <v>0</v>
      </c>
      <c r="AJ594" s="14"/>
      <c r="AL594" s="14"/>
    </row>
    <row r="595">
      <c r="A595" s="15"/>
      <c r="B595" s="7"/>
      <c r="C595" s="16"/>
      <c r="E595" s="9"/>
      <c r="G595" s="16"/>
      <c r="I595" s="9"/>
      <c r="K595" s="16"/>
      <c r="M595" s="9"/>
      <c r="O595" s="16"/>
      <c r="Q595" s="7"/>
      <c r="R595" s="25"/>
      <c r="S595" s="28"/>
      <c r="U595" s="28"/>
      <c r="W595" s="14"/>
      <c r="Y595" s="14"/>
      <c r="Z595" s="55"/>
      <c r="AA595" t="b">
        <v>0</v>
      </c>
      <c r="AC595" t="b">
        <v>0</v>
      </c>
      <c r="AE595" t="b">
        <v>0</v>
      </c>
      <c r="AG595" t="b">
        <v>0</v>
      </c>
      <c r="AJ595" s="14"/>
      <c r="AL595" s="14"/>
    </row>
    <row r="596">
      <c r="A596" s="15"/>
      <c r="B596" s="7"/>
      <c r="C596" s="16"/>
      <c r="E596" s="9"/>
      <c r="G596" s="16"/>
      <c r="I596" s="9"/>
      <c r="K596" s="16"/>
      <c r="M596" s="9"/>
      <c r="O596" s="16"/>
      <c r="Q596" s="7"/>
      <c r="R596" s="25"/>
      <c r="S596" s="28"/>
      <c r="U596" s="28"/>
      <c r="W596" s="14"/>
      <c r="Y596" s="14"/>
      <c r="Z596" s="55"/>
      <c r="AA596" t="b">
        <v>0</v>
      </c>
      <c r="AC596" t="b">
        <v>0</v>
      </c>
      <c r="AE596" t="b">
        <v>0</v>
      </c>
      <c r="AG596" t="b">
        <v>0</v>
      </c>
      <c r="AJ596" s="14"/>
      <c r="AL596" s="14"/>
    </row>
    <row r="597">
      <c r="A597" s="15"/>
      <c r="B597" s="7"/>
      <c r="C597" s="16"/>
      <c r="E597" s="9"/>
      <c r="G597" s="16"/>
      <c r="I597" s="9"/>
      <c r="K597" s="16"/>
      <c r="M597" s="9"/>
      <c r="O597" s="16"/>
      <c r="Q597" s="7"/>
      <c r="R597" s="25"/>
      <c r="S597" s="28"/>
      <c r="U597" s="28"/>
      <c r="W597" s="14"/>
      <c r="Y597" s="14"/>
      <c r="Z597" s="55"/>
      <c r="AA597" t="b">
        <v>0</v>
      </c>
      <c r="AC597" t="b">
        <v>0</v>
      </c>
      <c r="AE597" t="b">
        <v>0</v>
      </c>
      <c r="AG597" t="b">
        <v>0</v>
      </c>
      <c r="AJ597" s="14"/>
      <c r="AL597" s="14"/>
    </row>
    <row r="598">
      <c r="A598" s="15"/>
      <c r="B598" s="7"/>
      <c r="C598" s="16"/>
      <c r="E598" s="9"/>
      <c r="G598" s="16"/>
      <c r="I598" s="9"/>
      <c r="K598" s="16"/>
      <c r="M598" s="9"/>
      <c r="O598" s="16"/>
      <c r="Q598" s="7"/>
      <c r="R598" s="25"/>
      <c r="S598" s="28"/>
      <c r="U598" s="28"/>
      <c r="W598" s="14"/>
      <c r="Y598" s="14"/>
      <c r="Z598" s="55"/>
      <c r="AA598" t="b">
        <v>0</v>
      </c>
      <c r="AC598" t="b">
        <v>0</v>
      </c>
      <c r="AE598" t="b">
        <v>0</v>
      </c>
      <c r="AG598" t="b">
        <v>0</v>
      </c>
      <c r="AJ598" s="14"/>
      <c r="AL598" s="14"/>
    </row>
    <row r="599">
      <c r="A599" s="15"/>
      <c r="B599" s="7"/>
      <c r="C599" s="16"/>
      <c r="E599" s="9"/>
      <c r="G599" s="16"/>
      <c r="I599" s="9"/>
      <c r="K599" s="16"/>
      <c r="M599" s="9"/>
      <c r="O599" s="16"/>
      <c r="Q599" s="7"/>
      <c r="R599" s="25"/>
      <c r="S599" s="28"/>
      <c r="U599" s="28"/>
      <c r="W599" s="14"/>
      <c r="Y599" s="14"/>
      <c r="Z599" s="55"/>
      <c r="AA599" t="b">
        <v>0</v>
      </c>
      <c r="AC599" t="b">
        <v>0</v>
      </c>
      <c r="AE599" t="b">
        <v>0</v>
      </c>
      <c r="AG599" t="b">
        <v>0</v>
      </c>
      <c r="AJ599" s="14"/>
      <c r="AL599" s="14"/>
    </row>
    <row r="600">
      <c r="A600" s="15"/>
      <c r="B600" s="7"/>
      <c r="C600" s="16"/>
      <c r="E600" s="9"/>
      <c r="G600" s="16"/>
      <c r="I600" s="9"/>
      <c r="K600" s="16"/>
      <c r="M600" s="9"/>
      <c r="O600" s="16"/>
      <c r="Q600" s="7"/>
      <c r="R600" s="25"/>
      <c r="S600" s="28"/>
      <c r="U600" s="28"/>
      <c r="W600" s="14"/>
      <c r="Y600" s="14"/>
      <c r="Z600" s="55"/>
      <c r="AA600" t="b">
        <v>0</v>
      </c>
      <c r="AC600" t="b">
        <v>0</v>
      </c>
      <c r="AE600" t="b">
        <v>0</v>
      </c>
      <c r="AG600" t="b">
        <v>0</v>
      </c>
      <c r="AJ600" s="14"/>
      <c r="AL600" s="14"/>
    </row>
    <row r="601">
      <c r="A601" s="15"/>
      <c r="B601" s="7"/>
      <c r="C601" s="16"/>
      <c r="E601" s="9"/>
      <c r="G601" s="16"/>
      <c r="I601" s="9"/>
      <c r="K601" s="16"/>
      <c r="M601" s="9"/>
      <c r="O601" s="16"/>
      <c r="Q601" s="7"/>
      <c r="R601" s="25"/>
      <c r="S601" s="28"/>
      <c r="U601" s="28"/>
      <c r="W601" s="14"/>
      <c r="Y601" s="14"/>
      <c r="Z601" s="55"/>
      <c r="AA601" t="b">
        <v>0</v>
      </c>
      <c r="AC601" t="b">
        <v>0</v>
      </c>
      <c r="AE601" t="b">
        <v>0</v>
      </c>
      <c r="AG601" t="b">
        <v>0</v>
      </c>
      <c r="AJ601" s="14"/>
      <c r="AL601" s="14"/>
    </row>
    <row r="602">
      <c r="A602" s="15"/>
      <c r="B602" s="7"/>
      <c r="C602" s="16"/>
      <c r="E602" s="9"/>
      <c r="G602" s="16"/>
      <c r="I602" s="9"/>
      <c r="K602" s="16"/>
      <c r="M602" s="9"/>
      <c r="O602" s="16"/>
      <c r="Q602" s="7"/>
      <c r="R602" s="25"/>
      <c r="S602" s="28"/>
      <c r="U602" s="28"/>
      <c r="W602" s="14"/>
      <c r="Y602" s="14"/>
      <c r="Z602" s="55"/>
      <c r="AA602" t="b">
        <v>0</v>
      </c>
      <c r="AC602" t="b">
        <v>0</v>
      </c>
      <c r="AE602" t="b">
        <v>0</v>
      </c>
      <c r="AG602" t="b">
        <v>0</v>
      </c>
      <c r="AJ602" s="14"/>
      <c r="AL602" s="14"/>
    </row>
    <row r="603">
      <c r="A603" s="15"/>
      <c r="B603" s="7"/>
      <c r="C603" s="16"/>
      <c r="E603" s="9"/>
      <c r="G603" s="16"/>
      <c r="I603" s="9"/>
      <c r="K603" s="16"/>
      <c r="M603" s="9"/>
      <c r="O603" s="16"/>
      <c r="Q603" s="7"/>
      <c r="R603" s="25"/>
      <c r="S603" s="28"/>
      <c r="U603" s="28"/>
      <c r="W603" s="14"/>
      <c r="Y603" s="14"/>
      <c r="Z603" s="55"/>
      <c r="AA603" t="b">
        <v>0</v>
      </c>
      <c r="AC603" t="b">
        <v>0</v>
      </c>
      <c r="AE603" t="b">
        <v>0</v>
      </c>
      <c r="AG603" t="b">
        <v>0</v>
      </c>
      <c r="AJ603" s="14"/>
      <c r="AL603" s="14"/>
    </row>
    <row r="604">
      <c r="A604" s="15"/>
      <c r="B604" s="7"/>
      <c r="C604" s="16"/>
      <c r="E604" s="9"/>
      <c r="G604" s="16"/>
      <c r="I604" s="9"/>
      <c r="K604" s="16"/>
      <c r="M604" s="9"/>
      <c r="O604" s="16"/>
      <c r="Q604" s="7"/>
      <c r="R604" s="25"/>
      <c r="S604" s="28"/>
      <c r="U604" s="28"/>
      <c r="W604" s="14"/>
      <c r="Y604" s="14"/>
      <c r="Z604" s="55"/>
      <c r="AA604" t="b">
        <v>0</v>
      </c>
      <c r="AC604" t="b">
        <v>0</v>
      </c>
      <c r="AE604" t="b">
        <v>0</v>
      </c>
      <c r="AG604" t="b">
        <v>0</v>
      </c>
      <c r="AJ604" s="14"/>
      <c r="AL604" s="14"/>
    </row>
    <row r="605">
      <c r="A605" s="15"/>
      <c r="B605" s="7"/>
      <c r="C605" s="16"/>
      <c r="E605" s="9"/>
      <c r="G605" s="16"/>
      <c r="I605" s="9"/>
      <c r="K605" s="16"/>
      <c r="M605" s="9"/>
      <c r="O605" s="16"/>
      <c r="Q605" s="7"/>
      <c r="R605" s="25"/>
      <c r="S605" s="28"/>
      <c r="U605" s="28"/>
      <c r="W605" s="14"/>
      <c r="Y605" s="14"/>
      <c r="Z605" s="55"/>
      <c r="AA605" t="b">
        <v>0</v>
      </c>
      <c r="AC605" t="b">
        <v>0</v>
      </c>
      <c r="AE605" t="b">
        <v>0</v>
      </c>
      <c r="AG605" t="b">
        <v>0</v>
      </c>
      <c r="AJ605" s="14"/>
      <c r="AL605" s="14"/>
    </row>
    <row r="606">
      <c r="A606" s="15"/>
      <c r="B606" s="7"/>
      <c r="C606" s="16"/>
      <c r="E606" s="9"/>
      <c r="G606" s="16"/>
      <c r="I606" s="9"/>
      <c r="K606" s="16"/>
      <c r="M606" s="9"/>
      <c r="O606" s="16"/>
      <c r="Q606" s="7"/>
      <c r="R606" s="25"/>
      <c r="S606" s="28"/>
      <c r="U606" s="28"/>
      <c r="W606" s="14"/>
      <c r="Y606" s="14"/>
      <c r="Z606" s="55"/>
      <c r="AA606" t="b">
        <v>0</v>
      </c>
      <c r="AC606" t="b">
        <v>0</v>
      </c>
      <c r="AE606" t="b">
        <v>0</v>
      </c>
      <c r="AG606" t="b">
        <v>0</v>
      </c>
      <c r="AJ606" s="14"/>
      <c r="AL606" s="14"/>
    </row>
    <row r="607">
      <c r="A607" s="15"/>
      <c r="B607" s="7"/>
      <c r="C607" s="16"/>
      <c r="E607" s="9"/>
      <c r="G607" s="16"/>
      <c r="I607" s="9"/>
      <c r="K607" s="16"/>
      <c r="M607" s="9"/>
      <c r="O607" s="16"/>
      <c r="Q607" s="7"/>
      <c r="R607" s="25"/>
      <c r="S607" s="28"/>
      <c r="U607" s="28"/>
      <c r="W607" s="14"/>
      <c r="Y607" s="14"/>
      <c r="Z607" s="55"/>
      <c r="AA607" t="b">
        <v>0</v>
      </c>
      <c r="AC607" t="b">
        <v>0</v>
      </c>
      <c r="AE607" t="b">
        <v>0</v>
      </c>
      <c r="AG607" t="b">
        <v>0</v>
      </c>
      <c r="AJ607" s="14"/>
      <c r="AL607" s="14"/>
    </row>
    <row r="608">
      <c r="A608" s="15"/>
      <c r="B608" s="7"/>
      <c r="C608" s="16"/>
      <c r="E608" s="9"/>
      <c r="G608" s="16"/>
      <c r="I608" s="9"/>
      <c r="K608" s="16"/>
      <c r="M608" s="9"/>
      <c r="O608" s="16"/>
      <c r="Q608" s="7"/>
      <c r="R608" s="25"/>
      <c r="S608" s="28"/>
      <c r="U608" s="28"/>
      <c r="W608" s="14"/>
      <c r="Y608" s="14"/>
      <c r="Z608" s="55"/>
      <c r="AA608" t="b">
        <v>0</v>
      </c>
      <c r="AC608" t="b">
        <v>0</v>
      </c>
      <c r="AE608" t="b">
        <v>0</v>
      </c>
      <c r="AG608" t="b">
        <v>0</v>
      </c>
      <c r="AJ608" s="14"/>
      <c r="AL608" s="14"/>
    </row>
    <row r="609">
      <c r="A609" s="15"/>
      <c r="B609" s="7"/>
      <c r="C609" s="16"/>
      <c r="E609" s="9"/>
      <c r="G609" s="16"/>
      <c r="I609" s="9"/>
      <c r="K609" s="16"/>
      <c r="M609" s="9"/>
      <c r="O609" s="16"/>
      <c r="Q609" s="7"/>
      <c r="R609" s="25"/>
      <c r="S609" s="28"/>
      <c r="U609" s="28"/>
      <c r="W609" s="14"/>
      <c r="Y609" s="14"/>
      <c r="Z609" s="55"/>
      <c r="AA609" t="b">
        <v>0</v>
      </c>
      <c r="AC609" t="b">
        <v>0</v>
      </c>
      <c r="AE609" t="b">
        <v>0</v>
      </c>
      <c r="AG609" t="b">
        <v>0</v>
      </c>
      <c r="AJ609" s="14"/>
      <c r="AL609" s="14"/>
    </row>
    <row r="610">
      <c r="A610" s="15"/>
      <c r="B610" s="7"/>
      <c r="C610" s="16"/>
      <c r="E610" s="9"/>
      <c r="G610" s="16"/>
      <c r="I610" s="9"/>
      <c r="K610" s="16"/>
      <c r="M610" s="9"/>
      <c r="O610" s="16"/>
      <c r="Q610" s="7"/>
      <c r="R610" s="25"/>
      <c r="S610" s="28"/>
      <c r="U610" s="28"/>
      <c r="W610" s="14"/>
      <c r="Y610" s="14"/>
      <c r="Z610" s="55"/>
      <c r="AA610" t="b">
        <v>0</v>
      </c>
      <c r="AC610" t="b">
        <v>0</v>
      </c>
      <c r="AE610" t="b">
        <v>0</v>
      </c>
      <c r="AG610" t="b">
        <v>0</v>
      </c>
      <c r="AJ610" s="14"/>
      <c r="AL610" s="14"/>
    </row>
    <row r="611">
      <c r="A611" s="15"/>
      <c r="B611" s="7"/>
      <c r="C611" s="16"/>
      <c r="E611" s="9"/>
      <c r="G611" s="16"/>
      <c r="I611" s="9"/>
      <c r="K611" s="16"/>
      <c r="M611" s="9"/>
      <c r="O611" s="16"/>
      <c r="Q611" s="7"/>
      <c r="R611" s="25"/>
      <c r="S611" s="28"/>
      <c r="U611" s="28"/>
      <c r="W611" s="14"/>
      <c r="Y611" s="14"/>
      <c r="Z611" s="55"/>
      <c r="AA611" t="b">
        <v>0</v>
      </c>
      <c r="AC611" t="b">
        <v>0</v>
      </c>
      <c r="AE611" t="b">
        <v>0</v>
      </c>
      <c r="AG611" t="b">
        <v>0</v>
      </c>
      <c r="AJ611" s="14"/>
      <c r="AL611" s="14"/>
    </row>
    <row r="612">
      <c r="A612" s="15"/>
      <c r="B612" s="7"/>
      <c r="C612" s="16"/>
      <c r="E612" s="9"/>
      <c r="G612" s="16"/>
      <c r="I612" s="9"/>
      <c r="K612" s="16"/>
      <c r="M612" s="9"/>
      <c r="O612" s="16"/>
      <c r="Q612" s="7"/>
      <c r="R612" s="25"/>
      <c r="S612" s="28"/>
      <c r="U612" s="28"/>
      <c r="W612" s="14"/>
      <c r="Y612" s="14"/>
      <c r="Z612" s="55"/>
      <c r="AA612" t="b">
        <v>0</v>
      </c>
      <c r="AC612" t="b">
        <v>0</v>
      </c>
      <c r="AE612" t="b">
        <v>0</v>
      </c>
      <c r="AG612" t="b">
        <v>0</v>
      </c>
      <c r="AJ612" s="14"/>
      <c r="AL612" s="14"/>
    </row>
    <row r="613">
      <c r="A613" s="15"/>
      <c r="B613" s="7"/>
      <c r="C613" s="16"/>
      <c r="E613" s="9"/>
      <c r="G613" s="16"/>
      <c r="I613" s="9"/>
      <c r="K613" s="16"/>
      <c r="M613" s="9"/>
      <c r="O613" s="16"/>
      <c r="Q613" s="7"/>
      <c r="R613" s="25"/>
      <c r="S613" s="28"/>
      <c r="U613" s="28"/>
      <c r="W613" s="14"/>
      <c r="Y613" s="14"/>
      <c r="Z613" s="55"/>
      <c r="AA613" t="b">
        <v>0</v>
      </c>
      <c r="AC613" t="b">
        <v>0</v>
      </c>
      <c r="AE613" t="b">
        <v>0</v>
      </c>
      <c r="AG613" t="b">
        <v>0</v>
      </c>
      <c r="AJ613" s="14"/>
      <c r="AL613" s="14"/>
    </row>
    <row r="614">
      <c r="A614" s="15"/>
      <c r="B614" s="7"/>
      <c r="C614" s="16"/>
      <c r="E614" s="9"/>
      <c r="G614" s="16"/>
      <c r="I614" s="9"/>
      <c r="K614" s="16"/>
      <c r="M614" s="9"/>
      <c r="O614" s="16"/>
      <c r="Q614" s="7"/>
      <c r="R614" s="25"/>
      <c r="S614" s="28"/>
      <c r="U614" s="28"/>
      <c r="W614" s="14"/>
      <c r="Y614" s="14"/>
      <c r="Z614" s="55"/>
      <c r="AA614" t="b">
        <v>0</v>
      </c>
      <c r="AC614" t="b">
        <v>0</v>
      </c>
      <c r="AE614" t="b">
        <v>0</v>
      </c>
      <c r="AG614" t="b">
        <v>0</v>
      </c>
      <c r="AJ614" s="14"/>
      <c r="AL614" s="14"/>
    </row>
    <row r="615">
      <c r="A615" s="15"/>
      <c r="B615" s="7"/>
      <c r="C615" s="16"/>
      <c r="E615" s="9"/>
      <c r="G615" s="16"/>
      <c r="I615" s="9"/>
      <c r="K615" s="16"/>
      <c r="M615" s="9"/>
      <c r="O615" s="16"/>
      <c r="Q615" s="7"/>
      <c r="R615" s="25"/>
      <c r="S615" s="28"/>
      <c r="U615" s="28"/>
      <c r="W615" s="14"/>
      <c r="Y615" s="14"/>
      <c r="Z615" s="55"/>
      <c r="AA615" t="b">
        <v>0</v>
      </c>
      <c r="AC615" t="b">
        <v>0</v>
      </c>
      <c r="AE615" t="b">
        <v>0</v>
      </c>
      <c r="AG615" t="b">
        <v>0</v>
      </c>
      <c r="AJ615" s="14"/>
      <c r="AL615" s="14"/>
    </row>
    <row r="616">
      <c r="A616" s="15"/>
      <c r="B616" s="7"/>
      <c r="C616" s="16"/>
      <c r="E616" s="9"/>
      <c r="G616" s="16"/>
      <c r="I616" s="9"/>
      <c r="K616" s="16"/>
      <c r="M616" s="9"/>
      <c r="O616" s="16"/>
      <c r="Q616" s="7"/>
      <c r="R616" s="25"/>
      <c r="S616" s="28"/>
      <c r="U616" s="28"/>
      <c r="W616" s="14"/>
      <c r="Y616" s="14"/>
      <c r="Z616" s="55"/>
      <c r="AA616" t="b">
        <v>0</v>
      </c>
      <c r="AC616" t="b">
        <v>0</v>
      </c>
      <c r="AE616" t="b">
        <v>0</v>
      </c>
      <c r="AG616" t="b">
        <v>0</v>
      </c>
      <c r="AJ616" s="14"/>
      <c r="AL616" s="14"/>
    </row>
    <row r="617">
      <c r="A617" s="15"/>
      <c r="B617" s="7"/>
      <c r="C617" s="16"/>
      <c r="E617" s="9"/>
      <c r="G617" s="16"/>
      <c r="I617" s="9"/>
      <c r="K617" s="16"/>
      <c r="M617" s="9"/>
      <c r="O617" s="16"/>
      <c r="Q617" s="7"/>
      <c r="R617" s="25"/>
      <c r="S617" s="28"/>
      <c r="U617" s="28"/>
      <c r="W617" s="14"/>
      <c r="Y617" s="14"/>
      <c r="Z617" s="55"/>
      <c r="AA617" t="b">
        <v>0</v>
      </c>
      <c r="AC617" t="b">
        <v>0</v>
      </c>
      <c r="AE617" t="b">
        <v>0</v>
      </c>
      <c r="AG617" t="b">
        <v>0</v>
      </c>
      <c r="AJ617" s="14"/>
      <c r="AL617" s="14"/>
    </row>
    <row r="618">
      <c r="A618" s="15"/>
      <c r="B618" s="7"/>
      <c r="C618" s="16"/>
      <c r="E618" s="9"/>
      <c r="G618" s="16"/>
      <c r="I618" s="9"/>
      <c r="K618" s="16"/>
      <c r="M618" s="9"/>
      <c r="O618" s="16"/>
      <c r="Q618" s="7"/>
      <c r="R618" s="25"/>
      <c r="S618" s="28"/>
      <c r="U618" s="28"/>
      <c r="W618" s="14"/>
      <c r="Y618" s="14"/>
      <c r="Z618" s="55"/>
      <c r="AA618" t="b">
        <v>0</v>
      </c>
      <c r="AC618" t="b">
        <v>0</v>
      </c>
      <c r="AE618" t="b">
        <v>0</v>
      </c>
      <c r="AG618" t="b">
        <v>0</v>
      </c>
      <c r="AJ618" s="14"/>
      <c r="AL618" s="14"/>
    </row>
    <row r="619">
      <c r="A619" s="15"/>
      <c r="B619" s="7"/>
      <c r="C619" s="16"/>
      <c r="E619" s="9"/>
      <c r="G619" s="16"/>
      <c r="I619" s="9"/>
      <c r="K619" s="16"/>
      <c r="M619" s="9"/>
      <c r="O619" s="16"/>
      <c r="Q619" s="7"/>
      <c r="R619" s="25"/>
      <c r="S619" s="28"/>
      <c r="U619" s="28"/>
      <c r="W619" s="14"/>
      <c r="Y619" s="14"/>
      <c r="Z619" s="55"/>
      <c r="AA619" t="b">
        <v>0</v>
      </c>
      <c r="AC619" t="b">
        <v>0</v>
      </c>
      <c r="AE619" t="b">
        <v>0</v>
      </c>
      <c r="AG619" t="b">
        <v>0</v>
      </c>
      <c r="AJ619" s="14"/>
      <c r="AL619" s="14"/>
    </row>
    <row r="620">
      <c r="A620" s="15"/>
      <c r="B620" s="7"/>
      <c r="C620" s="16"/>
      <c r="E620" s="9"/>
      <c r="G620" s="16"/>
      <c r="I620" s="9"/>
      <c r="K620" s="16"/>
      <c r="M620" s="9"/>
      <c r="O620" s="16"/>
      <c r="Q620" s="7"/>
      <c r="R620" s="25"/>
      <c r="S620" s="28"/>
      <c r="U620" s="28"/>
      <c r="W620" s="14"/>
      <c r="Y620" s="14"/>
      <c r="Z620" s="55"/>
      <c r="AA620" t="b">
        <v>0</v>
      </c>
      <c r="AC620" t="b">
        <v>0</v>
      </c>
      <c r="AE620" t="b">
        <v>0</v>
      </c>
      <c r="AG620" t="b">
        <v>0</v>
      </c>
      <c r="AJ620" s="14"/>
      <c r="AL620" s="14"/>
    </row>
    <row r="621">
      <c r="A621" s="15"/>
      <c r="B621" s="7"/>
      <c r="C621" s="16"/>
      <c r="E621" s="9"/>
      <c r="G621" s="16"/>
      <c r="I621" s="9"/>
      <c r="K621" s="16"/>
      <c r="M621" s="9"/>
      <c r="O621" s="16"/>
      <c r="Q621" s="7"/>
      <c r="R621" s="25"/>
      <c r="S621" s="28"/>
      <c r="U621" s="28"/>
      <c r="W621" s="14"/>
      <c r="Y621" s="14"/>
      <c r="Z621" s="55"/>
      <c r="AA621" t="b">
        <v>0</v>
      </c>
      <c r="AC621" t="b">
        <v>0</v>
      </c>
      <c r="AE621" t="b">
        <v>0</v>
      </c>
      <c r="AG621" t="b">
        <v>0</v>
      </c>
      <c r="AJ621" s="14"/>
      <c r="AL621" s="14"/>
    </row>
    <row r="622">
      <c r="A622" s="15"/>
      <c r="B622" s="7"/>
      <c r="C622" s="16"/>
      <c r="E622" s="9"/>
      <c r="G622" s="16"/>
      <c r="I622" s="9"/>
      <c r="K622" s="16"/>
      <c r="M622" s="9"/>
      <c r="O622" s="16"/>
      <c r="Q622" s="7"/>
      <c r="R622" s="25"/>
      <c r="S622" s="28"/>
      <c r="U622" s="28"/>
      <c r="W622" s="14"/>
      <c r="Y622" s="14"/>
      <c r="Z622" s="55"/>
      <c r="AA622" t="b">
        <v>0</v>
      </c>
      <c r="AC622" t="b">
        <v>0</v>
      </c>
      <c r="AE622" t="b">
        <v>0</v>
      </c>
      <c r="AG622" t="b">
        <v>0</v>
      </c>
      <c r="AJ622" s="14"/>
      <c r="AL622" s="14"/>
    </row>
    <row r="623">
      <c r="A623" s="15"/>
      <c r="B623" s="7"/>
      <c r="C623" s="16"/>
      <c r="E623" s="9"/>
      <c r="G623" s="16"/>
      <c r="I623" s="9"/>
      <c r="K623" s="16"/>
      <c r="M623" s="9"/>
      <c r="O623" s="16"/>
      <c r="Q623" s="7"/>
      <c r="R623" s="25"/>
      <c r="S623" s="28"/>
      <c r="U623" s="28"/>
      <c r="W623" s="14"/>
      <c r="Y623" s="14"/>
      <c r="Z623" s="55"/>
      <c r="AA623" t="b">
        <v>0</v>
      </c>
      <c r="AC623" t="b">
        <v>0</v>
      </c>
      <c r="AE623" t="b">
        <v>0</v>
      </c>
      <c r="AG623" t="b">
        <v>0</v>
      </c>
      <c r="AJ623" s="14"/>
      <c r="AL623" s="14"/>
    </row>
    <row r="624">
      <c r="A624" s="15"/>
      <c r="B624" s="7"/>
      <c r="C624" s="16"/>
      <c r="E624" s="9"/>
      <c r="G624" s="16"/>
      <c r="I624" s="9"/>
      <c r="K624" s="16"/>
      <c r="M624" s="9"/>
      <c r="O624" s="16"/>
      <c r="Q624" s="7"/>
      <c r="R624" s="25"/>
      <c r="S624" s="28"/>
      <c r="U624" s="28"/>
      <c r="W624" s="14"/>
      <c r="Y624" s="14"/>
      <c r="Z624" s="55"/>
      <c r="AA624" t="b">
        <v>0</v>
      </c>
      <c r="AC624" t="b">
        <v>0</v>
      </c>
      <c r="AE624" t="b">
        <v>0</v>
      </c>
      <c r="AG624" t="b">
        <v>0</v>
      </c>
      <c r="AJ624" s="14"/>
      <c r="AL624" s="14"/>
    </row>
    <row r="625">
      <c r="A625" s="15"/>
      <c r="B625" s="7"/>
      <c r="C625" s="16"/>
      <c r="E625" s="9"/>
      <c r="G625" s="16"/>
      <c r="I625" s="9"/>
      <c r="K625" s="16"/>
      <c r="M625" s="9"/>
      <c r="O625" s="16"/>
      <c r="Q625" s="7"/>
      <c r="R625" s="25"/>
      <c r="S625" s="28"/>
      <c r="U625" s="28"/>
      <c r="W625" s="14"/>
      <c r="Y625" s="14"/>
      <c r="Z625" s="55"/>
      <c r="AA625" t="b">
        <v>0</v>
      </c>
      <c r="AC625" t="b">
        <v>0</v>
      </c>
      <c r="AE625" t="b">
        <v>0</v>
      </c>
      <c r="AG625" t="b">
        <v>0</v>
      </c>
      <c r="AJ625" s="14"/>
      <c r="AL625" s="14"/>
    </row>
    <row r="626">
      <c r="A626" s="15"/>
      <c r="B626" s="7"/>
      <c r="C626" s="16"/>
      <c r="E626" s="9"/>
      <c r="G626" s="16"/>
      <c r="I626" s="9"/>
      <c r="K626" s="16"/>
      <c r="M626" s="9"/>
      <c r="O626" s="16"/>
      <c r="Q626" s="7"/>
      <c r="R626" s="25"/>
      <c r="S626" s="28"/>
      <c r="U626" s="28"/>
      <c r="W626" s="14"/>
      <c r="Y626" s="14"/>
      <c r="Z626" s="55"/>
      <c r="AA626" t="b">
        <v>0</v>
      </c>
      <c r="AC626" t="b">
        <v>0</v>
      </c>
      <c r="AE626" t="b">
        <v>0</v>
      </c>
      <c r="AG626" t="b">
        <v>0</v>
      </c>
      <c r="AJ626" s="14"/>
      <c r="AL626" s="14"/>
    </row>
    <row r="627">
      <c r="A627" s="15"/>
      <c r="B627" s="7"/>
      <c r="C627" s="16"/>
      <c r="E627" s="9"/>
      <c r="G627" s="16"/>
      <c r="I627" s="9"/>
      <c r="K627" s="16"/>
      <c r="M627" s="9"/>
      <c r="O627" s="16"/>
      <c r="Q627" s="7"/>
      <c r="R627" s="25"/>
      <c r="S627" s="28"/>
      <c r="U627" s="28"/>
      <c r="W627" s="14"/>
      <c r="Y627" s="14"/>
      <c r="Z627" s="55"/>
      <c r="AA627" t="b">
        <v>0</v>
      </c>
      <c r="AC627" t="b">
        <v>0</v>
      </c>
      <c r="AE627" t="b">
        <v>0</v>
      </c>
      <c r="AG627" t="b">
        <v>0</v>
      </c>
      <c r="AJ627" s="14"/>
      <c r="AL627" s="14"/>
    </row>
    <row r="628">
      <c r="A628" s="15"/>
      <c r="B628" s="7"/>
      <c r="C628" s="16"/>
      <c r="E628" s="9"/>
      <c r="G628" s="16"/>
      <c r="I628" s="9"/>
      <c r="K628" s="16"/>
      <c r="M628" s="9"/>
      <c r="O628" s="16"/>
      <c r="Q628" s="7"/>
      <c r="R628" s="25"/>
      <c r="S628" s="28"/>
      <c r="U628" s="28"/>
      <c r="W628" s="14"/>
      <c r="Y628" s="14"/>
      <c r="Z628" s="55"/>
      <c r="AA628" t="b">
        <v>0</v>
      </c>
      <c r="AC628" t="b">
        <v>0</v>
      </c>
      <c r="AE628" t="b">
        <v>0</v>
      </c>
      <c r="AG628" t="b">
        <v>0</v>
      </c>
      <c r="AJ628" s="14"/>
      <c r="AL628" s="14"/>
    </row>
    <row r="629">
      <c r="A629" s="15"/>
      <c r="B629" s="7"/>
      <c r="C629" s="16"/>
      <c r="E629" s="9"/>
      <c r="G629" s="16"/>
      <c r="I629" s="9"/>
      <c r="K629" s="16"/>
      <c r="M629" s="9"/>
      <c r="O629" s="16"/>
      <c r="Q629" s="7"/>
      <c r="R629" s="25"/>
      <c r="S629" s="28"/>
      <c r="U629" s="28"/>
      <c r="W629" s="14"/>
      <c r="Y629" s="14"/>
      <c r="Z629" s="55"/>
      <c r="AA629" t="b">
        <v>0</v>
      </c>
      <c r="AC629" t="b">
        <v>0</v>
      </c>
      <c r="AE629" t="b">
        <v>0</v>
      </c>
      <c r="AG629" t="b">
        <v>0</v>
      </c>
      <c r="AJ629" s="14"/>
      <c r="AL629" s="14"/>
    </row>
    <row r="630">
      <c r="A630" s="15"/>
      <c r="B630" s="7"/>
      <c r="C630" s="16"/>
      <c r="E630" s="9"/>
      <c r="G630" s="16"/>
      <c r="I630" s="9"/>
      <c r="K630" s="16"/>
      <c r="M630" s="9"/>
      <c r="O630" s="16"/>
      <c r="Q630" s="7"/>
      <c r="R630" s="25"/>
      <c r="S630" s="28"/>
      <c r="U630" s="28"/>
      <c r="W630" s="14"/>
      <c r="Y630" s="14"/>
      <c r="Z630" s="55"/>
      <c r="AA630" t="b">
        <v>0</v>
      </c>
      <c r="AC630" t="b">
        <v>0</v>
      </c>
      <c r="AE630" t="b">
        <v>0</v>
      </c>
      <c r="AG630" t="b">
        <v>0</v>
      </c>
      <c r="AJ630" s="14"/>
      <c r="AL630" s="14"/>
    </row>
    <row r="631">
      <c r="A631" s="15"/>
      <c r="B631" s="7"/>
      <c r="C631" s="16"/>
      <c r="E631" s="9"/>
      <c r="G631" s="16"/>
      <c r="I631" s="9"/>
      <c r="K631" s="16"/>
      <c r="M631" s="9"/>
      <c r="O631" s="16"/>
      <c r="Q631" s="7"/>
      <c r="R631" s="25"/>
      <c r="S631" s="28"/>
      <c r="U631" s="28"/>
      <c r="W631" s="14"/>
      <c r="Y631" s="14"/>
      <c r="Z631" s="55"/>
      <c r="AA631" t="b">
        <v>0</v>
      </c>
      <c r="AC631" t="b">
        <v>0</v>
      </c>
      <c r="AE631" t="b">
        <v>0</v>
      </c>
      <c r="AG631" t="b">
        <v>0</v>
      </c>
      <c r="AJ631" s="14"/>
      <c r="AL631" s="14"/>
    </row>
    <row r="632">
      <c r="A632" s="15"/>
      <c r="B632" s="7"/>
      <c r="C632" s="16"/>
      <c r="E632" s="9"/>
      <c r="G632" s="16"/>
      <c r="I632" s="9"/>
      <c r="K632" s="16"/>
      <c r="M632" s="9"/>
      <c r="O632" s="16"/>
      <c r="Q632" s="7"/>
      <c r="R632" s="25"/>
      <c r="S632" s="28"/>
      <c r="U632" s="28"/>
      <c r="W632" s="14"/>
      <c r="Y632" s="14"/>
      <c r="Z632" s="55"/>
      <c r="AA632" t="b">
        <v>0</v>
      </c>
      <c r="AC632" t="b">
        <v>0</v>
      </c>
      <c r="AE632" t="b">
        <v>0</v>
      </c>
      <c r="AG632" t="b">
        <v>0</v>
      </c>
      <c r="AJ632" s="14"/>
      <c r="AL632" s="14"/>
    </row>
    <row r="633">
      <c r="A633" s="15"/>
      <c r="B633" s="7"/>
      <c r="C633" s="16"/>
      <c r="E633" s="9"/>
      <c r="G633" s="16"/>
      <c r="I633" s="9"/>
      <c r="K633" s="16"/>
      <c r="M633" s="9"/>
      <c r="O633" s="16"/>
      <c r="Q633" s="7"/>
      <c r="R633" s="25"/>
      <c r="S633" s="28"/>
      <c r="U633" s="28"/>
      <c r="W633" s="14"/>
      <c r="Y633" s="14"/>
      <c r="Z633" s="55"/>
      <c r="AA633" t="b">
        <v>0</v>
      </c>
      <c r="AC633" t="b">
        <v>0</v>
      </c>
      <c r="AE633" t="b">
        <v>0</v>
      </c>
      <c r="AG633" t="b">
        <v>0</v>
      </c>
      <c r="AJ633" s="14"/>
      <c r="AL633" s="14"/>
    </row>
    <row r="634">
      <c r="A634" s="15"/>
      <c r="B634" s="7"/>
      <c r="C634" s="16"/>
      <c r="E634" s="9"/>
      <c r="G634" s="16"/>
      <c r="I634" s="9"/>
      <c r="K634" s="16"/>
      <c r="M634" s="9"/>
      <c r="O634" s="16"/>
      <c r="Q634" s="7"/>
      <c r="R634" s="25"/>
      <c r="S634" s="28"/>
      <c r="U634" s="28"/>
      <c r="W634" s="14"/>
      <c r="Y634" s="14"/>
      <c r="Z634" s="55"/>
      <c r="AA634" t="b">
        <v>0</v>
      </c>
      <c r="AC634" t="b">
        <v>0</v>
      </c>
      <c r="AE634" t="b">
        <v>0</v>
      </c>
      <c r="AG634" t="b">
        <v>0</v>
      </c>
      <c r="AJ634" s="14"/>
      <c r="AL634" s="14"/>
    </row>
    <row r="635">
      <c r="A635" s="15"/>
      <c r="B635" s="7"/>
      <c r="C635" s="16"/>
      <c r="E635" s="9"/>
      <c r="G635" s="16"/>
      <c r="I635" s="9"/>
      <c r="K635" s="16"/>
      <c r="M635" s="9"/>
      <c r="O635" s="16"/>
      <c r="Q635" s="7"/>
      <c r="R635" s="25"/>
      <c r="S635" s="28"/>
      <c r="U635" s="28"/>
      <c r="W635" s="14"/>
      <c r="Y635" s="14"/>
      <c r="Z635" s="55"/>
      <c r="AA635" t="b">
        <v>0</v>
      </c>
      <c r="AC635" t="b">
        <v>0</v>
      </c>
      <c r="AE635" t="b">
        <v>0</v>
      </c>
      <c r="AG635" t="b">
        <v>0</v>
      </c>
      <c r="AJ635" s="14"/>
      <c r="AL635" s="14"/>
    </row>
    <row r="636">
      <c r="A636" s="15"/>
      <c r="B636" s="7"/>
      <c r="C636" s="16"/>
      <c r="E636" s="9"/>
      <c r="G636" s="16"/>
      <c r="I636" s="9"/>
      <c r="K636" s="16"/>
      <c r="M636" s="9"/>
      <c r="O636" s="16"/>
      <c r="Q636" s="7"/>
      <c r="R636" s="25"/>
      <c r="S636" s="28"/>
      <c r="U636" s="28"/>
      <c r="W636" s="14"/>
      <c r="Y636" s="14"/>
      <c r="Z636" s="55"/>
      <c r="AA636" t="b">
        <v>0</v>
      </c>
      <c r="AC636" t="b">
        <v>0</v>
      </c>
      <c r="AE636" t="b">
        <v>0</v>
      </c>
      <c r="AG636" t="b">
        <v>0</v>
      </c>
      <c r="AJ636" s="14"/>
      <c r="AL636" s="14"/>
    </row>
    <row r="637">
      <c r="A637" s="15"/>
      <c r="B637" s="7"/>
      <c r="C637" s="16"/>
      <c r="E637" s="9"/>
      <c r="G637" s="16"/>
      <c r="I637" s="9"/>
      <c r="K637" s="16"/>
      <c r="M637" s="9"/>
      <c r="O637" s="16"/>
      <c r="Q637" s="7"/>
      <c r="R637" s="25"/>
      <c r="S637" s="28"/>
      <c r="U637" s="28"/>
      <c r="W637" s="14"/>
      <c r="Y637" s="14"/>
      <c r="Z637" s="55"/>
      <c r="AA637" t="b">
        <v>0</v>
      </c>
      <c r="AC637" t="b">
        <v>0</v>
      </c>
      <c r="AE637" t="b">
        <v>0</v>
      </c>
      <c r="AG637" t="b">
        <v>0</v>
      </c>
      <c r="AJ637" s="14"/>
      <c r="AL637" s="14"/>
    </row>
    <row r="638">
      <c r="A638" s="15"/>
      <c r="B638" s="7"/>
      <c r="C638" s="16"/>
      <c r="E638" s="9"/>
      <c r="G638" s="16"/>
      <c r="I638" s="9"/>
      <c r="K638" s="16"/>
      <c r="M638" s="9"/>
      <c r="O638" s="16"/>
      <c r="Q638" s="7"/>
      <c r="R638" s="25"/>
      <c r="S638" s="28"/>
      <c r="U638" s="28"/>
      <c r="W638" s="14"/>
      <c r="Y638" s="14"/>
      <c r="Z638" s="55"/>
      <c r="AA638" t="b">
        <v>0</v>
      </c>
      <c r="AC638" t="b">
        <v>0</v>
      </c>
      <c r="AE638" t="b">
        <v>0</v>
      </c>
      <c r="AG638" t="b">
        <v>0</v>
      </c>
      <c r="AJ638" s="14"/>
      <c r="AL638" s="14"/>
    </row>
    <row r="639">
      <c r="A639" s="15"/>
      <c r="B639" s="7"/>
      <c r="C639" s="16"/>
      <c r="E639" s="9"/>
      <c r="G639" s="16"/>
      <c r="I639" s="9"/>
      <c r="K639" s="16"/>
      <c r="M639" s="9"/>
      <c r="O639" s="16"/>
      <c r="Q639" s="7"/>
      <c r="R639" s="25"/>
      <c r="S639" s="28"/>
      <c r="U639" s="28"/>
      <c r="W639" s="14"/>
      <c r="Y639" s="14"/>
      <c r="Z639" s="55"/>
      <c r="AA639" t="b">
        <v>0</v>
      </c>
      <c r="AC639" t="b">
        <v>0</v>
      </c>
      <c r="AE639" t="b">
        <v>0</v>
      </c>
      <c r="AG639" t="b">
        <v>0</v>
      </c>
      <c r="AJ639" s="14"/>
      <c r="AL639" s="14"/>
    </row>
    <row r="640">
      <c r="A640" s="15"/>
      <c r="B640" s="7"/>
      <c r="C640" s="16"/>
      <c r="E640" s="9"/>
      <c r="G640" s="16"/>
      <c r="I640" s="9"/>
      <c r="K640" s="16"/>
      <c r="M640" s="9"/>
      <c r="O640" s="16"/>
      <c r="Q640" s="7"/>
      <c r="R640" s="25"/>
      <c r="S640" s="28"/>
      <c r="U640" s="28"/>
      <c r="W640" s="14"/>
      <c r="Y640" s="14"/>
      <c r="Z640" s="55"/>
      <c r="AA640" t="b">
        <v>0</v>
      </c>
      <c r="AC640" t="b">
        <v>0</v>
      </c>
      <c r="AE640" t="b">
        <v>0</v>
      </c>
      <c r="AG640" t="b">
        <v>0</v>
      </c>
      <c r="AJ640" s="14"/>
      <c r="AL640" s="14"/>
    </row>
    <row r="641">
      <c r="A641" s="15"/>
      <c r="B641" s="7"/>
      <c r="C641" s="16"/>
      <c r="E641" s="9"/>
      <c r="G641" s="16"/>
      <c r="I641" s="9"/>
      <c r="K641" s="16"/>
      <c r="M641" s="9"/>
      <c r="O641" s="16"/>
      <c r="Q641" s="7"/>
      <c r="R641" s="25"/>
      <c r="S641" s="28"/>
      <c r="U641" s="28"/>
      <c r="W641" s="14"/>
      <c r="Y641" s="14"/>
      <c r="Z641" s="55"/>
      <c r="AA641" t="b">
        <v>0</v>
      </c>
      <c r="AC641" t="b">
        <v>0</v>
      </c>
      <c r="AE641" t="b">
        <v>0</v>
      </c>
      <c r="AG641" t="b">
        <v>0</v>
      </c>
      <c r="AJ641" s="14"/>
      <c r="AL641" s="14"/>
    </row>
    <row r="642">
      <c r="A642" s="15"/>
      <c r="B642" s="7"/>
      <c r="C642" s="16"/>
      <c r="E642" s="9"/>
      <c r="G642" s="16"/>
      <c r="I642" s="9"/>
      <c r="K642" s="16"/>
      <c r="M642" s="9"/>
      <c r="O642" s="16"/>
      <c r="Q642" s="7"/>
      <c r="R642" s="25"/>
      <c r="S642" s="28"/>
      <c r="U642" s="28"/>
      <c r="W642" s="14"/>
      <c r="Y642" s="14"/>
      <c r="Z642" s="55"/>
      <c r="AA642" t="b">
        <v>0</v>
      </c>
      <c r="AC642" t="b">
        <v>0</v>
      </c>
      <c r="AE642" t="b">
        <v>0</v>
      </c>
      <c r="AG642" t="b">
        <v>0</v>
      </c>
      <c r="AJ642" s="14"/>
      <c r="AL642" s="14"/>
    </row>
    <row r="643">
      <c r="A643" s="15"/>
      <c r="B643" s="7"/>
      <c r="C643" s="16"/>
      <c r="E643" s="9"/>
      <c r="G643" s="16"/>
      <c r="I643" s="9"/>
      <c r="K643" s="16"/>
      <c r="M643" s="9"/>
      <c r="O643" s="16"/>
      <c r="Q643" s="7"/>
      <c r="R643" s="25"/>
      <c r="S643" s="28"/>
      <c r="U643" s="28"/>
      <c r="W643" s="14"/>
      <c r="Y643" s="14"/>
      <c r="Z643" s="55"/>
      <c r="AA643" t="b">
        <v>0</v>
      </c>
      <c r="AC643" t="b">
        <v>0</v>
      </c>
      <c r="AE643" t="b">
        <v>0</v>
      </c>
      <c r="AG643" t="b">
        <v>0</v>
      </c>
      <c r="AJ643" s="14"/>
      <c r="AL643" s="14"/>
    </row>
    <row r="644">
      <c r="A644" s="15"/>
      <c r="B644" s="7"/>
      <c r="C644" s="16"/>
      <c r="E644" s="9"/>
      <c r="G644" s="16"/>
      <c r="I644" s="9"/>
      <c r="K644" s="16"/>
      <c r="M644" s="9"/>
      <c r="O644" s="16"/>
      <c r="Q644" s="7"/>
      <c r="R644" s="25"/>
      <c r="S644" s="28"/>
      <c r="U644" s="28"/>
      <c r="W644" s="14"/>
      <c r="Y644" s="14"/>
      <c r="Z644" s="55"/>
      <c r="AA644" t="b">
        <v>0</v>
      </c>
      <c r="AC644" t="b">
        <v>0</v>
      </c>
      <c r="AE644" t="b">
        <v>0</v>
      </c>
      <c r="AG644" t="b">
        <v>0</v>
      </c>
      <c r="AJ644" s="14"/>
      <c r="AL644" s="14"/>
    </row>
    <row r="645">
      <c r="A645" s="15"/>
      <c r="B645" s="7"/>
      <c r="C645" s="16"/>
      <c r="E645" s="9"/>
      <c r="G645" s="16"/>
      <c r="I645" s="9"/>
      <c r="K645" s="16"/>
      <c r="M645" s="9"/>
      <c r="O645" s="16"/>
      <c r="Q645" s="7"/>
      <c r="R645" s="25"/>
      <c r="S645" s="28"/>
      <c r="U645" s="28"/>
      <c r="W645" s="14"/>
      <c r="Y645" s="14"/>
      <c r="Z645" s="55"/>
      <c r="AA645" t="b">
        <v>0</v>
      </c>
      <c r="AC645" t="b">
        <v>0</v>
      </c>
      <c r="AE645" t="b">
        <v>0</v>
      </c>
      <c r="AG645" t="b">
        <v>0</v>
      </c>
      <c r="AJ645" s="14"/>
      <c r="AL645" s="14"/>
    </row>
    <row r="646">
      <c r="A646" s="15"/>
      <c r="B646" s="7"/>
      <c r="C646" s="16"/>
      <c r="E646" s="9"/>
      <c r="G646" s="16"/>
      <c r="I646" s="9"/>
      <c r="K646" s="16"/>
      <c r="M646" s="9"/>
      <c r="O646" s="16"/>
      <c r="Q646" s="7"/>
      <c r="R646" s="25"/>
      <c r="S646" s="28"/>
      <c r="U646" s="28"/>
      <c r="W646" s="14"/>
      <c r="Y646" s="14"/>
      <c r="Z646" s="55"/>
      <c r="AA646" t="b">
        <v>0</v>
      </c>
      <c r="AC646" t="b">
        <v>0</v>
      </c>
      <c r="AE646" t="b">
        <v>0</v>
      </c>
      <c r="AG646" t="b">
        <v>0</v>
      </c>
      <c r="AJ646" s="14"/>
      <c r="AL646" s="14"/>
    </row>
    <row r="647">
      <c r="A647" s="15"/>
      <c r="B647" s="7"/>
      <c r="C647" s="16"/>
      <c r="E647" s="9"/>
      <c r="G647" s="16"/>
      <c r="I647" s="9"/>
      <c r="K647" s="16"/>
      <c r="M647" s="9"/>
      <c r="O647" s="16"/>
      <c r="Q647" s="7"/>
      <c r="R647" s="25"/>
      <c r="S647" s="28"/>
      <c r="U647" s="28"/>
      <c r="W647" s="14"/>
      <c r="Y647" s="14"/>
      <c r="Z647" s="55"/>
      <c r="AA647" t="b">
        <v>0</v>
      </c>
      <c r="AC647" t="b">
        <v>0</v>
      </c>
      <c r="AE647" t="b">
        <v>0</v>
      </c>
      <c r="AG647" t="b">
        <v>0</v>
      </c>
      <c r="AJ647" s="14"/>
      <c r="AL647" s="14"/>
    </row>
    <row r="648">
      <c r="A648" s="15"/>
      <c r="B648" s="7"/>
      <c r="C648" s="16"/>
      <c r="E648" s="9"/>
      <c r="G648" s="16"/>
      <c r="I648" s="9"/>
      <c r="K648" s="16"/>
      <c r="M648" s="9"/>
      <c r="O648" s="16"/>
      <c r="Q648" s="7"/>
      <c r="R648" s="25"/>
      <c r="S648" s="28"/>
      <c r="U648" s="28"/>
      <c r="W648" s="14"/>
      <c r="Y648" s="14"/>
      <c r="Z648" s="55"/>
      <c r="AA648" t="b">
        <v>0</v>
      </c>
      <c r="AC648" t="b">
        <v>0</v>
      </c>
      <c r="AE648" t="b">
        <v>0</v>
      </c>
      <c r="AG648" t="b">
        <v>0</v>
      </c>
      <c r="AJ648" s="14"/>
      <c r="AL648" s="14"/>
    </row>
    <row r="649">
      <c r="A649" s="15"/>
      <c r="B649" s="7"/>
      <c r="C649" s="16"/>
      <c r="E649" s="9"/>
      <c r="G649" s="16"/>
      <c r="I649" s="9"/>
      <c r="K649" s="16"/>
      <c r="M649" s="9"/>
      <c r="O649" s="16"/>
      <c r="Q649" s="7"/>
      <c r="R649" s="25"/>
      <c r="S649" s="28"/>
      <c r="U649" s="28"/>
      <c r="W649" s="14"/>
      <c r="Y649" s="14"/>
      <c r="Z649" s="55"/>
      <c r="AA649" t="b">
        <v>0</v>
      </c>
      <c r="AC649" t="b">
        <v>0</v>
      </c>
      <c r="AE649" t="b">
        <v>0</v>
      </c>
      <c r="AG649" t="b">
        <v>0</v>
      </c>
      <c r="AJ649" s="14"/>
      <c r="AL649" s="14"/>
    </row>
    <row r="650">
      <c r="A650" s="15"/>
      <c r="B650" s="7"/>
      <c r="C650" s="16"/>
      <c r="E650" s="9"/>
      <c r="G650" s="16"/>
      <c r="I650" s="9"/>
      <c r="K650" s="16"/>
      <c r="M650" s="9"/>
      <c r="O650" s="16"/>
      <c r="Q650" s="7"/>
      <c r="R650" s="25"/>
      <c r="S650" s="28"/>
      <c r="U650" s="28"/>
      <c r="W650" s="14"/>
      <c r="Y650" s="14"/>
      <c r="Z650" s="55"/>
      <c r="AA650" t="b">
        <v>0</v>
      </c>
      <c r="AC650" t="b">
        <v>0</v>
      </c>
      <c r="AE650" t="b">
        <v>0</v>
      </c>
      <c r="AG650" t="b">
        <v>0</v>
      </c>
      <c r="AJ650" s="14"/>
      <c r="AL650" s="14"/>
    </row>
    <row r="651">
      <c r="A651" s="15"/>
      <c r="B651" s="7"/>
      <c r="C651" s="16"/>
      <c r="E651" s="9"/>
      <c r="G651" s="16"/>
      <c r="I651" s="9"/>
      <c r="K651" s="16"/>
      <c r="M651" s="9"/>
      <c r="O651" s="16"/>
      <c r="Q651" s="7"/>
      <c r="R651" s="25"/>
      <c r="S651" s="28"/>
      <c r="U651" s="28"/>
      <c r="W651" s="14"/>
      <c r="Y651" s="14"/>
      <c r="Z651" s="55"/>
      <c r="AA651" t="b">
        <v>0</v>
      </c>
      <c r="AC651" t="b">
        <v>0</v>
      </c>
      <c r="AE651" t="b">
        <v>0</v>
      </c>
      <c r="AG651" t="b">
        <v>0</v>
      </c>
      <c r="AJ651" s="14"/>
      <c r="AL651" s="14"/>
    </row>
    <row r="652">
      <c r="A652" s="15"/>
      <c r="B652" s="7"/>
      <c r="C652" s="16"/>
      <c r="E652" s="9"/>
      <c r="G652" s="16"/>
      <c r="I652" s="9"/>
      <c r="K652" s="16"/>
      <c r="M652" s="9"/>
      <c r="O652" s="16"/>
      <c r="Q652" s="7"/>
      <c r="R652" s="25"/>
      <c r="S652" s="28"/>
      <c r="U652" s="28"/>
      <c r="W652" s="14"/>
      <c r="Y652" s="14"/>
      <c r="Z652" s="55"/>
      <c r="AA652" t="b">
        <v>0</v>
      </c>
      <c r="AC652" t="b">
        <v>0</v>
      </c>
      <c r="AE652" t="b">
        <v>0</v>
      </c>
      <c r="AG652" t="b">
        <v>0</v>
      </c>
      <c r="AJ652" s="14"/>
      <c r="AL652" s="14"/>
    </row>
    <row r="653">
      <c r="A653" s="15"/>
      <c r="B653" s="7"/>
      <c r="C653" s="16"/>
      <c r="E653" s="9"/>
      <c r="G653" s="16"/>
      <c r="I653" s="9"/>
      <c r="K653" s="16"/>
      <c r="M653" s="9"/>
      <c r="O653" s="16"/>
      <c r="Q653" s="7"/>
      <c r="R653" s="25"/>
      <c r="S653" s="28"/>
      <c r="U653" s="28"/>
      <c r="W653" s="14"/>
      <c r="Y653" s="14"/>
      <c r="Z653" s="55"/>
      <c r="AA653" t="b">
        <v>0</v>
      </c>
      <c r="AC653" t="b">
        <v>0</v>
      </c>
      <c r="AE653" t="b">
        <v>0</v>
      </c>
      <c r="AG653" t="b">
        <v>0</v>
      </c>
      <c r="AJ653" s="14"/>
      <c r="AL653" s="14"/>
    </row>
    <row r="654">
      <c r="A654" s="15"/>
      <c r="B654" s="7"/>
      <c r="C654" s="16"/>
      <c r="E654" s="9"/>
      <c r="G654" s="16"/>
      <c r="I654" s="9"/>
      <c r="K654" s="16"/>
      <c r="M654" s="9"/>
      <c r="O654" s="16"/>
      <c r="Q654" s="7"/>
      <c r="R654" s="25"/>
      <c r="S654" s="28"/>
      <c r="U654" s="28"/>
      <c r="W654" s="14"/>
      <c r="Y654" s="14"/>
      <c r="Z654" s="55"/>
      <c r="AA654" t="b">
        <v>0</v>
      </c>
      <c r="AC654" t="b">
        <v>0</v>
      </c>
      <c r="AE654" t="b">
        <v>0</v>
      </c>
      <c r="AG654" t="b">
        <v>0</v>
      </c>
      <c r="AJ654" s="14"/>
      <c r="AL654" s="14"/>
    </row>
    <row r="655">
      <c r="A655" s="15"/>
      <c r="B655" s="7"/>
      <c r="C655" s="16"/>
      <c r="E655" s="9"/>
      <c r="G655" s="16"/>
      <c r="I655" s="9"/>
      <c r="K655" s="16"/>
      <c r="M655" s="9"/>
      <c r="O655" s="16"/>
      <c r="Q655" s="7"/>
      <c r="R655" s="25"/>
      <c r="S655" s="28"/>
      <c r="U655" s="28"/>
      <c r="W655" s="14"/>
      <c r="Y655" s="14"/>
      <c r="Z655" s="55"/>
      <c r="AA655" t="b">
        <v>0</v>
      </c>
      <c r="AC655" t="b">
        <v>0</v>
      </c>
      <c r="AE655" t="b">
        <v>0</v>
      </c>
      <c r="AG655" t="b">
        <v>0</v>
      </c>
      <c r="AJ655" s="14"/>
      <c r="AL655" s="14"/>
    </row>
    <row r="656">
      <c r="A656" s="15"/>
      <c r="B656" s="7"/>
      <c r="C656" s="16"/>
      <c r="E656" s="9"/>
      <c r="G656" s="16"/>
      <c r="I656" s="9"/>
      <c r="K656" s="16"/>
      <c r="M656" s="9"/>
      <c r="O656" s="16"/>
      <c r="Q656" s="7"/>
      <c r="R656" s="25"/>
      <c r="S656" s="28"/>
      <c r="U656" s="28"/>
      <c r="W656" s="14"/>
      <c r="Y656" s="14"/>
      <c r="Z656" s="55"/>
      <c r="AA656" t="b">
        <v>0</v>
      </c>
      <c r="AC656" t="b">
        <v>0</v>
      </c>
      <c r="AE656" t="b">
        <v>0</v>
      </c>
      <c r="AG656" t="b">
        <v>0</v>
      </c>
      <c r="AJ656" s="14"/>
      <c r="AL656" s="14"/>
    </row>
    <row r="657">
      <c r="A657" s="15"/>
      <c r="B657" s="7"/>
      <c r="C657" s="16"/>
      <c r="E657" s="9"/>
      <c r="G657" s="16"/>
      <c r="I657" s="9"/>
      <c r="K657" s="16"/>
      <c r="M657" s="9"/>
      <c r="O657" s="16"/>
      <c r="Q657" s="7"/>
      <c r="R657" s="25"/>
      <c r="S657" s="28"/>
      <c r="U657" s="28"/>
      <c r="W657" s="14"/>
      <c r="Y657" s="14"/>
      <c r="Z657" s="55"/>
      <c r="AA657" t="b">
        <v>0</v>
      </c>
      <c r="AC657" t="b">
        <v>0</v>
      </c>
      <c r="AE657" t="b">
        <v>0</v>
      </c>
      <c r="AG657" t="b">
        <v>0</v>
      </c>
      <c r="AJ657" s="14"/>
      <c r="AL657" s="14"/>
    </row>
    <row r="658">
      <c r="A658" s="15"/>
      <c r="B658" s="7"/>
      <c r="C658" s="16"/>
      <c r="E658" s="9"/>
      <c r="G658" s="16"/>
      <c r="I658" s="9"/>
      <c r="K658" s="16"/>
      <c r="M658" s="9"/>
      <c r="O658" s="16"/>
      <c r="Q658" s="7"/>
      <c r="R658" s="25"/>
      <c r="S658" s="28"/>
      <c r="U658" s="28"/>
      <c r="W658" s="14"/>
      <c r="Y658" s="14"/>
      <c r="Z658" s="55"/>
      <c r="AA658" t="b">
        <v>0</v>
      </c>
      <c r="AC658" t="b">
        <v>0</v>
      </c>
      <c r="AE658" t="b">
        <v>0</v>
      </c>
      <c r="AG658" t="b">
        <v>0</v>
      </c>
      <c r="AJ658" s="14"/>
      <c r="AL658" s="14"/>
    </row>
    <row r="659">
      <c r="A659" s="15"/>
      <c r="B659" s="7"/>
      <c r="C659" s="16"/>
      <c r="E659" s="9"/>
      <c r="G659" s="16"/>
      <c r="I659" s="9"/>
      <c r="K659" s="16"/>
      <c r="M659" s="9"/>
      <c r="O659" s="16"/>
      <c r="Q659" s="7"/>
      <c r="R659" s="25"/>
      <c r="S659" s="28"/>
      <c r="U659" s="28"/>
      <c r="W659" s="14"/>
      <c r="Y659" s="14"/>
      <c r="Z659" s="55"/>
      <c r="AA659" t="b">
        <v>0</v>
      </c>
      <c r="AC659" t="b">
        <v>0</v>
      </c>
      <c r="AE659" t="b">
        <v>0</v>
      </c>
      <c r="AG659" t="b">
        <v>0</v>
      </c>
      <c r="AJ659" s="14"/>
      <c r="AL659" s="14"/>
    </row>
    <row r="660">
      <c r="A660" s="15"/>
      <c r="B660" s="7"/>
      <c r="C660" s="16"/>
      <c r="E660" s="9"/>
      <c r="G660" s="16"/>
      <c r="I660" s="9"/>
      <c r="K660" s="16"/>
      <c r="M660" s="9"/>
      <c r="O660" s="16"/>
      <c r="Q660" s="7"/>
      <c r="R660" s="25"/>
      <c r="S660" s="28"/>
      <c r="U660" s="28"/>
      <c r="W660" s="14"/>
      <c r="Y660" s="14"/>
      <c r="Z660" s="55"/>
      <c r="AA660" t="b">
        <v>0</v>
      </c>
      <c r="AC660" t="b">
        <v>0</v>
      </c>
      <c r="AE660" t="b">
        <v>0</v>
      </c>
      <c r="AG660" t="b">
        <v>0</v>
      </c>
      <c r="AJ660" s="14"/>
      <c r="AL660" s="14"/>
    </row>
    <row r="661">
      <c r="A661" s="15"/>
      <c r="B661" s="7"/>
      <c r="C661" s="16"/>
      <c r="E661" s="9"/>
      <c r="G661" s="16"/>
      <c r="I661" s="9"/>
      <c r="K661" s="16"/>
      <c r="M661" s="9"/>
      <c r="O661" s="16"/>
      <c r="Q661" s="7"/>
      <c r="R661" s="25"/>
      <c r="S661" s="28"/>
      <c r="U661" s="28"/>
      <c r="W661" s="14"/>
      <c r="Y661" s="14"/>
      <c r="Z661" s="55"/>
      <c r="AA661" t="b">
        <v>0</v>
      </c>
      <c r="AC661" t="b">
        <v>0</v>
      </c>
      <c r="AE661" t="b">
        <v>0</v>
      </c>
      <c r="AG661" t="b">
        <v>0</v>
      </c>
      <c r="AJ661" s="14"/>
      <c r="AL661" s="14"/>
    </row>
    <row r="662">
      <c r="A662" s="15"/>
      <c r="B662" s="7"/>
      <c r="C662" s="16"/>
      <c r="E662" s="9"/>
      <c r="G662" s="16"/>
      <c r="I662" s="9"/>
      <c r="K662" s="16"/>
      <c r="M662" s="9"/>
      <c r="O662" s="16"/>
      <c r="Q662" s="7"/>
      <c r="R662" s="25"/>
      <c r="S662" s="28"/>
      <c r="U662" s="28"/>
      <c r="W662" s="14"/>
      <c r="Y662" s="14"/>
      <c r="Z662" s="55"/>
      <c r="AA662" t="b">
        <v>0</v>
      </c>
      <c r="AC662" t="b">
        <v>0</v>
      </c>
      <c r="AE662" t="b">
        <v>0</v>
      </c>
      <c r="AG662" t="b">
        <v>0</v>
      </c>
      <c r="AJ662" s="14"/>
      <c r="AL662" s="14"/>
    </row>
    <row r="663">
      <c r="A663" s="15"/>
      <c r="B663" s="7"/>
      <c r="C663" s="16"/>
      <c r="E663" s="9"/>
      <c r="G663" s="16"/>
      <c r="I663" s="9"/>
      <c r="K663" s="16"/>
      <c r="M663" s="9"/>
      <c r="O663" s="16"/>
      <c r="Q663" s="7"/>
      <c r="R663" s="25"/>
      <c r="S663" s="28"/>
      <c r="U663" s="28"/>
      <c r="W663" s="14"/>
      <c r="Y663" s="14"/>
      <c r="Z663" s="55"/>
      <c r="AA663" t="b">
        <v>0</v>
      </c>
      <c r="AC663" t="b">
        <v>0</v>
      </c>
      <c r="AE663" t="b">
        <v>0</v>
      </c>
      <c r="AG663" t="b">
        <v>0</v>
      </c>
      <c r="AJ663" s="14"/>
      <c r="AL663" s="14"/>
    </row>
    <row r="664">
      <c r="A664" s="15"/>
      <c r="B664" s="7"/>
      <c r="C664" s="16"/>
      <c r="E664" s="9"/>
      <c r="G664" s="16"/>
      <c r="I664" s="9"/>
      <c r="K664" s="16"/>
      <c r="M664" s="9"/>
      <c r="O664" s="16"/>
      <c r="Q664" s="7"/>
      <c r="R664" s="25"/>
      <c r="S664" s="28"/>
      <c r="U664" s="28"/>
      <c r="W664" s="14"/>
      <c r="Y664" s="14"/>
      <c r="Z664" s="55"/>
      <c r="AA664" t="b">
        <v>0</v>
      </c>
      <c r="AC664" t="b">
        <v>0</v>
      </c>
      <c r="AE664" t="b">
        <v>0</v>
      </c>
      <c r="AG664" t="b">
        <v>0</v>
      </c>
      <c r="AJ664" s="14"/>
      <c r="AL664" s="14"/>
    </row>
    <row r="665">
      <c r="A665" s="15"/>
      <c r="B665" s="7"/>
      <c r="C665" s="16"/>
      <c r="E665" s="9"/>
      <c r="G665" s="16"/>
      <c r="I665" s="9"/>
      <c r="K665" s="16"/>
      <c r="M665" s="9"/>
      <c r="O665" s="16"/>
      <c r="Q665" s="7"/>
      <c r="R665" s="25"/>
      <c r="S665" s="28"/>
      <c r="U665" s="28"/>
      <c r="W665" s="14"/>
      <c r="Y665" s="14"/>
      <c r="Z665" s="55"/>
      <c r="AA665" t="b">
        <v>0</v>
      </c>
      <c r="AC665" t="b">
        <v>0</v>
      </c>
      <c r="AE665" t="b">
        <v>0</v>
      </c>
      <c r="AG665" t="b">
        <v>0</v>
      </c>
      <c r="AJ665" s="14"/>
      <c r="AL665" s="14"/>
    </row>
    <row r="666">
      <c r="A666" s="15"/>
      <c r="B666" s="7"/>
      <c r="C666" s="16"/>
      <c r="E666" s="9"/>
      <c r="G666" s="16"/>
      <c r="I666" s="9"/>
      <c r="K666" s="16"/>
      <c r="M666" s="9"/>
      <c r="O666" s="16"/>
      <c r="Q666" s="7"/>
      <c r="R666" s="25"/>
      <c r="S666" s="28"/>
      <c r="U666" s="28"/>
      <c r="W666" s="14"/>
      <c r="Y666" s="14"/>
      <c r="Z666" s="55"/>
      <c r="AA666" t="b">
        <v>0</v>
      </c>
      <c r="AC666" t="b">
        <v>0</v>
      </c>
      <c r="AE666" t="b">
        <v>0</v>
      </c>
      <c r="AG666" t="b">
        <v>0</v>
      </c>
      <c r="AJ666" s="14"/>
      <c r="AL666" s="14"/>
    </row>
    <row r="667">
      <c r="A667" s="15"/>
      <c r="B667" s="7"/>
      <c r="C667" s="16"/>
      <c r="E667" s="9"/>
      <c r="G667" s="16"/>
      <c r="I667" s="9"/>
      <c r="K667" s="16"/>
      <c r="M667" s="9"/>
      <c r="O667" s="16"/>
      <c r="Q667" s="7"/>
      <c r="R667" s="25"/>
      <c r="S667" s="28"/>
      <c r="U667" s="28"/>
      <c r="W667" s="14"/>
      <c r="Y667" s="14"/>
      <c r="Z667" s="55"/>
      <c r="AA667" t="b">
        <v>0</v>
      </c>
      <c r="AC667" t="b">
        <v>0</v>
      </c>
      <c r="AE667" t="b">
        <v>0</v>
      </c>
      <c r="AG667" t="b">
        <v>0</v>
      </c>
      <c r="AJ667" s="14"/>
      <c r="AL667" s="14"/>
    </row>
    <row r="668">
      <c r="A668" s="15"/>
      <c r="B668" s="7"/>
      <c r="C668" s="16"/>
      <c r="E668" s="9"/>
      <c r="G668" s="16"/>
      <c r="I668" s="9"/>
      <c r="K668" s="16"/>
      <c r="M668" s="9"/>
      <c r="O668" s="16"/>
      <c r="Q668" s="7"/>
      <c r="R668" s="25"/>
      <c r="S668" s="28"/>
      <c r="U668" s="28"/>
      <c r="W668" s="14"/>
      <c r="Y668" s="14"/>
      <c r="Z668" s="55"/>
      <c r="AA668" t="b">
        <v>0</v>
      </c>
      <c r="AC668" t="b">
        <v>0</v>
      </c>
      <c r="AE668" t="b">
        <v>0</v>
      </c>
      <c r="AG668" t="b">
        <v>0</v>
      </c>
      <c r="AJ668" s="14"/>
      <c r="AL668" s="14"/>
    </row>
    <row r="669">
      <c r="A669" s="15"/>
      <c r="B669" s="7"/>
      <c r="C669" s="16"/>
      <c r="E669" s="9"/>
      <c r="G669" s="16"/>
      <c r="I669" s="9"/>
      <c r="K669" s="16"/>
      <c r="M669" s="9"/>
      <c r="O669" s="16"/>
      <c r="Q669" s="7"/>
      <c r="R669" s="25"/>
      <c r="S669" s="28"/>
      <c r="U669" s="28"/>
      <c r="W669" s="14"/>
      <c r="Y669" s="14"/>
      <c r="Z669" s="55"/>
      <c r="AA669" t="b">
        <v>0</v>
      </c>
      <c r="AC669" t="b">
        <v>0</v>
      </c>
      <c r="AE669" t="b">
        <v>0</v>
      </c>
      <c r="AG669" t="b">
        <v>0</v>
      </c>
      <c r="AJ669" s="14"/>
      <c r="AL669" s="14"/>
    </row>
    <row r="670">
      <c r="A670" s="15"/>
      <c r="B670" s="7"/>
      <c r="C670" s="16"/>
      <c r="E670" s="9"/>
      <c r="G670" s="16"/>
      <c r="I670" s="9"/>
      <c r="K670" s="16"/>
      <c r="M670" s="9"/>
      <c r="O670" s="16"/>
      <c r="Q670" s="7"/>
      <c r="R670" s="25"/>
      <c r="S670" s="28"/>
      <c r="U670" s="28"/>
      <c r="W670" s="14"/>
      <c r="Y670" s="14"/>
      <c r="Z670" s="55"/>
      <c r="AA670" t="b">
        <v>0</v>
      </c>
      <c r="AC670" t="b">
        <v>0</v>
      </c>
      <c r="AE670" t="b">
        <v>0</v>
      </c>
      <c r="AG670" t="b">
        <v>0</v>
      </c>
      <c r="AJ670" s="14"/>
      <c r="AL670" s="14"/>
    </row>
    <row r="671">
      <c r="A671" s="15"/>
      <c r="B671" s="7"/>
      <c r="C671" s="16"/>
      <c r="E671" s="9"/>
      <c r="G671" s="16"/>
      <c r="I671" s="9"/>
      <c r="K671" s="16"/>
      <c r="M671" s="9"/>
      <c r="O671" s="16"/>
      <c r="Q671" s="7"/>
      <c r="R671" s="25"/>
      <c r="S671" s="28"/>
      <c r="U671" s="28"/>
      <c r="W671" s="14"/>
      <c r="Y671" s="14"/>
      <c r="Z671" s="55"/>
      <c r="AA671" t="b">
        <v>0</v>
      </c>
      <c r="AC671" t="b">
        <v>0</v>
      </c>
      <c r="AE671" t="b">
        <v>0</v>
      </c>
      <c r="AG671" t="b">
        <v>0</v>
      </c>
      <c r="AJ671" s="14"/>
      <c r="AL671" s="14"/>
    </row>
    <row r="672">
      <c r="A672" s="15"/>
      <c r="B672" s="7"/>
      <c r="C672" s="16"/>
      <c r="E672" s="9"/>
      <c r="G672" s="16"/>
      <c r="I672" s="9"/>
      <c r="K672" s="16"/>
      <c r="M672" s="9"/>
      <c r="O672" s="16"/>
      <c r="Q672" s="7"/>
      <c r="R672" s="25"/>
      <c r="S672" s="28"/>
      <c r="U672" s="28"/>
      <c r="W672" s="14"/>
      <c r="Y672" s="14"/>
      <c r="Z672" s="55"/>
      <c r="AA672" t="b">
        <v>0</v>
      </c>
      <c r="AC672" t="b">
        <v>0</v>
      </c>
      <c r="AE672" t="b">
        <v>0</v>
      </c>
      <c r="AG672" t="b">
        <v>0</v>
      </c>
      <c r="AJ672" s="14"/>
      <c r="AL672" s="14"/>
    </row>
    <row r="673">
      <c r="A673" s="15"/>
      <c r="B673" s="7"/>
      <c r="C673" s="16"/>
      <c r="E673" s="9"/>
      <c r="G673" s="16"/>
      <c r="I673" s="9"/>
      <c r="K673" s="16"/>
      <c r="M673" s="9"/>
      <c r="O673" s="16"/>
      <c r="Q673" s="7"/>
      <c r="R673" s="25"/>
      <c r="S673" s="28"/>
      <c r="U673" s="28"/>
      <c r="W673" s="14"/>
      <c r="Y673" s="14"/>
      <c r="Z673" s="55"/>
      <c r="AA673" t="b">
        <v>0</v>
      </c>
      <c r="AC673" t="b">
        <v>0</v>
      </c>
      <c r="AE673" t="b">
        <v>0</v>
      </c>
      <c r="AG673" t="b">
        <v>0</v>
      </c>
      <c r="AJ673" s="14"/>
      <c r="AL673" s="14"/>
    </row>
    <row r="674">
      <c r="A674" s="15"/>
      <c r="B674" s="7"/>
      <c r="C674" s="16"/>
      <c r="E674" s="9"/>
      <c r="G674" s="16"/>
      <c r="I674" s="9"/>
      <c r="K674" s="16"/>
      <c r="M674" s="9"/>
      <c r="O674" s="16"/>
      <c r="Q674" s="7"/>
      <c r="R674" s="25"/>
      <c r="S674" s="28"/>
      <c r="U674" s="28"/>
      <c r="W674" s="14"/>
      <c r="Y674" s="14"/>
      <c r="Z674" s="55"/>
      <c r="AA674" t="b">
        <v>0</v>
      </c>
      <c r="AC674" t="b">
        <v>0</v>
      </c>
      <c r="AE674" t="b">
        <v>0</v>
      </c>
      <c r="AG674" t="b">
        <v>0</v>
      </c>
      <c r="AJ674" s="14"/>
      <c r="AL674" s="14"/>
    </row>
    <row r="675">
      <c r="A675" s="15"/>
      <c r="B675" s="7"/>
      <c r="C675" s="16"/>
      <c r="E675" s="9"/>
      <c r="G675" s="16"/>
      <c r="I675" s="9"/>
      <c r="K675" s="16"/>
      <c r="M675" s="9"/>
      <c r="O675" s="16"/>
      <c r="Q675" s="7"/>
      <c r="R675" s="25"/>
      <c r="S675" s="28"/>
      <c r="U675" s="28"/>
      <c r="W675" s="14"/>
      <c r="Y675" s="14"/>
      <c r="Z675" s="55"/>
      <c r="AA675" t="b">
        <v>0</v>
      </c>
      <c r="AC675" t="b">
        <v>0</v>
      </c>
      <c r="AE675" t="b">
        <v>0</v>
      </c>
      <c r="AG675" t="b">
        <v>0</v>
      </c>
      <c r="AJ675" s="14"/>
      <c r="AL675" s="14"/>
    </row>
    <row r="676">
      <c r="A676" s="15"/>
      <c r="B676" s="7"/>
      <c r="C676" s="16"/>
      <c r="E676" s="9"/>
      <c r="G676" s="16"/>
      <c r="I676" s="9"/>
      <c r="K676" s="16"/>
      <c r="M676" s="9"/>
      <c r="O676" s="16"/>
      <c r="Q676" s="7"/>
      <c r="R676" s="25"/>
      <c r="S676" s="28"/>
      <c r="U676" s="28"/>
      <c r="W676" s="14"/>
      <c r="Y676" s="14"/>
      <c r="Z676" s="55"/>
      <c r="AA676" t="b">
        <v>0</v>
      </c>
      <c r="AC676" t="b">
        <v>0</v>
      </c>
      <c r="AE676" t="b">
        <v>0</v>
      </c>
      <c r="AG676" t="b">
        <v>0</v>
      </c>
      <c r="AJ676" s="14"/>
      <c r="AL676" s="14"/>
    </row>
    <row r="677">
      <c r="A677" s="15"/>
      <c r="B677" s="7"/>
      <c r="C677" s="16"/>
      <c r="E677" s="9"/>
      <c r="G677" s="16"/>
      <c r="I677" s="9"/>
      <c r="K677" s="16"/>
      <c r="M677" s="9"/>
      <c r="O677" s="16"/>
      <c r="Q677" s="7"/>
      <c r="R677" s="25"/>
      <c r="S677" s="28"/>
      <c r="U677" s="28"/>
      <c r="W677" s="14"/>
      <c r="Y677" s="14"/>
      <c r="Z677" s="55"/>
      <c r="AA677" t="b">
        <v>0</v>
      </c>
      <c r="AC677" t="b">
        <v>0</v>
      </c>
      <c r="AE677" t="b">
        <v>0</v>
      </c>
      <c r="AG677" t="b">
        <v>0</v>
      </c>
      <c r="AJ677" s="14"/>
      <c r="AL677" s="14"/>
    </row>
    <row r="678">
      <c r="A678" s="15"/>
      <c r="B678" s="7"/>
      <c r="C678" s="16"/>
      <c r="E678" s="9"/>
      <c r="G678" s="16"/>
      <c r="I678" s="9"/>
      <c r="K678" s="16"/>
      <c r="M678" s="9"/>
      <c r="O678" s="16"/>
      <c r="Q678" s="7"/>
      <c r="R678" s="25"/>
      <c r="S678" s="28"/>
      <c r="U678" s="28"/>
      <c r="W678" s="14"/>
      <c r="Y678" s="14"/>
      <c r="Z678" s="55"/>
      <c r="AA678" t="b">
        <v>0</v>
      </c>
      <c r="AC678" t="b">
        <v>0</v>
      </c>
      <c r="AE678" t="b">
        <v>0</v>
      </c>
      <c r="AG678" t="b">
        <v>0</v>
      </c>
      <c r="AJ678" s="14"/>
      <c r="AL678" s="14"/>
    </row>
    <row r="679">
      <c r="A679" s="15"/>
      <c r="B679" s="7"/>
      <c r="C679" s="16"/>
      <c r="E679" s="9"/>
      <c r="G679" s="16"/>
      <c r="I679" s="9"/>
      <c r="K679" s="16"/>
      <c r="M679" s="9"/>
      <c r="O679" s="16"/>
      <c r="Q679" s="7"/>
      <c r="R679" s="25"/>
      <c r="S679" s="28"/>
      <c r="U679" s="28"/>
      <c r="W679" s="14"/>
      <c r="Y679" s="14"/>
      <c r="Z679" s="55"/>
      <c r="AA679" t="b">
        <v>0</v>
      </c>
      <c r="AC679" t="b">
        <v>0</v>
      </c>
      <c r="AE679" t="b">
        <v>0</v>
      </c>
      <c r="AG679" t="b">
        <v>0</v>
      </c>
      <c r="AJ679" s="14"/>
      <c r="AL679" s="14"/>
    </row>
    <row r="680">
      <c r="A680" s="15"/>
      <c r="B680" s="7"/>
      <c r="C680" s="16"/>
      <c r="E680" s="9"/>
      <c r="G680" s="16"/>
      <c r="I680" s="9"/>
      <c r="K680" s="16"/>
      <c r="M680" s="9"/>
      <c r="O680" s="16"/>
      <c r="Q680" s="7"/>
      <c r="R680" s="25"/>
      <c r="S680" s="28"/>
      <c r="U680" s="28"/>
      <c r="W680" s="14"/>
      <c r="Y680" s="14"/>
      <c r="Z680" s="55"/>
      <c r="AA680" t="b">
        <v>0</v>
      </c>
      <c r="AC680" t="b">
        <v>0</v>
      </c>
      <c r="AE680" t="b">
        <v>0</v>
      </c>
      <c r="AG680" t="b">
        <v>0</v>
      </c>
      <c r="AJ680" s="14"/>
      <c r="AL680" s="14"/>
    </row>
    <row r="681">
      <c r="A681" s="15"/>
      <c r="B681" s="7"/>
      <c r="C681" s="16"/>
      <c r="E681" s="9"/>
      <c r="G681" s="16"/>
      <c r="I681" s="9"/>
      <c r="K681" s="16"/>
      <c r="M681" s="9"/>
      <c r="O681" s="16"/>
      <c r="Q681" s="7"/>
      <c r="R681" s="25"/>
      <c r="S681" s="28"/>
      <c r="U681" s="28"/>
      <c r="W681" s="14"/>
      <c r="Y681" s="14"/>
      <c r="Z681" s="55"/>
      <c r="AA681" t="b">
        <v>0</v>
      </c>
      <c r="AC681" t="b">
        <v>0</v>
      </c>
      <c r="AE681" t="b">
        <v>0</v>
      </c>
      <c r="AG681" t="b">
        <v>0</v>
      </c>
      <c r="AJ681" s="14"/>
      <c r="AL681" s="14"/>
    </row>
    <row r="682">
      <c r="A682" s="15"/>
      <c r="B682" s="7"/>
      <c r="C682" s="16"/>
      <c r="E682" s="9"/>
      <c r="G682" s="16"/>
      <c r="I682" s="9"/>
      <c r="K682" s="16"/>
      <c r="M682" s="9"/>
      <c r="O682" s="16"/>
      <c r="Q682" s="7"/>
      <c r="R682" s="25"/>
      <c r="S682" s="28"/>
      <c r="U682" s="28"/>
      <c r="W682" s="14"/>
      <c r="Y682" s="14"/>
      <c r="Z682" s="55"/>
      <c r="AA682" t="b">
        <v>0</v>
      </c>
      <c r="AC682" t="b">
        <v>0</v>
      </c>
      <c r="AE682" t="b">
        <v>0</v>
      </c>
      <c r="AG682" t="b">
        <v>0</v>
      </c>
      <c r="AJ682" s="14"/>
      <c r="AL682" s="14"/>
    </row>
    <row r="683">
      <c r="A683" s="15"/>
      <c r="B683" s="7"/>
      <c r="C683" s="16"/>
      <c r="E683" s="9"/>
      <c r="G683" s="16"/>
      <c r="I683" s="9"/>
      <c r="K683" s="16"/>
      <c r="M683" s="9"/>
      <c r="O683" s="16"/>
      <c r="Q683" s="7"/>
      <c r="R683" s="25"/>
      <c r="S683" s="28"/>
      <c r="U683" s="28"/>
      <c r="W683" s="14"/>
      <c r="Y683" s="14"/>
      <c r="Z683" s="55"/>
      <c r="AA683" t="b">
        <v>0</v>
      </c>
      <c r="AC683" t="b">
        <v>0</v>
      </c>
      <c r="AE683" t="b">
        <v>0</v>
      </c>
      <c r="AG683" t="b">
        <v>0</v>
      </c>
      <c r="AJ683" s="14"/>
      <c r="AL683" s="14"/>
    </row>
    <row r="684">
      <c r="A684" s="15"/>
      <c r="B684" s="7"/>
      <c r="C684" s="16"/>
      <c r="E684" s="9"/>
      <c r="G684" s="16"/>
      <c r="I684" s="9"/>
      <c r="K684" s="16"/>
      <c r="M684" s="9"/>
      <c r="O684" s="16"/>
      <c r="Q684" s="7"/>
      <c r="R684" s="25"/>
      <c r="S684" s="28"/>
      <c r="U684" s="28"/>
      <c r="W684" s="14"/>
      <c r="Y684" s="14"/>
      <c r="Z684" s="55"/>
      <c r="AA684" t="b">
        <v>0</v>
      </c>
      <c r="AC684" t="b">
        <v>0</v>
      </c>
      <c r="AE684" t="b">
        <v>0</v>
      </c>
      <c r="AG684" t="b">
        <v>0</v>
      </c>
      <c r="AJ684" s="14"/>
      <c r="AL684" s="14"/>
    </row>
    <row r="685">
      <c r="A685" s="15"/>
      <c r="B685" s="7"/>
      <c r="C685" s="16"/>
      <c r="E685" s="9"/>
      <c r="G685" s="16"/>
      <c r="I685" s="9"/>
      <c r="K685" s="16"/>
      <c r="M685" s="9"/>
      <c r="O685" s="16"/>
      <c r="Q685" s="7"/>
      <c r="R685" s="25"/>
      <c r="S685" s="28"/>
      <c r="U685" s="28"/>
      <c r="W685" s="14"/>
      <c r="Y685" s="14"/>
      <c r="Z685" s="55"/>
      <c r="AA685" t="b">
        <v>0</v>
      </c>
      <c r="AC685" t="b">
        <v>0</v>
      </c>
      <c r="AE685" t="b">
        <v>0</v>
      </c>
      <c r="AG685" t="b">
        <v>0</v>
      </c>
      <c r="AJ685" s="14"/>
      <c r="AL685" s="14"/>
    </row>
    <row r="686">
      <c r="A686" s="15"/>
      <c r="B686" s="7"/>
      <c r="C686" s="16"/>
      <c r="E686" s="9"/>
      <c r="G686" s="16"/>
      <c r="I686" s="9"/>
      <c r="K686" s="16"/>
      <c r="M686" s="9"/>
      <c r="O686" s="16"/>
      <c r="Q686" s="7"/>
      <c r="R686" s="25"/>
      <c r="S686" s="28"/>
      <c r="U686" s="28"/>
      <c r="W686" s="14"/>
      <c r="Y686" s="14"/>
      <c r="Z686" s="55"/>
      <c r="AA686" t="b">
        <v>0</v>
      </c>
      <c r="AC686" t="b">
        <v>0</v>
      </c>
      <c r="AE686" t="b">
        <v>0</v>
      </c>
      <c r="AG686" t="b">
        <v>0</v>
      </c>
      <c r="AJ686" s="14"/>
      <c r="AL686" s="14"/>
    </row>
    <row r="687">
      <c r="A687" s="15"/>
      <c r="B687" s="7"/>
      <c r="C687" s="16"/>
      <c r="E687" s="9"/>
      <c r="G687" s="16"/>
      <c r="I687" s="9"/>
      <c r="K687" s="16"/>
      <c r="M687" s="9"/>
      <c r="O687" s="16"/>
      <c r="Q687" s="7"/>
      <c r="R687" s="25"/>
      <c r="S687" s="28"/>
      <c r="U687" s="28"/>
      <c r="W687" s="14"/>
      <c r="Y687" s="14"/>
      <c r="Z687" s="55"/>
      <c r="AA687" t="b">
        <v>0</v>
      </c>
      <c r="AC687" t="b">
        <v>0</v>
      </c>
      <c r="AE687" t="b">
        <v>0</v>
      </c>
      <c r="AG687" t="b">
        <v>0</v>
      </c>
      <c r="AJ687" s="14"/>
      <c r="AL687" s="14"/>
    </row>
    <row r="688">
      <c r="A688" s="15"/>
      <c r="B688" s="7"/>
      <c r="C688" s="16"/>
      <c r="E688" s="9"/>
      <c r="G688" s="16"/>
      <c r="I688" s="9"/>
      <c r="K688" s="16"/>
      <c r="M688" s="9"/>
      <c r="O688" s="16"/>
      <c r="Q688" s="7"/>
      <c r="R688" s="25"/>
      <c r="S688" s="28"/>
      <c r="U688" s="28"/>
      <c r="W688" s="14"/>
      <c r="Y688" s="14"/>
      <c r="Z688" s="55"/>
      <c r="AA688" t="b">
        <v>0</v>
      </c>
      <c r="AC688" t="b">
        <v>0</v>
      </c>
      <c r="AE688" t="b">
        <v>0</v>
      </c>
      <c r="AG688" t="b">
        <v>0</v>
      </c>
      <c r="AJ688" s="14"/>
      <c r="AL688" s="14"/>
    </row>
    <row r="689">
      <c r="A689" s="15"/>
      <c r="B689" s="7"/>
      <c r="C689" s="16"/>
      <c r="E689" s="9"/>
      <c r="G689" s="16"/>
      <c r="I689" s="9"/>
      <c r="K689" s="16"/>
      <c r="M689" s="9"/>
      <c r="O689" s="16"/>
      <c r="Q689" s="7"/>
      <c r="R689" s="25"/>
      <c r="S689" s="28"/>
      <c r="U689" s="28"/>
      <c r="W689" s="14"/>
      <c r="Y689" s="14"/>
      <c r="Z689" s="55"/>
      <c r="AA689" t="b">
        <v>0</v>
      </c>
      <c r="AC689" t="b">
        <v>0</v>
      </c>
      <c r="AE689" t="b">
        <v>0</v>
      </c>
      <c r="AG689" t="b">
        <v>0</v>
      </c>
      <c r="AJ689" s="14"/>
      <c r="AL689" s="14"/>
    </row>
    <row r="690">
      <c r="A690" s="15"/>
      <c r="B690" s="7"/>
      <c r="C690" s="16"/>
      <c r="E690" s="9"/>
      <c r="G690" s="16"/>
      <c r="I690" s="9"/>
      <c r="K690" s="16"/>
      <c r="M690" s="9"/>
      <c r="O690" s="16"/>
      <c r="Q690" s="7"/>
      <c r="R690" s="25"/>
      <c r="S690" s="28"/>
      <c r="U690" s="28"/>
      <c r="W690" s="14"/>
      <c r="Y690" s="14"/>
      <c r="Z690" s="55"/>
      <c r="AA690" t="b">
        <v>0</v>
      </c>
      <c r="AC690" t="b">
        <v>0</v>
      </c>
      <c r="AE690" t="b">
        <v>0</v>
      </c>
      <c r="AG690" t="b">
        <v>0</v>
      </c>
      <c r="AJ690" s="14"/>
      <c r="AL690" s="14"/>
    </row>
    <row r="691">
      <c r="A691" s="15"/>
      <c r="B691" s="7"/>
      <c r="C691" s="16"/>
      <c r="E691" s="9"/>
      <c r="G691" s="16"/>
      <c r="I691" s="9"/>
      <c r="K691" s="16"/>
      <c r="M691" s="9"/>
      <c r="O691" s="16"/>
      <c r="Q691" s="7"/>
      <c r="R691" s="25"/>
      <c r="S691" s="28"/>
      <c r="U691" s="28"/>
      <c r="W691" s="14"/>
      <c r="Y691" s="14"/>
      <c r="Z691" s="55"/>
      <c r="AA691" t="b">
        <v>0</v>
      </c>
      <c r="AC691" t="b">
        <v>0</v>
      </c>
      <c r="AE691" t="b">
        <v>0</v>
      </c>
      <c r="AG691" t="b">
        <v>0</v>
      </c>
      <c r="AJ691" s="14"/>
      <c r="AL691" s="14"/>
    </row>
    <row r="692">
      <c r="A692" s="15"/>
      <c r="B692" s="7"/>
      <c r="C692" s="16"/>
      <c r="E692" s="9"/>
      <c r="G692" s="16"/>
      <c r="I692" s="9"/>
      <c r="K692" s="16"/>
      <c r="M692" s="9"/>
      <c r="O692" s="16"/>
      <c r="Q692" s="7"/>
      <c r="R692" s="25"/>
      <c r="S692" s="28"/>
      <c r="U692" s="28"/>
      <c r="W692" s="14"/>
      <c r="Y692" s="14"/>
      <c r="Z692" s="55"/>
      <c r="AA692" t="b">
        <v>0</v>
      </c>
      <c r="AC692" t="b">
        <v>0</v>
      </c>
      <c r="AE692" t="b">
        <v>0</v>
      </c>
      <c r="AG692" t="b">
        <v>0</v>
      </c>
      <c r="AJ692" s="14"/>
      <c r="AL692" s="14"/>
    </row>
    <row r="693">
      <c r="A693" s="15"/>
      <c r="B693" s="7"/>
      <c r="C693" s="16"/>
      <c r="E693" s="9"/>
      <c r="G693" s="16"/>
      <c r="I693" s="9"/>
      <c r="K693" s="16"/>
      <c r="M693" s="9"/>
      <c r="O693" s="16"/>
      <c r="Q693" s="7"/>
      <c r="R693" s="25"/>
      <c r="S693" s="28"/>
      <c r="U693" s="28"/>
      <c r="W693" s="14"/>
      <c r="Y693" s="14"/>
      <c r="Z693" s="55"/>
      <c r="AA693" t="b">
        <v>0</v>
      </c>
      <c r="AC693" t="b">
        <v>0</v>
      </c>
      <c r="AE693" t="b">
        <v>0</v>
      </c>
      <c r="AG693" t="b">
        <v>0</v>
      </c>
      <c r="AJ693" s="14"/>
      <c r="AL693" s="14"/>
    </row>
    <row r="694">
      <c r="A694" s="15"/>
      <c r="B694" s="7"/>
      <c r="C694" s="16"/>
      <c r="E694" s="9"/>
      <c r="G694" s="16"/>
      <c r="I694" s="9"/>
      <c r="K694" s="16"/>
      <c r="M694" s="9"/>
      <c r="O694" s="16"/>
      <c r="Q694" s="7"/>
      <c r="R694" s="25"/>
      <c r="S694" s="28"/>
      <c r="U694" s="28"/>
      <c r="W694" s="14"/>
      <c r="Y694" s="14"/>
      <c r="Z694" s="55"/>
      <c r="AA694" t="b">
        <v>0</v>
      </c>
      <c r="AC694" t="b">
        <v>0</v>
      </c>
      <c r="AE694" t="b">
        <v>0</v>
      </c>
      <c r="AG694" t="b">
        <v>0</v>
      </c>
      <c r="AJ694" s="14"/>
      <c r="AL694" s="14"/>
    </row>
    <row r="695">
      <c r="A695" s="15"/>
      <c r="B695" s="7"/>
      <c r="C695" s="16"/>
      <c r="E695" s="9"/>
      <c r="G695" s="16"/>
      <c r="I695" s="9"/>
      <c r="K695" s="16"/>
      <c r="M695" s="9"/>
      <c r="O695" s="16"/>
      <c r="Q695" s="7"/>
      <c r="R695" s="25"/>
      <c r="S695" s="28"/>
      <c r="U695" s="28"/>
      <c r="W695" s="14"/>
      <c r="Y695" s="14"/>
      <c r="Z695" s="55"/>
      <c r="AA695" t="b">
        <v>0</v>
      </c>
      <c r="AC695" t="b">
        <v>0</v>
      </c>
      <c r="AE695" t="b">
        <v>0</v>
      </c>
      <c r="AG695" t="b">
        <v>0</v>
      </c>
      <c r="AJ695" s="14"/>
      <c r="AL695" s="14"/>
    </row>
    <row r="696">
      <c r="A696" s="15"/>
      <c r="B696" s="7"/>
      <c r="C696" s="16"/>
      <c r="E696" s="9"/>
      <c r="G696" s="16"/>
      <c r="I696" s="9"/>
      <c r="K696" s="16"/>
      <c r="M696" s="9"/>
      <c r="O696" s="16"/>
      <c r="Q696" s="7"/>
      <c r="R696" s="25"/>
      <c r="S696" s="28"/>
      <c r="U696" s="28"/>
      <c r="W696" s="14"/>
      <c r="Y696" s="14"/>
      <c r="Z696" s="55"/>
      <c r="AA696" t="b">
        <v>0</v>
      </c>
      <c r="AC696" t="b">
        <v>0</v>
      </c>
      <c r="AE696" t="b">
        <v>0</v>
      </c>
      <c r="AG696" t="b">
        <v>0</v>
      </c>
      <c r="AJ696" s="14"/>
      <c r="AL696" s="14"/>
    </row>
    <row r="697">
      <c r="A697" s="15"/>
      <c r="B697" s="7"/>
      <c r="C697" s="16"/>
      <c r="E697" s="9"/>
      <c r="G697" s="16"/>
      <c r="I697" s="9"/>
      <c r="K697" s="16"/>
      <c r="M697" s="9"/>
      <c r="O697" s="16"/>
      <c r="Q697" s="7"/>
      <c r="R697" s="25"/>
      <c r="S697" s="28"/>
      <c r="U697" s="28"/>
      <c r="W697" s="14"/>
      <c r="Y697" s="14"/>
      <c r="Z697" s="55"/>
      <c r="AA697" t="b">
        <v>0</v>
      </c>
      <c r="AC697" t="b">
        <v>0</v>
      </c>
      <c r="AE697" t="b">
        <v>0</v>
      </c>
      <c r="AG697" t="b">
        <v>0</v>
      </c>
      <c r="AJ697" s="14"/>
      <c r="AL697" s="14"/>
    </row>
    <row r="698">
      <c r="A698" s="15"/>
      <c r="B698" s="7"/>
      <c r="C698" s="16"/>
      <c r="E698" s="9"/>
      <c r="G698" s="16"/>
      <c r="I698" s="9"/>
      <c r="K698" s="16"/>
      <c r="M698" s="9"/>
      <c r="O698" s="16"/>
      <c r="Q698" s="7"/>
      <c r="R698" s="25"/>
      <c r="S698" s="28"/>
      <c r="U698" s="28"/>
      <c r="W698" s="14"/>
      <c r="Y698" s="14"/>
      <c r="Z698" s="55"/>
      <c r="AA698" t="b">
        <v>0</v>
      </c>
      <c r="AC698" t="b">
        <v>0</v>
      </c>
      <c r="AE698" t="b">
        <v>0</v>
      </c>
      <c r="AG698" t="b">
        <v>0</v>
      </c>
      <c r="AJ698" s="14"/>
      <c r="AL698" s="14"/>
    </row>
    <row r="699">
      <c r="A699" s="15"/>
      <c r="B699" s="7"/>
      <c r="C699" s="16"/>
      <c r="E699" s="9"/>
      <c r="G699" s="16"/>
      <c r="I699" s="9"/>
      <c r="K699" s="16"/>
      <c r="M699" s="9"/>
      <c r="O699" s="16"/>
      <c r="Q699" s="7"/>
      <c r="R699" s="25"/>
      <c r="S699" s="28"/>
      <c r="U699" s="28"/>
      <c r="W699" s="14"/>
      <c r="Y699" s="14"/>
      <c r="Z699" s="55"/>
      <c r="AA699" t="b">
        <v>0</v>
      </c>
      <c r="AC699" t="b">
        <v>0</v>
      </c>
      <c r="AE699" t="b">
        <v>0</v>
      </c>
      <c r="AG699" t="b">
        <v>0</v>
      </c>
      <c r="AJ699" s="14"/>
      <c r="AL699" s="14"/>
    </row>
    <row r="700">
      <c r="A700" s="15"/>
      <c r="B700" s="7"/>
      <c r="C700" s="16"/>
      <c r="E700" s="9"/>
      <c r="G700" s="16"/>
      <c r="I700" s="9"/>
      <c r="K700" s="16"/>
      <c r="M700" s="9"/>
      <c r="O700" s="16"/>
      <c r="Q700" s="7"/>
      <c r="R700" s="25"/>
      <c r="S700" s="28"/>
      <c r="U700" s="28"/>
      <c r="W700" s="14"/>
      <c r="Y700" s="14"/>
      <c r="Z700" s="55"/>
      <c r="AA700" t="b">
        <v>0</v>
      </c>
      <c r="AC700" t="b">
        <v>0</v>
      </c>
      <c r="AE700" t="b">
        <v>0</v>
      </c>
      <c r="AG700" t="b">
        <v>0</v>
      </c>
      <c r="AJ700" s="14"/>
      <c r="AL700" s="14"/>
    </row>
    <row r="701">
      <c r="A701" s="15"/>
      <c r="B701" s="7"/>
      <c r="C701" s="16"/>
      <c r="E701" s="9"/>
      <c r="G701" s="16"/>
      <c r="I701" s="9"/>
      <c r="K701" s="16"/>
      <c r="M701" s="9"/>
      <c r="O701" s="16"/>
      <c r="Q701" s="7"/>
      <c r="R701" s="25"/>
      <c r="S701" s="28"/>
      <c r="U701" s="28"/>
      <c r="W701" s="14"/>
      <c r="Y701" s="14"/>
      <c r="Z701" s="55"/>
      <c r="AA701" t="b">
        <v>0</v>
      </c>
      <c r="AC701" t="b">
        <v>0</v>
      </c>
      <c r="AE701" t="b">
        <v>0</v>
      </c>
      <c r="AG701" t="b">
        <v>0</v>
      </c>
      <c r="AJ701" s="14"/>
      <c r="AL701" s="14"/>
    </row>
    <row r="702">
      <c r="A702" s="15"/>
      <c r="B702" s="7"/>
      <c r="C702" s="16"/>
      <c r="E702" s="9"/>
      <c r="G702" s="16"/>
      <c r="I702" s="9"/>
      <c r="K702" s="16"/>
      <c r="M702" s="9"/>
      <c r="O702" s="16"/>
      <c r="Q702" s="7"/>
      <c r="R702" s="25"/>
      <c r="S702" s="28"/>
      <c r="U702" s="28"/>
      <c r="W702" s="14"/>
      <c r="Y702" s="14"/>
      <c r="Z702" s="55"/>
      <c r="AA702" t="b">
        <v>0</v>
      </c>
      <c r="AC702" t="b">
        <v>0</v>
      </c>
      <c r="AE702" t="b">
        <v>0</v>
      </c>
      <c r="AG702" t="b">
        <v>0</v>
      </c>
      <c r="AJ702" s="14"/>
      <c r="AL702" s="14"/>
    </row>
    <row r="703">
      <c r="A703" s="15"/>
      <c r="B703" s="7"/>
      <c r="C703" s="16"/>
      <c r="E703" s="9"/>
      <c r="G703" s="16"/>
      <c r="I703" s="9"/>
      <c r="K703" s="16"/>
      <c r="M703" s="9"/>
      <c r="O703" s="16"/>
      <c r="Q703" s="7"/>
      <c r="R703" s="25"/>
      <c r="S703" s="28"/>
      <c r="U703" s="28"/>
      <c r="W703" s="14"/>
      <c r="Y703" s="14"/>
      <c r="Z703" s="55"/>
      <c r="AA703" t="b">
        <v>0</v>
      </c>
      <c r="AC703" t="b">
        <v>0</v>
      </c>
      <c r="AE703" t="b">
        <v>0</v>
      </c>
      <c r="AG703" t="b">
        <v>0</v>
      </c>
      <c r="AJ703" s="14"/>
      <c r="AL703" s="14"/>
    </row>
    <row r="704">
      <c r="A704" s="15"/>
      <c r="B704" s="7"/>
      <c r="C704" s="16"/>
      <c r="E704" s="9"/>
      <c r="G704" s="16"/>
      <c r="I704" s="9"/>
      <c r="K704" s="16"/>
      <c r="M704" s="9"/>
      <c r="O704" s="16"/>
      <c r="Q704" s="7"/>
      <c r="R704" s="25"/>
      <c r="S704" s="28"/>
      <c r="U704" s="28"/>
      <c r="W704" s="14"/>
      <c r="Y704" s="14"/>
      <c r="Z704" s="55"/>
      <c r="AA704" t="b">
        <v>0</v>
      </c>
      <c r="AC704" t="b">
        <v>0</v>
      </c>
      <c r="AE704" t="b">
        <v>0</v>
      </c>
      <c r="AG704" t="b">
        <v>0</v>
      </c>
      <c r="AJ704" s="14"/>
      <c r="AL704" s="14"/>
    </row>
    <row r="705">
      <c r="A705" s="15"/>
      <c r="B705" s="7"/>
      <c r="C705" s="16"/>
      <c r="E705" s="9"/>
      <c r="G705" s="16"/>
      <c r="I705" s="9"/>
      <c r="K705" s="16"/>
      <c r="M705" s="9"/>
      <c r="O705" s="16"/>
      <c r="Q705" s="7"/>
      <c r="R705" s="25"/>
      <c r="S705" s="28"/>
      <c r="U705" s="28"/>
      <c r="W705" s="14"/>
      <c r="Y705" s="14"/>
      <c r="Z705" s="55"/>
      <c r="AA705" t="b">
        <v>0</v>
      </c>
      <c r="AC705" t="b">
        <v>0</v>
      </c>
      <c r="AE705" t="b">
        <v>0</v>
      </c>
      <c r="AG705" t="b">
        <v>0</v>
      </c>
      <c r="AJ705" s="14"/>
      <c r="AL705" s="14"/>
    </row>
    <row r="706">
      <c r="A706" s="15"/>
      <c r="B706" s="7"/>
      <c r="C706" s="16"/>
      <c r="E706" s="9"/>
      <c r="G706" s="16"/>
      <c r="I706" s="9"/>
      <c r="K706" s="16"/>
      <c r="M706" s="9"/>
      <c r="O706" s="16"/>
      <c r="Q706" s="7"/>
      <c r="R706" s="25"/>
      <c r="S706" s="28"/>
      <c r="U706" s="28"/>
      <c r="W706" s="14"/>
      <c r="Y706" s="14"/>
      <c r="Z706" s="55"/>
      <c r="AA706" t="b">
        <v>0</v>
      </c>
      <c r="AC706" t="b">
        <v>0</v>
      </c>
      <c r="AE706" t="b">
        <v>0</v>
      </c>
      <c r="AG706" t="b">
        <v>0</v>
      </c>
      <c r="AJ706" s="14"/>
      <c r="AL706" s="14"/>
    </row>
    <row r="707">
      <c r="A707" s="15"/>
      <c r="B707" s="7"/>
      <c r="C707" s="16"/>
      <c r="E707" s="9"/>
      <c r="G707" s="16"/>
      <c r="I707" s="9"/>
      <c r="K707" s="16"/>
      <c r="M707" s="9"/>
      <c r="O707" s="16"/>
      <c r="Q707" s="7"/>
      <c r="R707" s="25"/>
      <c r="S707" s="28"/>
      <c r="U707" s="28"/>
      <c r="W707" s="14"/>
      <c r="Y707" s="14"/>
      <c r="Z707" s="55"/>
      <c r="AA707" t="b">
        <v>0</v>
      </c>
      <c r="AC707" t="b">
        <v>0</v>
      </c>
      <c r="AE707" t="b">
        <v>0</v>
      </c>
      <c r="AG707" t="b">
        <v>0</v>
      </c>
      <c r="AJ707" s="14"/>
      <c r="AL707" s="14"/>
    </row>
    <row r="708">
      <c r="A708" s="15"/>
      <c r="B708" s="7"/>
      <c r="C708" s="16"/>
      <c r="E708" s="9"/>
      <c r="G708" s="16"/>
      <c r="I708" s="9"/>
      <c r="K708" s="16"/>
      <c r="M708" s="9"/>
      <c r="O708" s="16"/>
      <c r="Q708" s="7"/>
      <c r="R708" s="25"/>
      <c r="S708" s="28"/>
      <c r="U708" s="28"/>
      <c r="W708" s="14"/>
      <c r="Y708" s="14"/>
      <c r="Z708" s="55"/>
      <c r="AA708" t="b">
        <v>0</v>
      </c>
      <c r="AC708" t="b">
        <v>0</v>
      </c>
      <c r="AE708" t="b">
        <v>0</v>
      </c>
      <c r="AG708" t="b">
        <v>0</v>
      </c>
      <c r="AJ708" s="14"/>
      <c r="AL708" s="14"/>
    </row>
    <row r="709">
      <c r="A709" s="15"/>
      <c r="B709" s="7"/>
      <c r="C709" s="16"/>
      <c r="E709" s="9"/>
      <c r="G709" s="16"/>
      <c r="I709" s="9"/>
      <c r="K709" s="16"/>
      <c r="M709" s="9"/>
      <c r="O709" s="16"/>
      <c r="Q709" s="7"/>
      <c r="R709" s="25"/>
      <c r="S709" s="28"/>
      <c r="U709" s="28"/>
      <c r="W709" s="14"/>
      <c r="Y709" s="14"/>
      <c r="Z709" s="55"/>
      <c r="AA709" t="b">
        <v>0</v>
      </c>
      <c r="AC709" t="b">
        <v>0</v>
      </c>
      <c r="AE709" t="b">
        <v>0</v>
      </c>
      <c r="AG709" t="b">
        <v>0</v>
      </c>
      <c r="AJ709" s="14"/>
      <c r="AL709" s="14"/>
    </row>
    <row r="710">
      <c r="A710" s="15"/>
      <c r="B710" s="7"/>
      <c r="C710" s="16"/>
      <c r="E710" s="9"/>
      <c r="G710" s="16"/>
      <c r="I710" s="9"/>
      <c r="K710" s="16"/>
      <c r="M710" s="9"/>
      <c r="O710" s="16"/>
      <c r="Q710" s="7"/>
      <c r="R710" s="25"/>
      <c r="S710" s="28"/>
      <c r="U710" s="28"/>
      <c r="W710" s="14"/>
      <c r="Y710" s="14"/>
      <c r="Z710" s="55"/>
      <c r="AA710" t="b">
        <v>0</v>
      </c>
      <c r="AC710" t="b">
        <v>0</v>
      </c>
      <c r="AE710" t="b">
        <v>0</v>
      </c>
      <c r="AG710" t="b">
        <v>0</v>
      </c>
      <c r="AJ710" s="14"/>
      <c r="AL710" s="14"/>
    </row>
    <row r="711">
      <c r="A711" s="15"/>
      <c r="B711" s="7"/>
      <c r="C711" s="16"/>
      <c r="E711" s="9"/>
      <c r="G711" s="16"/>
      <c r="I711" s="9"/>
      <c r="K711" s="16"/>
      <c r="M711" s="9"/>
      <c r="O711" s="16"/>
      <c r="Q711" s="7"/>
      <c r="R711" s="25"/>
      <c r="S711" s="28"/>
      <c r="U711" s="28"/>
      <c r="W711" s="14"/>
      <c r="Y711" s="14"/>
      <c r="Z711" s="55"/>
      <c r="AA711" t="b">
        <v>0</v>
      </c>
      <c r="AC711" t="b">
        <v>0</v>
      </c>
      <c r="AE711" t="b">
        <v>0</v>
      </c>
      <c r="AG711" t="b">
        <v>0</v>
      </c>
      <c r="AJ711" s="14"/>
      <c r="AL711" s="14"/>
    </row>
    <row r="712">
      <c r="A712" s="15"/>
      <c r="B712" s="7"/>
      <c r="C712" s="16"/>
      <c r="E712" s="9"/>
      <c r="G712" s="16"/>
      <c r="I712" s="9"/>
      <c r="K712" s="16"/>
      <c r="M712" s="9"/>
      <c r="O712" s="16"/>
      <c r="Q712" s="7"/>
      <c r="R712" s="25"/>
      <c r="S712" s="28"/>
      <c r="U712" s="28"/>
      <c r="W712" s="14"/>
      <c r="Y712" s="14"/>
      <c r="Z712" s="55"/>
      <c r="AA712" t="b">
        <v>0</v>
      </c>
      <c r="AC712" t="b">
        <v>0</v>
      </c>
      <c r="AE712" t="b">
        <v>0</v>
      </c>
      <c r="AG712" t="b">
        <v>0</v>
      </c>
      <c r="AJ712" s="14"/>
      <c r="AL712" s="14"/>
    </row>
    <row r="713">
      <c r="A713" s="15"/>
      <c r="B713" s="7"/>
      <c r="C713" s="16"/>
      <c r="E713" s="9"/>
      <c r="G713" s="16"/>
      <c r="I713" s="9"/>
      <c r="K713" s="16"/>
      <c r="M713" s="9"/>
      <c r="O713" s="16"/>
      <c r="Q713" s="7"/>
      <c r="R713" s="25"/>
      <c r="S713" s="28"/>
      <c r="U713" s="28"/>
      <c r="W713" s="14"/>
      <c r="Y713" s="14"/>
      <c r="Z713" s="55"/>
      <c r="AA713" t="b">
        <v>0</v>
      </c>
      <c r="AC713" t="b">
        <v>0</v>
      </c>
      <c r="AE713" t="b">
        <v>0</v>
      </c>
      <c r="AG713" t="b">
        <v>0</v>
      </c>
      <c r="AJ713" s="14"/>
      <c r="AL713" s="14"/>
    </row>
    <row r="714">
      <c r="A714" s="15"/>
      <c r="B714" s="7"/>
      <c r="C714" s="16"/>
      <c r="E714" s="9"/>
      <c r="G714" s="16"/>
      <c r="I714" s="9"/>
      <c r="K714" s="16"/>
      <c r="M714" s="9"/>
      <c r="O714" s="16"/>
      <c r="Q714" s="7"/>
      <c r="R714" s="25"/>
      <c r="S714" s="28"/>
      <c r="U714" s="28"/>
      <c r="W714" s="14"/>
      <c r="Y714" s="14"/>
      <c r="Z714" s="55"/>
      <c r="AA714" t="b">
        <v>0</v>
      </c>
      <c r="AC714" t="b">
        <v>0</v>
      </c>
      <c r="AE714" t="b">
        <v>0</v>
      </c>
      <c r="AG714" t="b">
        <v>0</v>
      </c>
      <c r="AJ714" s="14"/>
      <c r="AL714" s="14"/>
    </row>
    <row r="715">
      <c r="A715" s="15"/>
      <c r="B715" s="7"/>
      <c r="C715" s="16"/>
      <c r="E715" s="9"/>
      <c r="G715" s="16"/>
      <c r="I715" s="9"/>
      <c r="K715" s="16"/>
      <c r="M715" s="9"/>
      <c r="O715" s="16"/>
      <c r="Q715" s="7"/>
      <c r="R715" s="25"/>
      <c r="S715" s="28"/>
      <c r="U715" s="28"/>
      <c r="W715" s="14"/>
      <c r="Y715" s="14"/>
      <c r="Z715" s="55"/>
      <c r="AA715" t="b">
        <v>0</v>
      </c>
      <c r="AC715" t="b">
        <v>0</v>
      </c>
      <c r="AE715" t="b">
        <v>0</v>
      </c>
      <c r="AG715" t="b">
        <v>0</v>
      </c>
      <c r="AJ715" s="14"/>
      <c r="AL715" s="14"/>
    </row>
    <row r="716">
      <c r="A716" s="15"/>
      <c r="B716" s="7"/>
      <c r="C716" s="16"/>
      <c r="E716" s="9"/>
      <c r="G716" s="16"/>
      <c r="I716" s="9"/>
      <c r="K716" s="16"/>
      <c r="M716" s="9"/>
      <c r="O716" s="16"/>
      <c r="Q716" s="7"/>
      <c r="R716" s="25"/>
      <c r="S716" s="28"/>
      <c r="U716" s="28"/>
      <c r="W716" s="14"/>
      <c r="Y716" s="14"/>
      <c r="Z716" s="55"/>
      <c r="AA716" t="b">
        <v>0</v>
      </c>
      <c r="AC716" t="b">
        <v>0</v>
      </c>
      <c r="AE716" t="b">
        <v>0</v>
      </c>
      <c r="AG716" t="b">
        <v>0</v>
      </c>
      <c r="AJ716" s="14"/>
      <c r="AL716" s="14"/>
    </row>
    <row r="717">
      <c r="A717" s="15"/>
      <c r="B717" s="7"/>
      <c r="C717" s="16"/>
      <c r="E717" s="9"/>
      <c r="G717" s="16"/>
      <c r="I717" s="9"/>
      <c r="K717" s="16"/>
      <c r="M717" s="9"/>
      <c r="O717" s="16"/>
      <c r="Q717" s="7"/>
      <c r="R717" s="25"/>
      <c r="S717" s="28"/>
      <c r="U717" s="28"/>
      <c r="W717" s="14"/>
      <c r="Y717" s="14"/>
      <c r="Z717" s="55"/>
      <c r="AA717" t="b">
        <v>0</v>
      </c>
      <c r="AC717" t="b">
        <v>0</v>
      </c>
      <c r="AE717" t="b">
        <v>0</v>
      </c>
      <c r="AG717" t="b">
        <v>0</v>
      </c>
      <c r="AJ717" s="14"/>
      <c r="AL717" s="14"/>
    </row>
    <row r="718">
      <c r="A718" s="15"/>
      <c r="B718" s="7"/>
      <c r="C718" s="16"/>
      <c r="E718" s="9"/>
      <c r="G718" s="16"/>
      <c r="I718" s="9"/>
      <c r="K718" s="16"/>
      <c r="M718" s="9"/>
      <c r="O718" s="16"/>
      <c r="Q718" s="7"/>
      <c r="R718" s="25"/>
      <c r="S718" s="28"/>
      <c r="U718" s="28"/>
      <c r="W718" s="14"/>
      <c r="Y718" s="14"/>
      <c r="Z718" s="55"/>
      <c r="AA718" t="b">
        <v>0</v>
      </c>
      <c r="AC718" t="b">
        <v>0</v>
      </c>
      <c r="AE718" t="b">
        <v>0</v>
      </c>
      <c r="AG718" t="b">
        <v>0</v>
      </c>
      <c r="AJ718" s="14"/>
      <c r="AL718" s="14"/>
    </row>
    <row r="719">
      <c r="A719" s="15"/>
      <c r="B719" s="7"/>
      <c r="C719" s="16"/>
      <c r="E719" s="9"/>
      <c r="G719" s="16"/>
      <c r="I719" s="9"/>
      <c r="K719" s="16"/>
      <c r="M719" s="9"/>
      <c r="O719" s="16"/>
      <c r="Q719" s="7"/>
      <c r="R719" s="25"/>
      <c r="S719" s="28"/>
      <c r="U719" s="28"/>
      <c r="W719" s="14"/>
      <c r="Y719" s="14"/>
      <c r="Z719" s="55"/>
      <c r="AA719" t="b">
        <v>0</v>
      </c>
      <c r="AC719" t="b">
        <v>0</v>
      </c>
      <c r="AE719" t="b">
        <v>0</v>
      </c>
      <c r="AG719" t="b">
        <v>0</v>
      </c>
      <c r="AJ719" s="14"/>
      <c r="AL719" s="14"/>
    </row>
    <row r="720">
      <c r="A720" s="15"/>
      <c r="B720" s="7"/>
      <c r="C720" s="16"/>
      <c r="E720" s="9"/>
      <c r="G720" s="16"/>
      <c r="I720" s="9"/>
      <c r="K720" s="16"/>
      <c r="M720" s="9"/>
      <c r="O720" s="16"/>
      <c r="Q720" s="7"/>
      <c r="R720" s="25"/>
      <c r="S720" s="28"/>
      <c r="U720" s="28"/>
      <c r="W720" s="14"/>
      <c r="Y720" s="14"/>
      <c r="Z720" s="55"/>
      <c r="AA720" t="b">
        <v>0</v>
      </c>
      <c r="AC720" t="b">
        <v>0</v>
      </c>
      <c r="AE720" t="b">
        <v>0</v>
      </c>
      <c r="AG720" t="b">
        <v>0</v>
      </c>
      <c r="AJ720" s="14"/>
      <c r="AL720" s="14"/>
    </row>
    <row r="721">
      <c r="A721" s="15"/>
      <c r="B721" s="7"/>
      <c r="C721" s="16"/>
      <c r="E721" s="9"/>
      <c r="G721" s="16"/>
      <c r="I721" s="9"/>
      <c r="K721" s="16"/>
      <c r="M721" s="9"/>
      <c r="O721" s="16"/>
      <c r="Q721" s="7"/>
      <c r="R721" s="25"/>
      <c r="S721" s="28"/>
      <c r="U721" s="28"/>
      <c r="W721" s="14"/>
      <c r="Y721" s="14"/>
      <c r="Z721" s="55"/>
      <c r="AA721" t="b">
        <v>0</v>
      </c>
      <c r="AC721" t="b">
        <v>0</v>
      </c>
      <c r="AE721" t="b">
        <v>0</v>
      </c>
      <c r="AG721" t="b">
        <v>0</v>
      </c>
      <c r="AJ721" s="14"/>
      <c r="AL721" s="14"/>
    </row>
    <row r="722">
      <c r="A722" s="15"/>
      <c r="B722" s="7"/>
      <c r="C722" s="16"/>
      <c r="E722" s="9"/>
      <c r="G722" s="16"/>
      <c r="I722" s="9"/>
      <c r="K722" s="16"/>
      <c r="M722" s="9"/>
      <c r="O722" s="16"/>
      <c r="Q722" s="7"/>
      <c r="R722" s="25"/>
      <c r="S722" s="28"/>
      <c r="U722" s="28"/>
      <c r="W722" s="14"/>
      <c r="Y722" s="14"/>
      <c r="Z722" s="55"/>
      <c r="AA722" t="b">
        <v>0</v>
      </c>
      <c r="AC722" t="b">
        <v>0</v>
      </c>
      <c r="AE722" t="b">
        <v>0</v>
      </c>
      <c r="AG722" t="b">
        <v>0</v>
      </c>
      <c r="AJ722" s="14"/>
      <c r="AL722" s="14"/>
    </row>
    <row r="723">
      <c r="A723" s="15"/>
      <c r="B723" s="7"/>
      <c r="C723" s="16"/>
      <c r="E723" s="9"/>
      <c r="G723" s="16"/>
      <c r="I723" s="9"/>
      <c r="K723" s="16"/>
      <c r="M723" s="9"/>
      <c r="O723" s="16"/>
      <c r="Q723" s="7"/>
      <c r="R723" s="25"/>
      <c r="S723" s="28"/>
      <c r="U723" s="28"/>
      <c r="W723" s="14"/>
      <c r="Y723" s="14"/>
      <c r="Z723" s="55"/>
      <c r="AA723" t="b">
        <v>0</v>
      </c>
      <c r="AC723" t="b">
        <v>0</v>
      </c>
      <c r="AE723" t="b">
        <v>0</v>
      </c>
      <c r="AG723" t="b">
        <v>0</v>
      </c>
      <c r="AJ723" s="14"/>
      <c r="AL723" s="14"/>
    </row>
    <row r="724">
      <c r="A724" s="15"/>
      <c r="B724" s="7"/>
      <c r="C724" s="16"/>
      <c r="E724" s="9"/>
      <c r="G724" s="16"/>
      <c r="I724" s="9"/>
      <c r="K724" s="16"/>
      <c r="M724" s="9"/>
      <c r="O724" s="16"/>
      <c r="Q724" s="7"/>
      <c r="R724" s="25"/>
      <c r="S724" s="28"/>
      <c r="U724" s="28"/>
      <c r="W724" s="14"/>
      <c r="Y724" s="14"/>
      <c r="Z724" s="55"/>
      <c r="AA724" t="b">
        <v>0</v>
      </c>
      <c r="AC724" t="b">
        <v>0</v>
      </c>
      <c r="AE724" t="b">
        <v>0</v>
      </c>
      <c r="AG724" t="b">
        <v>0</v>
      </c>
      <c r="AJ724" s="14"/>
      <c r="AL724" s="14"/>
    </row>
    <row r="725">
      <c r="A725" s="15"/>
      <c r="B725" s="7"/>
      <c r="C725" s="16"/>
      <c r="E725" s="9"/>
      <c r="G725" s="16"/>
      <c r="I725" s="9"/>
      <c r="K725" s="16"/>
      <c r="M725" s="9"/>
      <c r="O725" s="16"/>
      <c r="Q725" s="7"/>
      <c r="R725" s="25"/>
      <c r="S725" s="28"/>
      <c r="U725" s="28"/>
      <c r="W725" s="14"/>
      <c r="Y725" s="14"/>
      <c r="Z725" s="55"/>
      <c r="AA725" t="b">
        <v>0</v>
      </c>
      <c r="AC725" t="b">
        <v>0</v>
      </c>
      <c r="AE725" t="b">
        <v>0</v>
      </c>
      <c r="AG725" t="b">
        <v>0</v>
      </c>
      <c r="AJ725" s="14"/>
      <c r="AL725" s="14"/>
    </row>
    <row r="726">
      <c r="A726" s="15"/>
      <c r="B726" s="7"/>
      <c r="C726" s="16"/>
      <c r="E726" s="9"/>
      <c r="G726" s="16"/>
      <c r="I726" s="9"/>
      <c r="K726" s="16"/>
      <c r="M726" s="9"/>
      <c r="O726" s="16"/>
      <c r="Q726" s="7"/>
      <c r="R726" s="25"/>
      <c r="S726" s="28"/>
      <c r="U726" s="28"/>
      <c r="W726" s="14"/>
      <c r="Y726" s="14"/>
      <c r="Z726" s="55"/>
      <c r="AA726" t="b">
        <v>0</v>
      </c>
      <c r="AC726" t="b">
        <v>0</v>
      </c>
      <c r="AE726" t="b">
        <v>0</v>
      </c>
      <c r="AG726" t="b">
        <v>0</v>
      </c>
      <c r="AJ726" s="14"/>
      <c r="AL726" s="14"/>
    </row>
    <row r="727">
      <c r="A727" s="15"/>
      <c r="B727" s="7"/>
      <c r="C727" s="16"/>
      <c r="E727" s="9"/>
      <c r="G727" s="16"/>
      <c r="I727" s="9"/>
      <c r="K727" s="16"/>
      <c r="M727" s="9"/>
      <c r="O727" s="16"/>
      <c r="Q727" s="7"/>
      <c r="R727" s="25"/>
      <c r="S727" s="28"/>
      <c r="U727" s="28"/>
      <c r="W727" s="14"/>
      <c r="Y727" s="14"/>
      <c r="Z727" s="55"/>
      <c r="AA727" t="b">
        <v>0</v>
      </c>
      <c r="AC727" t="b">
        <v>0</v>
      </c>
      <c r="AE727" t="b">
        <v>0</v>
      </c>
      <c r="AG727" t="b">
        <v>0</v>
      </c>
      <c r="AJ727" s="14"/>
      <c r="AL727" s="14"/>
    </row>
    <row r="728">
      <c r="A728" s="15"/>
      <c r="B728" s="7"/>
      <c r="C728" s="16"/>
      <c r="E728" s="9"/>
      <c r="G728" s="16"/>
      <c r="I728" s="9"/>
      <c r="K728" s="16"/>
      <c r="M728" s="9"/>
      <c r="O728" s="16"/>
      <c r="Q728" s="7"/>
      <c r="R728" s="25"/>
      <c r="S728" s="28"/>
      <c r="U728" s="28"/>
      <c r="W728" s="14"/>
      <c r="Y728" s="14"/>
      <c r="Z728" s="55"/>
      <c r="AA728" t="b">
        <v>0</v>
      </c>
      <c r="AC728" t="b">
        <v>0</v>
      </c>
      <c r="AE728" t="b">
        <v>0</v>
      </c>
      <c r="AG728" t="b">
        <v>0</v>
      </c>
      <c r="AJ728" s="14"/>
      <c r="AL728" s="14"/>
    </row>
    <row r="729">
      <c r="A729" s="15"/>
      <c r="B729" s="7"/>
      <c r="C729" s="16"/>
      <c r="E729" s="9"/>
      <c r="G729" s="16"/>
      <c r="I729" s="9"/>
      <c r="K729" s="16"/>
      <c r="M729" s="9"/>
      <c r="O729" s="16"/>
      <c r="Q729" s="7"/>
      <c r="R729" s="25"/>
      <c r="S729" s="28"/>
      <c r="U729" s="28"/>
      <c r="W729" s="14"/>
      <c r="Y729" s="14"/>
      <c r="Z729" s="55"/>
      <c r="AA729" t="b">
        <v>0</v>
      </c>
      <c r="AC729" t="b">
        <v>0</v>
      </c>
      <c r="AE729" t="b">
        <v>0</v>
      </c>
      <c r="AG729" t="b">
        <v>0</v>
      </c>
      <c r="AJ729" s="14"/>
      <c r="AL729" s="14"/>
    </row>
    <row r="730">
      <c r="A730" s="15"/>
      <c r="B730" s="7"/>
      <c r="C730" s="16"/>
      <c r="E730" s="9"/>
      <c r="G730" s="16"/>
      <c r="I730" s="9"/>
      <c r="K730" s="16"/>
      <c r="M730" s="9"/>
      <c r="O730" s="16"/>
      <c r="Q730" s="7"/>
      <c r="R730" s="25"/>
      <c r="S730" s="28"/>
      <c r="U730" s="28"/>
      <c r="W730" s="14"/>
      <c r="Y730" s="14"/>
      <c r="Z730" s="55"/>
      <c r="AA730" t="b">
        <v>0</v>
      </c>
      <c r="AC730" t="b">
        <v>0</v>
      </c>
      <c r="AE730" t="b">
        <v>0</v>
      </c>
      <c r="AG730" t="b">
        <v>0</v>
      </c>
      <c r="AJ730" s="14"/>
      <c r="AL730" s="14"/>
    </row>
    <row r="731">
      <c r="A731" s="15"/>
      <c r="B731" s="7"/>
      <c r="C731" s="16"/>
      <c r="E731" s="9"/>
      <c r="G731" s="16"/>
      <c r="I731" s="9"/>
      <c r="K731" s="16"/>
      <c r="M731" s="9"/>
      <c r="O731" s="16"/>
      <c r="Q731" s="7"/>
      <c r="R731" s="25"/>
      <c r="S731" s="28"/>
      <c r="U731" s="28"/>
      <c r="W731" s="14"/>
      <c r="Y731" s="14"/>
      <c r="Z731" s="55"/>
      <c r="AA731" t="b">
        <v>0</v>
      </c>
      <c r="AC731" t="b">
        <v>0</v>
      </c>
      <c r="AE731" t="b">
        <v>0</v>
      </c>
      <c r="AG731" t="b">
        <v>0</v>
      </c>
      <c r="AJ731" s="14"/>
      <c r="AL731" s="14"/>
    </row>
    <row r="732">
      <c r="A732" s="15"/>
      <c r="B732" s="7"/>
      <c r="C732" s="16"/>
      <c r="E732" s="9"/>
      <c r="G732" s="16"/>
      <c r="I732" s="9"/>
      <c r="K732" s="16"/>
      <c r="M732" s="9"/>
      <c r="O732" s="16"/>
      <c r="Q732" s="7"/>
      <c r="R732" s="25"/>
      <c r="S732" s="28"/>
      <c r="U732" s="28"/>
      <c r="W732" s="14"/>
      <c r="Y732" s="14"/>
      <c r="Z732" s="55"/>
      <c r="AA732" t="b">
        <v>0</v>
      </c>
      <c r="AC732" t="b">
        <v>0</v>
      </c>
      <c r="AE732" t="b">
        <v>0</v>
      </c>
      <c r="AG732" t="b">
        <v>0</v>
      </c>
      <c r="AJ732" s="14"/>
      <c r="AL732" s="14"/>
    </row>
    <row r="733">
      <c r="A733" s="15"/>
      <c r="B733" s="7"/>
      <c r="C733" s="16"/>
      <c r="E733" s="9"/>
      <c r="G733" s="16"/>
      <c r="I733" s="9"/>
      <c r="K733" s="16"/>
      <c r="M733" s="9"/>
      <c r="O733" s="16"/>
      <c r="Q733" s="7"/>
      <c r="R733" s="25"/>
      <c r="S733" s="28"/>
      <c r="U733" s="28"/>
      <c r="W733" s="14"/>
      <c r="Y733" s="14"/>
      <c r="Z733" s="55"/>
      <c r="AA733" t="b">
        <v>0</v>
      </c>
      <c r="AC733" t="b">
        <v>0</v>
      </c>
      <c r="AE733" t="b">
        <v>0</v>
      </c>
      <c r="AG733" t="b">
        <v>0</v>
      </c>
      <c r="AJ733" s="14"/>
      <c r="AL733" s="14"/>
    </row>
    <row r="734">
      <c r="A734" s="15"/>
      <c r="B734" s="7"/>
      <c r="C734" s="16"/>
      <c r="E734" s="9"/>
      <c r="G734" s="16"/>
      <c r="I734" s="9"/>
      <c r="K734" s="16"/>
      <c r="M734" s="9"/>
      <c r="O734" s="16"/>
      <c r="Q734" s="7"/>
      <c r="R734" s="25"/>
      <c r="S734" s="28"/>
      <c r="U734" s="28"/>
      <c r="W734" s="14"/>
      <c r="Y734" s="14"/>
      <c r="Z734" s="55"/>
      <c r="AA734" t="b">
        <v>0</v>
      </c>
      <c r="AC734" t="b">
        <v>0</v>
      </c>
      <c r="AE734" t="b">
        <v>0</v>
      </c>
      <c r="AG734" t="b">
        <v>0</v>
      </c>
      <c r="AJ734" s="14"/>
      <c r="AL734" s="14"/>
    </row>
    <row r="735">
      <c r="A735" s="15"/>
      <c r="B735" s="7"/>
      <c r="C735" s="16"/>
      <c r="E735" s="9"/>
      <c r="G735" s="16"/>
      <c r="I735" s="9"/>
      <c r="K735" s="16"/>
      <c r="M735" s="9"/>
      <c r="O735" s="16"/>
      <c r="Q735" s="7"/>
      <c r="R735" s="25"/>
      <c r="S735" s="28"/>
      <c r="U735" s="28"/>
      <c r="W735" s="14"/>
      <c r="Y735" s="14"/>
      <c r="Z735" s="55"/>
      <c r="AA735" t="b">
        <v>0</v>
      </c>
      <c r="AC735" t="b">
        <v>0</v>
      </c>
      <c r="AE735" t="b">
        <v>0</v>
      </c>
      <c r="AG735" t="b">
        <v>0</v>
      </c>
      <c r="AJ735" s="14"/>
      <c r="AL735" s="14"/>
    </row>
    <row r="736">
      <c r="A736" s="15"/>
      <c r="B736" s="7"/>
      <c r="C736" s="16"/>
      <c r="E736" s="9"/>
      <c r="G736" s="16"/>
      <c r="I736" s="9"/>
      <c r="K736" s="16"/>
      <c r="M736" s="9"/>
      <c r="O736" s="16"/>
      <c r="Q736" s="7"/>
      <c r="R736" s="25"/>
      <c r="S736" s="28"/>
      <c r="U736" s="28"/>
      <c r="W736" s="14"/>
      <c r="Y736" s="14"/>
      <c r="Z736" s="55"/>
      <c r="AA736" t="b">
        <v>0</v>
      </c>
      <c r="AC736" t="b">
        <v>0</v>
      </c>
      <c r="AE736" t="b">
        <v>0</v>
      </c>
      <c r="AG736" t="b">
        <v>0</v>
      </c>
      <c r="AJ736" s="14"/>
      <c r="AL736" s="14"/>
    </row>
    <row r="737">
      <c r="A737" s="15"/>
      <c r="B737" s="7"/>
      <c r="C737" s="16"/>
      <c r="E737" s="9"/>
      <c r="G737" s="16"/>
      <c r="I737" s="9"/>
      <c r="K737" s="16"/>
      <c r="M737" s="9"/>
      <c r="O737" s="16"/>
      <c r="Q737" s="7"/>
      <c r="R737" s="25"/>
      <c r="S737" s="28"/>
      <c r="U737" s="28"/>
      <c r="W737" s="14"/>
      <c r="Y737" s="14"/>
      <c r="Z737" s="55"/>
      <c r="AA737" t="b">
        <v>0</v>
      </c>
      <c r="AC737" t="b">
        <v>0</v>
      </c>
      <c r="AE737" t="b">
        <v>0</v>
      </c>
      <c r="AG737" t="b">
        <v>0</v>
      </c>
      <c r="AJ737" s="14"/>
      <c r="AL737" s="14"/>
    </row>
    <row r="738">
      <c r="A738" s="15"/>
      <c r="B738" s="7"/>
      <c r="C738" s="16"/>
      <c r="E738" s="9"/>
      <c r="G738" s="16"/>
      <c r="I738" s="9"/>
      <c r="K738" s="16"/>
      <c r="M738" s="9"/>
      <c r="O738" s="16"/>
      <c r="Q738" s="7"/>
      <c r="R738" s="25"/>
      <c r="S738" s="28"/>
      <c r="U738" s="28"/>
      <c r="W738" s="14"/>
      <c r="Y738" s="14"/>
      <c r="Z738" s="55"/>
      <c r="AA738" t="b">
        <v>0</v>
      </c>
      <c r="AC738" t="b">
        <v>0</v>
      </c>
      <c r="AE738" t="b">
        <v>0</v>
      </c>
      <c r="AG738" t="b">
        <v>0</v>
      </c>
      <c r="AJ738" s="14"/>
      <c r="AL738" s="14"/>
    </row>
    <row r="739">
      <c r="A739" s="15"/>
      <c r="B739" s="7"/>
      <c r="C739" s="16"/>
      <c r="E739" s="9"/>
      <c r="G739" s="16"/>
      <c r="I739" s="9"/>
      <c r="K739" s="16"/>
      <c r="M739" s="9"/>
      <c r="O739" s="16"/>
      <c r="Q739" s="7"/>
      <c r="R739" s="25"/>
      <c r="S739" s="28"/>
      <c r="U739" s="28"/>
      <c r="W739" s="14"/>
      <c r="Y739" s="14"/>
      <c r="Z739" s="55"/>
      <c r="AA739" t="b">
        <v>0</v>
      </c>
      <c r="AC739" t="b">
        <v>0</v>
      </c>
      <c r="AE739" t="b">
        <v>0</v>
      </c>
      <c r="AG739" t="b">
        <v>0</v>
      </c>
      <c r="AJ739" s="14"/>
      <c r="AL739" s="14"/>
    </row>
    <row r="740">
      <c r="A740" s="15"/>
      <c r="B740" s="7"/>
      <c r="C740" s="16"/>
      <c r="E740" s="9"/>
      <c r="G740" s="16"/>
      <c r="I740" s="9"/>
      <c r="K740" s="16"/>
      <c r="M740" s="9"/>
      <c r="O740" s="16"/>
      <c r="Q740" s="7"/>
      <c r="R740" s="25"/>
      <c r="S740" s="28"/>
      <c r="U740" s="28"/>
      <c r="W740" s="14"/>
      <c r="Y740" s="14"/>
      <c r="Z740" s="55"/>
      <c r="AA740" t="b">
        <v>0</v>
      </c>
      <c r="AC740" t="b">
        <v>0</v>
      </c>
      <c r="AE740" t="b">
        <v>0</v>
      </c>
      <c r="AG740" t="b">
        <v>0</v>
      </c>
      <c r="AJ740" s="14"/>
      <c r="AL740" s="14"/>
    </row>
    <row r="741">
      <c r="A741" s="15"/>
      <c r="B741" s="7"/>
      <c r="C741" s="16"/>
      <c r="E741" s="9"/>
      <c r="G741" s="16"/>
      <c r="I741" s="9"/>
      <c r="K741" s="16"/>
      <c r="M741" s="9"/>
      <c r="O741" s="16"/>
      <c r="Q741" s="7"/>
      <c r="R741" s="25"/>
      <c r="S741" s="28"/>
      <c r="U741" s="28"/>
      <c r="W741" s="14"/>
      <c r="Y741" s="14"/>
      <c r="Z741" s="55"/>
      <c r="AA741" t="b">
        <v>0</v>
      </c>
      <c r="AC741" t="b">
        <v>0</v>
      </c>
      <c r="AE741" t="b">
        <v>0</v>
      </c>
      <c r="AG741" t="b">
        <v>0</v>
      </c>
      <c r="AJ741" s="14"/>
      <c r="AL741" s="14"/>
    </row>
    <row r="742">
      <c r="A742" s="15"/>
      <c r="B742" s="7"/>
      <c r="C742" s="16"/>
      <c r="E742" s="9"/>
      <c r="G742" s="16"/>
      <c r="I742" s="9"/>
      <c r="K742" s="16"/>
      <c r="M742" s="9"/>
      <c r="O742" s="16"/>
      <c r="Q742" s="7"/>
      <c r="R742" s="25"/>
      <c r="S742" s="28"/>
      <c r="U742" s="28"/>
      <c r="W742" s="14"/>
      <c r="Y742" s="14"/>
      <c r="Z742" s="55"/>
      <c r="AA742" t="b">
        <v>0</v>
      </c>
      <c r="AC742" t="b">
        <v>0</v>
      </c>
      <c r="AE742" t="b">
        <v>0</v>
      </c>
      <c r="AG742" t="b">
        <v>0</v>
      </c>
      <c r="AJ742" s="14"/>
      <c r="AL742" s="14"/>
    </row>
    <row r="743">
      <c r="A743" s="15"/>
      <c r="B743" s="7"/>
      <c r="C743" s="16"/>
      <c r="E743" s="9"/>
      <c r="G743" s="16"/>
      <c r="I743" s="9"/>
      <c r="K743" s="16"/>
      <c r="M743" s="9"/>
      <c r="O743" s="16"/>
      <c r="Q743" s="7"/>
      <c r="R743" s="25"/>
      <c r="S743" s="28"/>
      <c r="U743" s="28"/>
      <c r="W743" s="14"/>
      <c r="Y743" s="14"/>
      <c r="Z743" s="55"/>
      <c r="AA743" t="b">
        <v>0</v>
      </c>
      <c r="AC743" t="b">
        <v>0</v>
      </c>
      <c r="AE743" t="b">
        <v>0</v>
      </c>
      <c r="AG743" t="b">
        <v>0</v>
      </c>
      <c r="AJ743" s="14"/>
      <c r="AL743" s="14"/>
    </row>
    <row r="744">
      <c r="A744" s="15"/>
      <c r="B744" s="7"/>
      <c r="C744" s="16"/>
      <c r="E744" s="9"/>
      <c r="G744" s="16"/>
      <c r="I744" s="9"/>
      <c r="K744" s="16"/>
      <c r="M744" s="9"/>
      <c r="O744" s="16"/>
      <c r="Q744" s="7"/>
      <c r="R744" s="25"/>
      <c r="S744" s="28"/>
      <c r="U744" s="28"/>
      <c r="W744" s="14"/>
      <c r="Y744" s="14"/>
      <c r="Z744" s="55"/>
      <c r="AA744" t="b">
        <v>0</v>
      </c>
      <c r="AC744" t="b">
        <v>0</v>
      </c>
      <c r="AE744" t="b">
        <v>0</v>
      </c>
      <c r="AG744" t="b">
        <v>0</v>
      </c>
      <c r="AJ744" s="14"/>
      <c r="AL744" s="14"/>
    </row>
    <row r="745">
      <c r="A745" s="15"/>
      <c r="B745" s="7"/>
      <c r="C745" s="16"/>
      <c r="E745" s="9"/>
      <c r="G745" s="16"/>
      <c r="I745" s="9"/>
      <c r="K745" s="16"/>
      <c r="M745" s="9"/>
      <c r="O745" s="16"/>
      <c r="Q745" s="7"/>
      <c r="R745" s="25"/>
      <c r="S745" s="28"/>
      <c r="U745" s="28"/>
      <c r="W745" s="14"/>
      <c r="Y745" s="14"/>
      <c r="Z745" s="55"/>
      <c r="AA745" t="b">
        <v>0</v>
      </c>
      <c r="AC745" t="b">
        <v>0</v>
      </c>
      <c r="AE745" t="b">
        <v>0</v>
      </c>
      <c r="AG745" t="b">
        <v>0</v>
      </c>
      <c r="AJ745" s="14"/>
      <c r="AL745" s="14"/>
    </row>
    <row r="746">
      <c r="A746" s="15"/>
      <c r="B746" s="7"/>
      <c r="C746" s="16"/>
      <c r="E746" s="9"/>
      <c r="G746" s="16"/>
      <c r="I746" s="9"/>
      <c r="K746" s="16"/>
      <c r="M746" s="9"/>
      <c r="O746" s="16"/>
      <c r="Q746" s="7"/>
      <c r="R746" s="25"/>
      <c r="S746" s="28"/>
      <c r="U746" s="28"/>
      <c r="W746" s="14"/>
      <c r="Y746" s="14"/>
      <c r="Z746" s="55"/>
      <c r="AA746" t="b">
        <v>0</v>
      </c>
      <c r="AC746" t="b">
        <v>0</v>
      </c>
      <c r="AE746" t="b">
        <v>0</v>
      </c>
      <c r="AG746" t="b">
        <v>0</v>
      </c>
      <c r="AJ746" s="14"/>
      <c r="AL746" s="14"/>
    </row>
    <row r="747">
      <c r="A747" s="15"/>
      <c r="B747" s="7"/>
      <c r="C747" s="16"/>
      <c r="E747" s="9"/>
      <c r="G747" s="16"/>
      <c r="I747" s="9"/>
      <c r="K747" s="16"/>
      <c r="M747" s="9"/>
      <c r="O747" s="16"/>
      <c r="Q747" s="7"/>
      <c r="R747" s="25"/>
      <c r="S747" s="28"/>
      <c r="U747" s="28"/>
      <c r="W747" s="14"/>
      <c r="Y747" s="14"/>
      <c r="Z747" s="55"/>
      <c r="AA747" t="b">
        <v>0</v>
      </c>
      <c r="AC747" t="b">
        <v>0</v>
      </c>
      <c r="AE747" t="b">
        <v>0</v>
      </c>
      <c r="AG747" t="b">
        <v>0</v>
      </c>
      <c r="AJ747" s="14"/>
      <c r="AL747" s="14"/>
    </row>
    <row r="748">
      <c r="A748" s="15"/>
      <c r="B748" s="7"/>
      <c r="C748" s="16"/>
      <c r="E748" s="9"/>
      <c r="G748" s="16"/>
      <c r="I748" s="9"/>
      <c r="K748" s="16"/>
      <c r="M748" s="9"/>
      <c r="O748" s="16"/>
      <c r="Q748" s="7"/>
      <c r="R748" s="25"/>
      <c r="S748" s="28"/>
      <c r="U748" s="28"/>
      <c r="W748" s="14"/>
      <c r="Y748" s="14"/>
      <c r="Z748" s="55"/>
      <c r="AA748" t="b">
        <v>0</v>
      </c>
      <c r="AC748" t="b">
        <v>0</v>
      </c>
      <c r="AE748" t="b">
        <v>0</v>
      </c>
      <c r="AG748" t="b">
        <v>0</v>
      </c>
      <c r="AJ748" s="14"/>
      <c r="AL748" s="14"/>
    </row>
    <row r="749">
      <c r="A749" s="15"/>
      <c r="B749" s="7"/>
      <c r="C749" s="16"/>
      <c r="E749" s="9"/>
      <c r="G749" s="16"/>
      <c r="I749" s="9"/>
      <c r="K749" s="16"/>
      <c r="M749" s="9"/>
      <c r="O749" s="16"/>
      <c r="Q749" s="7"/>
      <c r="R749" s="25"/>
      <c r="S749" s="28"/>
      <c r="U749" s="28"/>
      <c r="W749" s="14"/>
      <c r="Y749" s="14"/>
      <c r="Z749" s="55"/>
      <c r="AA749" t="b">
        <v>0</v>
      </c>
      <c r="AC749" t="b">
        <v>0</v>
      </c>
      <c r="AE749" t="b">
        <v>0</v>
      </c>
      <c r="AG749" t="b">
        <v>0</v>
      </c>
      <c r="AJ749" s="14"/>
      <c r="AL749" s="14"/>
    </row>
    <row r="750">
      <c r="A750" s="15"/>
      <c r="B750" s="7"/>
      <c r="C750" s="16"/>
      <c r="E750" s="9"/>
      <c r="G750" s="16"/>
      <c r="I750" s="9"/>
      <c r="K750" s="16"/>
      <c r="M750" s="9"/>
      <c r="O750" s="16"/>
      <c r="Q750" s="7"/>
      <c r="R750" s="25"/>
      <c r="S750" s="28"/>
      <c r="U750" s="28"/>
      <c r="W750" s="14"/>
      <c r="Y750" s="14"/>
      <c r="Z750" s="55"/>
      <c r="AA750" t="b">
        <v>0</v>
      </c>
      <c r="AC750" t="b">
        <v>0</v>
      </c>
      <c r="AE750" t="b">
        <v>0</v>
      </c>
      <c r="AG750" t="b">
        <v>0</v>
      </c>
      <c r="AJ750" s="14"/>
      <c r="AL750" s="14"/>
    </row>
    <row r="751">
      <c r="A751" s="15"/>
      <c r="B751" s="7"/>
      <c r="C751" s="16"/>
      <c r="E751" s="9"/>
      <c r="G751" s="16"/>
      <c r="I751" s="9"/>
      <c r="K751" s="16"/>
      <c r="M751" s="9"/>
      <c r="O751" s="16"/>
      <c r="Q751" s="7"/>
      <c r="R751" s="25"/>
      <c r="S751" s="28"/>
      <c r="U751" s="28"/>
      <c r="W751" s="14"/>
      <c r="Y751" s="14"/>
      <c r="Z751" s="55"/>
      <c r="AA751" t="b">
        <v>0</v>
      </c>
      <c r="AC751" t="b">
        <v>0</v>
      </c>
      <c r="AE751" t="b">
        <v>0</v>
      </c>
      <c r="AG751" t="b">
        <v>0</v>
      </c>
      <c r="AJ751" s="14"/>
      <c r="AL751" s="14"/>
    </row>
    <row r="752">
      <c r="A752" s="15"/>
      <c r="B752" s="7"/>
      <c r="C752" s="16"/>
      <c r="E752" s="9"/>
      <c r="G752" s="16"/>
      <c r="I752" s="9"/>
      <c r="K752" s="16"/>
      <c r="M752" s="9"/>
      <c r="O752" s="16"/>
      <c r="Q752" s="7"/>
      <c r="R752" s="25"/>
      <c r="S752" s="28"/>
      <c r="U752" s="28"/>
      <c r="W752" s="14"/>
      <c r="Y752" s="14"/>
      <c r="Z752" s="55"/>
      <c r="AA752" t="b">
        <v>0</v>
      </c>
      <c r="AC752" t="b">
        <v>0</v>
      </c>
      <c r="AE752" t="b">
        <v>0</v>
      </c>
      <c r="AG752" t="b">
        <v>0</v>
      </c>
      <c r="AJ752" s="14"/>
      <c r="AL752" s="14"/>
    </row>
    <row r="753">
      <c r="A753" s="15"/>
      <c r="B753" s="7"/>
      <c r="C753" s="16"/>
      <c r="E753" s="9"/>
      <c r="G753" s="16"/>
      <c r="I753" s="9"/>
      <c r="K753" s="16"/>
      <c r="M753" s="9"/>
      <c r="O753" s="16"/>
      <c r="Q753" s="7"/>
      <c r="R753" s="25"/>
      <c r="S753" s="28"/>
      <c r="U753" s="28"/>
      <c r="W753" s="14"/>
      <c r="Y753" s="14"/>
      <c r="Z753" s="55"/>
      <c r="AA753" t="b">
        <v>0</v>
      </c>
      <c r="AC753" t="b">
        <v>0</v>
      </c>
      <c r="AE753" t="b">
        <v>0</v>
      </c>
      <c r="AG753" t="b">
        <v>0</v>
      </c>
      <c r="AJ753" s="14"/>
      <c r="AL753" s="14"/>
    </row>
    <row r="754">
      <c r="A754" s="15"/>
      <c r="B754" s="7"/>
      <c r="C754" s="16"/>
      <c r="E754" s="9"/>
      <c r="G754" s="16"/>
      <c r="I754" s="9"/>
      <c r="K754" s="16"/>
      <c r="M754" s="9"/>
      <c r="O754" s="16"/>
      <c r="Q754" s="7"/>
      <c r="R754" s="25"/>
      <c r="S754" s="28"/>
      <c r="U754" s="28"/>
      <c r="W754" s="14"/>
      <c r="Y754" s="14"/>
      <c r="Z754" s="55"/>
      <c r="AA754" t="b">
        <v>0</v>
      </c>
      <c r="AC754" t="b">
        <v>0</v>
      </c>
      <c r="AE754" t="b">
        <v>0</v>
      </c>
      <c r="AG754" t="b">
        <v>0</v>
      </c>
      <c r="AJ754" s="14"/>
      <c r="AL754" s="14"/>
    </row>
    <row r="755">
      <c r="A755" s="15"/>
      <c r="B755" s="7"/>
      <c r="C755" s="16"/>
      <c r="E755" s="9"/>
      <c r="G755" s="16"/>
      <c r="I755" s="9"/>
      <c r="K755" s="16"/>
      <c r="M755" s="9"/>
      <c r="O755" s="16"/>
      <c r="Q755" s="7"/>
      <c r="R755" s="25"/>
      <c r="S755" s="28"/>
      <c r="U755" s="28"/>
      <c r="W755" s="14"/>
      <c r="Y755" s="14"/>
      <c r="Z755" s="55"/>
      <c r="AA755" t="b">
        <v>0</v>
      </c>
      <c r="AC755" t="b">
        <v>0</v>
      </c>
      <c r="AE755" t="b">
        <v>0</v>
      </c>
      <c r="AG755" t="b">
        <v>0</v>
      </c>
      <c r="AJ755" s="14"/>
      <c r="AL755" s="14"/>
    </row>
    <row r="756">
      <c r="A756" s="15"/>
      <c r="B756" s="7"/>
      <c r="C756" s="16"/>
      <c r="E756" s="9"/>
      <c r="G756" s="16"/>
      <c r="I756" s="9"/>
      <c r="K756" s="16"/>
      <c r="M756" s="9"/>
      <c r="O756" s="16"/>
      <c r="Q756" s="7"/>
      <c r="R756" s="25"/>
      <c r="S756" s="28"/>
      <c r="U756" s="28"/>
      <c r="W756" s="14"/>
      <c r="Y756" s="14"/>
      <c r="Z756" s="55"/>
      <c r="AA756" t="b">
        <v>0</v>
      </c>
      <c r="AC756" t="b">
        <v>0</v>
      </c>
      <c r="AE756" t="b">
        <v>0</v>
      </c>
      <c r="AG756" t="b">
        <v>0</v>
      </c>
      <c r="AJ756" s="14"/>
      <c r="AL756" s="14"/>
    </row>
    <row r="757">
      <c r="A757" s="15"/>
      <c r="B757" s="7"/>
      <c r="C757" s="16"/>
      <c r="E757" s="9"/>
      <c r="G757" s="16"/>
      <c r="I757" s="9"/>
      <c r="K757" s="16"/>
      <c r="M757" s="9"/>
      <c r="O757" s="16"/>
      <c r="Q757" s="7"/>
      <c r="R757" s="25"/>
      <c r="S757" s="28"/>
      <c r="U757" s="28"/>
      <c r="W757" s="14"/>
      <c r="Y757" s="14"/>
      <c r="Z757" s="55"/>
      <c r="AA757" t="b">
        <v>0</v>
      </c>
      <c r="AC757" t="b">
        <v>0</v>
      </c>
      <c r="AE757" t="b">
        <v>0</v>
      </c>
      <c r="AG757" t="b">
        <v>0</v>
      </c>
      <c r="AJ757" s="14"/>
      <c r="AL757" s="14"/>
    </row>
    <row r="758">
      <c r="A758" s="15"/>
      <c r="B758" s="7"/>
      <c r="C758" s="16"/>
      <c r="E758" s="9"/>
      <c r="G758" s="16"/>
      <c r="I758" s="9"/>
      <c r="K758" s="16"/>
      <c r="M758" s="9"/>
      <c r="O758" s="16"/>
      <c r="Q758" s="7"/>
      <c r="R758" s="25"/>
      <c r="S758" s="28"/>
      <c r="U758" s="28"/>
      <c r="W758" s="14"/>
      <c r="Y758" s="14"/>
      <c r="Z758" s="55"/>
      <c r="AA758" t="b">
        <v>0</v>
      </c>
      <c r="AC758" t="b">
        <v>0</v>
      </c>
      <c r="AE758" t="b">
        <v>0</v>
      </c>
      <c r="AG758" t="b">
        <v>0</v>
      </c>
      <c r="AJ758" s="14"/>
      <c r="AL758" s="14"/>
    </row>
    <row r="759">
      <c r="A759" s="15"/>
      <c r="B759" s="7"/>
      <c r="C759" s="16"/>
      <c r="E759" s="9"/>
      <c r="G759" s="16"/>
      <c r="I759" s="9"/>
      <c r="K759" s="16"/>
      <c r="M759" s="9"/>
      <c r="O759" s="16"/>
      <c r="Q759" s="7"/>
      <c r="R759" s="25"/>
      <c r="S759" s="28"/>
      <c r="U759" s="28"/>
      <c r="W759" s="14"/>
      <c r="Y759" s="14"/>
      <c r="Z759" s="55"/>
      <c r="AA759" t="b">
        <v>0</v>
      </c>
      <c r="AC759" t="b">
        <v>0</v>
      </c>
      <c r="AE759" t="b">
        <v>0</v>
      </c>
      <c r="AG759" t="b">
        <v>0</v>
      </c>
      <c r="AJ759" s="14"/>
      <c r="AL759" s="14"/>
    </row>
    <row r="760">
      <c r="A760" s="15"/>
      <c r="B760" s="7"/>
      <c r="C760" s="16"/>
      <c r="E760" s="9"/>
      <c r="G760" s="16"/>
      <c r="I760" s="9"/>
      <c r="K760" s="16"/>
      <c r="M760" s="9"/>
      <c r="O760" s="16"/>
      <c r="Q760" s="7"/>
      <c r="R760" s="25"/>
      <c r="S760" s="28"/>
      <c r="U760" s="28"/>
      <c r="W760" s="14"/>
      <c r="Y760" s="14"/>
      <c r="Z760" s="55"/>
      <c r="AA760" t="b">
        <v>0</v>
      </c>
      <c r="AC760" t="b">
        <v>0</v>
      </c>
      <c r="AE760" t="b">
        <v>0</v>
      </c>
      <c r="AG760" t="b">
        <v>0</v>
      </c>
      <c r="AJ760" s="14"/>
      <c r="AL760" s="14"/>
    </row>
    <row r="761">
      <c r="A761" s="15"/>
      <c r="B761" s="7"/>
      <c r="C761" s="16"/>
      <c r="E761" s="9"/>
      <c r="G761" s="16"/>
      <c r="I761" s="9"/>
      <c r="K761" s="16"/>
      <c r="M761" s="9"/>
      <c r="O761" s="16"/>
      <c r="Q761" s="7"/>
      <c r="R761" s="25"/>
      <c r="S761" s="28"/>
      <c r="U761" s="28"/>
      <c r="W761" s="14"/>
      <c r="Y761" s="14"/>
      <c r="Z761" s="55"/>
      <c r="AA761" t="b">
        <v>0</v>
      </c>
      <c r="AC761" t="b">
        <v>0</v>
      </c>
      <c r="AE761" t="b">
        <v>0</v>
      </c>
      <c r="AG761" t="b">
        <v>0</v>
      </c>
      <c r="AJ761" s="14"/>
      <c r="AL761" s="14"/>
    </row>
    <row r="762">
      <c r="A762" s="15"/>
      <c r="B762" s="7"/>
      <c r="C762" s="16"/>
      <c r="E762" s="9"/>
      <c r="G762" s="16"/>
      <c r="I762" s="9"/>
      <c r="K762" s="16"/>
      <c r="M762" s="9"/>
      <c r="O762" s="16"/>
      <c r="Q762" s="7"/>
      <c r="R762" s="25"/>
      <c r="S762" s="28"/>
      <c r="U762" s="28"/>
      <c r="W762" s="14"/>
      <c r="Y762" s="14"/>
      <c r="Z762" s="55"/>
      <c r="AA762" t="b">
        <v>0</v>
      </c>
      <c r="AC762" t="b">
        <v>0</v>
      </c>
      <c r="AE762" t="b">
        <v>0</v>
      </c>
      <c r="AG762" t="b">
        <v>0</v>
      </c>
      <c r="AJ762" s="14"/>
      <c r="AL762" s="14"/>
    </row>
    <row r="763">
      <c r="A763" s="15"/>
      <c r="B763" s="7"/>
      <c r="C763" s="16"/>
      <c r="E763" s="9"/>
      <c r="G763" s="16"/>
      <c r="I763" s="9"/>
      <c r="K763" s="16"/>
      <c r="M763" s="9"/>
      <c r="O763" s="16"/>
      <c r="Q763" s="7"/>
      <c r="R763" s="25"/>
      <c r="S763" s="28"/>
      <c r="U763" s="28"/>
      <c r="W763" s="14"/>
      <c r="Y763" s="14"/>
      <c r="Z763" s="55"/>
      <c r="AA763" t="b">
        <v>0</v>
      </c>
      <c r="AC763" t="b">
        <v>0</v>
      </c>
      <c r="AE763" t="b">
        <v>0</v>
      </c>
      <c r="AG763" t="b">
        <v>0</v>
      </c>
      <c r="AJ763" s="14"/>
      <c r="AL763" s="14"/>
    </row>
    <row r="764">
      <c r="A764" s="15"/>
      <c r="B764" s="7"/>
      <c r="C764" s="16"/>
      <c r="E764" s="9"/>
      <c r="G764" s="16"/>
      <c r="I764" s="9"/>
      <c r="K764" s="16"/>
      <c r="M764" s="9"/>
      <c r="O764" s="16"/>
      <c r="Q764" s="7"/>
      <c r="R764" s="25"/>
      <c r="S764" s="28"/>
      <c r="U764" s="28"/>
      <c r="W764" s="14"/>
      <c r="Y764" s="14"/>
      <c r="Z764" s="55"/>
      <c r="AA764" t="b">
        <v>0</v>
      </c>
      <c r="AC764" t="b">
        <v>0</v>
      </c>
      <c r="AE764" t="b">
        <v>0</v>
      </c>
      <c r="AG764" t="b">
        <v>0</v>
      </c>
      <c r="AJ764" s="14"/>
      <c r="AL764" s="14"/>
    </row>
    <row r="765">
      <c r="A765" s="15"/>
      <c r="B765" s="7"/>
      <c r="C765" s="16"/>
      <c r="E765" s="9"/>
      <c r="G765" s="16"/>
      <c r="I765" s="9"/>
      <c r="K765" s="16"/>
      <c r="M765" s="9"/>
      <c r="O765" s="16"/>
      <c r="Q765" s="7"/>
      <c r="R765" s="25"/>
      <c r="S765" s="28"/>
      <c r="U765" s="28"/>
      <c r="W765" s="14"/>
      <c r="Y765" s="14"/>
      <c r="Z765" s="55"/>
      <c r="AA765" t="b">
        <v>0</v>
      </c>
      <c r="AC765" t="b">
        <v>0</v>
      </c>
      <c r="AE765" t="b">
        <v>0</v>
      </c>
      <c r="AG765" t="b">
        <v>0</v>
      </c>
      <c r="AJ765" s="14"/>
      <c r="AL765" s="14"/>
    </row>
    <row r="766">
      <c r="A766" s="15"/>
      <c r="B766" s="7"/>
      <c r="C766" s="16"/>
      <c r="E766" s="9"/>
      <c r="G766" s="16"/>
      <c r="I766" s="9"/>
      <c r="K766" s="16"/>
      <c r="M766" s="9"/>
      <c r="O766" s="16"/>
      <c r="Q766" s="7"/>
      <c r="R766" s="25"/>
      <c r="S766" s="28"/>
      <c r="U766" s="28"/>
      <c r="W766" s="14"/>
      <c r="Y766" s="14"/>
      <c r="Z766" s="55"/>
      <c r="AA766" t="b">
        <v>0</v>
      </c>
      <c r="AC766" t="b">
        <v>0</v>
      </c>
      <c r="AE766" t="b">
        <v>0</v>
      </c>
      <c r="AG766" t="b">
        <v>0</v>
      </c>
      <c r="AJ766" s="14"/>
      <c r="AL766" s="14"/>
    </row>
    <row r="767">
      <c r="A767" s="15"/>
      <c r="B767" s="7"/>
      <c r="C767" s="16"/>
      <c r="E767" s="9"/>
      <c r="G767" s="16"/>
      <c r="I767" s="9"/>
      <c r="K767" s="16"/>
      <c r="M767" s="9"/>
      <c r="O767" s="16"/>
      <c r="Q767" s="7"/>
      <c r="R767" s="25"/>
      <c r="S767" s="28"/>
      <c r="U767" s="28"/>
      <c r="W767" s="14"/>
      <c r="Y767" s="14"/>
      <c r="Z767" s="55"/>
      <c r="AA767" t="b">
        <v>0</v>
      </c>
      <c r="AC767" t="b">
        <v>0</v>
      </c>
      <c r="AE767" t="b">
        <v>0</v>
      </c>
      <c r="AG767" t="b">
        <v>0</v>
      </c>
      <c r="AJ767" s="14"/>
      <c r="AL767" s="14"/>
    </row>
    <row r="768">
      <c r="A768" s="15"/>
      <c r="B768" s="7"/>
      <c r="C768" s="16"/>
      <c r="E768" s="9"/>
      <c r="G768" s="16"/>
      <c r="I768" s="9"/>
      <c r="K768" s="16"/>
      <c r="M768" s="9"/>
      <c r="O768" s="16"/>
      <c r="Q768" s="7"/>
      <c r="R768" s="25"/>
      <c r="S768" s="28"/>
      <c r="U768" s="28"/>
      <c r="W768" s="14"/>
      <c r="Y768" s="14"/>
      <c r="Z768" s="55"/>
      <c r="AA768" t="b">
        <v>0</v>
      </c>
      <c r="AC768" t="b">
        <v>0</v>
      </c>
      <c r="AE768" t="b">
        <v>0</v>
      </c>
      <c r="AG768" t="b">
        <v>0</v>
      </c>
      <c r="AJ768" s="14"/>
      <c r="AL768" s="14"/>
    </row>
    <row r="769">
      <c r="A769" s="15"/>
      <c r="B769" s="7"/>
      <c r="C769" s="16"/>
      <c r="E769" s="9"/>
      <c r="G769" s="16"/>
      <c r="I769" s="9"/>
      <c r="K769" s="16"/>
      <c r="M769" s="9"/>
      <c r="O769" s="16"/>
      <c r="Q769" s="7"/>
      <c r="R769" s="25"/>
      <c r="S769" s="28"/>
      <c r="U769" s="28"/>
      <c r="W769" s="14"/>
      <c r="Y769" s="14"/>
      <c r="Z769" s="55"/>
      <c r="AA769" t="b">
        <v>0</v>
      </c>
      <c r="AC769" t="b">
        <v>0</v>
      </c>
      <c r="AE769" t="b">
        <v>0</v>
      </c>
      <c r="AG769" t="b">
        <v>0</v>
      </c>
      <c r="AJ769" s="14"/>
      <c r="AL769" s="14"/>
    </row>
    <row r="770">
      <c r="A770" s="15"/>
      <c r="B770" s="7"/>
      <c r="C770" s="16"/>
      <c r="E770" s="9"/>
      <c r="G770" s="16"/>
      <c r="I770" s="9"/>
      <c r="K770" s="16"/>
      <c r="M770" s="9"/>
      <c r="O770" s="16"/>
      <c r="Q770" s="7"/>
      <c r="R770" s="25"/>
      <c r="S770" s="28"/>
      <c r="U770" s="28"/>
      <c r="W770" s="14"/>
      <c r="Y770" s="14"/>
      <c r="Z770" s="55"/>
      <c r="AA770" t="b">
        <v>0</v>
      </c>
      <c r="AC770" t="b">
        <v>0</v>
      </c>
      <c r="AE770" t="b">
        <v>0</v>
      </c>
      <c r="AG770" t="b">
        <v>0</v>
      </c>
      <c r="AJ770" s="14"/>
      <c r="AL770" s="14"/>
    </row>
    <row r="771">
      <c r="A771" s="15"/>
      <c r="B771" s="7"/>
      <c r="C771" s="16"/>
      <c r="E771" s="9"/>
      <c r="G771" s="16"/>
      <c r="I771" s="9"/>
      <c r="K771" s="16"/>
      <c r="M771" s="9"/>
      <c r="O771" s="16"/>
      <c r="Q771" s="7"/>
      <c r="R771" s="25"/>
      <c r="S771" s="28"/>
      <c r="U771" s="28"/>
      <c r="W771" s="14"/>
      <c r="Y771" s="14"/>
      <c r="Z771" s="55"/>
      <c r="AA771" t="b">
        <v>0</v>
      </c>
      <c r="AC771" t="b">
        <v>0</v>
      </c>
      <c r="AE771" t="b">
        <v>0</v>
      </c>
      <c r="AG771" t="b">
        <v>0</v>
      </c>
      <c r="AJ771" s="14"/>
      <c r="AL771" s="14"/>
    </row>
    <row r="772">
      <c r="A772" s="15"/>
      <c r="B772" s="7"/>
      <c r="C772" s="16"/>
      <c r="E772" s="9"/>
      <c r="G772" s="16"/>
      <c r="I772" s="9"/>
      <c r="K772" s="16"/>
      <c r="M772" s="9"/>
      <c r="O772" s="16"/>
      <c r="Q772" s="7"/>
      <c r="R772" s="25"/>
      <c r="S772" s="28"/>
      <c r="U772" s="28"/>
      <c r="W772" s="14"/>
      <c r="Y772" s="14"/>
      <c r="Z772" s="55"/>
      <c r="AA772" t="b">
        <v>0</v>
      </c>
      <c r="AC772" t="b">
        <v>0</v>
      </c>
      <c r="AE772" t="b">
        <v>0</v>
      </c>
      <c r="AG772" t="b">
        <v>0</v>
      </c>
      <c r="AJ772" s="14"/>
      <c r="AL772" s="14"/>
    </row>
    <row r="773">
      <c r="A773" s="15"/>
      <c r="B773" s="7"/>
      <c r="C773" s="16"/>
      <c r="E773" s="9"/>
      <c r="G773" s="16"/>
      <c r="I773" s="9"/>
      <c r="K773" s="16"/>
      <c r="M773" s="9"/>
      <c r="O773" s="16"/>
      <c r="Q773" s="7"/>
      <c r="R773" s="25"/>
      <c r="S773" s="28"/>
      <c r="U773" s="28"/>
      <c r="W773" s="14"/>
      <c r="Y773" s="14"/>
      <c r="Z773" s="55"/>
      <c r="AA773" t="b">
        <v>0</v>
      </c>
      <c r="AC773" t="b">
        <v>0</v>
      </c>
      <c r="AE773" t="b">
        <v>0</v>
      </c>
      <c r="AG773" t="b">
        <v>0</v>
      </c>
      <c r="AJ773" s="14"/>
      <c r="AL773" s="14"/>
    </row>
    <row r="774">
      <c r="A774" s="15"/>
      <c r="B774" s="7"/>
      <c r="C774" s="16"/>
      <c r="E774" s="9"/>
      <c r="G774" s="16"/>
      <c r="I774" s="9"/>
      <c r="K774" s="16"/>
      <c r="M774" s="9"/>
      <c r="O774" s="16"/>
      <c r="Q774" s="7"/>
      <c r="R774" s="25"/>
      <c r="S774" s="28"/>
      <c r="U774" s="28"/>
      <c r="W774" s="14"/>
      <c r="Y774" s="14"/>
      <c r="Z774" s="55"/>
      <c r="AA774" t="b">
        <v>0</v>
      </c>
      <c r="AC774" t="b">
        <v>0</v>
      </c>
      <c r="AE774" t="b">
        <v>0</v>
      </c>
      <c r="AG774" t="b">
        <v>0</v>
      </c>
      <c r="AJ774" s="14"/>
      <c r="AL774" s="14"/>
    </row>
    <row r="775">
      <c r="A775" s="15"/>
      <c r="B775" s="7"/>
      <c r="C775" s="16"/>
      <c r="E775" s="9"/>
      <c r="G775" s="16"/>
      <c r="I775" s="9"/>
      <c r="K775" s="16"/>
      <c r="M775" s="9"/>
      <c r="O775" s="16"/>
      <c r="Q775" s="7"/>
      <c r="R775" s="25"/>
      <c r="S775" s="28"/>
      <c r="U775" s="28"/>
      <c r="W775" s="14"/>
      <c r="Y775" s="14"/>
      <c r="Z775" s="55"/>
      <c r="AA775" t="b">
        <v>0</v>
      </c>
      <c r="AC775" t="b">
        <v>0</v>
      </c>
      <c r="AE775" t="b">
        <v>0</v>
      </c>
      <c r="AG775" t="b">
        <v>0</v>
      </c>
      <c r="AJ775" s="14"/>
      <c r="AL775" s="14"/>
    </row>
    <row r="776">
      <c r="A776" s="15"/>
      <c r="B776" s="7"/>
      <c r="C776" s="16"/>
      <c r="E776" s="9"/>
      <c r="G776" s="16"/>
      <c r="I776" s="9"/>
      <c r="K776" s="16"/>
      <c r="M776" s="9"/>
      <c r="O776" s="16"/>
      <c r="Q776" s="7"/>
      <c r="R776" s="25"/>
      <c r="S776" s="28"/>
      <c r="U776" s="28"/>
      <c r="W776" s="14"/>
      <c r="Y776" s="14"/>
      <c r="Z776" s="55"/>
      <c r="AA776" t="b">
        <v>0</v>
      </c>
      <c r="AC776" t="b">
        <v>0</v>
      </c>
      <c r="AE776" t="b">
        <v>0</v>
      </c>
      <c r="AG776" t="b">
        <v>0</v>
      </c>
      <c r="AJ776" s="14"/>
      <c r="AL776" s="14"/>
    </row>
    <row r="777">
      <c r="A777" s="15"/>
      <c r="B777" s="7"/>
      <c r="C777" s="16"/>
      <c r="E777" s="9"/>
      <c r="G777" s="16"/>
      <c r="I777" s="9"/>
      <c r="K777" s="16"/>
      <c r="M777" s="9"/>
      <c r="O777" s="16"/>
      <c r="Q777" s="7"/>
      <c r="R777" s="25"/>
      <c r="S777" s="28"/>
      <c r="U777" s="28"/>
      <c r="W777" s="14"/>
      <c r="Y777" s="14"/>
      <c r="Z777" s="55"/>
      <c r="AA777" t="b">
        <v>0</v>
      </c>
      <c r="AC777" t="b">
        <v>0</v>
      </c>
      <c r="AE777" t="b">
        <v>0</v>
      </c>
      <c r="AG777" t="b">
        <v>0</v>
      </c>
      <c r="AJ777" s="14"/>
      <c r="AL777" s="14"/>
    </row>
    <row r="778">
      <c r="A778" s="15"/>
      <c r="B778" s="7"/>
      <c r="C778" s="16"/>
      <c r="E778" s="9"/>
      <c r="G778" s="16"/>
      <c r="I778" s="9"/>
      <c r="K778" s="16"/>
      <c r="M778" s="9"/>
      <c r="O778" s="16"/>
      <c r="Q778" s="7"/>
      <c r="R778" s="25"/>
      <c r="S778" s="28"/>
      <c r="U778" s="28"/>
      <c r="W778" s="14"/>
      <c r="Y778" s="14"/>
      <c r="Z778" s="55"/>
      <c r="AA778" t="b">
        <v>0</v>
      </c>
      <c r="AC778" t="b">
        <v>0</v>
      </c>
      <c r="AE778" t="b">
        <v>0</v>
      </c>
      <c r="AG778" t="b">
        <v>0</v>
      </c>
      <c r="AJ778" s="14"/>
      <c r="AL778" s="14"/>
    </row>
    <row r="779">
      <c r="A779" s="15"/>
      <c r="B779" s="7"/>
      <c r="C779" s="16"/>
      <c r="E779" s="9"/>
      <c r="G779" s="16"/>
      <c r="I779" s="9"/>
      <c r="K779" s="16"/>
      <c r="M779" s="9"/>
      <c r="O779" s="16"/>
      <c r="Q779" s="7"/>
      <c r="R779" s="25"/>
      <c r="S779" s="28"/>
      <c r="U779" s="28"/>
      <c r="W779" s="14"/>
      <c r="Y779" s="14"/>
      <c r="Z779" s="55"/>
      <c r="AA779" t="b">
        <v>0</v>
      </c>
      <c r="AC779" t="b">
        <v>0</v>
      </c>
      <c r="AE779" t="b">
        <v>0</v>
      </c>
      <c r="AG779" t="b">
        <v>0</v>
      </c>
      <c r="AJ779" s="14"/>
      <c r="AL779" s="14"/>
    </row>
    <row r="780">
      <c r="A780" s="15"/>
      <c r="B780" s="7"/>
      <c r="C780" s="16"/>
      <c r="E780" s="9"/>
      <c r="G780" s="16"/>
      <c r="I780" s="9"/>
      <c r="K780" s="16"/>
      <c r="M780" s="9"/>
      <c r="O780" s="16"/>
      <c r="Q780" s="7"/>
      <c r="R780" s="25"/>
      <c r="S780" s="28"/>
      <c r="U780" s="28"/>
      <c r="W780" s="14"/>
      <c r="Y780" s="14"/>
      <c r="Z780" s="55"/>
      <c r="AA780" t="b">
        <v>0</v>
      </c>
      <c r="AC780" t="b">
        <v>0</v>
      </c>
      <c r="AE780" t="b">
        <v>0</v>
      </c>
      <c r="AG780" t="b">
        <v>0</v>
      </c>
      <c r="AJ780" s="14"/>
      <c r="AL780" s="14"/>
    </row>
    <row r="781">
      <c r="A781" s="15"/>
      <c r="B781" s="7"/>
      <c r="C781" s="16"/>
      <c r="E781" s="9"/>
      <c r="G781" s="16"/>
      <c r="I781" s="9"/>
      <c r="K781" s="16"/>
      <c r="M781" s="9"/>
      <c r="O781" s="16"/>
      <c r="Q781" s="7"/>
      <c r="R781" s="25"/>
      <c r="S781" s="28"/>
      <c r="U781" s="28"/>
      <c r="W781" s="14"/>
      <c r="Y781" s="14"/>
      <c r="Z781" s="55"/>
      <c r="AA781" t="b">
        <v>0</v>
      </c>
      <c r="AC781" t="b">
        <v>0</v>
      </c>
      <c r="AE781" t="b">
        <v>0</v>
      </c>
      <c r="AG781" t="b">
        <v>0</v>
      </c>
      <c r="AJ781" s="14"/>
      <c r="AL781" s="14"/>
    </row>
    <row r="782">
      <c r="A782" s="15"/>
      <c r="B782" s="7"/>
      <c r="C782" s="16"/>
      <c r="E782" s="9"/>
      <c r="G782" s="16"/>
      <c r="I782" s="9"/>
      <c r="K782" s="16"/>
      <c r="M782" s="9"/>
      <c r="O782" s="16"/>
      <c r="Q782" s="7"/>
      <c r="R782" s="25"/>
      <c r="S782" s="28"/>
      <c r="U782" s="28"/>
      <c r="W782" s="14"/>
      <c r="Y782" s="14"/>
      <c r="Z782" s="55"/>
      <c r="AA782" t="b">
        <v>0</v>
      </c>
      <c r="AC782" t="b">
        <v>0</v>
      </c>
      <c r="AE782" t="b">
        <v>0</v>
      </c>
      <c r="AG782" t="b">
        <v>0</v>
      </c>
      <c r="AJ782" s="14"/>
      <c r="AL782" s="14"/>
    </row>
    <row r="783">
      <c r="A783" s="15"/>
      <c r="B783" s="7"/>
      <c r="C783" s="16"/>
      <c r="E783" s="9"/>
      <c r="G783" s="16"/>
      <c r="I783" s="9"/>
      <c r="K783" s="16"/>
      <c r="M783" s="9"/>
      <c r="O783" s="16"/>
      <c r="Q783" s="7"/>
      <c r="R783" s="25"/>
      <c r="S783" s="28"/>
      <c r="U783" s="28"/>
      <c r="W783" s="14"/>
      <c r="Y783" s="14"/>
      <c r="Z783" s="55"/>
      <c r="AA783" t="b">
        <v>0</v>
      </c>
      <c r="AC783" t="b">
        <v>0</v>
      </c>
      <c r="AE783" t="b">
        <v>0</v>
      </c>
      <c r="AG783" t="b">
        <v>0</v>
      </c>
      <c r="AJ783" s="14"/>
      <c r="AL783" s="14"/>
    </row>
    <row r="784">
      <c r="A784" s="15"/>
      <c r="B784" s="7"/>
      <c r="C784" s="16"/>
      <c r="E784" s="9"/>
      <c r="G784" s="16"/>
      <c r="I784" s="9"/>
      <c r="K784" s="16"/>
      <c r="M784" s="9"/>
      <c r="O784" s="16"/>
      <c r="Q784" s="7"/>
      <c r="R784" s="25"/>
      <c r="S784" s="28"/>
      <c r="U784" s="28"/>
      <c r="W784" s="14"/>
      <c r="Y784" s="14"/>
      <c r="Z784" s="55"/>
      <c r="AA784" t="b">
        <v>0</v>
      </c>
      <c r="AC784" t="b">
        <v>0</v>
      </c>
      <c r="AE784" t="b">
        <v>0</v>
      </c>
      <c r="AG784" t="b">
        <v>0</v>
      </c>
      <c r="AJ784" s="14"/>
      <c r="AL784" s="14"/>
    </row>
    <row r="785">
      <c r="A785" s="15"/>
      <c r="B785" s="7"/>
      <c r="C785" s="16"/>
      <c r="E785" s="9"/>
      <c r="G785" s="16"/>
      <c r="I785" s="9"/>
      <c r="K785" s="16"/>
      <c r="M785" s="9"/>
      <c r="O785" s="16"/>
      <c r="Q785" s="7"/>
      <c r="R785" s="25"/>
      <c r="S785" s="28"/>
      <c r="U785" s="28"/>
      <c r="W785" s="14"/>
      <c r="Y785" s="14"/>
      <c r="Z785" s="55"/>
      <c r="AA785" t="b">
        <v>0</v>
      </c>
      <c r="AC785" t="b">
        <v>0</v>
      </c>
      <c r="AE785" t="b">
        <v>0</v>
      </c>
      <c r="AG785" t="b">
        <v>0</v>
      </c>
      <c r="AJ785" s="14"/>
      <c r="AL785" s="14"/>
    </row>
    <row r="786">
      <c r="A786" s="15"/>
      <c r="B786" s="7"/>
      <c r="C786" s="16"/>
      <c r="E786" s="9"/>
      <c r="G786" s="16"/>
      <c r="I786" s="9"/>
      <c r="K786" s="16"/>
      <c r="M786" s="9"/>
      <c r="O786" s="16"/>
      <c r="Q786" s="7"/>
      <c r="R786" s="25"/>
      <c r="S786" s="28"/>
      <c r="U786" s="28"/>
      <c r="W786" s="14"/>
      <c r="Y786" s="14"/>
      <c r="Z786" s="55"/>
      <c r="AA786" t="b">
        <v>0</v>
      </c>
      <c r="AC786" t="b">
        <v>0</v>
      </c>
      <c r="AE786" t="b">
        <v>0</v>
      </c>
      <c r="AG786" t="b">
        <v>0</v>
      </c>
      <c r="AJ786" s="14"/>
      <c r="AL786" s="14"/>
    </row>
    <row r="787">
      <c r="A787" s="15"/>
      <c r="B787" s="7"/>
      <c r="C787" s="16"/>
      <c r="E787" s="9"/>
      <c r="G787" s="16"/>
      <c r="I787" s="9"/>
      <c r="K787" s="16"/>
      <c r="M787" s="9"/>
      <c r="O787" s="16"/>
      <c r="Q787" s="7"/>
      <c r="R787" s="25"/>
      <c r="S787" s="28"/>
      <c r="U787" s="28"/>
      <c r="W787" s="14"/>
      <c r="Y787" s="14"/>
      <c r="Z787" s="55"/>
      <c r="AA787" t="b">
        <v>0</v>
      </c>
      <c r="AC787" t="b">
        <v>0</v>
      </c>
      <c r="AE787" t="b">
        <v>0</v>
      </c>
      <c r="AG787" t="b">
        <v>0</v>
      </c>
      <c r="AJ787" s="14"/>
      <c r="AL787" s="14"/>
    </row>
    <row r="788">
      <c r="A788" s="15"/>
      <c r="B788" s="7"/>
      <c r="C788" s="16"/>
      <c r="E788" s="9"/>
      <c r="G788" s="16"/>
      <c r="I788" s="9"/>
      <c r="K788" s="16"/>
      <c r="M788" s="9"/>
      <c r="O788" s="16"/>
      <c r="Q788" s="7"/>
      <c r="R788" s="25"/>
      <c r="S788" s="28"/>
      <c r="U788" s="28"/>
      <c r="W788" s="14"/>
      <c r="Y788" s="14"/>
      <c r="Z788" s="55"/>
      <c r="AA788" t="b">
        <v>0</v>
      </c>
      <c r="AC788" t="b">
        <v>0</v>
      </c>
      <c r="AE788" t="b">
        <v>0</v>
      </c>
      <c r="AG788" t="b">
        <v>0</v>
      </c>
      <c r="AJ788" s="14"/>
      <c r="AL788" s="14"/>
    </row>
    <row r="789">
      <c r="A789" s="15"/>
      <c r="B789" s="7"/>
      <c r="C789" s="16"/>
      <c r="E789" s="9"/>
      <c r="G789" s="16"/>
      <c r="I789" s="9"/>
      <c r="K789" s="16"/>
      <c r="M789" s="9"/>
      <c r="O789" s="16"/>
      <c r="Q789" s="7"/>
      <c r="R789" s="25"/>
      <c r="S789" s="28"/>
      <c r="U789" s="28"/>
      <c r="W789" s="14"/>
      <c r="Y789" s="14"/>
      <c r="Z789" s="55"/>
      <c r="AA789" t="b">
        <v>0</v>
      </c>
      <c r="AC789" t="b">
        <v>0</v>
      </c>
      <c r="AE789" t="b">
        <v>0</v>
      </c>
      <c r="AG789" t="b">
        <v>0</v>
      </c>
      <c r="AJ789" s="14"/>
      <c r="AL789" s="14"/>
    </row>
    <row r="790">
      <c r="A790" s="15"/>
      <c r="B790" s="7"/>
      <c r="C790" s="16"/>
      <c r="E790" s="9"/>
      <c r="G790" s="16"/>
      <c r="I790" s="9"/>
      <c r="K790" s="16"/>
      <c r="M790" s="9"/>
      <c r="O790" s="16"/>
      <c r="Q790" s="7"/>
      <c r="R790" s="25"/>
      <c r="S790" s="28"/>
      <c r="U790" s="28"/>
      <c r="W790" s="14"/>
      <c r="Y790" s="14"/>
      <c r="Z790" s="55"/>
      <c r="AA790" t="b">
        <v>0</v>
      </c>
      <c r="AC790" t="b">
        <v>0</v>
      </c>
      <c r="AE790" t="b">
        <v>0</v>
      </c>
      <c r="AG790" t="b">
        <v>0</v>
      </c>
      <c r="AJ790" s="14"/>
      <c r="AL790" s="14"/>
    </row>
    <row r="791">
      <c r="A791" s="15"/>
      <c r="B791" s="7"/>
      <c r="C791" s="16"/>
      <c r="E791" s="9"/>
      <c r="G791" s="16"/>
      <c r="I791" s="9"/>
      <c r="K791" s="16"/>
      <c r="M791" s="9"/>
      <c r="O791" s="16"/>
      <c r="Q791" s="7"/>
      <c r="R791" s="25"/>
      <c r="S791" s="28"/>
      <c r="U791" s="28"/>
      <c r="W791" s="14"/>
      <c r="Y791" s="14"/>
      <c r="Z791" s="55"/>
      <c r="AA791" t="b">
        <v>0</v>
      </c>
      <c r="AC791" t="b">
        <v>0</v>
      </c>
      <c r="AE791" t="b">
        <v>0</v>
      </c>
      <c r="AG791" t="b">
        <v>0</v>
      </c>
      <c r="AJ791" s="14"/>
      <c r="AL791" s="14"/>
    </row>
    <row r="792">
      <c r="A792" s="15"/>
      <c r="B792" s="7"/>
      <c r="C792" s="16"/>
      <c r="E792" s="9"/>
      <c r="G792" s="16"/>
      <c r="I792" s="9"/>
      <c r="K792" s="16"/>
      <c r="M792" s="9"/>
      <c r="O792" s="16"/>
      <c r="Q792" s="7"/>
      <c r="R792" s="25"/>
      <c r="S792" s="28"/>
      <c r="U792" s="28"/>
      <c r="W792" s="14"/>
      <c r="Y792" s="14"/>
      <c r="Z792" s="55"/>
      <c r="AA792" t="b">
        <v>0</v>
      </c>
      <c r="AC792" t="b">
        <v>0</v>
      </c>
      <c r="AE792" t="b">
        <v>0</v>
      </c>
      <c r="AG792" t="b">
        <v>0</v>
      </c>
      <c r="AJ792" s="14"/>
      <c r="AL792" s="14"/>
    </row>
    <row r="793">
      <c r="A793" s="15"/>
      <c r="B793" s="7"/>
      <c r="C793" s="16"/>
      <c r="E793" s="9"/>
      <c r="G793" s="16"/>
      <c r="I793" s="9"/>
      <c r="K793" s="16"/>
      <c r="M793" s="9"/>
      <c r="O793" s="16"/>
      <c r="Q793" s="7"/>
      <c r="R793" s="25"/>
      <c r="S793" s="28"/>
      <c r="U793" s="28"/>
      <c r="W793" s="14"/>
      <c r="Y793" s="14"/>
      <c r="Z793" s="55"/>
      <c r="AA793" t="b">
        <v>0</v>
      </c>
      <c r="AC793" t="b">
        <v>0</v>
      </c>
      <c r="AE793" t="b">
        <v>0</v>
      </c>
      <c r="AG793" t="b">
        <v>0</v>
      </c>
      <c r="AJ793" s="14"/>
      <c r="AL793" s="14"/>
    </row>
    <row r="794">
      <c r="A794" s="15"/>
      <c r="B794" s="7"/>
      <c r="C794" s="16"/>
      <c r="E794" s="9"/>
      <c r="G794" s="16"/>
      <c r="I794" s="9"/>
      <c r="K794" s="16"/>
      <c r="M794" s="9"/>
      <c r="O794" s="16"/>
      <c r="Q794" s="7"/>
      <c r="R794" s="25"/>
      <c r="S794" s="28"/>
      <c r="U794" s="28"/>
      <c r="W794" s="14"/>
      <c r="Y794" s="14"/>
      <c r="Z794" s="55"/>
      <c r="AA794" t="b">
        <v>0</v>
      </c>
      <c r="AC794" t="b">
        <v>0</v>
      </c>
      <c r="AE794" t="b">
        <v>0</v>
      </c>
      <c r="AG794" t="b">
        <v>0</v>
      </c>
      <c r="AJ794" s="14"/>
      <c r="AL794" s="14"/>
    </row>
    <row r="795">
      <c r="A795" s="15"/>
      <c r="B795" s="7"/>
      <c r="C795" s="16"/>
      <c r="E795" s="9"/>
      <c r="G795" s="16"/>
      <c r="I795" s="9"/>
      <c r="K795" s="16"/>
      <c r="M795" s="9"/>
      <c r="O795" s="16"/>
      <c r="Q795" s="7"/>
      <c r="R795" s="25"/>
      <c r="S795" s="28"/>
      <c r="U795" s="28"/>
      <c r="W795" s="14"/>
      <c r="Y795" s="14"/>
      <c r="Z795" s="55"/>
      <c r="AA795" t="b">
        <v>0</v>
      </c>
      <c r="AC795" t="b">
        <v>0</v>
      </c>
      <c r="AE795" t="b">
        <v>0</v>
      </c>
      <c r="AG795" t="b">
        <v>0</v>
      </c>
      <c r="AJ795" s="14"/>
      <c r="AL795" s="14"/>
    </row>
    <row r="796">
      <c r="A796" s="15"/>
      <c r="B796" s="7"/>
      <c r="C796" s="16"/>
      <c r="E796" s="9"/>
      <c r="G796" s="16"/>
      <c r="I796" s="9"/>
      <c r="K796" s="16"/>
      <c r="M796" s="9"/>
      <c r="O796" s="16"/>
      <c r="Q796" s="7"/>
      <c r="R796" s="25"/>
      <c r="S796" s="28"/>
      <c r="U796" s="28"/>
      <c r="W796" s="14"/>
      <c r="Y796" s="14"/>
      <c r="Z796" s="55"/>
      <c r="AA796" t="b">
        <v>0</v>
      </c>
      <c r="AC796" t="b">
        <v>0</v>
      </c>
      <c r="AE796" t="b">
        <v>0</v>
      </c>
      <c r="AG796" t="b">
        <v>0</v>
      </c>
      <c r="AJ796" s="14"/>
      <c r="AL796" s="14"/>
    </row>
    <row r="797">
      <c r="A797" s="15"/>
      <c r="B797" s="7"/>
      <c r="C797" s="16"/>
      <c r="E797" s="9"/>
      <c r="G797" s="16"/>
      <c r="I797" s="9"/>
      <c r="K797" s="16"/>
      <c r="M797" s="9"/>
      <c r="O797" s="16"/>
      <c r="Q797" s="7"/>
      <c r="R797" s="25"/>
      <c r="S797" s="28"/>
      <c r="U797" s="28"/>
      <c r="W797" s="14"/>
      <c r="Y797" s="14"/>
      <c r="Z797" s="55"/>
      <c r="AA797" t="b">
        <v>0</v>
      </c>
      <c r="AC797" t="b">
        <v>0</v>
      </c>
      <c r="AE797" t="b">
        <v>0</v>
      </c>
      <c r="AG797" t="b">
        <v>0</v>
      </c>
      <c r="AJ797" s="14"/>
      <c r="AL797" s="14"/>
    </row>
    <row r="798">
      <c r="A798" s="15"/>
      <c r="B798" s="7"/>
      <c r="C798" s="16"/>
      <c r="E798" s="9"/>
      <c r="G798" s="16"/>
      <c r="I798" s="9"/>
      <c r="K798" s="16"/>
      <c r="M798" s="9"/>
      <c r="O798" s="16"/>
      <c r="Q798" s="7"/>
      <c r="R798" s="25"/>
      <c r="S798" s="28"/>
      <c r="U798" s="28"/>
      <c r="W798" s="14"/>
      <c r="Y798" s="14"/>
      <c r="Z798" s="55"/>
      <c r="AA798" t="b">
        <v>0</v>
      </c>
      <c r="AC798" t="b">
        <v>0</v>
      </c>
      <c r="AE798" t="b">
        <v>0</v>
      </c>
      <c r="AG798" t="b">
        <v>0</v>
      </c>
      <c r="AJ798" s="14"/>
      <c r="AL798" s="14"/>
    </row>
    <row r="799">
      <c r="A799" s="15"/>
      <c r="B799" s="7"/>
      <c r="C799" s="16"/>
      <c r="E799" s="9"/>
      <c r="G799" s="16"/>
      <c r="I799" s="9"/>
      <c r="K799" s="16"/>
      <c r="M799" s="9"/>
      <c r="O799" s="16"/>
      <c r="Q799" s="7"/>
      <c r="R799" s="25"/>
      <c r="S799" s="28"/>
      <c r="U799" s="28"/>
      <c r="W799" s="14"/>
      <c r="Y799" s="14"/>
      <c r="Z799" s="55"/>
      <c r="AA799" t="b">
        <v>0</v>
      </c>
      <c r="AC799" t="b">
        <v>0</v>
      </c>
      <c r="AE799" t="b">
        <v>0</v>
      </c>
      <c r="AG799" t="b">
        <v>0</v>
      </c>
      <c r="AJ799" s="14"/>
      <c r="AL799" s="14"/>
    </row>
    <row r="800">
      <c r="A800" s="15"/>
      <c r="B800" s="7"/>
      <c r="C800" s="16"/>
      <c r="E800" s="9"/>
      <c r="G800" s="16"/>
      <c r="I800" s="9"/>
      <c r="K800" s="16"/>
      <c r="M800" s="9"/>
      <c r="O800" s="16"/>
      <c r="Q800" s="7"/>
      <c r="R800" s="25"/>
      <c r="S800" s="28"/>
      <c r="U800" s="28"/>
      <c r="W800" s="14"/>
      <c r="Y800" s="14"/>
      <c r="Z800" s="55"/>
      <c r="AA800" t="b">
        <v>0</v>
      </c>
      <c r="AC800" t="b">
        <v>0</v>
      </c>
      <c r="AE800" t="b">
        <v>0</v>
      </c>
      <c r="AG800" t="b">
        <v>0</v>
      </c>
      <c r="AJ800" s="14"/>
      <c r="AL800" s="14"/>
    </row>
    <row r="801">
      <c r="A801" s="15"/>
      <c r="B801" s="7"/>
      <c r="C801" s="16"/>
      <c r="E801" s="9"/>
      <c r="G801" s="16"/>
      <c r="I801" s="9"/>
      <c r="K801" s="16"/>
      <c r="M801" s="9"/>
      <c r="O801" s="16"/>
      <c r="Q801" s="7"/>
      <c r="R801" s="25"/>
      <c r="S801" s="28"/>
      <c r="U801" s="28"/>
      <c r="W801" s="14"/>
      <c r="Y801" s="14"/>
      <c r="Z801" s="55"/>
      <c r="AA801" t="b">
        <v>0</v>
      </c>
      <c r="AC801" t="b">
        <v>0</v>
      </c>
      <c r="AE801" t="b">
        <v>0</v>
      </c>
      <c r="AG801" t="b">
        <v>0</v>
      </c>
      <c r="AJ801" s="14"/>
      <c r="AL801" s="14"/>
    </row>
    <row r="802">
      <c r="A802" s="15"/>
      <c r="B802" s="7"/>
      <c r="C802" s="16"/>
      <c r="E802" s="9"/>
      <c r="G802" s="16"/>
      <c r="I802" s="9"/>
      <c r="K802" s="16"/>
      <c r="M802" s="9"/>
      <c r="O802" s="16"/>
      <c r="Q802" s="7"/>
      <c r="R802" s="25"/>
      <c r="S802" s="28"/>
      <c r="U802" s="28"/>
      <c r="W802" s="14"/>
      <c r="Y802" s="14"/>
      <c r="Z802" s="55"/>
      <c r="AA802" t="b">
        <v>0</v>
      </c>
      <c r="AC802" t="b">
        <v>0</v>
      </c>
      <c r="AE802" t="b">
        <v>0</v>
      </c>
      <c r="AG802" t="b">
        <v>0</v>
      </c>
      <c r="AJ802" s="14"/>
      <c r="AL802" s="14"/>
    </row>
    <row r="803">
      <c r="A803" s="15"/>
      <c r="B803" s="7"/>
      <c r="C803" s="16"/>
      <c r="E803" s="9"/>
      <c r="G803" s="16"/>
      <c r="I803" s="9"/>
      <c r="K803" s="16"/>
      <c r="M803" s="9"/>
      <c r="O803" s="16"/>
      <c r="Q803" s="7"/>
      <c r="R803" s="25"/>
      <c r="S803" s="28"/>
      <c r="U803" s="28"/>
      <c r="W803" s="14"/>
      <c r="Y803" s="14"/>
      <c r="Z803" s="55"/>
      <c r="AA803" t="b">
        <v>0</v>
      </c>
      <c r="AC803" t="b">
        <v>0</v>
      </c>
      <c r="AE803" t="b">
        <v>0</v>
      </c>
      <c r="AG803" t="b">
        <v>0</v>
      </c>
      <c r="AJ803" s="14"/>
      <c r="AL803" s="14"/>
    </row>
    <row r="804">
      <c r="A804" s="15"/>
      <c r="B804" s="7"/>
      <c r="C804" s="16"/>
      <c r="E804" s="9"/>
      <c r="G804" s="16"/>
      <c r="I804" s="9"/>
      <c r="K804" s="16"/>
      <c r="M804" s="9"/>
      <c r="O804" s="16"/>
      <c r="Q804" s="7"/>
      <c r="R804" s="25"/>
      <c r="S804" s="28"/>
      <c r="U804" s="28"/>
      <c r="W804" s="14"/>
      <c r="Y804" s="14"/>
      <c r="Z804" s="55"/>
      <c r="AA804" t="b">
        <v>0</v>
      </c>
      <c r="AC804" t="b">
        <v>0</v>
      </c>
      <c r="AE804" t="b">
        <v>0</v>
      </c>
      <c r="AG804" t="b">
        <v>0</v>
      </c>
      <c r="AJ804" s="14"/>
      <c r="AL804" s="14"/>
    </row>
    <row r="805">
      <c r="A805" s="15"/>
      <c r="B805" s="7"/>
      <c r="C805" s="16"/>
      <c r="E805" s="9"/>
      <c r="G805" s="16"/>
      <c r="I805" s="9"/>
      <c r="K805" s="16"/>
      <c r="M805" s="9"/>
      <c r="O805" s="16"/>
      <c r="Q805" s="7"/>
      <c r="R805" s="25"/>
      <c r="S805" s="28"/>
      <c r="U805" s="28"/>
      <c r="W805" s="14"/>
      <c r="Y805" s="14"/>
      <c r="Z805" s="55"/>
      <c r="AA805" t="b">
        <v>0</v>
      </c>
      <c r="AC805" t="b">
        <v>0</v>
      </c>
      <c r="AE805" t="b">
        <v>0</v>
      </c>
      <c r="AG805" t="b">
        <v>0</v>
      </c>
      <c r="AJ805" s="14"/>
      <c r="AL805" s="14"/>
    </row>
    <row r="806">
      <c r="A806" s="15"/>
      <c r="B806" s="7"/>
      <c r="C806" s="16"/>
      <c r="E806" s="9"/>
      <c r="G806" s="16"/>
      <c r="I806" s="9"/>
      <c r="K806" s="16"/>
      <c r="M806" s="9"/>
      <c r="O806" s="16"/>
      <c r="Q806" s="7"/>
      <c r="R806" s="25"/>
      <c r="S806" s="28"/>
      <c r="U806" s="28"/>
      <c r="W806" s="14"/>
      <c r="Y806" s="14"/>
      <c r="Z806" s="55"/>
      <c r="AA806" t="b">
        <v>0</v>
      </c>
      <c r="AC806" t="b">
        <v>0</v>
      </c>
      <c r="AE806" t="b">
        <v>0</v>
      </c>
      <c r="AG806" t="b">
        <v>0</v>
      </c>
      <c r="AJ806" s="14"/>
      <c r="AL806" s="14"/>
    </row>
    <row r="807">
      <c r="A807" s="15"/>
      <c r="B807" s="7"/>
      <c r="C807" s="16"/>
      <c r="E807" s="9"/>
      <c r="G807" s="16"/>
      <c r="I807" s="9"/>
      <c r="K807" s="16"/>
      <c r="M807" s="9"/>
      <c r="O807" s="16"/>
      <c r="Q807" s="7"/>
      <c r="R807" s="25"/>
      <c r="S807" s="28"/>
      <c r="U807" s="28"/>
      <c r="W807" s="14"/>
      <c r="Y807" s="14"/>
      <c r="Z807" s="55"/>
      <c r="AA807" t="b">
        <v>0</v>
      </c>
      <c r="AC807" t="b">
        <v>0</v>
      </c>
      <c r="AE807" t="b">
        <v>0</v>
      </c>
      <c r="AG807" t="b">
        <v>0</v>
      </c>
      <c r="AJ807" s="14"/>
      <c r="AL807" s="14"/>
    </row>
    <row r="808">
      <c r="A808" s="15"/>
      <c r="B808" s="7"/>
      <c r="C808" s="16"/>
      <c r="E808" s="9"/>
      <c r="G808" s="16"/>
      <c r="I808" s="9"/>
      <c r="K808" s="16"/>
      <c r="M808" s="9"/>
      <c r="O808" s="16"/>
      <c r="Q808" s="7"/>
      <c r="R808" s="25"/>
      <c r="S808" s="28"/>
      <c r="U808" s="28"/>
      <c r="W808" s="14"/>
      <c r="Y808" s="14"/>
      <c r="Z808" s="55"/>
      <c r="AA808" t="b">
        <v>0</v>
      </c>
      <c r="AC808" t="b">
        <v>0</v>
      </c>
      <c r="AE808" t="b">
        <v>0</v>
      </c>
      <c r="AG808" t="b">
        <v>0</v>
      </c>
      <c r="AJ808" s="14"/>
      <c r="AL808" s="14"/>
    </row>
    <row r="809">
      <c r="A809" s="15"/>
      <c r="B809" s="7"/>
      <c r="C809" s="16"/>
      <c r="E809" s="9"/>
      <c r="G809" s="16"/>
      <c r="I809" s="9"/>
      <c r="K809" s="16"/>
      <c r="M809" s="9"/>
      <c r="O809" s="16"/>
      <c r="Q809" s="7"/>
      <c r="R809" s="25"/>
      <c r="S809" s="28"/>
      <c r="U809" s="28"/>
      <c r="W809" s="14"/>
      <c r="Y809" s="14"/>
      <c r="Z809" s="55"/>
      <c r="AA809" t="b">
        <v>0</v>
      </c>
      <c r="AC809" t="b">
        <v>0</v>
      </c>
      <c r="AE809" t="b">
        <v>0</v>
      </c>
      <c r="AG809" t="b">
        <v>0</v>
      </c>
      <c r="AJ809" s="14"/>
      <c r="AL809" s="14"/>
    </row>
    <row r="810">
      <c r="A810" s="15"/>
      <c r="B810" s="7"/>
      <c r="C810" s="16"/>
      <c r="E810" s="9"/>
      <c r="G810" s="16"/>
      <c r="I810" s="9"/>
      <c r="K810" s="16"/>
      <c r="M810" s="9"/>
      <c r="O810" s="16"/>
      <c r="Q810" s="7"/>
      <c r="R810" s="25"/>
      <c r="S810" s="28"/>
      <c r="U810" s="28"/>
      <c r="W810" s="14"/>
      <c r="Y810" s="14"/>
      <c r="Z810" s="55"/>
      <c r="AA810" t="b">
        <v>0</v>
      </c>
      <c r="AC810" t="b">
        <v>0</v>
      </c>
      <c r="AE810" t="b">
        <v>0</v>
      </c>
      <c r="AG810" t="b">
        <v>0</v>
      </c>
      <c r="AJ810" s="14"/>
      <c r="AL810" s="14"/>
    </row>
    <row r="811">
      <c r="A811" s="15"/>
      <c r="B811" s="7"/>
      <c r="C811" s="16"/>
      <c r="E811" s="9"/>
      <c r="G811" s="16"/>
      <c r="I811" s="9"/>
      <c r="K811" s="16"/>
      <c r="M811" s="9"/>
      <c r="O811" s="16"/>
      <c r="Q811" s="7"/>
      <c r="R811" s="25"/>
      <c r="S811" s="28"/>
      <c r="U811" s="28"/>
      <c r="W811" s="14"/>
      <c r="Y811" s="14"/>
      <c r="Z811" s="55"/>
      <c r="AA811" t="b">
        <v>0</v>
      </c>
      <c r="AC811" t="b">
        <v>0</v>
      </c>
      <c r="AE811" t="b">
        <v>0</v>
      </c>
      <c r="AG811" t="b">
        <v>0</v>
      </c>
      <c r="AJ811" s="14"/>
      <c r="AL811" s="14"/>
    </row>
    <row r="812">
      <c r="A812" s="15"/>
      <c r="B812" s="7"/>
      <c r="C812" s="16"/>
      <c r="E812" s="9"/>
      <c r="G812" s="16"/>
      <c r="I812" s="9"/>
      <c r="K812" s="16"/>
      <c r="M812" s="9"/>
      <c r="O812" s="16"/>
      <c r="Q812" s="7"/>
      <c r="R812" s="25"/>
      <c r="S812" s="28"/>
      <c r="U812" s="28"/>
      <c r="W812" s="14"/>
      <c r="Y812" s="14"/>
      <c r="Z812" s="55"/>
      <c r="AA812" t="b">
        <v>0</v>
      </c>
      <c r="AC812" t="b">
        <v>0</v>
      </c>
      <c r="AE812" t="b">
        <v>0</v>
      </c>
      <c r="AG812" t="b">
        <v>0</v>
      </c>
      <c r="AJ812" s="14"/>
      <c r="AL812" s="14"/>
    </row>
    <row r="813">
      <c r="A813" s="15"/>
      <c r="B813" s="7"/>
      <c r="C813" s="16"/>
      <c r="E813" s="9"/>
      <c r="G813" s="16"/>
      <c r="I813" s="9"/>
      <c r="K813" s="16"/>
      <c r="M813" s="9"/>
      <c r="O813" s="16"/>
      <c r="Q813" s="7"/>
      <c r="R813" s="25"/>
      <c r="S813" s="28"/>
      <c r="U813" s="28"/>
      <c r="W813" s="14"/>
      <c r="Y813" s="14"/>
      <c r="Z813" s="55"/>
      <c r="AA813" t="b">
        <v>0</v>
      </c>
      <c r="AC813" t="b">
        <v>0</v>
      </c>
      <c r="AE813" t="b">
        <v>0</v>
      </c>
      <c r="AG813" t="b">
        <v>0</v>
      </c>
      <c r="AJ813" s="14"/>
      <c r="AL813" s="14"/>
    </row>
    <row r="814">
      <c r="A814" s="15"/>
      <c r="B814" s="7"/>
      <c r="C814" s="16"/>
      <c r="E814" s="9"/>
      <c r="G814" s="16"/>
      <c r="I814" s="9"/>
      <c r="K814" s="16"/>
      <c r="M814" s="9"/>
      <c r="O814" s="16"/>
      <c r="Q814" s="7"/>
      <c r="R814" s="25"/>
      <c r="S814" s="28"/>
      <c r="U814" s="28"/>
      <c r="W814" s="14"/>
      <c r="Y814" s="14"/>
      <c r="Z814" s="55"/>
      <c r="AA814" t="b">
        <v>0</v>
      </c>
      <c r="AC814" t="b">
        <v>0</v>
      </c>
      <c r="AE814" t="b">
        <v>0</v>
      </c>
      <c r="AG814" t="b">
        <v>0</v>
      </c>
      <c r="AJ814" s="14"/>
      <c r="AL814" s="14"/>
    </row>
    <row r="815">
      <c r="A815" s="15"/>
      <c r="B815" s="7"/>
      <c r="C815" s="16"/>
      <c r="E815" s="9"/>
      <c r="G815" s="16"/>
      <c r="I815" s="9"/>
      <c r="K815" s="16"/>
      <c r="M815" s="9"/>
      <c r="O815" s="16"/>
      <c r="Q815" s="7"/>
      <c r="R815" s="25"/>
      <c r="S815" s="28"/>
      <c r="U815" s="28"/>
      <c r="W815" s="14"/>
      <c r="Y815" s="14"/>
      <c r="Z815" s="55"/>
      <c r="AA815" t="b">
        <v>0</v>
      </c>
      <c r="AC815" t="b">
        <v>0</v>
      </c>
      <c r="AE815" t="b">
        <v>0</v>
      </c>
      <c r="AG815" t="b">
        <v>0</v>
      </c>
      <c r="AJ815" s="14"/>
      <c r="AL815" s="14"/>
    </row>
    <row r="816">
      <c r="A816" s="15"/>
      <c r="B816" s="7"/>
      <c r="C816" s="16"/>
      <c r="E816" s="9"/>
      <c r="G816" s="16"/>
      <c r="I816" s="9"/>
      <c r="K816" s="16"/>
      <c r="M816" s="9"/>
      <c r="O816" s="16"/>
      <c r="Q816" s="7"/>
      <c r="R816" s="25"/>
      <c r="S816" s="28"/>
      <c r="U816" s="28"/>
      <c r="W816" s="14"/>
      <c r="Y816" s="14"/>
      <c r="Z816" s="55"/>
      <c r="AA816" t="b">
        <v>0</v>
      </c>
      <c r="AC816" t="b">
        <v>0</v>
      </c>
      <c r="AE816" t="b">
        <v>0</v>
      </c>
      <c r="AG816" t="b">
        <v>0</v>
      </c>
      <c r="AJ816" s="14"/>
      <c r="AL816" s="14"/>
    </row>
    <row r="817">
      <c r="A817" s="15"/>
      <c r="B817" s="7"/>
      <c r="C817" s="16"/>
      <c r="E817" s="9"/>
      <c r="G817" s="16"/>
      <c r="I817" s="9"/>
      <c r="K817" s="16"/>
      <c r="M817" s="9"/>
      <c r="O817" s="16"/>
      <c r="Q817" s="7"/>
      <c r="R817" s="25"/>
      <c r="S817" s="28"/>
      <c r="U817" s="28"/>
      <c r="W817" s="14"/>
      <c r="Y817" s="14"/>
      <c r="Z817" s="55"/>
      <c r="AA817" t="b">
        <v>0</v>
      </c>
      <c r="AC817" t="b">
        <v>0</v>
      </c>
      <c r="AE817" t="b">
        <v>0</v>
      </c>
      <c r="AG817" t="b">
        <v>0</v>
      </c>
      <c r="AJ817" s="14"/>
      <c r="AL817" s="14"/>
    </row>
    <row r="818">
      <c r="A818" s="15"/>
      <c r="B818" s="7"/>
      <c r="C818" s="16"/>
      <c r="E818" s="9"/>
      <c r="G818" s="16"/>
      <c r="I818" s="9"/>
      <c r="K818" s="16"/>
      <c r="M818" s="9"/>
      <c r="O818" s="16"/>
      <c r="Q818" s="7"/>
      <c r="R818" s="25"/>
      <c r="S818" s="28"/>
      <c r="U818" s="28"/>
      <c r="W818" s="14"/>
      <c r="Y818" s="14"/>
      <c r="Z818" s="55"/>
      <c r="AA818" t="b">
        <v>0</v>
      </c>
      <c r="AC818" t="b">
        <v>0</v>
      </c>
      <c r="AE818" t="b">
        <v>0</v>
      </c>
      <c r="AG818" t="b">
        <v>0</v>
      </c>
      <c r="AJ818" s="14"/>
      <c r="AL818" s="14"/>
    </row>
    <row r="819">
      <c r="A819" s="15"/>
      <c r="B819" s="7"/>
      <c r="C819" s="16"/>
      <c r="E819" s="9"/>
      <c r="G819" s="16"/>
      <c r="I819" s="9"/>
      <c r="K819" s="16"/>
      <c r="M819" s="9"/>
      <c r="O819" s="16"/>
      <c r="Q819" s="7"/>
      <c r="R819" s="25"/>
      <c r="S819" s="28"/>
      <c r="U819" s="28"/>
      <c r="W819" s="14"/>
      <c r="Y819" s="14"/>
      <c r="Z819" s="55"/>
      <c r="AA819" t="b">
        <v>0</v>
      </c>
      <c r="AC819" t="b">
        <v>0</v>
      </c>
      <c r="AE819" t="b">
        <v>0</v>
      </c>
      <c r="AG819" t="b">
        <v>0</v>
      </c>
      <c r="AJ819" s="14"/>
      <c r="AL819" s="14"/>
    </row>
    <row r="820">
      <c r="A820" s="15"/>
      <c r="B820" s="7"/>
      <c r="C820" s="16"/>
      <c r="E820" s="9"/>
      <c r="G820" s="16"/>
      <c r="I820" s="9"/>
      <c r="K820" s="16"/>
      <c r="M820" s="9"/>
      <c r="O820" s="16"/>
      <c r="Q820" s="7"/>
      <c r="R820" s="25"/>
      <c r="S820" s="28"/>
      <c r="U820" s="28"/>
      <c r="W820" s="14"/>
      <c r="Y820" s="14"/>
      <c r="Z820" s="55"/>
      <c r="AA820" t="b">
        <v>0</v>
      </c>
      <c r="AC820" t="b">
        <v>0</v>
      </c>
      <c r="AE820" t="b">
        <v>0</v>
      </c>
      <c r="AG820" t="b">
        <v>0</v>
      </c>
      <c r="AJ820" s="14"/>
      <c r="AL820" s="14"/>
    </row>
    <row r="821">
      <c r="A821" s="15"/>
      <c r="B821" s="7"/>
      <c r="C821" s="16"/>
      <c r="E821" s="9"/>
      <c r="G821" s="16"/>
      <c r="I821" s="9"/>
      <c r="K821" s="16"/>
      <c r="M821" s="9"/>
      <c r="O821" s="16"/>
      <c r="Q821" s="7"/>
      <c r="R821" s="25"/>
      <c r="S821" s="28"/>
      <c r="U821" s="28"/>
      <c r="W821" s="14"/>
      <c r="Y821" s="14"/>
      <c r="Z821" s="55"/>
      <c r="AA821" t="b">
        <v>0</v>
      </c>
      <c r="AC821" t="b">
        <v>0</v>
      </c>
      <c r="AE821" t="b">
        <v>0</v>
      </c>
      <c r="AG821" t="b">
        <v>0</v>
      </c>
      <c r="AJ821" s="14"/>
      <c r="AL821" s="14"/>
    </row>
    <row r="822">
      <c r="A822" s="15"/>
      <c r="B822" s="7"/>
      <c r="C822" s="16"/>
      <c r="E822" s="9"/>
      <c r="G822" s="16"/>
      <c r="I822" s="9"/>
      <c r="K822" s="16"/>
      <c r="M822" s="9"/>
      <c r="O822" s="16"/>
      <c r="Q822" s="7"/>
      <c r="R822" s="25"/>
      <c r="S822" s="28"/>
      <c r="U822" s="28"/>
      <c r="W822" s="14"/>
      <c r="Y822" s="14"/>
      <c r="Z822" s="55"/>
      <c r="AA822" t="b">
        <v>0</v>
      </c>
      <c r="AC822" t="b">
        <v>0</v>
      </c>
      <c r="AE822" t="b">
        <v>0</v>
      </c>
      <c r="AG822" t="b">
        <v>0</v>
      </c>
      <c r="AJ822" s="14"/>
      <c r="AL822" s="14"/>
    </row>
    <row r="823">
      <c r="A823" s="15"/>
      <c r="B823" s="7"/>
      <c r="C823" s="16"/>
      <c r="E823" s="9"/>
      <c r="G823" s="16"/>
      <c r="I823" s="9"/>
      <c r="K823" s="16"/>
      <c r="M823" s="9"/>
      <c r="O823" s="16"/>
      <c r="Q823" s="7"/>
      <c r="R823" s="25"/>
      <c r="S823" s="28"/>
      <c r="U823" s="28"/>
      <c r="W823" s="14"/>
      <c r="Y823" s="14"/>
      <c r="Z823" s="55"/>
      <c r="AA823" t="b">
        <v>0</v>
      </c>
      <c r="AC823" t="b">
        <v>0</v>
      </c>
      <c r="AE823" t="b">
        <v>0</v>
      </c>
      <c r="AG823" t="b">
        <v>0</v>
      </c>
      <c r="AJ823" s="14"/>
      <c r="AL823" s="14"/>
    </row>
    <row r="824">
      <c r="A824" s="15"/>
      <c r="B824" s="7"/>
      <c r="C824" s="16"/>
      <c r="E824" s="9"/>
      <c r="G824" s="16"/>
      <c r="I824" s="9"/>
      <c r="K824" s="16"/>
      <c r="M824" s="9"/>
      <c r="O824" s="16"/>
      <c r="Q824" s="7"/>
      <c r="R824" s="25"/>
      <c r="S824" s="28"/>
      <c r="U824" s="28"/>
      <c r="W824" s="14"/>
      <c r="Y824" s="14"/>
      <c r="Z824" s="55"/>
      <c r="AA824" t="b">
        <v>0</v>
      </c>
      <c r="AC824" t="b">
        <v>0</v>
      </c>
      <c r="AE824" t="b">
        <v>0</v>
      </c>
      <c r="AG824" t="b">
        <v>0</v>
      </c>
      <c r="AJ824" s="14"/>
      <c r="AL824" s="14"/>
    </row>
    <row r="825">
      <c r="A825" s="15"/>
      <c r="B825" s="7"/>
      <c r="C825" s="16"/>
      <c r="E825" s="9"/>
      <c r="G825" s="16"/>
      <c r="I825" s="9"/>
      <c r="K825" s="16"/>
      <c r="M825" s="9"/>
      <c r="O825" s="16"/>
      <c r="Q825" s="7"/>
      <c r="R825" s="25"/>
      <c r="S825" s="28"/>
      <c r="U825" s="28"/>
      <c r="W825" s="14"/>
      <c r="Y825" s="14"/>
      <c r="Z825" s="55"/>
      <c r="AA825" t="b">
        <v>0</v>
      </c>
      <c r="AC825" t="b">
        <v>0</v>
      </c>
      <c r="AE825" t="b">
        <v>0</v>
      </c>
      <c r="AG825" t="b">
        <v>0</v>
      </c>
      <c r="AJ825" s="14"/>
      <c r="AL825" s="14"/>
    </row>
    <row r="826">
      <c r="A826" s="15"/>
      <c r="B826" s="7"/>
      <c r="C826" s="16"/>
      <c r="E826" s="9"/>
      <c r="G826" s="16"/>
      <c r="I826" s="9"/>
      <c r="K826" s="16"/>
      <c r="M826" s="9"/>
      <c r="O826" s="16"/>
      <c r="Q826" s="7"/>
      <c r="R826" s="25"/>
      <c r="S826" s="28"/>
      <c r="U826" s="28"/>
      <c r="W826" s="14"/>
      <c r="Y826" s="14"/>
      <c r="Z826" s="55"/>
      <c r="AA826" t="b">
        <v>0</v>
      </c>
      <c r="AC826" t="b">
        <v>0</v>
      </c>
      <c r="AE826" t="b">
        <v>0</v>
      </c>
      <c r="AG826" t="b">
        <v>0</v>
      </c>
      <c r="AJ826" s="14"/>
      <c r="AL826" s="14"/>
    </row>
    <row r="827">
      <c r="A827" s="15"/>
      <c r="B827" s="7"/>
      <c r="C827" s="16"/>
      <c r="E827" s="9"/>
      <c r="G827" s="16"/>
      <c r="I827" s="9"/>
      <c r="K827" s="16"/>
      <c r="M827" s="9"/>
      <c r="O827" s="16"/>
      <c r="Q827" s="7"/>
      <c r="R827" s="25"/>
      <c r="S827" s="28"/>
      <c r="U827" s="28"/>
      <c r="W827" s="14"/>
      <c r="Y827" s="14"/>
      <c r="Z827" s="55"/>
      <c r="AA827" t="b">
        <v>0</v>
      </c>
      <c r="AC827" t="b">
        <v>0</v>
      </c>
      <c r="AE827" t="b">
        <v>0</v>
      </c>
      <c r="AG827" t="b">
        <v>0</v>
      </c>
      <c r="AJ827" s="14"/>
      <c r="AL827" s="14"/>
    </row>
    <row r="828">
      <c r="A828" s="15"/>
      <c r="B828" s="7"/>
      <c r="C828" s="16"/>
      <c r="E828" s="9"/>
      <c r="G828" s="16"/>
      <c r="I828" s="9"/>
      <c r="K828" s="16"/>
      <c r="M828" s="9"/>
      <c r="O828" s="16"/>
      <c r="Q828" s="7"/>
      <c r="R828" s="25"/>
      <c r="S828" s="28"/>
      <c r="U828" s="28"/>
      <c r="W828" s="14"/>
      <c r="Y828" s="14"/>
      <c r="Z828" s="55"/>
      <c r="AA828" t="b">
        <v>0</v>
      </c>
      <c r="AC828" t="b">
        <v>0</v>
      </c>
      <c r="AE828" t="b">
        <v>0</v>
      </c>
      <c r="AG828" t="b">
        <v>0</v>
      </c>
      <c r="AJ828" s="14"/>
      <c r="AL828" s="14"/>
    </row>
    <row r="829">
      <c r="A829" s="15"/>
      <c r="B829" s="7"/>
      <c r="C829" s="16"/>
      <c r="E829" s="9"/>
      <c r="G829" s="16"/>
      <c r="I829" s="9"/>
      <c r="K829" s="16"/>
      <c r="M829" s="9"/>
      <c r="O829" s="16"/>
      <c r="Q829" s="7"/>
      <c r="R829" s="25"/>
      <c r="S829" s="28"/>
      <c r="U829" s="28"/>
      <c r="W829" s="14"/>
      <c r="Y829" s="14"/>
      <c r="Z829" s="55"/>
      <c r="AA829" t="b">
        <v>0</v>
      </c>
      <c r="AC829" t="b">
        <v>0</v>
      </c>
      <c r="AE829" t="b">
        <v>0</v>
      </c>
      <c r="AG829" t="b">
        <v>0</v>
      </c>
      <c r="AJ829" s="14"/>
      <c r="AL829" s="14"/>
    </row>
    <row r="830">
      <c r="A830" s="15"/>
      <c r="B830" s="7"/>
      <c r="C830" s="16"/>
      <c r="E830" s="9"/>
      <c r="G830" s="16"/>
      <c r="I830" s="9"/>
      <c r="K830" s="16"/>
      <c r="M830" s="9"/>
      <c r="O830" s="16"/>
      <c r="Q830" s="7"/>
      <c r="R830" s="25"/>
      <c r="S830" s="28"/>
      <c r="U830" s="28"/>
      <c r="W830" s="14"/>
      <c r="Y830" s="14"/>
      <c r="Z830" s="55"/>
      <c r="AA830" t="b">
        <v>0</v>
      </c>
      <c r="AC830" t="b">
        <v>0</v>
      </c>
      <c r="AE830" t="b">
        <v>0</v>
      </c>
      <c r="AG830" t="b">
        <v>0</v>
      </c>
      <c r="AJ830" s="14"/>
      <c r="AL830" s="14"/>
    </row>
    <row r="831">
      <c r="A831" s="15"/>
      <c r="B831" s="7"/>
      <c r="C831" s="16"/>
      <c r="E831" s="9"/>
      <c r="G831" s="16"/>
      <c r="I831" s="9"/>
      <c r="K831" s="16"/>
      <c r="M831" s="9"/>
      <c r="O831" s="16"/>
      <c r="Q831" s="7"/>
      <c r="R831" s="25"/>
      <c r="S831" s="28"/>
      <c r="U831" s="28"/>
      <c r="W831" s="14"/>
      <c r="Y831" s="14"/>
      <c r="Z831" s="55"/>
      <c r="AA831" t="b">
        <v>0</v>
      </c>
      <c r="AC831" t="b">
        <v>0</v>
      </c>
      <c r="AE831" t="b">
        <v>0</v>
      </c>
      <c r="AG831" t="b">
        <v>0</v>
      </c>
      <c r="AJ831" s="14"/>
      <c r="AL831" s="14"/>
    </row>
    <row r="832">
      <c r="A832" s="15"/>
      <c r="B832" s="7"/>
      <c r="C832" s="16"/>
      <c r="E832" s="9"/>
      <c r="G832" s="16"/>
      <c r="I832" s="9"/>
      <c r="K832" s="16"/>
      <c r="M832" s="9"/>
      <c r="O832" s="16"/>
      <c r="Q832" s="7"/>
      <c r="R832" s="25"/>
      <c r="S832" s="28"/>
      <c r="U832" s="28"/>
      <c r="W832" s="14"/>
      <c r="Y832" s="14"/>
      <c r="Z832" s="55"/>
      <c r="AA832" t="b">
        <v>0</v>
      </c>
      <c r="AC832" t="b">
        <v>0</v>
      </c>
      <c r="AE832" t="b">
        <v>0</v>
      </c>
      <c r="AG832" t="b">
        <v>0</v>
      </c>
      <c r="AJ832" s="14"/>
      <c r="AL832" s="14"/>
    </row>
    <row r="833">
      <c r="A833" s="15"/>
      <c r="B833" s="7"/>
      <c r="C833" s="16"/>
      <c r="E833" s="9"/>
      <c r="G833" s="16"/>
      <c r="I833" s="9"/>
      <c r="K833" s="16"/>
      <c r="M833" s="9"/>
      <c r="O833" s="16"/>
      <c r="Q833" s="7"/>
      <c r="R833" s="25"/>
      <c r="S833" s="28"/>
      <c r="U833" s="28"/>
      <c r="W833" s="14"/>
      <c r="Y833" s="14"/>
      <c r="Z833" s="55"/>
      <c r="AA833" t="b">
        <v>0</v>
      </c>
      <c r="AC833" t="b">
        <v>0</v>
      </c>
      <c r="AE833" t="b">
        <v>0</v>
      </c>
      <c r="AG833" t="b">
        <v>0</v>
      </c>
      <c r="AJ833" s="14"/>
      <c r="AL833" s="14"/>
    </row>
    <row r="834">
      <c r="A834" s="15"/>
      <c r="B834" s="7"/>
      <c r="C834" s="16"/>
      <c r="E834" s="9"/>
      <c r="G834" s="16"/>
      <c r="I834" s="9"/>
      <c r="K834" s="16"/>
      <c r="M834" s="9"/>
      <c r="O834" s="16"/>
      <c r="Q834" s="7"/>
      <c r="R834" s="25"/>
      <c r="S834" s="28"/>
      <c r="U834" s="28"/>
      <c r="W834" s="14"/>
      <c r="Y834" s="14"/>
      <c r="Z834" s="55"/>
      <c r="AA834" t="b">
        <v>0</v>
      </c>
      <c r="AC834" t="b">
        <v>0</v>
      </c>
      <c r="AE834" t="b">
        <v>0</v>
      </c>
      <c r="AG834" t="b">
        <v>0</v>
      </c>
      <c r="AJ834" s="14"/>
      <c r="AL834" s="14"/>
    </row>
    <row r="835">
      <c r="A835" s="15"/>
      <c r="B835" s="7"/>
      <c r="C835" s="16"/>
      <c r="E835" s="9"/>
      <c r="G835" s="16"/>
      <c r="I835" s="9"/>
      <c r="K835" s="16"/>
      <c r="M835" s="9"/>
      <c r="O835" s="16"/>
      <c r="Q835" s="7"/>
      <c r="R835" s="25"/>
      <c r="S835" s="28"/>
      <c r="U835" s="28"/>
      <c r="W835" s="14"/>
      <c r="Y835" s="14"/>
      <c r="Z835" s="55"/>
      <c r="AA835" t="b">
        <v>0</v>
      </c>
      <c r="AC835" t="b">
        <v>0</v>
      </c>
      <c r="AE835" t="b">
        <v>0</v>
      </c>
      <c r="AG835" t="b">
        <v>0</v>
      </c>
      <c r="AJ835" s="14"/>
      <c r="AL835" s="14"/>
    </row>
    <row r="836">
      <c r="A836" s="15"/>
      <c r="B836" s="7"/>
      <c r="C836" s="16"/>
      <c r="E836" s="9"/>
      <c r="G836" s="16"/>
      <c r="I836" s="9"/>
      <c r="K836" s="16"/>
      <c r="M836" s="9"/>
      <c r="O836" s="16"/>
      <c r="Q836" s="7"/>
      <c r="R836" s="25"/>
      <c r="S836" s="28"/>
      <c r="U836" s="28"/>
      <c r="W836" s="14"/>
      <c r="Y836" s="14"/>
      <c r="Z836" s="55"/>
      <c r="AA836" t="b">
        <v>0</v>
      </c>
      <c r="AC836" t="b">
        <v>0</v>
      </c>
      <c r="AE836" t="b">
        <v>0</v>
      </c>
      <c r="AG836" t="b">
        <v>0</v>
      </c>
      <c r="AJ836" s="14"/>
      <c r="AL836" s="14"/>
    </row>
    <row r="837">
      <c r="A837" s="15"/>
      <c r="B837" s="7"/>
      <c r="C837" s="16"/>
      <c r="E837" s="9"/>
      <c r="G837" s="16"/>
      <c r="I837" s="9"/>
      <c r="K837" s="16"/>
      <c r="M837" s="9"/>
      <c r="O837" s="16"/>
      <c r="Q837" s="7"/>
      <c r="R837" s="25"/>
      <c r="S837" s="28"/>
      <c r="U837" s="28"/>
      <c r="W837" s="14"/>
      <c r="Y837" s="14"/>
      <c r="Z837" s="55"/>
      <c r="AA837" t="b">
        <v>0</v>
      </c>
      <c r="AC837" t="b">
        <v>0</v>
      </c>
      <c r="AE837" t="b">
        <v>0</v>
      </c>
      <c r="AG837" t="b">
        <v>0</v>
      </c>
      <c r="AJ837" s="14"/>
      <c r="AL837" s="14"/>
    </row>
    <row r="838">
      <c r="A838" s="15"/>
      <c r="B838" s="7"/>
      <c r="C838" s="16"/>
      <c r="E838" s="9"/>
      <c r="G838" s="16"/>
      <c r="I838" s="9"/>
      <c r="K838" s="16"/>
      <c r="M838" s="9"/>
      <c r="O838" s="16"/>
      <c r="Q838" s="7"/>
      <c r="R838" s="25"/>
      <c r="S838" s="28"/>
      <c r="U838" s="28"/>
      <c r="W838" s="14"/>
      <c r="Y838" s="14"/>
      <c r="Z838" s="55"/>
      <c r="AA838" t="b">
        <v>0</v>
      </c>
      <c r="AC838" t="b">
        <v>0</v>
      </c>
      <c r="AE838" t="b">
        <v>0</v>
      </c>
      <c r="AG838" t="b">
        <v>0</v>
      </c>
      <c r="AJ838" s="14"/>
      <c r="AL838" s="14"/>
    </row>
    <row r="839">
      <c r="A839" s="15"/>
      <c r="B839" s="7"/>
      <c r="C839" s="16"/>
      <c r="E839" s="9"/>
      <c r="G839" s="16"/>
      <c r="I839" s="9"/>
      <c r="K839" s="16"/>
      <c r="M839" s="9"/>
      <c r="O839" s="16"/>
      <c r="Q839" s="7"/>
      <c r="R839" s="25"/>
      <c r="S839" s="28"/>
      <c r="U839" s="28"/>
      <c r="W839" s="14"/>
      <c r="Y839" s="14"/>
      <c r="Z839" s="55"/>
      <c r="AA839" t="b">
        <v>0</v>
      </c>
      <c r="AC839" t="b">
        <v>0</v>
      </c>
      <c r="AE839" t="b">
        <v>0</v>
      </c>
      <c r="AG839" t="b">
        <v>0</v>
      </c>
      <c r="AJ839" s="14"/>
      <c r="AL839" s="14"/>
    </row>
    <row r="840">
      <c r="A840" s="15"/>
      <c r="B840" s="7"/>
      <c r="C840" s="16"/>
      <c r="E840" s="9"/>
      <c r="G840" s="16"/>
      <c r="I840" s="9"/>
      <c r="K840" s="16"/>
      <c r="M840" s="9"/>
      <c r="O840" s="16"/>
      <c r="Q840" s="7"/>
      <c r="R840" s="25"/>
      <c r="S840" s="28"/>
      <c r="U840" s="28"/>
      <c r="W840" s="14"/>
      <c r="Y840" s="14"/>
      <c r="Z840" s="55"/>
      <c r="AA840" t="b">
        <v>0</v>
      </c>
      <c r="AC840" t="b">
        <v>0</v>
      </c>
      <c r="AE840" t="b">
        <v>0</v>
      </c>
      <c r="AG840" t="b">
        <v>0</v>
      </c>
      <c r="AJ840" s="14"/>
      <c r="AL840" s="14"/>
    </row>
    <row r="841">
      <c r="A841" s="15"/>
      <c r="B841" s="7"/>
      <c r="C841" s="16"/>
      <c r="E841" s="9"/>
      <c r="G841" s="16"/>
      <c r="I841" s="9"/>
      <c r="K841" s="16"/>
      <c r="M841" s="9"/>
      <c r="O841" s="16"/>
      <c r="Q841" s="7"/>
      <c r="R841" s="25"/>
      <c r="S841" s="28"/>
      <c r="U841" s="28"/>
      <c r="W841" s="14"/>
      <c r="Y841" s="14"/>
      <c r="Z841" s="55"/>
      <c r="AA841" t="b">
        <v>0</v>
      </c>
      <c r="AC841" t="b">
        <v>0</v>
      </c>
      <c r="AE841" t="b">
        <v>0</v>
      </c>
      <c r="AG841" t="b">
        <v>0</v>
      </c>
      <c r="AJ841" s="14"/>
      <c r="AL841" s="14"/>
    </row>
    <row r="842">
      <c r="A842" s="15"/>
      <c r="B842" s="7"/>
      <c r="C842" s="16"/>
      <c r="E842" s="9"/>
      <c r="G842" s="16"/>
      <c r="I842" s="9"/>
      <c r="K842" s="16"/>
      <c r="M842" s="9"/>
      <c r="O842" s="16"/>
      <c r="Q842" s="7"/>
      <c r="R842" s="25"/>
      <c r="S842" s="28"/>
      <c r="U842" s="28"/>
      <c r="W842" s="14"/>
      <c r="Y842" s="14"/>
      <c r="Z842" s="55"/>
      <c r="AA842" t="b">
        <v>0</v>
      </c>
      <c r="AC842" t="b">
        <v>0</v>
      </c>
      <c r="AE842" t="b">
        <v>0</v>
      </c>
      <c r="AG842" t="b">
        <v>0</v>
      </c>
      <c r="AJ842" s="14"/>
      <c r="AL842" s="14"/>
    </row>
    <row r="843">
      <c r="A843" s="15"/>
      <c r="B843" s="7"/>
      <c r="C843" s="16"/>
      <c r="E843" s="9"/>
      <c r="G843" s="16"/>
      <c r="I843" s="9"/>
      <c r="K843" s="16"/>
      <c r="M843" s="9"/>
      <c r="O843" s="16"/>
      <c r="Q843" s="7"/>
      <c r="R843" s="25"/>
      <c r="S843" s="28"/>
      <c r="U843" s="28"/>
      <c r="W843" s="14"/>
      <c r="Y843" s="14"/>
      <c r="Z843" s="55"/>
      <c r="AA843" t="b">
        <v>0</v>
      </c>
      <c r="AC843" t="b">
        <v>0</v>
      </c>
      <c r="AE843" t="b">
        <v>0</v>
      </c>
      <c r="AG843" t="b">
        <v>0</v>
      </c>
      <c r="AJ843" s="14"/>
      <c r="AL843" s="14"/>
    </row>
    <row r="844">
      <c r="A844" s="15"/>
      <c r="B844" s="7"/>
      <c r="C844" s="16"/>
      <c r="E844" s="9"/>
      <c r="G844" s="16"/>
      <c r="I844" s="9"/>
      <c r="K844" s="16"/>
      <c r="M844" s="9"/>
      <c r="O844" s="16"/>
      <c r="Q844" s="7"/>
      <c r="R844" s="25"/>
      <c r="S844" s="28"/>
      <c r="U844" s="28"/>
      <c r="W844" s="14"/>
      <c r="Y844" s="14"/>
      <c r="Z844" s="55"/>
      <c r="AA844" t="b">
        <v>0</v>
      </c>
      <c r="AC844" t="b">
        <v>0</v>
      </c>
      <c r="AE844" t="b">
        <v>0</v>
      </c>
      <c r="AG844" t="b">
        <v>0</v>
      </c>
      <c r="AJ844" s="14"/>
      <c r="AL844" s="14"/>
    </row>
    <row r="845">
      <c r="A845" s="15"/>
      <c r="B845" s="7"/>
      <c r="C845" s="16"/>
      <c r="E845" s="9"/>
      <c r="G845" s="16"/>
      <c r="I845" s="9"/>
      <c r="K845" s="16"/>
      <c r="M845" s="9"/>
      <c r="O845" s="16"/>
      <c r="Q845" s="7"/>
      <c r="R845" s="25"/>
      <c r="S845" s="28"/>
      <c r="U845" s="28"/>
      <c r="W845" s="14"/>
      <c r="Y845" s="14"/>
      <c r="Z845" s="55"/>
      <c r="AA845" t="b">
        <v>0</v>
      </c>
      <c r="AC845" t="b">
        <v>0</v>
      </c>
      <c r="AE845" t="b">
        <v>0</v>
      </c>
      <c r="AG845" t="b">
        <v>0</v>
      </c>
      <c r="AJ845" s="14"/>
      <c r="AL845" s="14"/>
    </row>
    <row r="846">
      <c r="A846" s="15"/>
      <c r="B846" s="7"/>
      <c r="C846" s="16"/>
      <c r="E846" s="9"/>
      <c r="G846" s="16"/>
      <c r="I846" s="9"/>
      <c r="K846" s="16"/>
      <c r="M846" s="9"/>
      <c r="O846" s="16"/>
      <c r="Q846" s="7"/>
      <c r="R846" s="25"/>
      <c r="S846" s="28"/>
      <c r="U846" s="28"/>
      <c r="W846" s="14"/>
      <c r="Y846" s="14"/>
      <c r="Z846" s="55"/>
      <c r="AA846" t="b">
        <v>0</v>
      </c>
      <c r="AC846" t="b">
        <v>0</v>
      </c>
      <c r="AE846" t="b">
        <v>0</v>
      </c>
      <c r="AG846" t="b">
        <v>0</v>
      </c>
      <c r="AJ846" s="14"/>
      <c r="AL846" s="14"/>
    </row>
    <row r="847">
      <c r="A847" s="15"/>
      <c r="B847" s="7"/>
      <c r="C847" s="16"/>
      <c r="E847" s="9"/>
      <c r="G847" s="16"/>
      <c r="I847" s="9"/>
      <c r="K847" s="16"/>
      <c r="M847" s="9"/>
      <c r="O847" s="16"/>
      <c r="Q847" s="7"/>
      <c r="R847" s="25"/>
      <c r="S847" s="28"/>
      <c r="U847" s="28"/>
      <c r="W847" s="14"/>
      <c r="Y847" s="14"/>
      <c r="Z847" s="55"/>
      <c r="AA847" t="b">
        <v>0</v>
      </c>
      <c r="AC847" t="b">
        <v>0</v>
      </c>
      <c r="AE847" t="b">
        <v>0</v>
      </c>
      <c r="AG847" t="b">
        <v>0</v>
      </c>
      <c r="AJ847" s="14"/>
      <c r="AL847" s="14"/>
    </row>
    <row r="848">
      <c r="A848" s="15"/>
      <c r="B848" s="7"/>
      <c r="C848" s="16"/>
      <c r="E848" s="9"/>
      <c r="G848" s="16"/>
      <c r="I848" s="9"/>
      <c r="K848" s="16"/>
      <c r="M848" s="9"/>
      <c r="O848" s="16"/>
      <c r="Q848" s="7"/>
      <c r="R848" s="25"/>
      <c r="S848" s="28"/>
      <c r="U848" s="28"/>
      <c r="W848" s="14"/>
      <c r="Y848" s="14"/>
      <c r="Z848" s="55"/>
      <c r="AA848" t="b">
        <v>0</v>
      </c>
      <c r="AC848" t="b">
        <v>0</v>
      </c>
      <c r="AE848" t="b">
        <v>0</v>
      </c>
      <c r="AG848" t="b">
        <v>0</v>
      </c>
      <c r="AJ848" s="14"/>
      <c r="AL848" s="14"/>
    </row>
    <row r="849">
      <c r="A849" s="15"/>
      <c r="B849" s="7"/>
      <c r="C849" s="16"/>
      <c r="E849" s="9"/>
      <c r="G849" s="16"/>
      <c r="I849" s="9"/>
      <c r="K849" s="16"/>
      <c r="M849" s="9"/>
      <c r="O849" s="16"/>
      <c r="Q849" s="7"/>
      <c r="R849" s="25"/>
      <c r="S849" s="28"/>
      <c r="U849" s="28"/>
      <c r="W849" s="14"/>
      <c r="Y849" s="14"/>
      <c r="Z849" s="55"/>
      <c r="AA849" t="b">
        <v>0</v>
      </c>
      <c r="AC849" t="b">
        <v>0</v>
      </c>
      <c r="AE849" t="b">
        <v>0</v>
      </c>
      <c r="AG849" t="b">
        <v>0</v>
      </c>
      <c r="AJ849" s="14"/>
      <c r="AL849" s="14"/>
    </row>
    <row r="850">
      <c r="A850" s="15"/>
      <c r="B850" s="7"/>
      <c r="C850" s="16"/>
      <c r="E850" s="9"/>
      <c r="G850" s="16"/>
      <c r="I850" s="9"/>
      <c r="K850" s="16"/>
      <c r="M850" s="9"/>
      <c r="O850" s="16"/>
      <c r="Q850" s="7"/>
      <c r="R850" s="25"/>
      <c r="S850" s="28"/>
      <c r="U850" s="28"/>
      <c r="W850" s="14"/>
      <c r="Y850" s="14"/>
      <c r="Z850" s="55"/>
      <c r="AA850" t="b">
        <v>0</v>
      </c>
      <c r="AC850" t="b">
        <v>0</v>
      </c>
      <c r="AE850" t="b">
        <v>0</v>
      </c>
      <c r="AG850" t="b">
        <v>0</v>
      </c>
      <c r="AJ850" s="14"/>
      <c r="AL850" s="14"/>
    </row>
    <row r="851">
      <c r="A851" s="15"/>
      <c r="B851" s="7"/>
      <c r="C851" s="16"/>
      <c r="E851" s="9"/>
      <c r="G851" s="16"/>
      <c r="I851" s="9"/>
      <c r="K851" s="16"/>
      <c r="M851" s="9"/>
      <c r="O851" s="16"/>
      <c r="Q851" s="7"/>
      <c r="R851" s="25"/>
      <c r="S851" s="28"/>
      <c r="U851" s="28"/>
      <c r="W851" s="14"/>
      <c r="Y851" s="14"/>
      <c r="Z851" s="55"/>
      <c r="AA851" t="b">
        <v>0</v>
      </c>
      <c r="AC851" t="b">
        <v>0</v>
      </c>
      <c r="AE851" t="b">
        <v>0</v>
      </c>
      <c r="AG851" t="b">
        <v>0</v>
      </c>
      <c r="AJ851" s="14"/>
      <c r="AL851" s="14"/>
    </row>
    <row r="852">
      <c r="A852" s="15"/>
      <c r="B852" s="7"/>
      <c r="C852" s="16"/>
      <c r="E852" s="9"/>
      <c r="G852" s="16"/>
      <c r="I852" s="9"/>
      <c r="K852" s="16"/>
      <c r="M852" s="9"/>
      <c r="O852" s="16"/>
      <c r="Q852" s="7"/>
      <c r="R852" s="25"/>
      <c r="S852" s="28"/>
      <c r="U852" s="28"/>
      <c r="W852" s="14"/>
      <c r="Y852" s="14"/>
      <c r="Z852" s="55"/>
      <c r="AA852" t="b">
        <v>0</v>
      </c>
      <c r="AC852" t="b">
        <v>0</v>
      </c>
      <c r="AE852" t="b">
        <v>0</v>
      </c>
      <c r="AG852" t="b">
        <v>0</v>
      </c>
      <c r="AJ852" s="14"/>
      <c r="AL852" s="14"/>
    </row>
    <row r="853">
      <c r="A853" s="15"/>
      <c r="B853" s="7"/>
      <c r="C853" s="16"/>
      <c r="E853" s="9"/>
      <c r="G853" s="16"/>
      <c r="I853" s="9"/>
      <c r="K853" s="16"/>
      <c r="M853" s="9"/>
      <c r="O853" s="16"/>
      <c r="Q853" s="7"/>
      <c r="R853" s="25"/>
      <c r="S853" s="28"/>
      <c r="U853" s="28"/>
      <c r="W853" s="14"/>
      <c r="Y853" s="14"/>
      <c r="Z853" s="55"/>
      <c r="AA853" t="b">
        <v>0</v>
      </c>
      <c r="AC853" t="b">
        <v>0</v>
      </c>
      <c r="AE853" t="b">
        <v>0</v>
      </c>
      <c r="AG853" t="b">
        <v>0</v>
      </c>
      <c r="AJ853" s="14"/>
      <c r="AL853" s="14"/>
    </row>
    <row r="854">
      <c r="A854" s="15"/>
      <c r="B854" s="7"/>
      <c r="C854" s="16"/>
      <c r="E854" s="9"/>
      <c r="G854" s="16"/>
      <c r="I854" s="9"/>
      <c r="K854" s="16"/>
      <c r="M854" s="9"/>
      <c r="O854" s="16"/>
      <c r="Q854" s="7"/>
      <c r="R854" s="25"/>
      <c r="S854" s="28"/>
      <c r="U854" s="28"/>
      <c r="W854" s="14"/>
      <c r="Y854" s="14"/>
      <c r="Z854" s="55"/>
      <c r="AA854" t="b">
        <v>0</v>
      </c>
      <c r="AC854" t="b">
        <v>0</v>
      </c>
      <c r="AE854" t="b">
        <v>0</v>
      </c>
      <c r="AG854" t="b">
        <v>0</v>
      </c>
      <c r="AJ854" s="14"/>
      <c r="AL854" s="14"/>
    </row>
    <row r="855">
      <c r="A855" s="15"/>
      <c r="B855" s="7"/>
      <c r="C855" s="16"/>
      <c r="E855" s="9"/>
      <c r="G855" s="16"/>
      <c r="I855" s="9"/>
      <c r="K855" s="16"/>
      <c r="M855" s="9"/>
      <c r="O855" s="16"/>
      <c r="Q855" s="7"/>
      <c r="R855" s="25"/>
      <c r="S855" s="28"/>
      <c r="U855" s="28"/>
      <c r="W855" s="14"/>
      <c r="Y855" s="14"/>
      <c r="Z855" s="55"/>
      <c r="AA855" t="b">
        <v>0</v>
      </c>
      <c r="AC855" t="b">
        <v>0</v>
      </c>
      <c r="AE855" t="b">
        <v>0</v>
      </c>
      <c r="AG855" t="b">
        <v>0</v>
      </c>
      <c r="AJ855" s="14"/>
      <c r="AL855" s="14"/>
    </row>
    <row r="856">
      <c r="A856" s="15"/>
      <c r="B856" s="7"/>
      <c r="C856" s="16"/>
      <c r="E856" s="9"/>
      <c r="G856" s="16"/>
      <c r="I856" s="9"/>
      <c r="K856" s="16"/>
      <c r="M856" s="9"/>
      <c r="O856" s="16"/>
      <c r="Q856" s="7"/>
      <c r="R856" s="25"/>
      <c r="S856" s="28"/>
      <c r="U856" s="28"/>
      <c r="W856" s="14"/>
      <c r="Y856" s="14"/>
      <c r="Z856" s="55"/>
      <c r="AA856" t="b">
        <v>0</v>
      </c>
      <c r="AC856" t="b">
        <v>0</v>
      </c>
      <c r="AE856" t="b">
        <v>0</v>
      </c>
      <c r="AG856" t="b">
        <v>0</v>
      </c>
      <c r="AJ856" s="14"/>
      <c r="AL856" s="14"/>
    </row>
    <row r="857">
      <c r="A857" s="15"/>
      <c r="B857" s="7"/>
      <c r="C857" s="16"/>
      <c r="E857" s="9"/>
      <c r="G857" s="16"/>
      <c r="I857" s="9"/>
      <c r="K857" s="16"/>
      <c r="M857" s="9"/>
      <c r="O857" s="16"/>
      <c r="Q857" s="7"/>
      <c r="R857" s="25"/>
      <c r="S857" s="28"/>
      <c r="U857" s="28"/>
      <c r="W857" s="14"/>
      <c r="Y857" s="14"/>
      <c r="Z857" s="55"/>
      <c r="AA857" t="b">
        <v>0</v>
      </c>
      <c r="AC857" t="b">
        <v>0</v>
      </c>
      <c r="AE857" t="b">
        <v>0</v>
      </c>
      <c r="AG857" t="b">
        <v>0</v>
      </c>
      <c r="AJ857" s="14"/>
      <c r="AL857" s="14"/>
    </row>
    <row r="858">
      <c r="A858" s="15"/>
      <c r="B858" s="7"/>
      <c r="C858" s="16"/>
      <c r="E858" s="9"/>
      <c r="G858" s="16"/>
      <c r="I858" s="9"/>
      <c r="K858" s="16"/>
      <c r="M858" s="9"/>
      <c r="O858" s="16"/>
      <c r="Q858" s="7"/>
      <c r="R858" s="25"/>
      <c r="S858" s="28"/>
      <c r="U858" s="28"/>
      <c r="W858" s="14"/>
      <c r="Y858" s="14"/>
      <c r="Z858" s="55"/>
      <c r="AA858" t="b">
        <v>0</v>
      </c>
      <c r="AC858" t="b">
        <v>0</v>
      </c>
      <c r="AE858" t="b">
        <v>0</v>
      </c>
      <c r="AG858" t="b">
        <v>0</v>
      </c>
      <c r="AJ858" s="14"/>
      <c r="AL858" s="14"/>
    </row>
    <row r="859">
      <c r="A859" s="15"/>
      <c r="B859" s="7"/>
      <c r="C859" s="16"/>
      <c r="E859" s="9"/>
      <c r="G859" s="16"/>
      <c r="I859" s="9"/>
      <c r="K859" s="16"/>
      <c r="M859" s="9"/>
      <c r="O859" s="16"/>
      <c r="Q859" s="7"/>
      <c r="R859" s="25"/>
      <c r="S859" s="28"/>
      <c r="U859" s="28"/>
      <c r="W859" s="14"/>
      <c r="Y859" s="14"/>
      <c r="Z859" s="55"/>
      <c r="AA859" t="b">
        <v>0</v>
      </c>
      <c r="AC859" t="b">
        <v>0</v>
      </c>
      <c r="AE859" t="b">
        <v>0</v>
      </c>
      <c r="AG859" t="b">
        <v>0</v>
      </c>
      <c r="AJ859" s="14"/>
      <c r="AL859" s="14"/>
    </row>
    <row r="860">
      <c r="A860" s="15"/>
      <c r="B860" s="7"/>
      <c r="C860" s="16"/>
      <c r="E860" s="9"/>
      <c r="G860" s="16"/>
      <c r="I860" s="9"/>
      <c r="K860" s="16"/>
      <c r="M860" s="9"/>
      <c r="O860" s="16"/>
      <c r="Q860" s="7"/>
      <c r="R860" s="25"/>
      <c r="S860" s="28"/>
      <c r="U860" s="28"/>
      <c r="W860" s="14"/>
      <c r="Y860" s="14"/>
      <c r="Z860" s="55"/>
      <c r="AA860" t="b">
        <v>0</v>
      </c>
      <c r="AC860" t="b">
        <v>0</v>
      </c>
      <c r="AE860" t="b">
        <v>0</v>
      </c>
      <c r="AG860" t="b">
        <v>0</v>
      </c>
      <c r="AJ860" s="14"/>
      <c r="AL860" s="14"/>
    </row>
    <row r="861">
      <c r="A861" s="15"/>
      <c r="B861" s="7"/>
      <c r="C861" s="16"/>
      <c r="E861" s="9"/>
      <c r="G861" s="16"/>
      <c r="I861" s="9"/>
      <c r="K861" s="16"/>
      <c r="M861" s="9"/>
      <c r="O861" s="16"/>
      <c r="Q861" s="7"/>
      <c r="R861" s="25"/>
      <c r="S861" s="28"/>
      <c r="U861" s="28"/>
      <c r="W861" s="14"/>
      <c r="Y861" s="14"/>
      <c r="Z861" s="55"/>
      <c r="AA861" t="b">
        <v>0</v>
      </c>
      <c r="AC861" t="b">
        <v>0</v>
      </c>
      <c r="AE861" t="b">
        <v>0</v>
      </c>
      <c r="AG861" t="b">
        <v>0</v>
      </c>
      <c r="AJ861" s="14"/>
      <c r="AL861" s="14"/>
    </row>
    <row r="862">
      <c r="A862" s="15"/>
      <c r="B862" s="7"/>
      <c r="C862" s="16"/>
      <c r="E862" s="9"/>
      <c r="G862" s="16"/>
      <c r="I862" s="9"/>
      <c r="K862" s="16"/>
      <c r="M862" s="9"/>
      <c r="O862" s="16"/>
      <c r="Q862" s="7"/>
      <c r="R862" s="25"/>
      <c r="S862" s="28"/>
      <c r="U862" s="28"/>
      <c r="W862" s="14"/>
      <c r="Y862" s="14"/>
      <c r="Z862" s="55"/>
      <c r="AA862" t="b">
        <v>0</v>
      </c>
      <c r="AC862" t="b">
        <v>0</v>
      </c>
      <c r="AE862" t="b">
        <v>0</v>
      </c>
      <c r="AG862" t="b">
        <v>0</v>
      </c>
      <c r="AJ862" s="14"/>
      <c r="AL862" s="14"/>
    </row>
    <row r="863">
      <c r="A863" s="15"/>
      <c r="B863" s="7"/>
      <c r="C863" s="16"/>
      <c r="E863" s="9"/>
      <c r="G863" s="16"/>
      <c r="I863" s="9"/>
      <c r="K863" s="16"/>
      <c r="M863" s="9"/>
      <c r="O863" s="16"/>
      <c r="Q863" s="7"/>
      <c r="R863" s="25"/>
      <c r="S863" s="28"/>
      <c r="U863" s="28"/>
      <c r="W863" s="14"/>
      <c r="Y863" s="14"/>
      <c r="Z863" s="55"/>
      <c r="AA863" t="b">
        <v>0</v>
      </c>
      <c r="AC863" t="b">
        <v>0</v>
      </c>
      <c r="AE863" t="b">
        <v>0</v>
      </c>
      <c r="AG863" t="b">
        <v>0</v>
      </c>
      <c r="AJ863" s="14"/>
      <c r="AL863" s="14"/>
    </row>
    <row r="864">
      <c r="A864" s="15"/>
      <c r="B864" s="7"/>
      <c r="C864" s="16"/>
      <c r="E864" s="9"/>
      <c r="G864" s="16"/>
      <c r="I864" s="9"/>
      <c r="K864" s="16"/>
      <c r="M864" s="9"/>
      <c r="O864" s="16"/>
      <c r="Q864" s="7"/>
      <c r="R864" s="25"/>
      <c r="S864" s="28"/>
      <c r="U864" s="28"/>
      <c r="W864" s="14"/>
      <c r="Y864" s="14"/>
      <c r="Z864" s="55"/>
      <c r="AA864" t="b">
        <v>0</v>
      </c>
      <c r="AC864" t="b">
        <v>0</v>
      </c>
      <c r="AE864" t="b">
        <v>0</v>
      </c>
      <c r="AG864" t="b">
        <v>0</v>
      </c>
      <c r="AJ864" s="14"/>
      <c r="AL864" s="14"/>
    </row>
    <row r="865">
      <c r="A865" s="15"/>
      <c r="B865" s="7"/>
      <c r="C865" s="16"/>
      <c r="E865" s="9"/>
      <c r="G865" s="16"/>
      <c r="I865" s="9"/>
      <c r="K865" s="16"/>
      <c r="M865" s="9"/>
      <c r="O865" s="16"/>
      <c r="Q865" s="7"/>
      <c r="R865" s="25"/>
      <c r="S865" s="28"/>
      <c r="U865" s="28"/>
      <c r="W865" s="14"/>
      <c r="Y865" s="14"/>
      <c r="Z865" s="55"/>
      <c r="AA865" t="b">
        <v>0</v>
      </c>
      <c r="AC865" t="b">
        <v>0</v>
      </c>
      <c r="AE865" t="b">
        <v>0</v>
      </c>
      <c r="AG865" t="b">
        <v>0</v>
      </c>
      <c r="AJ865" s="14"/>
      <c r="AL865" s="14"/>
    </row>
    <row r="866">
      <c r="A866" s="15"/>
      <c r="B866" s="7"/>
      <c r="C866" s="16"/>
      <c r="E866" s="9"/>
      <c r="G866" s="16"/>
      <c r="I866" s="9"/>
      <c r="K866" s="16"/>
      <c r="M866" s="9"/>
      <c r="O866" s="16"/>
      <c r="Q866" s="7"/>
      <c r="R866" s="25"/>
      <c r="S866" s="28"/>
      <c r="U866" s="28"/>
      <c r="W866" s="14"/>
      <c r="Y866" s="14"/>
      <c r="Z866" s="55"/>
      <c r="AA866" t="b">
        <v>0</v>
      </c>
      <c r="AC866" t="b">
        <v>0</v>
      </c>
      <c r="AE866" t="b">
        <v>0</v>
      </c>
      <c r="AG866" t="b">
        <v>0</v>
      </c>
      <c r="AJ866" s="14"/>
      <c r="AL866" s="14"/>
    </row>
    <row r="867">
      <c r="A867" s="15"/>
      <c r="B867" s="7"/>
      <c r="C867" s="16"/>
      <c r="E867" s="9"/>
      <c r="G867" s="16"/>
      <c r="I867" s="9"/>
      <c r="K867" s="16"/>
      <c r="M867" s="9"/>
      <c r="O867" s="16"/>
      <c r="Q867" s="7"/>
      <c r="R867" s="25"/>
      <c r="S867" s="28"/>
      <c r="U867" s="28"/>
      <c r="W867" s="14"/>
      <c r="Y867" s="14"/>
      <c r="Z867" s="55"/>
      <c r="AA867" t="b">
        <v>0</v>
      </c>
      <c r="AC867" t="b">
        <v>0</v>
      </c>
      <c r="AE867" t="b">
        <v>0</v>
      </c>
      <c r="AG867" t="b">
        <v>0</v>
      </c>
      <c r="AJ867" s="14"/>
      <c r="AL867" s="14"/>
    </row>
    <row r="868">
      <c r="A868" s="15"/>
      <c r="B868" s="7"/>
      <c r="C868" s="16"/>
      <c r="E868" s="9"/>
      <c r="G868" s="16"/>
      <c r="I868" s="9"/>
      <c r="K868" s="16"/>
      <c r="M868" s="9"/>
      <c r="O868" s="16"/>
      <c r="Q868" s="7"/>
      <c r="R868" s="25"/>
      <c r="S868" s="28"/>
      <c r="U868" s="28"/>
      <c r="W868" s="14"/>
      <c r="Y868" s="14"/>
      <c r="Z868" s="55"/>
      <c r="AA868" t="b">
        <v>0</v>
      </c>
      <c r="AC868" t="b">
        <v>0</v>
      </c>
      <c r="AE868" t="b">
        <v>0</v>
      </c>
      <c r="AG868" t="b">
        <v>0</v>
      </c>
      <c r="AJ868" s="14"/>
      <c r="AL868" s="14"/>
    </row>
    <row r="869">
      <c r="A869" s="15"/>
      <c r="B869" s="7"/>
      <c r="C869" s="16"/>
      <c r="E869" s="9"/>
      <c r="G869" s="16"/>
      <c r="I869" s="9"/>
      <c r="K869" s="16"/>
      <c r="M869" s="9"/>
      <c r="O869" s="16"/>
      <c r="Q869" s="7"/>
      <c r="R869" s="25"/>
      <c r="S869" s="28"/>
      <c r="U869" s="28"/>
      <c r="W869" s="14"/>
      <c r="Y869" s="14"/>
      <c r="Z869" s="55"/>
      <c r="AA869" t="b">
        <v>0</v>
      </c>
      <c r="AC869" t="b">
        <v>0</v>
      </c>
      <c r="AE869" t="b">
        <v>0</v>
      </c>
      <c r="AG869" t="b">
        <v>0</v>
      </c>
      <c r="AJ869" s="14"/>
      <c r="AL869" s="14"/>
    </row>
    <row r="870">
      <c r="A870" s="15"/>
      <c r="B870" s="7"/>
      <c r="C870" s="16"/>
      <c r="E870" s="9"/>
      <c r="G870" s="16"/>
      <c r="I870" s="9"/>
      <c r="K870" s="16"/>
      <c r="M870" s="9"/>
      <c r="O870" s="16"/>
      <c r="Q870" s="7"/>
      <c r="R870" s="25"/>
      <c r="S870" s="28"/>
      <c r="U870" s="28"/>
      <c r="W870" s="14"/>
      <c r="Y870" s="14"/>
      <c r="Z870" s="55"/>
      <c r="AA870" t="b">
        <v>0</v>
      </c>
      <c r="AC870" t="b">
        <v>0</v>
      </c>
      <c r="AE870" t="b">
        <v>0</v>
      </c>
      <c r="AG870" t="b">
        <v>0</v>
      </c>
      <c r="AJ870" s="14"/>
      <c r="AL870" s="14"/>
    </row>
    <row r="871">
      <c r="A871" s="15"/>
      <c r="B871" s="7"/>
      <c r="C871" s="16"/>
      <c r="E871" s="9"/>
      <c r="G871" s="16"/>
      <c r="I871" s="9"/>
      <c r="K871" s="16"/>
      <c r="M871" s="9"/>
      <c r="O871" s="16"/>
      <c r="Q871" s="7"/>
      <c r="R871" s="25"/>
      <c r="S871" s="28"/>
      <c r="U871" s="28"/>
      <c r="W871" s="14"/>
      <c r="Y871" s="14"/>
      <c r="Z871" s="55"/>
      <c r="AA871" t="b">
        <v>0</v>
      </c>
      <c r="AC871" t="b">
        <v>0</v>
      </c>
      <c r="AE871" t="b">
        <v>0</v>
      </c>
      <c r="AG871" t="b">
        <v>0</v>
      </c>
      <c r="AJ871" s="14"/>
      <c r="AL871" s="14"/>
    </row>
    <row r="872">
      <c r="A872" s="15"/>
      <c r="B872" s="7"/>
      <c r="C872" s="16"/>
      <c r="E872" s="9"/>
      <c r="G872" s="16"/>
      <c r="I872" s="9"/>
      <c r="K872" s="16"/>
      <c r="M872" s="9"/>
      <c r="O872" s="16"/>
      <c r="Q872" s="7"/>
      <c r="R872" s="25"/>
      <c r="S872" s="28"/>
      <c r="U872" s="28"/>
      <c r="W872" s="14"/>
      <c r="Y872" s="14"/>
      <c r="Z872" s="55"/>
      <c r="AA872" t="b">
        <v>0</v>
      </c>
      <c r="AC872" t="b">
        <v>0</v>
      </c>
      <c r="AE872" t="b">
        <v>0</v>
      </c>
      <c r="AG872" t="b">
        <v>0</v>
      </c>
      <c r="AJ872" s="14"/>
      <c r="AL872" s="14"/>
    </row>
    <row r="873">
      <c r="A873" s="15"/>
      <c r="B873" s="7"/>
      <c r="C873" s="16"/>
      <c r="E873" s="9"/>
      <c r="G873" s="16"/>
      <c r="I873" s="9"/>
      <c r="K873" s="16"/>
      <c r="M873" s="9"/>
      <c r="O873" s="16"/>
      <c r="Q873" s="7"/>
      <c r="R873" s="25"/>
      <c r="S873" s="28"/>
      <c r="U873" s="28"/>
      <c r="W873" s="14"/>
      <c r="Y873" s="14"/>
      <c r="Z873" s="55"/>
      <c r="AA873" t="b">
        <v>0</v>
      </c>
      <c r="AC873" t="b">
        <v>0</v>
      </c>
      <c r="AE873" t="b">
        <v>0</v>
      </c>
      <c r="AG873" t="b">
        <v>0</v>
      </c>
      <c r="AJ873" s="14"/>
      <c r="AL873" s="14"/>
    </row>
    <row r="874">
      <c r="A874" s="15"/>
      <c r="B874" s="7"/>
      <c r="C874" s="16"/>
      <c r="E874" s="9"/>
      <c r="G874" s="16"/>
      <c r="I874" s="9"/>
      <c r="K874" s="16"/>
      <c r="M874" s="9"/>
      <c r="O874" s="16"/>
      <c r="Q874" s="7"/>
      <c r="R874" s="25"/>
      <c r="S874" s="28"/>
      <c r="U874" s="28"/>
      <c r="W874" s="14"/>
      <c r="Y874" s="14"/>
      <c r="Z874" s="55"/>
      <c r="AA874" t="b">
        <v>0</v>
      </c>
      <c r="AC874" t="b">
        <v>0</v>
      </c>
      <c r="AE874" t="b">
        <v>0</v>
      </c>
      <c r="AG874" t="b">
        <v>0</v>
      </c>
      <c r="AJ874" s="14"/>
      <c r="AL874" s="14"/>
    </row>
    <row r="875">
      <c r="A875" s="15"/>
      <c r="B875" s="7"/>
      <c r="C875" s="16"/>
      <c r="E875" s="9"/>
      <c r="G875" s="16"/>
      <c r="I875" s="9"/>
      <c r="K875" s="16"/>
      <c r="M875" s="9"/>
      <c r="O875" s="16"/>
      <c r="Q875" s="7"/>
      <c r="R875" s="25"/>
      <c r="S875" s="28"/>
      <c r="U875" s="28"/>
      <c r="W875" s="14"/>
      <c r="Y875" s="14"/>
      <c r="Z875" s="55"/>
      <c r="AA875" t="b">
        <v>0</v>
      </c>
      <c r="AC875" t="b">
        <v>0</v>
      </c>
      <c r="AE875" t="b">
        <v>0</v>
      </c>
      <c r="AG875" t="b">
        <v>0</v>
      </c>
      <c r="AJ875" s="14"/>
      <c r="AL875" s="14"/>
    </row>
    <row r="876">
      <c r="A876" s="15"/>
      <c r="B876" s="7"/>
      <c r="C876" s="16"/>
      <c r="E876" s="9"/>
      <c r="G876" s="16"/>
      <c r="I876" s="9"/>
      <c r="K876" s="16"/>
      <c r="M876" s="9"/>
      <c r="O876" s="16"/>
      <c r="Q876" s="7"/>
      <c r="R876" s="25"/>
      <c r="S876" s="28"/>
      <c r="U876" s="28"/>
      <c r="W876" s="14"/>
      <c r="Y876" s="14"/>
      <c r="Z876" s="55"/>
      <c r="AA876" t="b">
        <v>0</v>
      </c>
      <c r="AC876" t="b">
        <v>0</v>
      </c>
      <c r="AE876" t="b">
        <v>0</v>
      </c>
      <c r="AG876" t="b">
        <v>0</v>
      </c>
      <c r="AJ876" s="14"/>
      <c r="AL876" s="14"/>
    </row>
    <row r="877">
      <c r="A877" s="15"/>
      <c r="B877" s="7"/>
      <c r="C877" s="16"/>
      <c r="E877" s="9"/>
      <c r="G877" s="16"/>
      <c r="I877" s="9"/>
      <c r="K877" s="16"/>
      <c r="M877" s="9"/>
      <c r="O877" s="16"/>
      <c r="Q877" s="7"/>
      <c r="R877" s="25"/>
      <c r="S877" s="28"/>
      <c r="U877" s="28"/>
      <c r="W877" s="14"/>
      <c r="Y877" s="14"/>
      <c r="Z877" s="55"/>
      <c r="AA877" t="b">
        <v>0</v>
      </c>
      <c r="AC877" t="b">
        <v>0</v>
      </c>
      <c r="AE877" t="b">
        <v>0</v>
      </c>
      <c r="AG877" t="b">
        <v>0</v>
      </c>
      <c r="AJ877" s="14"/>
      <c r="AL877" s="14"/>
    </row>
    <row r="878">
      <c r="A878" s="15"/>
      <c r="B878" s="7"/>
      <c r="C878" s="16"/>
      <c r="E878" s="9"/>
      <c r="G878" s="16"/>
      <c r="I878" s="9"/>
      <c r="K878" s="16"/>
      <c r="M878" s="9"/>
      <c r="O878" s="16"/>
      <c r="Q878" s="7"/>
      <c r="R878" s="25"/>
      <c r="S878" s="28"/>
      <c r="U878" s="28"/>
      <c r="W878" s="14"/>
      <c r="Y878" s="14"/>
      <c r="Z878" s="55"/>
      <c r="AA878" t="b">
        <v>0</v>
      </c>
      <c r="AC878" t="b">
        <v>0</v>
      </c>
      <c r="AE878" t="b">
        <v>0</v>
      </c>
      <c r="AG878" t="b">
        <v>0</v>
      </c>
      <c r="AJ878" s="14"/>
      <c r="AL878" s="14"/>
    </row>
    <row r="879">
      <c r="A879" s="15"/>
      <c r="B879" s="7"/>
      <c r="C879" s="16"/>
      <c r="E879" s="9"/>
      <c r="G879" s="16"/>
      <c r="I879" s="9"/>
      <c r="K879" s="16"/>
      <c r="M879" s="9"/>
      <c r="O879" s="16"/>
      <c r="Q879" s="7"/>
      <c r="R879" s="25"/>
      <c r="S879" s="28"/>
      <c r="U879" s="28"/>
      <c r="W879" s="14"/>
      <c r="Y879" s="14"/>
      <c r="Z879" s="55"/>
      <c r="AA879" t="b">
        <v>0</v>
      </c>
      <c r="AC879" t="b">
        <v>0</v>
      </c>
      <c r="AE879" t="b">
        <v>0</v>
      </c>
      <c r="AG879" t="b">
        <v>0</v>
      </c>
      <c r="AJ879" s="14"/>
      <c r="AL879" s="14"/>
    </row>
    <row r="880">
      <c r="A880" s="15"/>
      <c r="B880" s="7"/>
      <c r="C880" s="16"/>
      <c r="E880" s="9"/>
      <c r="G880" s="16"/>
      <c r="I880" s="9"/>
      <c r="K880" s="16"/>
      <c r="M880" s="9"/>
      <c r="O880" s="16"/>
      <c r="Q880" s="7"/>
      <c r="R880" s="25"/>
      <c r="S880" s="28"/>
      <c r="U880" s="28"/>
      <c r="W880" s="14"/>
      <c r="Y880" s="14"/>
      <c r="Z880" s="55"/>
      <c r="AA880" t="b">
        <v>0</v>
      </c>
      <c r="AC880" t="b">
        <v>0</v>
      </c>
      <c r="AE880" t="b">
        <v>0</v>
      </c>
      <c r="AG880" t="b">
        <v>0</v>
      </c>
      <c r="AJ880" s="14"/>
      <c r="AL880" s="14"/>
    </row>
    <row r="881">
      <c r="A881" s="15"/>
      <c r="B881" s="7"/>
      <c r="C881" s="16"/>
      <c r="E881" s="9"/>
      <c r="G881" s="16"/>
      <c r="I881" s="9"/>
      <c r="K881" s="16"/>
      <c r="M881" s="9"/>
      <c r="O881" s="16"/>
      <c r="Q881" s="7"/>
      <c r="R881" s="25"/>
      <c r="S881" s="28"/>
      <c r="U881" s="28"/>
      <c r="W881" s="14"/>
      <c r="Y881" s="14"/>
      <c r="Z881" s="55"/>
      <c r="AA881" t="b">
        <v>0</v>
      </c>
      <c r="AC881" t="b">
        <v>0</v>
      </c>
      <c r="AE881" t="b">
        <v>0</v>
      </c>
      <c r="AG881" t="b">
        <v>0</v>
      </c>
      <c r="AJ881" s="14"/>
      <c r="AL881" s="14"/>
    </row>
    <row r="882">
      <c r="A882" s="15"/>
      <c r="B882" s="7"/>
      <c r="C882" s="16"/>
      <c r="E882" s="9"/>
      <c r="G882" s="16"/>
      <c r="I882" s="9"/>
      <c r="K882" s="16"/>
      <c r="M882" s="9"/>
      <c r="O882" s="16"/>
      <c r="Q882" s="7"/>
      <c r="R882" s="25"/>
      <c r="S882" s="28"/>
      <c r="U882" s="28"/>
      <c r="W882" s="14"/>
      <c r="Y882" s="14"/>
      <c r="Z882" s="55"/>
      <c r="AA882" t="b">
        <v>0</v>
      </c>
      <c r="AC882" t="b">
        <v>0</v>
      </c>
      <c r="AE882" t="b">
        <v>0</v>
      </c>
      <c r="AG882" t="b">
        <v>0</v>
      </c>
      <c r="AJ882" s="14"/>
      <c r="AL882" s="14"/>
    </row>
    <row r="883">
      <c r="A883" s="15"/>
      <c r="B883" s="7"/>
      <c r="C883" s="16"/>
      <c r="E883" s="9"/>
      <c r="G883" s="16"/>
      <c r="I883" s="9"/>
      <c r="K883" s="16"/>
      <c r="M883" s="9"/>
      <c r="O883" s="16"/>
      <c r="Q883" s="7"/>
      <c r="R883" s="25"/>
      <c r="S883" s="28"/>
      <c r="U883" s="28"/>
      <c r="W883" s="14"/>
      <c r="Y883" s="14"/>
      <c r="Z883" s="55"/>
      <c r="AA883" t="b">
        <v>0</v>
      </c>
      <c r="AC883" t="b">
        <v>0</v>
      </c>
      <c r="AE883" t="b">
        <v>0</v>
      </c>
      <c r="AG883" t="b">
        <v>0</v>
      </c>
      <c r="AJ883" s="14"/>
      <c r="AL883" s="14"/>
    </row>
    <row r="884">
      <c r="A884" s="15"/>
      <c r="B884" s="7"/>
      <c r="C884" s="16"/>
      <c r="E884" s="9"/>
      <c r="G884" s="16"/>
      <c r="I884" s="9"/>
      <c r="K884" s="16"/>
      <c r="M884" s="9"/>
      <c r="O884" s="16"/>
      <c r="Q884" s="7"/>
      <c r="R884" s="25"/>
      <c r="S884" s="28"/>
      <c r="U884" s="28"/>
      <c r="W884" s="14"/>
      <c r="Y884" s="14"/>
      <c r="Z884" s="55"/>
      <c r="AA884" t="b">
        <v>0</v>
      </c>
      <c r="AC884" t="b">
        <v>0</v>
      </c>
      <c r="AE884" t="b">
        <v>0</v>
      </c>
      <c r="AG884" t="b">
        <v>0</v>
      </c>
      <c r="AJ884" s="14"/>
      <c r="AL884" s="14"/>
    </row>
    <row r="885">
      <c r="A885" s="15"/>
      <c r="B885" s="7"/>
      <c r="C885" s="16"/>
      <c r="E885" s="9"/>
      <c r="G885" s="16"/>
      <c r="I885" s="9"/>
      <c r="K885" s="16"/>
      <c r="M885" s="9"/>
      <c r="O885" s="16"/>
      <c r="Q885" s="7"/>
      <c r="R885" s="25"/>
      <c r="S885" s="28"/>
      <c r="U885" s="28"/>
      <c r="W885" s="14"/>
      <c r="Y885" s="14"/>
      <c r="Z885" s="55"/>
      <c r="AA885" t="b">
        <v>0</v>
      </c>
      <c r="AC885" t="b">
        <v>0</v>
      </c>
      <c r="AE885" t="b">
        <v>0</v>
      </c>
      <c r="AG885" t="b">
        <v>0</v>
      </c>
      <c r="AJ885" s="14"/>
      <c r="AL885" s="14"/>
    </row>
    <row r="886">
      <c r="A886" s="15"/>
      <c r="B886" s="7"/>
      <c r="C886" s="16"/>
      <c r="E886" s="9"/>
      <c r="G886" s="16"/>
      <c r="I886" s="9"/>
      <c r="K886" s="16"/>
      <c r="M886" s="9"/>
      <c r="O886" s="16"/>
      <c r="Q886" s="7"/>
      <c r="R886" s="25"/>
      <c r="S886" s="28"/>
      <c r="U886" s="28"/>
      <c r="W886" s="14"/>
      <c r="Y886" s="14"/>
      <c r="Z886" s="55"/>
      <c r="AA886" t="b">
        <v>0</v>
      </c>
      <c r="AC886" t="b">
        <v>0</v>
      </c>
      <c r="AE886" t="b">
        <v>0</v>
      </c>
      <c r="AG886" t="b">
        <v>0</v>
      </c>
      <c r="AJ886" s="14"/>
      <c r="AL886" s="14"/>
    </row>
    <row r="887">
      <c r="A887" s="15"/>
      <c r="B887" s="7"/>
      <c r="C887" s="16"/>
      <c r="E887" s="9"/>
      <c r="G887" s="16"/>
      <c r="I887" s="9"/>
      <c r="K887" s="16"/>
      <c r="M887" s="9"/>
      <c r="O887" s="16"/>
      <c r="Q887" s="7"/>
      <c r="R887" s="25"/>
      <c r="S887" s="28"/>
      <c r="U887" s="28"/>
      <c r="W887" s="14"/>
      <c r="Y887" s="14"/>
      <c r="Z887" s="55"/>
      <c r="AA887" t="b">
        <v>0</v>
      </c>
      <c r="AC887" t="b">
        <v>0</v>
      </c>
      <c r="AE887" t="b">
        <v>0</v>
      </c>
      <c r="AG887" t="b">
        <v>0</v>
      </c>
      <c r="AJ887" s="14"/>
      <c r="AL887" s="14"/>
    </row>
    <row r="888">
      <c r="A888" s="15"/>
      <c r="B888" s="7"/>
      <c r="C888" s="16"/>
      <c r="E888" s="9"/>
      <c r="G888" s="16"/>
      <c r="I888" s="9"/>
      <c r="K888" s="16"/>
      <c r="M888" s="9"/>
      <c r="O888" s="16"/>
      <c r="Q888" s="7"/>
      <c r="R888" s="25"/>
      <c r="S888" s="28"/>
      <c r="U888" s="28"/>
      <c r="W888" s="14"/>
      <c r="Y888" s="14"/>
      <c r="Z888" s="55"/>
      <c r="AA888" t="b">
        <v>0</v>
      </c>
      <c r="AC888" t="b">
        <v>0</v>
      </c>
      <c r="AE888" t="b">
        <v>0</v>
      </c>
      <c r="AG888" t="b">
        <v>0</v>
      </c>
      <c r="AJ888" s="14"/>
      <c r="AL888" s="14"/>
    </row>
    <row r="889">
      <c r="A889" s="15"/>
      <c r="B889" s="7"/>
      <c r="C889" s="16"/>
      <c r="E889" s="9"/>
      <c r="G889" s="16"/>
      <c r="I889" s="9"/>
      <c r="K889" s="16"/>
      <c r="M889" s="9"/>
      <c r="O889" s="16"/>
      <c r="Q889" s="7"/>
      <c r="R889" s="25"/>
      <c r="S889" s="28"/>
      <c r="U889" s="28"/>
      <c r="W889" s="14"/>
      <c r="Y889" s="14"/>
      <c r="Z889" s="55"/>
      <c r="AA889" t="b">
        <v>0</v>
      </c>
      <c r="AC889" t="b">
        <v>0</v>
      </c>
      <c r="AE889" t="b">
        <v>0</v>
      </c>
      <c r="AG889" t="b">
        <v>0</v>
      </c>
      <c r="AJ889" s="14"/>
      <c r="AL889" s="14"/>
    </row>
    <row r="890">
      <c r="A890" s="15"/>
      <c r="B890" s="7"/>
      <c r="C890" s="16"/>
      <c r="E890" s="9"/>
      <c r="G890" s="16"/>
      <c r="I890" s="9"/>
      <c r="K890" s="16"/>
      <c r="M890" s="9"/>
      <c r="O890" s="16"/>
      <c r="Q890" s="7"/>
      <c r="R890" s="25"/>
      <c r="S890" s="28"/>
      <c r="U890" s="28"/>
      <c r="W890" s="14"/>
      <c r="Y890" s="14"/>
      <c r="Z890" s="55"/>
      <c r="AA890" t="b">
        <v>0</v>
      </c>
      <c r="AC890" t="b">
        <v>0</v>
      </c>
      <c r="AE890" t="b">
        <v>0</v>
      </c>
      <c r="AG890" t="b">
        <v>0</v>
      </c>
      <c r="AJ890" s="14"/>
      <c r="AL890" s="14"/>
    </row>
    <row r="891">
      <c r="A891" s="15"/>
      <c r="B891" s="7"/>
      <c r="C891" s="16"/>
      <c r="E891" s="9"/>
      <c r="G891" s="16"/>
      <c r="I891" s="9"/>
      <c r="K891" s="16"/>
      <c r="M891" s="9"/>
      <c r="O891" s="16"/>
      <c r="Q891" s="7"/>
      <c r="R891" s="25"/>
      <c r="S891" s="28"/>
      <c r="U891" s="28"/>
      <c r="W891" s="14"/>
      <c r="Y891" s="14"/>
      <c r="Z891" s="55"/>
      <c r="AA891" t="b">
        <v>0</v>
      </c>
      <c r="AC891" t="b">
        <v>0</v>
      </c>
      <c r="AE891" t="b">
        <v>0</v>
      </c>
      <c r="AG891" t="b">
        <v>0</v>
      </c>
      <c r="AJ891" s="14"/>
      <c r="AL891" s="14"/>
    </row>
    <row r="892">
      <c r="A892" s="15"/>
      <c r="B892" s="7"/>
      <c r="C892" s="16"/>
      <c r="E892" s="9"/>
      <c r="G892" s="16"/>
      <c r="I892" s="9"/>
      <c r="K892" s="16"/>
      <c r="M892" s="9"/>
      <c r="O892" s="16"/>
      <c r="Q892" s="7"/>
      <c r="R892" s="25"/>
      <c r="S892" s="28"/>
      <c r="U892" s="28"/>
      <c r="W892" s="14"/>
      <c r="Y892" s="14"/>
      <c r="Z892" s="55"/>
      <c r="AA892" t="b">
        <v>0</v>
      </c>
      <c r="AC892" t="b">
        <v>0</v>
      </c>
      <c r="AE892" t="b">
        <v>0</v>
      </c>
      <c r="AG892" t="b">
        <v>0</v>
      </c>
      <c r="AJ892" s="14"/>
      <c r="AL892" s="14"/>
    </row>
    <row r="893">
      <c r="A893" s="15"/>
      <c r="B893" s="7"/>
      <c r="C893" s="16"/>
      <c r="E893" s="9"/>
      <c r="G893" s="16"/>
      <c r="I893" s="9"/>
      <c r="K893" s="16"/>
      <c r="M893" s="9"/>
      <c r="O893" s="16"/>
      <c r="Q893" s="7"/>
      <c r="R893" s="25"/>
      <c r="S893" s="28"/>
      <c r="U893" s="28"/>
      <c r="W893" s="14"/>
      <c r="Y893" s="14"/>
      <c r="Z893" s="55"/>
      <c r="AA893" t="b">
        <v>0</v>
      </c>
      <c r="AC893" t="b">
        <v>0</v>
      </c>
      <c r="AE893" t="b">
        <v>0</v>
      </c>
      <c r="AG893" t="b">
        <v>0</v>
      </c>
      <c r="AJ893" s="14"/>
      <c r="AL893" s="14"/>
    </row>
    <row r="894">
      <c r="A894" s="15"/>
      <c r="B894" s="7"/>
      <c r="C894" s="16"/>
      <c r="E894" s="9"/>
      <c r="G894" s="16"/>
      <c r="I894" s="9"/>
      <c r="K894" s="16"/>
      <c r="M894" s="9"/>
      <c r="O894" s="16"/>
      <c r="Q894" s="7"/>
      <c r="R894" s="25"/>
      <c r="S894" s="28"/>
      <c r="U894" s="28"/>
      <c r="W894" s="14"/>
      <c r="Y894" s="14"/>
      <c r="Z894" s="55"/>
      <c r="AA894" t="b">
        <v>0</v>
      </c>
      <c r="AC894" t="b">
        <v>0</v>
      </c>
      <c r="AE894" t="b">
        <v>0</v>
      </c>
      <c r="AG894" t="b">
        <v>0</v>
      </c>
      <c r="AJ894" s="14"/>
      <c r="AL894" s="14"/>
    </row>
    <row r="895">
      <c r="A895" s="15"/>
      <c r="B895" s="7"/>
      <c r="C895" s="16"/>
      <c r="E895" s="9"/>
      <c r="G895" s="16"/>
      <c r="I895" s="9"/>
      <c r="K895" s="16"/>
      <c r="M895" s="9"/>
      <c r="O895" s="16"/>
      <c r="Q895" s="7"/>
      <c r="R895" s="25"/>
      <c r="S895" s="28"/>
      <c r="U895" s="28"/>
      <c r="W895" s="14"/>
      <c r="Y895" s="14"/>
      <c r="Z895" s="55"/>
      <c r="AA895" t="b">
        <v>0</v>
      </c>
      <c r="AC895" t="b">
        <v>0</v>
      </c>
      <c r="AE895" t="b">
        <v>0</v>
      </c>
      <c r="AG895" t="b">
        <v>0</v>
      </c>
      <c r="AJ895" s="14"/>
      <c r="AL895" s="14"/>
    </row>
    <row r="896">
      <c r="A896" s="15"/>
      <c r="B896" s="7"/>
      <c r="C896" s="16"/>
      <c r="E896" s="9"/>
      <c r="G896" s="16"/>
      <c r="I896" s="9"/>
      <c r="K896" s="16"/>
      <c r="M896" s="9"/>
      <c r="O896" s="16"/>
      <c r="Q896" s="7"/>
      <c r="R896" s="25"/>
      <c r="S896" s="28"/>
      <c r="U896" s="28"/>
      <c r="W896" s="14"/>
      <c r="Y896" s="14"/>
      <c r="Z896" s="55"/>
      <c r="AA896" t="b">
        <v>0</v>
      </c>
      <c r="AC896" t="b">
        <v>0</v>
      </c>
      <c r="AE896" t="b">
        <v>0</v>
      </c>
      <c r="AG896" t="b">
        <v>0</v>
      </c>
      <c r="AJ896" s="14"/>
      <c r="AL896" s="14"/>
    </row>
    <row r="897">
      <c r="A897" s="15"/>
      <c r="B897" s="7"/>
      <c r="C897" s="16"/>
      <c r="E897" s="9"/>
      <c r="G897" s="16"/>
      <c r="I897" s="9"/>
      <c r="K897" s="16"/>
      <c r="M897" s="9"/>
      <c r="O897" s="16"/>
      <c r="Q897" s="7"/>
      <c r="R897" s="25"/>
      <c r="S897" s="28"/>
      <c r="U897" s="28"/>
      <c r="W897" s="14"/>
      <c r="Y897" s="14"/>
      <c r="Z897" s="55"/>
      <c r="AA897" t="b">
        <v>0</v>
      </c>
      <c r="AC897" t="b">
        <v>0</v>
      </c>
      <c r="AE897" t="b">
        <v>0</v>
      </c>
      <c r="AG897" t="b">
        <v>0</v>
      </c>
      <c r="AJ897" s="14"/>
      <c r="AL897" s="14"/>
    </row>
    <row r="898">
      <c r="A898" s="15"/>
      <c r="B898" s="7"/>
      <c r="C898" s="16"/>
      <c r="E898" s="9"/>
      <c r="G898" s="16"/>
      <c r="I898" s="9"/>
      <c r="K898" s="16"/>
      <c r="M898" s="9"/>
      <c r="O898" s="16"/>
      <c r="Q898" s="7"/>
      <c r="R898" s="25"/>
      <c r="S898" s="28"/>
      <c r="U898" s="28"/>
      <c r="W898" s="14"/>
      <c r="Y898" s="14"/>
      <c r="Z898" s="55"/>
      <c r="AA898" t="b">
        <v>0</v>
      </c>
      <c r="AC898" t="b">
        <v>0</v>
      </c>
      <c r="AE898" t="b">
        <v>0</v>
      </c>
      <c r="AG898" t="b">
        <v>0</v>
      </c>
      <c r="AJ898" s="14"/>
      <c r="AL898" s="14"/>
    </row>
    <row r="899">
      <c r="A899" s="15"/>
      <c r="B899" s="7"/>
      <c r="C899" s="16"/>
      <c r="E899" s="9"/>
      <c r="G899" s="16"/>
      <c r="I899" s="9"/>
      <c r="K899" s="16"/>
      <c r="M899" s="9"/>
      <c r="O899" s="16"/>
      <c r="Q899" s="7"/>
      <c r="R899" s="25"/>
      <c r="S899" s="28"/>
      <c r="U899" s="28"/>
      <c r="W899" s="14"/>
      <c r="Y899" s="14"/>
      <c r="Z899" s="55"/>
      <c r="AA899" t="b">
        <v>0</v>
      </c>
      <c r="AC899" t="b">
        <v>0</v>
      </c>
      <c r="AE899" t="b">
        <v>0</v>
      </c>
      <c r="AG899" t="b">
        <v>0</v>
      </c>
      <c r="AJ899" s="14"/>
      <c r="AL899" s="14"/>
    </row>
    <row r="900">
      <c r="A900" s="15"/>
      <c r="B900" s="7"/>
      <c r="C900" s="16"/>
      <c r="E900" s="9"/>
      <c r="G900" s="16"/>
      <c r="I900" s="9"/>
      <c r="K900" s="16"/>
      <c r="M900" s="9"/>
      <c r="O900" s="16"/>
      <c r="Q900" s="7"/>
      <c r="R900" s="25"/>
      <c r="S900" s="28"/>
      <c r="U900" s="28"/>
      <c r="W900" s="14"/>
      <c r="Y900" s="14"/>
      <c r="Z900" s="55"/>
      <c r="AA900" t="b">
        <v>0</v>
      </c>
      <c r="AC900" t="b">
        <v>0</v>
      </c>
      <c r="AE900" t="b">
        <v>0</v>
      </c>
      <c r="AG900" t="b">
        <v>0</v>
      </c>
      <c r="AJ900" s="14"/>
      <c r="AL900" s="14"/>
    </row>
    <row r="901">
      <c r="A901" s="15"/>
      <c r="B901" s="7"/>
      <c r="C901" s="16"/>
      <c r="E901" s="9"/>
      <c r="G901" s="16"/>
      <c r="I901" s="9"/>
      <c r="K901" s="16"/>
      <c r="M901" s="9"/>
      <c r="O901" s="16"/>
      <c r="Q901" s="7"/>
      <c r="R901" s="25"/>
      <c r="S901" s="28"/>
      <c r="U901" s="28"/>
      <c r="W901" s="14"/>
      <c r="Y901" s="14"/>
      <c r="Z901" s="55"/>
      <c r="AA901" t="b">
        <v>0</v>
      </c>
      <c r="AC901" t="b">
        <v>0</v>
      </c>
      <c r="AE901" t="b">
        <v>0</v>
      </c>
      <c r="AG901" t="b">
        <v>0</v>
      </c>
      <c r="AJ901" s="14"/>
      <c r="AL901" s="14"/>
    </row>
    <row r="902">
      <c r="A902" s="15"/>
      <c r="B902" s="7"/>
      <c r="C902" s="16"/>
      <c r="E902" s="9"/>
      <c r="G902" s="16"/>
      <c r="I902" s="9"/>
      <c r="K902" s="16"/>
      <c r="M902" s="9"/>
      <c r="O902" s="16"/>
      <c r="Q902" s="7"/>
      <c r="R902" s="25"/>
      <c r="S902" s="28"/>
      <c r="U902" s="28"/>
      <c r="W902" s="14"/>
      <c r="Y902" s="14"/>
      <c r="Z902" s="55"/>
      <c r="AA902" t="b">
        <v>0</v>
      </c>
      <c r="AC902" t="b">
        <v>0</v>
      </c>
      <c r="AE902" t="b">
        <v>0</v>
      </c>
      <c r="AG902" t="b">
        <v>0</v>
      </c>
      <c r="AJ902" s="14"/>
      <c r="AL902" s="14"/>
    </row>
    <row r="903">
      <c r="A903" s="15"/>
      <c r="B903" s="7"/>
      <c r="C903" s="16"/>
      <c r="E903" s="9"/>
      <c r="G903" s="16"/>
      <c r="I903" s="9"/>
      <c r="K903" s="16"/>
      <c r="M903" s="9"/>
      <c r="O903" s="16"/>
      <c r="Q903" s="7"/>
      <c r="R903" s="25"/>
      <c r="S903" s="28"/>
      <c r="U903" s="28"/>
      <c r="W903" s="14"/>
      <c r="Y903" s="14"/>
      <c r="Z903" s="55"/>
      <c r="AA903" t="b">
        <v>0</v>
      </c>
      <c r="AC903" t="b">
        <v>0</v>
      </c>
      <c r="AE903" t="b">
        <v>0</v>
      </c>
      <c r="AG903" t="b">
        <v>0</v>
      </c>
      <c r="AJ903" s="14"/>
      <c r="AL903" s="14"/>
    </row>
    <row r="904">
      <c r="A904" s="15"/>
      <c r="B904" s="7"/>
      <c r="C904" s="16"/>
      <c r="E904" s="9"/>
      <c r="G904" s="16"/>
      <c r="I904" s="9"/>
      <c r="K904" s="16"/>
      <c r="M904" s="9"/>
      <c r="O904" s="16"/>
      <c r="Q904" s="7"/>
      <c r="R904" s="25"/>
      <c r="S904" s="28"/>
      <c r="U904" s="28"/>
      <c r="W904" s="14"/>
      <c r="Y904" s="14"/>
      <c r="Z904" s="55"/>
      <c r="AA904" t="b">
        <v>0</v>
      </c>
      <c r="AC904" t="b">
        <v>0</v>
      </c>
      <c r="AE904" t="b">
        <v>0</v>
      </c>
      <c r="AG904" t="b">
        <v>0</v>
      </c>
      <c r="AJ904" s="14"/>
      <c r="AL904" s="14"/>
    </row>
    <row r="905">
      <c r="A905" s="15"/>
      <c r="B905" s="7"/>
      <c r="C905" s="16"/>
      <c r="E905" s="9"/>
      <c r="G905" s="16"/>
      <c r="I905" s="9"/>
      <c r="K905" s="16"/>
      <c r="M905" s="9"/>
      <c r="O905" s="16"/>
      <c r="Q905" s="7"/>
      <c r="R905" s="25"/>
      <c r="S905" s="28"/>
      <c r="U905" s="28"/>
      <c r="W905" s="14"/>
      <c r="Y905" s="14"/>
      <c r="Z905" s="55"/>
      <c r="AA905" t="b">
        <v>0</v>
      </c>
      <c r="AC905" t="b">
        <v>0</v>
      </c>
      <c r="AE905" t="b">
        <v>0</v>
      </c>
      <c r="AG905" t="b">
        <v>0</v>
      </c>
      <c r="AJ905" s="14"/>
      <c r="AL905" s="14"/>
    </row>
    <row r="906">
      <c r="A906" s="15"/>
      <c r="B906" s="7"/>
      <c r="C906" s="16"/>
      <c r="E906" s="9"/>
      <c r="G906" s="16"/>
      <c r="I906" s="9"/>
      <c r="K906" s="16"/>
      <c r="M906" s="9"/>
      <c r="O906" s="16"/>
      <c r="Q906" s="7"/>
      <c r="R906" s="25"/>
      <c r="S906" s="28"/>
      <c r="U906" s="28"/>
      <c r="W906" s="14"/>
      <c r="Y906" s="14"/>
      <c r="Z906" s="55"/>
      <c r="AA906" t="b">
        <v>0</v>
      </c>
      <c r="AC906" t="b">
        <v>0</v>
      </c>
      <c r="AE906" t="b">
        <v>0</v>
      </c>
      <c r="AG906" t="b">
        <v>0</v>
      </c>
      <c r="AJ906" s="14"/>
      <c r="AL906" s="14"/>
    </row>
    <row r="907">
      <c r="A907" s="15"/>
      <c r="B907" s="7"/>
      <c r="C907" s="16"/>
      <c r="E907" s="9"/>
      <c r="G907" s="16"/>
      <c r="I907" s="9"/>
      <c r="K907" s="16"/>
      <c r="M907" s="9"/>
      <c r="O907" s="16"/>
      <c r="Q907" s="7"/>
      <c r="R907" s="25"/>
      <c r="S907" s="28"/>
      <c r="U907" s="28"/>
      <c r="W907" s="14"/>
      <c r="Y907" s="14"/>
      <c r="Z907" s="55"/>
      <c r="AA907" t="b">
        <v>0</v>
      </c>
      <c r="AC907" t="b">
        <v>0</v>
      </c>
      <c r="AE907" t="b">
        <v>0</v>
      </c>
      <c r="AG907" t="b">
        <v>0</v>
      </c>
      <c r="AJ907" s="14"/>
      <c r="AL907" s="14"/>
    </row>
    <row r="908">
      <c r="A908" s="15"/>
      <c r="B908" s="7"/>
      <c r="C908" s="16"/>
      <c r="E908" s="9"/>
      <c r="G908" s="16"/>
      <c r="I908" s="9"/>
      <c r="K908" s="16"/>
      <c r="M908" s="9"/>
      <c r="O908" s="16"/>
      <c r="Q908" s="7"/>
      <c r="R908" s="25"/>
      <c r="S908" s="28"/>
      <c r="U908" s="28"/>
      <c r="W908" s="14"/>
      <c r="Y908" s="14"/>
      <c r="Z908" s="55"/>
      <c r="AA908" t="b">
        <v>0</v>
      </c>
      <c r="AC908" t="b">
        <v>0</v>
      </c>
      <c r="AE908" t="b">
        <v>0</v>
      </c>
      <c r="AG908" t="b">
        <v>0</v>
      </c>
      <c r="AJ908" s="14"/>
      <c r="AL908" s="14"/>
    </row>
    <row r="909">
      <c r="A909" s="15"/>
      <c r="B909" s="7"/>
      <c r="C909" s="16"/>
      <c r="E909" s="9"/>
      <c r="G909" s="16"/>
      <c r="I909" s="9"/>
      <c r="K909" s="16"/>
      <c r="M909" s="9"/>
      <c r="O909" s="16"/>
      <c r="Q909" s="7"/>
      <c r="R909" s="25"/>
      <c r="S909" s="28"/>
      <c r="U909" s="28"/>
      <c r="W909" s="14"/>
      <c r="Y909" s="14"/>
      <c r="Z909" s="55"/>
      <c r="AA909" t="b">
        <v>0</v>
      </c>
      <c r="AC909" t="b">
        <v>0</v>
      </c>
      <c r="AE909" t="b">
        <v>0</v>
      </c>
      <c r="AG909" t="b">
        <v>0</v>
      </c>
      <c r="AJ909" s="14"/>
      <c r="AL909" s="14"/>
    </row>
    <row r="910">
      <c r="A910" s="15"/>
      <c r="B910" s="7"/>
      <c r="C910" s="16"/>
      <c r="E910" s="9"/>
      <c r="G910" s="16"/>
      <c r="I910" s="9"/>
      <c r="K910" s="16"/>
      <c r="M910" s="9"/>
      <c r="O910" s="16"/>
      <c r="Q910" s="7"/>
      <c r="R910" s="25"/>
      <c r="S910" s="28"/>
      <c r="U910" s="28"/>
      <c r="W910" s="14"/>
      <c r="Y910" s="14"/>
      <c r="Z910" s="55"/>
      <c r="AA910" t="b">
        <v>0</v>
      </c>
      <c r="AC910" t="b">
        <v>0</v>
      </c>
      <c r="AE910" t="b">
        <v>0</v>
      </c>
      <c r="AG910" t="b">
        <v>0</v>
      </c>
      <c r="AJ910" s="14"/>
      <c r="AL910" s="14"/>
    </row>
    <row r="911">
      <c r="A911" s="15"/>
      <c r="B911" s="7"/>
      <c r="C911" s="16"/>
      <c r="E911" s="9"/>
      <c r="G911" s="16"/>
      <c r="I911" s="9"/>
      <c r="K911" s="16"/>
      <c r="M911" s="9"/>
      <c r="O911" s="16"/>
      <c r="Q911" s="7"/>
      <c r="R911" s="25"/>
      <c r="S911" s="28"/>
      <c r="U911" s="28"/>
      <c r="W911" s="14"/>
      <c r="Y911" s="14"/>
      <c r="Z911" s="55"/>
      <c r="AA911" t="b">
        <v>0</v>
      </c>
      <c r="AC911" t="b">
        <v>0</v>
      </c>
      <c r="AE911" t="b">
        <v>0</v>
      </c>
      <c r="AG911" t="b">
        <v>0</v>
      </c>
      <c r="AJ911" s="14"/>
      <c r="AL911" s="14"/>
    </row>
    <row r="912">
      <c r="A912" s="15"/>
      <c r="B912" s="7"/>
      <c r="C912" s="16"/>
      <c r="E912" s="9"/>
      <c r="G912" s="16"/>
      <c r="I912" s="9"/>
      <c r="K912" s="16"/>
      <c r="M912" s="9"/>
      <c r="O912" s="16"/>
      <c r="Q912" s="7"/>
      <c r="R912" s="25"/>
      <c r="S912" s="28"/>
      <c r="U912" s="28"/>
      <c r="W912" s="14"/>
      <c r="Y912" s="14"/>
      <c r="Z912" s="55"/>
      <c r="AA912" t="b">
        <v>0</v>
      </c>
      <c r="AC912" t="b">
        <v>0</v>
      </c>
      <c r="AE912" t="b">
        <v>0</v>
      </c>
      <c r="AG912" t="b">
        <v>0</v>
      </c>
      <c r="AJ912" s="14"/>
      <c r="AL912" s="14"/>
    </row>
    <row r="913">
      <c r="A913" s="15"/>
      <c r="B913" s="7"/>
      <c r="C913" s="16"/>
      <c r="E913" s="9"/>
      <c r="G913" s="16"/>
      <c r="I913" s="9"/>
      <c r="K913" s="16"/>
      <c r="M913" s="9"/>
      <c r="O913" s="16"/>
      <c r="Q913" s="7"/>
      <c r="R913" s="25"/>
      <c r="S913" s="28"/>
      <c r="U913" s="28"/>
      <c r="W913" s="14"/>
      <c r="Y913" s="14"/>
      <c r="Z913" s="55"/>
      <c r="AA913" t="b">
        <v>0</v>
      </c>
      <c r="AC913" t="b">
        <v>0</v>
      </c>
      <c r="AE913" t="b">
        <v>0</v>
      </c>
      <c r="AG913" t="b">
        <v>0</v>
      </c>
      <c r="AJ913" s="14"/>
      <c r="AL913" s="14"/>
    </row>
    <row r="914">
      <c r="A914" s="15"/>
      <c r="B914" s="7"/>
      <c r="C914" s="16"/>
      <c r="E914" s="9"/>
      <c r="G914" s="16"/>
      <c r="I914" s="9"/>
      <c r="K914" s="16"/>
      <c r="M914" s="9"/>
      <c r="O914" s="16"/>
      <c r="Q914" s="7"/>
      <c r="R914" s="25"/>
      <c r="S914" s="28"/>
      <c r="U914" s="28"/>
      <c r="W914" s="14"/>
      <c r="Y914" s="14"/>
      <c r="Z914" s="55"/>
      <c r="AA914" t="b">
        <v>0</v>
      </c>
      <c r="AC914" t="b">
        <v>0</v>
      </c>
      <c r="AE914" t="b">
        <v>0</v>
      </c>
      <c r="AG914" t="b">
        <v>0</v>
      </c>
      <c r="AJ914" s="14"/>
      <c r="AL914" s="14"/>
    </row>
    <row r="915">
      <c r="A915" s="15"/>
      <c r="B915" s="7"/>
      <c r="C915" s="16"/>
      <c r="E915" s="9"/>
      <c r="G915" s="16"/>
      <c r="I915" s="9"/>
      <c r="K915" s="16"/>
      <c r="M915" s="9"/>
      <c r="O915" s="16"/>
      <c r="Q915" s="7"/>
      <c r="R915" s="25"/>
      <c r="S915" s="28"/>
      <c r="U915" s="28"/>
      <c r="W915" s="14"/>
      <c r="Y915" s="14"/>
      <c r="Z915" s="55"/>
      <c r="AA915" t="b">
        <v>0</v>
      </c>
      <c r="AC915" t="b">
        <v>0</v>
      </c>
      <c r="AE915" t="b">
        <v>0</v>
      </c>
      <c r="AG915" t="b">
        <v>0</v>
      </c>
      <c r="AJ915" s="14"/>
      <c r="AL915" s="14"/>
    </row>
    <row r="916">
      <c r="A916" s="15"/>
      <c r="B916" s="7"/>
      <c r="C916" s="16"/>
      <c r="E916" s="9"/>
      <c r="G916" s="16"/>
      <c r="I916" s="9"/>
      <c r="K916" s="16"/>
      <c r="M916" s="9"/>
      <c r="O916" s="16"/>
      <c r="Q916" s="7"/>
      <c r="R916" s="25"/>
      <c r="S916" s="28"/>
      <c r="U916" s="28"/>
      <c r="W916" s="14"/>
      <c r="Y916" s="14"/>
      <c r="Z916" s="55"/>
      <c r="AA916" t="b">
        <v>0</v>
      </c>
      <c r="AC916" t="b">
        <v>0</v>
      </c>
      <c r="AE916" t="b">
        <v>0</v>
      </c>
      <c r="AG916" t="b">
        <v>0</v>
      </c>
      <c r="AJ916" s="14"/>
      <c r="AL916" s="14"/>
    </row>
    <row r="917">
      <c r="A917" s="15"/>
      <c r="B917" s="7"/>
      <c r="C917" s="16"/>
      <c r="E917" s="9"/>
      <c r="G917" s="16"/>
      <c r="I917" s="9"/>
      <c r="K917" s="16"/>
      <c r="M917" s="9"/>
      <c r="O917" s="16"/>
      <c r="Q917" s="7"/>
      <c r="R917" s="25"/>
      <c r="S917" s="28"/>
      <c r="U917" s="28"/>
      <c r="W917" s="14"/>
      <c r="Y917" s="14"/>
      <c r="Z917" s="55"/>
      <c r="AA917" t="b">
        <v>0</v>
      </c>
      <c r="AC917" t="b">
        <v>0</v>
      </c>
      <c r="AE917" t="b">
        <v>0</v>
      </c>
      <c r="AG917" t="b">
        <v>0</v>
      </c>
      <c r="AJ917" s="14"/>
      <c r="AL917" s="14"/>
    </row>
    <row r="918">
      <c r="A918" s="15"/>
      <c r="B918" s="7"/>
      <c r="C918" s="16"/>
      <c r="E918" s="9"/>
      <c r="G918" s="16"/>
      <c r="I918" s="9"/>
      <c r="K918" s="16"/>
      <c r="M918" s="9"/>
      <c r="O918" s="16"/>
      <c r="Q918" s="7"/>
      <c r="R918" s="25"/>
      <c r="S918" s="28"/>
      <c r="U918" s="28"/>
      <c r="W918" s="14"/>
      <c r="Y918" s="14"/>
      <c r="Z918" s="55"/>
      <c r="AA918" t="b">
        <v>0</v>
      </c>
      <c r="AC918" t="b">
        <v>0</v>
      </c>
      <c r="AE918" t="b">
        <v>0</v>
      </c>
      <c r="AG918" t="b">
        <v>0</v>
      </c>
      <c r="AJ918" s="14"/>
      <c r="AL918" s="14"/>
    </row>
    <row r="919">
      <c r="A919" s="15"/>
      <c r="B919" s="7"/>
      <c r="C919" s="16"/>
      <c r="E919" s="9"/>
      <c r="G919" s="16"/>
      <c r="I919" s="9"/>
      <c r="K919" s="16"/>
      <c r="M919" s="9"/>
      <c r="O919" s="16"/>
      <c r="Q919" s="7"/>
      <c r="R919" s="25"/>
      <c r="S919" s="28"/>
      <c r="U919" s="28"/>
      <c r="W919" s="14"/>
      <c r="Y919" s="14"/>
      <c r="Z919" s="55"/>
      <c r="AA919" t="b">
        <v>0</v>
      </c>
      <c r="AC919" t="b">
        <v>0</v>
      </c>
      <c r="AE919" t="b">
        <v>0</v>
      </c>
      <c r="AG919" t="b">
        <v>0</v>
      </c>
      <c r="AJ919" s="14"/>
      <c r="AL919" s="14"/>
    </row>
    <row r="920">
      <c r="A920" s="15"/>
      <c r="B920" s="7"/>
      <c r="C920" s="16"/>
      <c r="E920" s="9"/>
      <c r="G920" s="16"/>
      <c r="I920" s="9"/>
      <c r="K920" s="16"/>
      <c r="M920" s="9"/>
      <c r="O920" s="16"/>
      <c r="Q920" s="7"/>
      <c r="R920" s="25"/>
      <c r="S920" s="28"/>
      <c r="U920" s="28"/>
      <c r="W920" s="14"/>
      <c r="Y920" s="14"/>
      <c r="Z920" s="55"/>
      <c r="AA920" t="b">
        <v>0</v>
      </c>
      <c r="AC920" t="b">
        <v>0</v>
      </c>
      <c r="AE920" t="b">
        <v>0</v>
      </c>
      <c r="AG920" t="b">
        <v>0</v>
      </c>
      <c r="AJ920" s="14"/>
      <c r="AL920" s="14"/>
    </row>
    <row r="921">
      <c r="A921" s="15"/>
      <c r="B921" s="7"/>
      <c r="C921" s="16"/>
      <c r="E921" s="9"/>
      <c r="G921" s="16"/>
      <c r="I921" s="9"/>
      <c r="K921" s="16"/>
      <c r="M921" s="9"/>
      <c r="O921" s="16"/>
      <c r="Q921" s="7"/>
      <c r="R921" s="25"/>
      <c r="S921" s="28"/>
      <c r="U921" s="28"/>
      <c r="W921" s="14"/>
      <c r="Y921" s="14"/>
      <c r="Z921" s="55"/>
      <c r="AA921" t="b">
        <v>0</v>
      </c>
      <c r="AC921" t="b">
        <v>0</v>
      </c>
      <c r="AE921" t="b">
        <v>0</v>
      </c>
      <c r="AG921" t="b">
        <v>0</v>
      </c>
      <c r="AJ921" s="14"/>
      <c r="AL921" s="14"/>
    </row>
    <row r="922">
      <c r="A922" s="15"/>
      <c r="B922" s="7"/>
      <c r="C922" s="16"/>
      <c r="E922" s="9"/>
      <c r="G922" s="16"/>
      <c r="I922" s="9"/>
      <c r="K922" s="16"/>
      <c r="M922" s="9"/>
      <c r="O922" s="16"/>
      <c r="Q922" s="7"/>
      <c r="R922" s="25"/>
      <c r="S922" s="28"/>
      <c r="U922" s="28"/>
      <c r="W922" s="14"/>
      <c r="Y922" s="14"/>
      <c r="Z922" s="55"/>
      <c r="AA922" t="b">
        <v>0</v>
      </c>
      <c r="AC922" t="b">
        <v>0</v>
      </c>
      <c r="AE922" t="b">
        <v>0</v>
      </c>
      <c r="AG922" t="b">
        <v>0</v>
      </c>
      <c r="AJ922" s="14"/>
      <c r="AL922" s="14"/>
    </row>
    <row r="923">
      <c r="A923" s="15"/>
      <c r="B923" s="7"/>
      <c r="C923" s="16"/>
      <c r="E923" s="9"/>
      <c r="G923" s="16"/>
      <c r="I923" s="9"/>
      <c r="K923" s="16"/>
      <c r="M923" s="9"/>
      <c r="O923" s="16"/>
      <c r="Q923" s="7"/>
      <c r="R923" s="25"/>
      <c r="S923" s="28"/>
      <c r="U923" s="28"/>
      <c r="W923" s="14"/>
      <c r="Y923" s="14"/>
      <c r="Z923" s="55"/>
      <c r="AA923" t="b">
        <v>0</v>
      </c>
      <c r="AC923" t="b">
        <v>0</v>
      </c>
      <c r="AE923" t="b">
        <v>0</v>
      </c>
      <c r="AG923" t="b">
        <v>0</v>
      </c>
      <c r="AJ923" s="14"/>
      <c r="AL923" s="14"/>
    </row>
    <row r="924">
      <c r="A924" s="15"/>
      <c r="B924" s="7"/>
      <c r="C924" s="16"/>
      <c r="E924" s="9"/>
      <c r="G924" s="16"/>
      <c r="I924" s="9"/>
      <c r="K924" s="16"/>
      <c r="M924" s="9"/>
      <c r="O924" s="16"/>
      <c r="Q924" s="7"/>
      <c r="R924" s="25"/>
      <c r="S924" s="28"/>
      <c r="U924" s="28"/>
      <c r="W924" s="14"/>
      <c r="Y924" s="14"/>
      <c r="Z924" s="55"/>
      <c r="AA924" t="b">
        <v>0</v>
      </c>
      <c r="AC924" t="b">
        <v>0</v>
      </c>
      <c r="AE924" t="b">
        <v>0</v>
      </c>
      <c r="AG924" t="b">
        <v>0</v>
      </c>
      <c r="AJ924" s="14"/>
      <c r="AL924" s="14"/>
    </row>
    <row r="925">
      <c r="A925" s="15"/>
      <c r="B925" s="7"/>
      <c r="C925" s="16"/>
      <c r="E925" s="9"/>
      <c r="G925" s="16"/>
      <c r="I925" s="9"/>
      <c r="K925" s="16"/>
      <c r="M925" s="9"/>
      <c r="O925" s="16"/>
      <c r="Q925" s="7"/>
      <c r="R925" s="25"/>
      <c r="S925" s="28"/>
      <c r="U925" s="28"/>
      <c r="W925" s="14"/>
      <c r="Y925" s="14"/>
      <c r="Z925" s="55"/>
      <c r="AA925" t="b">
        <v>0</v>
      </c>
      <c r="AC925" t="b">
        <v>0</v>
      </c>
      <c r="AE925" t="b">
        <v>0</v>
      </c>
      <c r="AG925" t="b">
        <v>0</v>
      </c>
      <c r="AJ925" s="14"/>
      <c r="AL925" s="14"/>
    </row>
    <row r="926">
      <c r="A926" s="15"/>
      <c r="B926" s="7"/>
      <c r="C926" s="16"/>
      <c r="E926" s="9"/>
      <c r="G926" s="16"/>
      <c r="I926" s="9"/>
      <c r="K926" s="16"/>
      <c r="M926" s="9"/>
      <c r="O926" s="16"/>
      <c r="Q926" s="7"/>
      <c r="R926" s="25"/>
      <c r="S926" s="28"/>
      <c r="U926" s="28"/>
      <c r="W926" s="14"/>
      <c r="Y926" s="14"/>
      <c r="Z926" s="55"/>
      <c r="AA926" t="b">
        <v>0</v>
      </c>
      <c r="AC926" t="b">
        <v>0</v>
      </c>
      <c r="AE926" t="b">
        <v>0</v>
      </c>
      <c r="AG926" t="b">
        <v>0</v>
      </c>
      <c r="AJ926" s="14"/>
      <c r="AL926" s="14"/>
    </row>
    <row r="927">
      <c r="A927" s="15"/>
      <c r="B927" s="7"/>
      <c r="C927" s="16"/>
      <c r="E927" s="9"/>
      <c r="G927" s="16"/>
      <c r="I927" s="9"/>
      <c r="K927" s="16"/>
      <c r="M927" s="9"/>
      <c r="O927" s="16"/>
      <c r="Q927" s="7"/>
      <c r="R927" s="25"/>
      <c r="S927" s="28"/>
      <c r="U927" s="28"/>
      <c r="W927" s="14"/>
      <c r="Y927" s="14"/>
      <c r="Z927" s="55"/>
      <c r="AA927" t="b">
        <v>0</v>
      </c>
      <c r="AC927" t="b">
        <v>0</v>
      </c>
      <c r="AE927" t="b">
        <v>0</v>
      </c>
      <c r="AG927" t="b">
        <v>0</v>
      </c>
      <c r="AJ927" s="14"/>
      <c r="AL927" s="14"/>
    </row>
    <row r="928">
      <c r="A928" s="15"/>
      <c r="B928" s="7"/>
      <c r="C928" s="16"/>
      <c r="E928" s="9"/>
      <c r="G928" s="16"/>
      <c r="I928" s="9"/>
      <c r="K928" s="16"/>
      <c r="M928" s="9"/>
      <c r="O928" s="16"/>
      <c r="Q928" s="7"/>
      <c r="R928" s="25"/>
      <c r="S928" s="28"/>
      <c r="U928" s="28"/>
      <c r="W928" s="14"/>
      <c r="Y928" s="14"/>
      <c r="Z928" s="55"/>
      <c r="AA928" t="b">
        <v>0</v>
      </c>
      <c r="AC928" t="b">
        <v>0</v>
      </c>
      <c r="AE928" t="b">
        <v>0</v>
      </c>
      <c r="AG928" t="b">
        <v>0</v>
      </c>
      <c r="AJ928" s="14"/>
      <c r="AL928" s="14"/>
    </row>
    <row r="929">
      <c r="A929" s="15"/>
      <c r="B929" s="7"/>
      <c r="C929" s="16"/>
      <c r="E929" s="9"/>
      <c r="G929" s="16"/>
      <c r="I929" s="9"/>
      <c r="K929" s="16"/>
      <c r="M929" s="9"/>
      <c r="O929" s="16"/>
      <c r="Q929" s="7"/>
      <c r="R929" s="25"/>
      <c r="S929" s="28"/>
      <c r="U929" s="28"/>
      <c r="W929" s="14"/>
      <c r="Y929" s="14"/>
      <c r="Z929" s="55"/>
      <c r="AA929" t="b">
        <v>0</v>
      </c>
      <c r="AC929" t="b">
        <v>0</v>
      </c>
      <c r="AE929" t="b">
        <v>0</v>
      </c>
      <c r="AG929" t="b">
        <v>0</v>
      </c>
      <c r="AJ929" s="14"/>
      <c r="AL929" s="14"/>
    </row>
    <row r="930">
      <c r="A930" s="15"/>
      <c r="B930" s="7"/>
      <c r="C930" s="16"/>
      <c r="E930" s="9"/>
      <c r="G930" s="16"/>
      <c r="I930" s="9"/>
      <c r="K930" s="16"/>
      <c r="M930" s="9"/>
      <c r="O930" s="16"/>
      <c r="Q930" s="7"/>
      <c r="R930" s="25"/>
      <c r="S930" s="28"/>
      <c r="U930" s="28"/>
      <c r="W930" s="14"/>
      <c r="Y930" s="14"/>
      <c r="Z930" s="55"/>
      <c r="AA930" t="b">
        <v>0</v>
      </c>
      <c r="AC930" t="b">
        <v>0</v>
      </c>
      <c r="AE930" t="b">
        <v>0</v>
      </c>
      <c r="AG930" t="b">
        <v>0</v>
      </c>
      <c r="AJ930" s="14"/>
      <c r="AL930" s="14"/>
    </row>
    <row r="931">
      <c r="A931" s="15"/>
      <c r="B931" s="7"/>
      <c r="C931" s="16"/>
      <c r="E931" s="9"/>
      <c r="G931" s="16"/>
      <c r="I931" s="9"/>
      <c r="K931" s="16"/>
      <c r="M931" s="9"/>
      <c r="O931" s="16"/>
      <c r="Q931" s="7"/>
      <c r="R931" s="25"/>
      <c r="S931" s="28"/>
      <c r="U931" s="28"/>
      <c r="W931" s="14"/>
      <c r="Y931" s="14"/>
      <c r="Z931" s="55"/>
      <c r="AA931" t="b">
        <v>0</v>
      </c>
      <c r="AC931" t="b">
        <v>0</v>
      </c>
      <c r="AE931" t="b">
        <v>0</v>
      </c>
      <c r="AG931" t="b">
        <v>0</v>
      </c>
      <c r="AJ931" s="14"/>
      <c r="AL931" s="14"/>
    </row>
    <row r="932">
      <c r="A932" s="15"/>
      <c r="B932" s="7"/>
      <c r="C932" s="16"/>
      <c r="E932" s="9"/>
      <c r="G932" s="16"/>
      <c r="I932" s="9"/>
      <c r="K932" s="16"/>
      <c r="M932" s="9"/>
      <c r="O932" s="16"/>
      <c r="Q932" s="7"/>
      <c r="R932" s="25"/>
      <c r="S932" s="28"/>
      <c r="U932" s="28"/>
      <c r="W932" s="14"/>
      <c r="Y932" s="14"/>
      <c r="Z932" s="55"/>
      <c r="AA932" t="b">
        <v>0</v>
      </c>
      <c r="AC932" t="b">
        <v>0</v>
      </c>
      <c r="AE932" t="b">
        <v>0</v>
      </c>
      <c r="AG932" t="b">
        <v>0</v>
      </c>
      <c r="AJ932" s="14"/>
      <c r="AL932" s="14"/>
    </row>
    <row r="933">
      <c r="A933" s="15"/>
      <c r="B933" s="7"/>
      <c r="C933" s="16"/>
      <c r="E933" s="9"/>
      <c r="G933" s="16"/>
      <c r="I933" s="9"/>
      <c r="K933" s="16"/>
      <c r="M933" s="9"/>
      <c r="O933" s="16"/>
      <c r="Q933" s="7"/>
      <c r="R933" s="25"/>
      <c r="S933" s="28"/>
      <c r="U933" s="28"/>
      <c r="W933" s="14"/>
      <c r="Y933" s="14"/>
      <c r="Z933" s="55"/>
      <c r="AA933" t="b">
        <v>0</v>
      </c>
      <c r="AC933" t="b">
        <v>0</v>
      </c>
      <c r="AE933" t="b">
        <v>0</v>
      </c>
      <c r="AG933" t="b">
        <v>0</v>
      </c>
      <c r="AJ933" s="14"/>
      <c r="AL933" s="14"/>
    </row>
    <row r="934">
      <c r="A934" s="15"/>
      <c r="B934" s="7"/>
      <c r="C934" s="16"/>
      <c r="E934" s="9"/>
      <c r="G934" s="16"/>
      <c r="I934" s="9"/>
      <c r="K934" s="16"/>
      <c r="M934" s="9"/>
      <c r="O934" s="16"/>
      <c r="Q934" s="7"/>
      <c r="R934" s="25"/>
      <c r="S934" s="28"/>
      <c r="U934" s="28"/>
      <c r="W934" s="14"/>
      <c r="Y934" s="14"/>
      <c r="Z934" s="55"/>
      <c r="AA934" t="b">
        <v>0</v>
      </c>
      <c r="AC934" t="b">
        <v>0</v>
      </c>
      <c r="AE934" t="b">
        <v>0</v>
      </c>
      <c r="AG934" t="b">
        <v>0</v>
      </c>
      <c r="AJ934" s="14"/>
      <c r="AL934" s="14"/>
    </row>
    <row r="935">
      <c r="A935" s="15"/>
      <c r="B935" s="7"/>
      <c r="C935" s="16"/>
      <c r="E935" s="9"/>
      <c r="G935" s="16"/>
      <c r="I935" s="9"/>
      <c r="K935" s="16"/>
      <c r="M935" s="9"/>
      <c r="O935" s="16"/>
      <c r="Q935" s="7"/>
      <c r="R935" s="25"/>
      <c r="S935" s="28"/>
      <c r="U935" s="28"/>
      <c r="W935" s="14"/>
      <c r="Y935" s="14"/>
      <c r="Z935" s="55"/>
      <c r="AA935" t="b">
        <v>0</v>
      </c>
      <c r="AC935" t="b">
        <v>0</v>
      </c>
      <c r="AE935" t="b">
        <v>0</v>
      </c>
      <c r="AG935" t="b">
        <v>0</v>
      </c>
      <c r="AJ935" s="14"/>
    </row>
    <row r="936">
      <c r="A936" s="15"/>
      <c r="B936" s="7"/>
      <c r="C936" s="16"/>
      <c r="E936" s="9"/>
      <c r="G936" s="16"/>
      <c r="I936" s="9"/>
      <c r="K936" s="16"/>
      <c r="M936" s="9"/>
      <c r="O936" s="16"/>
      <c r="Q936" s="7"/>
      <c r="R936" s="25"/>
      <c r="S936" s="28"/>
      <c r="U936" s="28"/>
      <c r="W936" s="14"/>
      <c r="Y936" s="14"/>
      <c r="Z936" s="55"/>
      <c r="AA936" t="b">
        <v>0</v>
      </c>
      <c r="AC936" t="b">
        <v>0</v>
      </c>
      <c r="AE936" t="b">
        <v>0</v>
      </c>
      <c r="AG936" t="b">
        <v>0</v>
      </c>
      <c r="AJ936" s="14"/>
    </row>
    <row r="937">
      <c r="A937" s="15"/>
      <c r="B937" s="7"/>
      <c r="C937" s="16"/>
      <c r="E937" s="9"/>
      <c r="G937" s="16"/>
      <c r="I937" s="9"/>
      <c r="K937" s="16"/>
      <c r="M937" s="9"/>
      <c r="O937" s="16"/>
      <c r="Q937" s="7"/>
      <c r="R937" s="25"/>
      <c r="S937" s="28"/>
      <c r="U937" s="28"/>
      <c r="W937" s="14"/>
      <c r="Y937" s="14"/>
      <c r="Z937" s="55"/>
      <c r="AA937" t="b">
        <v>0</v>
      </c>
      <c r="AC937" t="b">
        <v>0</v>
      </c>
      <c r="AE937" t="b">
        <v>0</v>
      </c>
      <c r="AG937" t="b">
        <v>0</v>
      </c>
      <c r="AJ937" s="14"/>
    </row>
    <row r="938">
      <c r="A938" s="15"/>
      <c r="B938" s="7"/>
      <c r="C938" s="16"/>
      <c r="E938" s="9"/>
      <c r="G938" s="16"/>
      <c r="I938" s="9"/>
      <c r="K938" s="16"/>
      <c r="M938" s="9"/>
      <c r="O938" s="16"/>
      <c r="Q938" s="7"/>
      <c r="R938" s="25"/>
      <c r="S938" s="28"/>
      <c r="U938" s="28"/>
      <c r="W938" s="14"/>
      <c r="Y938" s="14"/>
      <c r="Z938" s="55"/>
      <c r="AA938" t="b">
        <v>0</v>
      </c>
      <c r="AC938" t="b">
        <v>0</v>
      </c>
      <c r="AE938" t="b">
        <v>0</v>
      </c>
      <c r="AG938" t="b">
        <v>0</v>
      </c>
      <c r="AJ938" s="14"/>
    </row>
    <row r="939">
      <c r="A939" s="15"/>
      <c r="B939" s="7"/>
      <c r="C939" s="16"/>
      <c r="E939" s="9"/>
      <c r="G939" s="16"/>
      <c r="I939" s="9"/>
      <c r="K939" s="16"/>
      <c r="M939" s="9"/>
      <c r="O939" s="16"/>
      <c r="Q939" s="7"/>
      <c r="R939" s="25"/>
      <c r="S939" s="28"/>
      <c r="U939" s="28"/>
      <c r="W939" s="14"/>
      <c r="Y939" s="14"/>
      <c r="Z939" s="55"/>
      <c r="AA939" t="b">
        <v>0</v>
      </c>
      <c r="AC939" t="b">
        <v>0</v>
      </c>
      <c r="AE939" t="b">
        <v>0</v>
      </c>
      <c r="AG939" t="b">
        <v>0</v>
      </c>
      <c r="AJ939" s="14"/>
    </row>
    <row r="940">
      <c r="A940" s="15"/>
      <c r="B940" s="7"/>
      <c r="C940" s="16"/>
      <c r="E940" s="9"/>
      <c r="G940" s="16"/>
      <c r="I940" s="9"/>
      <c r="K940" s="16"/>
      <c r="M940" s="9"/>
      <c r="O940" s="16"/>
      <c r="Q940" s="7"/>
      <c r="R940" s="25"/>
      <c r="S940" s="28"/>
      <c r="U940" s="28"/>
      <c r="W940" s="14"/>
      <c r="Y940" s="14"/>
      <c r="Z940" s="55"/>
      <c r="AA940" t="b">
        <v>0</v>
      </c>
      <c r="AC940" t="b">
        <v>0</v>
      </c>
      <c r="AE940" t="b">
        <v>0</v>
      </c>
      <c r="AG940" t="b">
        <v>0</v>
      </c>
      <c r="AJ940" s="14"/>
    </row>
  </sheetData>
  <dataValidations>
    <dataValidation type="list" allowBlank="1" sqref="Q2:Q51 S2:S51 U2:U51 W2:W51 Y2:Y51 AJ2:AJ51 AL2:AL51 AL76:AL934 Q82:Q940 S82:S940 U82:U940 W82:W940 Y82:Y940 AJ82:AJ940">
      <formula1>'Pat notes'!$A$55:$A$77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5" max="15" width="13.38"/>
  </cols>
  <sheetData>
    <row r="1">
      <c r="A1" s="99"/>
      <c r="B1" s="99" t="s">
        <v>149</v>
      </c>
      <c r="F1" s="100"/>
      <c r="G1" s="100"/>
      <c r="H1" s="101" t="s">
        <v>150</v>
      </c>
    </row>
    <row r="2">
      <c r="A2" s="101" t="s">
        <v>22</v>
      </c>
      <c r="B2" s="102" t="s">
        <v>151</v>
      </c>
      <c r="C2" s="100"/>
      <c r="D2" s="103">
        <v>135624.0</v>
      </c>
      <c r="E2" s="101" t="s">
        <v>152</v>
      </c>
      <c r="F2" s="100"/>
      <c r="G2" s="103">
        <v>2000.0</v>
      </c>
      <c r="H2" s="100" t="b">
        <v>0</v>
      </c>
    </row>
    <row r="3">
      <c r="A3" s="101" t="s">
        <v>22</v>
      </c>
      <c r="B3" s="102" t="s">
        <v>153</v>
      </c>
      <c r="D3" s="103">
        <v>135625.0</v>
      </c>
      <c r="E3" s="101" t="s">
        <v>152</v>
      </c>
      <c r="F3" s="100"/>
      <c r="G3" s="103">
        <v>4000.0</v>
      </c>
      <c r="H3" s="100" t="b">
        <v>0</v>
      </c>
    </row>
    <row r="4">
      <c r="A4" s="101" t="s">
        <v>22</v>
      </c>
      <c r="B4" s="102" t="s">
        <v>154</v>
      </c>
      <c r="D4" s="103">
        <v>135626.0</v>
      </c>
      <c r="E4" s="101" t="s">
        <v>152</v>
      </c>
      <c r="F4" s="100"/>
      <c r="G4" s="103">
        <v>2700.0</v>
      </c>
      <c r="H4" s="100" t="b">
        <v>0</v>
      </c>
      <c r="O4" s="102" t="s">
        <v>151</v>
      </c>
      <c r="P4" s="100"/>
      <c r="Q4" s="103">
        <v>135624.0</v>
      </c>
      <c r="R4" s="101" t="s">
        <v>152</v>
      </c>
      <c r="S4" s="100"/>
      <c r="T4" s="103">
        <v>2000.0</v>
      </c>
    </row>
    <row r="5">
      <c r="A5" s="101" t="s">
        <v>22</v>
      </c>
      <c r="B5" s="102" t="s">
        <v>155</v>
      </c>
      <c r="C5" s="100"/>
      <c r="D5" s="103">
        <v>135627.0</v>
      </c>
      <c r="E5" s="101" t="s">
        <v>152</v>
      </c>
      <c r="F5" s="100"/>
      <c r="G5" s="103">
        <v>11700.0</v>
      </c>
      <c r="H5" s="100" t="b">
        <v>0</v>
      </c>
      <c r="O5" s="102" t="s">
        <v>153</v>
      </c>
      <c r="Q5" s="103">
        <v>135625.0</v>
      </c>
      <c r="R5" s="101" t="s">
        <v>152</v>
      </c>
      <c r="S5" s="100"/>
      <c r="T5" s="103">
        <v>4000.0</v>
      </c>
    </row>
    <row r="6">
      <c r="A6" s="101" t="s">
        <v>22</v>
      </c>
      <c r="B6" s="102" t="s">
        <v>97</v>
      </c>
      <c r="C6" s="100"/>
      <c r="D6" s="103">
        <v>135628.0</v>
      </c>
      <c r="E6" s="101" t="s">
        <v>152</v>
      </c>
      <c r="F6" s="100"/>
      <c r="G6" s="103">
        <v>2300.0</v>
      </c>
      <c r="H6" s="100" t="b">
        <v>0</v>
      </c>
      <c r="O6" s="102" t="s">
        <v>154</v>
      </c>
      <c r="Q6" s="103">
        <v>135626.0</v>
      </c>
      <c r="R6" s="101" t="s">
        <v>152</v>
      </c>
      <c r="S6" s="100"/>
      <c r="T6" s="103">
        <v>2700.0</v>
      </c>
    </row>
    <row r="7">
      <c r="A7" s="101" t="s">
        <v>22</v>
      </c>
      <c r="B7" s="102" t="s">
        <v>156</v>
      </c>
      <c r="C7" s="100"/>
      <c r="D7" s="103">
        <v>135629.0</v>
      </c>
      <c r="E7" s="101" t="s">
        <v>152</v>
      </c>
      <c r="F7" s="100"/>
      <c r="G7" s="103">
        <v>6200.0</v>
      </c>
      <c r="H7" s="100" t="b">
        <v>0</v>
      </c>
      <c r="O7" s="102" t="s">
        <v>97</v>
      </c>
      <c r="P7" s="100"/>
      <c r="Q7" s="103">
        <v>135628.0</v>
      </c>
      <c r="R7" s="101" t="s">
        <v>152</v>
      </c>
      <c r="S7" s="100"/>
      <c r="T7" s="103">
        <v>2300.0</v>
      </c>
    </row>
    <row r="8">
      <c r="A8" s="102"/>
      <c r="B8" s="102" t="s">
        <v>157</v>
      </c>
      <c r="C8" s="100"/>
      <c r="D8" s="103">
        <v>135630.0</v>
      </c>
      <c r="E8" s="100"/>
      <c r="F8" s="100"/>
      <c r="G8" s="103">
        <v>7000.0</v>
      </c>
      <c r="H8" s="104" t="b">
        <v>0</v>
      </c>
      <c r="O8" s="102" t="s">
        <v>156</v>
      </c>
      <c r="P8" s="100"/>
      <c r="Q8" s="103">
        <v>135629.0</v>
      </c>
      <c r="R8" s="101" t="s">
        <v>152</v>
      </c>
      <c r="S8" s="100"/>
      <c r="T8" s="103">
        <v>6200.0</v>
      </c>
    </row>
    <row r="9">
      <c r="A9" s="101" t="s">
        <v>22</v>
      </c>
      <c r="B9" s="102" t="s">
        <v>158</v>
      </c>
      <c r="C9" s="100"/>
      <c r="D9" s="103">
        <v>135645.0</v>
      </c>
      <c r="E9" s="100"/>
      <c r="F9" s="100"/>
      <c r="G9" s="101">
        <v>28140.0</v>
      </c>
      <c r="H9" s="100" t="b">
        <v>0</v>
      </c>
      <c r="T9" s="91">
        <f>SUM(T4:T8)</f>
        <v>17200</v>
      </c>
    </row>
    <row r="10">
      <c r="A10" s="101" t="s">
        <v>22</v>
      </c>
      <c r="B10" s="102" t="s">
        <v>159</v>
      </c>
      <c r="D10" s="103">
        <v>135646.0</v>
      </c>
      <c r="E10" s="100"/>
      <c r="F10" s="100"/>
      <c r="G10" s="103">
        <v>7850.0</v>
      </c>
      <c r="H10" s="100" t="b">
        <v>0</v>
      </c>
    </row>
    <row r="11">
      <c r="A11" s="101" t="s">
        <v>22</v>
      </c>
      <c r="B11" s="102" t="s">
        <v>160</v>
      </c>
      <c r="C11" s="100"/>
      <c r="D11" s="103">
        <v>135648.0</v>
      </c>
      <c r="E11" s="101"/>
      <c r="F11" s="100"/>
      <c r="G11" s="105">
        <v>39000.0</v>
      </c>
      <c r="H11" s="100" t="b">
        <v>0</v>
      </c>
    </row>
    <row r="12">
      <c r="A12" s="101" t="s">
        <v>22</v>
      </c>
      <c r="B12" s="102" t="s">
        <v>161</v>
      </c>
      <c r="C12" s="100"/>
      <c r="D12" s="103">
        <v>135649.0</v>
      </c>
      <c r="E12" s="101" t="s">
        <v>152</v>
      </c>
      <c r="F12" s="100"/>
      <c r="G12" s="103">
        <v>36900.0</v>
      </c>
      <c r="H12" s="100" t="b">
        <v>0</v>
      </c>
      <c r="O12" s="106" t="s">
        <v>162</v>
      </c>
      <c r="P12" s="107"/>
    </row>
    <row r="13">
      <c r="A13" s="101" t="s">
        <v>22</v>
      </c>
      <c r="B13" s="102" t="s">
        <v>163</v>
      </c>
      <c r="C13" s="100"/>
      <c r="D13" s="105">
        <v>135807.0</v>
      </c>
      <c r="E13" s="100"/>
      <c r="F13" s="100"/>
      <c r="G13" s="105">
        <v>24300.0</v>
      </c>
      <c r="H13" s="100" t="b">
        <v>0</v>
      </c>
    </row>
    <row r="14">
      <c r="A14" s="100"/>
      <c r="B14" s="100"/>
      <c r="C14" s="100"/>
      <c r="D14" s="100"/>
      <c r="E14" s="100"/>
      <c r="F14" s="100"/>
      <c r="G14" s="100"/>
      <c r="H14" s="100"/>
      <c r="O14" s="108" t="s">
        <v>164</v>
      </c>
      <c r="P14" s="109"/>
      <c r="Q14" s="110"/>
      <c r="R14" s="111">
        <v>65841.0</v>
      </c>
    </row>
    <row r="15">
      <c r="A15" s="112"/>
      <c r="B15" s="112" t="s">
        <v>165</v>
      </c>
      <c r="G15" s="100"/>
      <c r="H15" s="100"/>
      <c r="I15" s="7" t="s">
        <v>166</v>
      </c>
      <c r="O15" s="113" t="s">
        <v>167</v>
      </c>
      <c r="P15" s="114"/>
      <c r="Q15" s="115"/>
      <c r="R15" s="116">
        <v>59842.5</v>
      </c>
    </row>
    <row r="16">
      <c r="A16" s="101" t="s">
        <v>22</v>
      </c>
      <c r="B16" s="102" t="s">
        <v>168</v>
      </c>
      <c r="D16" s="103">
        <v>135631.0</v>
      </c>
      <c r="E16" s="100"/>
      <c r="F16" s="100"/>
      <c r="G16" s="103">
        <v>2600.0</v>
      </c>
      <c r="H16" s="100" t="b">
        <v>0</v>
      </c>
      <c r="O16" s="91"/>
      <c r="P16" s="91"/>
      <c r="R16" s="117"/>
    </row>
    <row r="17">
      <c r="A17" s="101" t="s">
        <v>22</v>
      </c>
      <c r="B17" s="102" t="s">
        <v>35</v>
      </c>
      <c r="C17" s="100"/>
      <c r="D17" s="103">
        <v>135632.0</v>
      </c>
      <c r="E17" s="100"/>
      <c r="F17" s="100"/>
      <c r="G17" s="103">
        <v>12650.0</v>
      </c>
      <c r="H17" s="100" t="b">
        <v>0</v>
      </c>
      <c r="O17" s="118" t="s">
        <v>169</v>
      </c>
      <c r="P17" s="119"/>
      <c r="Q17" s="120"/>
      <c r="R17" s="121"/>
    </row>
    <row r="18">
      <c r="A18" s="101" t="s">
        <v>22</v>
      </c>
      <c r="B18" s="102" t="s">
        <v>170</v>
      </c>
      <c r="C18" s="100"/>
      <c r="D18" s="103">
        <v>135633.0</v>
      </c>
      <c r="E18" s="100"/>
      <c r="F18" s="100"/>
      <c r="G18" s="103">
        <v>8350.0</v>
      </c>
      <c r="H18" s="100" t="b">
        <v>0</v>
      </c>
      <c r="O18" s="119"/>
      <c r="P18" s="119"/>
      <c r="Q18" s="120"/>
      <c r="R18" s="121"/>
    </row>
    <row r="19">
      <c r="A19" s="101" t="s">
        <v>22</v>
      </c>
      <c r="B19" s="102" t="s">
        <v>171</v>
      </c>
      <c r="D19" s="103">
        <v>135634.0</v>
      </c>
      <c r="E19" s="100"/>
      <c r="F19" s="100"/>
      <c r="G19" s="103">
        <v>26700.0</v>
      </c>
      <c r="H19" s="102" t="b">
        <v>1</v>
      </c>
      <c r="I19" s="7">
        <v>26700.0</v>
      </c>
      <c r="O19" s="122" t="s">
        <v>172</v>
      </c>
      <c r="P19" s="119"/>
      <c r="Q19" s="120"/>
      <c r="R19" s="123">
        <v>298108.87</v>
      </c>
    </row>
    <row r="20">
      <c r="A20" s="101" t="s">
        <v>22</v>
      </c>
      <c r="B20" s="102" t="s">
        <v>173</v>
      </c>
      <c r="D20" s="103">
        <v>135635.0</v>
      </c>
      <c r="E20" s="100"/>
      <c r="F20" s="100"/>
      <c r="G20" s="103">
        <v>25000.0</v>
      </c>
      <c r="H20" s="102" t="b">
        <v>1</v>
      </c>
      <c r="I20" s="18">
        <v>23000.0</v>
      </c>
      <c r="O20" s="122" t="s">
        <v>174</v>
      </c>
      <c r="P20" s="119"/>
      <c r="Q20" s="120"/>
      <c r="R20" s="123">
        <v>64032.32</v>
      </c>
    </row>
    <row r="21">
      <c r="A21" s="101" t="s">
        <v>22</v>
      </c>
      <c r="B21" s="102" t="s">
        <v>175</v>
      </c>
      <c r="C21" s="100"/>
      <c r="D21" s="103">
        <v>135636.0</v>
      </c>
      <c r="E21" s="100"/>
      <c r="F21" s="100"/>
      <c r="G21" s="103">
        <v>45200.0</v>
      </c>
      <c r="H21" s="100" t="b">
        <v>0</v>
      </c>
      <c r="I21" s="7">
        <v>45200.0</v>
      </c>
      <c r="O21" s="122" t="s">
        <v>176</v>
      </c>
      <c r="P21" s="119"/>
      <c r="Q21" s="120"/>
      <c r="R21" s="123">
        <v>76279.47</v>
      </c>
    </row>
    <row r="22">
      <c r="A22" s="101" t="s">
        <v>22</v>
      </c>
      <c r="B22" s="102" t="s">
        <v>177</v>
      </c>
      <c r="C22" s="100"/>
      <c r="D22" s="103">
        <v>135637.0</v>
      </c>
      <c r="E22" s="100"/>
      <c r="F22" s="100"/>
      <c r="G22" s="103">
        <v>5300.0</v>
      </c>
      <c r="H22" s="100" t="b">
        <v>0</v>
      </c>
      <c r="I22" s="7">
        <v>5300.0</v>
      </c>
      <c r="O22" s="124" t="s">
        <v>178</v>
      </c>
      <c r="P22" s="120"/>
      <c r="Q22" s="120"/>
      <c r="R22" s="123">
        <v>66472.5</v>
      </c>
    </row>
    <row r="23">
      <c r="A23" s="101" t="s">
        <v>22</v>
      </c>
      <c r="B23" s="101" t="s">
        <v>179</v>
      </c>
      <c r="C23" s="101"/>
      <c r="D23" s="101">
        <v>135686.0</v>
      </c>
      <c r="E23" s="100"/>
      <c r="F23" s="100"/>
      <c r="G23" s="125">
        <v>14200.0</v>
      </c>
      <c r="H23" s="102" t="b">
        <v>1</v>
      </c>
      <c r="I23" s="7">
        <v>23200.0</v>
      </c>
      <c r="O23" s="55"/>
      <c r="R23" s="126">
        <f>SUM(R19:R22)</f>
        <v>504893.16</v>
      </c>
      <c r="S23" s="127" t="s">
        <v>180</v>
      </c>
      <c r="T23" s="120"/>
    </row>
    <row r="24">
      <c r="A24" s="101" t="s">
        <v>22</v>
      </c>
      <c r="B24" s="101" t="s">
        <v>181</v>
      </c>
      <c r="C24" s="101"/>
      <c r="D24" s="105">
        <v>135687.0</v>
      </c>
      <c r="E24" s="100"/>
      <c r="F24" s="100"/>
      <c r="G24" s="105">
        <v>41900.0</v>
      </c>
      <c r="H24" s="102" t="b">
        <v>1</v>
      </c>
      <c r="I24" s="18">
        <v>41500.0</v>
      </c>
    </row>
    <row r="25">
      <c r="A25" s="101" t="s">
        <v>22</v>
      </c>
      <c r="B25" s="101" t="s">
        <v>182</v>
      </c>
      <c r="C25" s="102"/>
      <c r="D25" s="105">
        <v>135798.0</v>
      </c>
      <c r="E25" s="100"/>
      <c r="F25" s="100"/>
      <c r="G25" s="105">
        <v>113300.0</v>
      </c>
      <c r="H25" s="100"/>
    </row>
    <row r="26">
      <c r="A26" s="101" t="s">
        <v>22</v>
      </c>
      <c r="B26" s="101" t="s">
        <v>183</v>
      </c>
      <c r="C26" s="102"/>
      <c r="D26" s="105">
        <v>135799.0</v>
      </c>
      <c r="E26" s="100"/>
      <c r="F26" s="100"/>
      <c r="G26" s="105">
        <v>61000.0</v>
      </c>
      <c r="H26" s="102" t="s">
        <v>184</v>
      </c>
    </row>
    <row r="27">
      <c r="A27" s="101" t="s">
        <v>22</v>
      </c>
      <c r="B27" s="101" t="s">
        <v>185</v>
      </c>
      <c r="C27" s="102"/>
      <c r="D27" s="105">
        <v>135801.0</v>
      </c>
      <c r="E27" s="101"/>
      <c r="F27" s="100"/>
      <c r="G27" s="105">
        <v>20200.0</v>
      </c>
      <c r="H27" s="100"/>
    </row>
    <row r="28">
      <c r="A28" s="101" t="s">
        <v>22</v>
      </c>
      <c r="B28" s="101" t="s">
        <v>186</v>
      </c>
      <c r="C28" s="102"/>
      <c r="D28" s="105">
        <v>135802.0</v>
      </c>
      <c r="E28" s="101"/>
      <c r="F28" s="100"/>
      <c r="G28" s="105">
        <v>11500.0</v>
      </c>
      <c r="H28" s="100"/>
    </row>
    <row r="29">
      <c r="A29" s="101" t="s">
        <v>22</v>
      </c>
      <c r="B29" s="101" t="s">
        <v>187</v>
      </c>
      <c r="C29" s="102"/>
      <c r="D29" s="105">
        <v>135803.0</v>
      </c>
      <c r="E29" s="101"/>
      <c r="F29" s="100"/>
      <c r="G29" s="105">
        <v>18200.0</v>
      </c>
      <c r="H29" s="100"/>
    </row>
    <row r="30">
      <c r="A30" s="101" t="s">
        <v>22</v>
      </c>
      <c r="B30" s="101" t="s">
        <v>188</v>
      </c>
      <c r="C30" s="102"/>
      <c r="D30" s="105">
        <v>135804.0</v>
      </c>
      <c r="E30" s="101" t="s">
        <v>152</v>
      </c>
      <c r="F30" s="100"/>
      <c r="G30" s="105">
        <v>44350.0</v>
      </c>
      <c r="H30" s="101">
        <v>18000.0</v>
      </c>
      <c r="I30">
        <f>G30-H30</f>
        <v>26350</v>
      </c>
      <c r="J30">
        <f>H30+G31</f>
        <v>26250</v>
      </c>
    </row>
    <row r="31">
      <c r="A31" s="101" t="s">
        <v>189</v>
      </c>
      <c r="B31" s="101" t="s">
        <v>190</v>
      </c>
      <c r="C31" s="102"/>
      <c r="D31" s="105">
        <v>135805.0</v>
      </c>
      <c r="E31" s="101" t="s">
        <v>152</v>
      </c>
      <c r="F31" s="100"/>
      <c r="G31" s="105">
        <v>8250.0</v>
      </c>
      <c r="H31" s="102" t="b">
        <v>0</v>
      </c>
      <c r="I31" s="18"/>
    </row>
    <row r="32">
      <c r="A32" s="101" t="s">
        <v>22</v>
      </c>
      <c r="B32" s="101" t="s">
        <v>191</v>
      </c>
      <c r="C32" s="102"/>
      <c r="D32" s="105">
        <v>135806.0</v>
      </c>
      <c r="E32" s="100"/>
      <c r="F32" s="100"/>
      <c r="G32" s="105">
        <v>20300.0</v>
      </c>
      <c r="H32" s="100" t="b">
        <v>0</v>
      </c>
      <c r="I32" s="18"/>
    </row>
    <row r="33">
      <c r="A33" s="102"/>
      <c r="B33" s="101" t="s">
        <v>44</v>
      </c>
      <c r="C33" s="102"/>
      <c r="D33" s="105">
        <v>135910.0</v>
      </c>
      <c r="E33" s="100"/>
      <c r="F33" s="100"/>
      <c r="G33" s="105">
        <v>2400.0</v>
      </c>
      <c r="H33" s="100" t="b">
        <v>0</v>
      </c>
      <c r="I33" s="18"/>
    </row>
    <row r="34">
      <c r="A34" s="102"/>
      <c r="B34" s="101" t="s">
        <v>192</v>
      </c>
      <c r="C34" s="102"/>
      <c r="D34" s="105">
        <v>135911.0</v>
      </c>
      <c r="E34" s="100"/>
      <c r="F34" s="100"/>
      <c r="G34" s="105">
        <v>5000.0</v>
      </c>
      <c r="H34" s="100" t="b">
        <v>0</v>
      </c>
      <c r="I34" s="18"/>
    </row>
    <row r="35">
      <c r="A35" s="102"/>
      <c r="B35" s="101" t="s">
        <v>193</v>
      </c>
      <c r="C35" s="102"/>
      <c r="D35" s="105">
        <v>135912.0</v>
      </c>
      <c r="E35" s="100"/>
      <c r="F35" s="100"/>
      <c r="G35" s="105">
        <v>40499.0</v>
      </c>
      <c r="H35" s="100" t="b">
        <v>0</v>
      </c>
      <c r="I35" s="18"/>
    </row>
    <row r="36">
      <c r="A36" s="101"/>
      <c r="B36" s="128" t="s">
        <v>194</v>
      </c>
      <c r="C36" s="129"/>
      <c r="D36" s="130">
        <v>136050.0</v>
      </c>
      <c r="E36" s="131"/>
      <c r="F36" s="131"/>
      <c r="G36" s="130">
        <v>20000.0</v>
      </c>
      <c r="H36" s="100" t="b">
        <v>0</v>
      </c>
      <c r="I36" s="18"/>
    </row>
    <row r="37">
      <c r="A37" s="101"/>
      <c r="B37" s="128" t="s">
        <v>195</v>
      </c>
      <c r="C37" s="129"/>
      <c r="D37" s="132"/>
      <c r="E37" s="131"/>
      <c r="F37" s="131"/>
      <c r="G37" s="132"/>
      <c r="H37" s="100" t="b">
        <v>0</v>
      </c>
      <c r="I37" s="18"/>
    </row>
    <row r="38">
      <c r="A38" s="101" t="s">
        <v>22</v>
      </c>
      <c r="B38" s="102" t="s">
        <v>196</v>
      </c>
      <c r="D38" s="103">
        <v>135650.0</v>
      </c>
      <c r="E38" s="100"/>
      <c r="F38" s="100"/>
      <c r="G38" s="103">
        <v>9600.0</v>
      </c>
      <c r="H38" s="100" t="b">
        <v>0</v>
      </c>
      <c r="I38" s="18">
        <v>9800.0</v>
      </c>
    </row>
    <row r="39">
      <c r="A39" s="101" t="s">
        <v>22</v>
      </c>
      <c r="B39" s="102" t="s">
        <v>197</v>
      </c>
      <c r="D39" s="103">
        <v>135457.0</v>
      </c>
      <c r="E39" s="100"/>
      <c r="F39" s="100"/>
      <c r="G39" s="133">
        <v>50800.0</v>
      </c>
      <c r="H39" s="102" t="b">
        <v>1</v>
      </c>
    </row>
    <row r="40">
      <c r="A40" s="100"/>
      <c r="B40" s="100"/>
      <c r="C40" s="100"/>
      <c r="D40" s="100"/>
      <c r="E40" s="100"/>
      <c r="F40" s="100"/>
      <c r="G40" s="100"/>
      <c r="H40" s="100"/>
    </row>
    <row r="41">
      <c r="A41" s="101" t="s">
        <v>198</v>
      </c>
      <c r="B41" s="101" t="s">
        <v>115</v>
      </c>
      <c r="C41" s="100"/>
      <c r="D41" s="100"/>
      <c r="E41" s="100"/>
      <c r="F41" s="100"/>
      <c r="G41" s="100"/>
      <c r="H41" s="100"/>
    </row>
    <row r="42">
      <c r="A42" s="101" t="s">
        <v>22</v>
      </c>
      <c r="B42" s="101" t="s">
        <v>95</v>
      </c>
      <c r="C42" s="100"/>
      <c r="D42" s="100"/>
      <c r="E42" s="100"/>
      <c r="F42" s="100"/>
      <c r="G42" s="100"/>
      <c r="H42" s="100"/>
    </row>
    <row r="43">
      <c r="A43" s="100"/>
      <c r="B43" s="101" t="s">
        <v>79</v>
      </c>
      <c r="C43" s="100"/>
      <c r="D43" s="101">
        <v>941.0</v>
      </c>
      <c r="E43" s="100"/>
      <c r="F43" s="100"/>
      <c r="G43" s="100"/>
      <c r="H43" s="100"/>
    </row>
    <row r="44">
      <c r="B44" s="7" t="s">
        <v>121</v>
      </c>
    </row>
  </sheetData>
  <mergeCells count="12">
    <mergeCell ref="B16:C16"/>
    <mergeCell ref="B19:C19"/>
    <mergeCell ref="B20:C20"/>
    <mergeCell ref="B38:C38"/>
    <mergeCell ref="B39:C39"/>
    <mergeCell ref="B1:E1"/>
    <mergeCell ref="B3:C3"/>
    <mergeCell ref="B4:C4"/>
    <mergeCell ref="O5:P5"/>
    <mergeCell ref="O6:P6"/>
    <mergeCell ref="B10:C10"/>
    <mergeCell ref="B15:F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13.38"/>
    <col customWidth="1" min="9" max="9" width="23.13"/>
    <col customWidth="1" min="15" max="15" width="20.13"/>
    <col customWidth="1" min="21" max="21" width="22.38"/>
    <col customWidth="1" min="22" max="22" width="13.38"/>
    <col customWidth="1" min="27" max="27" width="22.38"/>
    <col customWidth="1" min="33" max="33" width="22.38"/>
    <col customWidth="1" min="39" max="39" width="20.13"/>
    <col customWidth="1" min="45" max="45" width="22.38"/>
    <col customWidth="1" min="51" max="51" width="22.38"/>
    <col customWidth="1" min="57" max="57" width="22.38"/>
    <col customWidth="1" min="63" max="63" width="22.38"/>
  </cols>
  <sheetData>
    <row r="1" ht="24.75" customHeight="1">
      <c r="A1" s="134" t="str">
        <f>IFERROR(__xludf.DUMMYFUNCTION("IMPORTRANGE(""https://docs.google.com/spreadsheets/d/1Gna-QPqm5nMkASafIfGgLUIyj2TONZSOf-NI_7eoyt8/edit?gid=0#gid=0"",""CONVENTIONAL CORN / SMALL GRAIN!A1:ib4"")"),"#REF!")</f>
        <v>#REF!</v>
      </c>
      <c r="B1" s="135"/>
      <c r="C1" s="135"/>
      <c r="D1" s="135"/>
      <c r="E1" s="135"/>
      <c r="F1" s="136"/>
      <c r="G1" s="135"/>
      <c r="H1" s="135"/>
      <c r="I1" s="135"/>
      <c r="J1" s="135"/>
      <c r="K1" s="135"/>
      <c r="L1" s="136"/>
      <c r="M1" s="135"/>
      <c r="N1" s="135"/>
      <c r="O1" s="135"/>
      <c r="P1" s="135"/>
      <c r="Q1" s="135"/>
      <c r="R1" s="136"/>
      <c r="S1" s="135"/>
      <c r="T1" s="135"/>
      <c r="U1" s="135"/>
      <c r="V1" s="135"/>
      <c r="W1" s="135"/>
      <c r="X1" s="136"/>
      <c r="Y1" s="135"/>
      <c r="Z1" s="135"/>
      <c r="AA1" s="135"/>
      <c r="AB1" s="135"/>
      <c r="AC1" s="135"/>
      <c r="AD1" s="136"/>
      <c r="AE1" s="135"/>
      <c r="AF1" s="135"/>
      <c r="AG1" s="135"/>
      <c r="AH1" s="135"/>
      <c r="AI1" s="135"/>
      <c r="AJ1" s="136"/>
      <c r="AK1" s="135"/>
      <c r="AL1" s="135"/>
      <c r="AM1" s="135"/>
      <c r="AN1" s="135"/>
      <c r="AO1" s="135"/>
      <c r="AP1" s="136"/>
      <c r="AQ1" s="135"/>
      <c r="AR1" s="135"/>
      <c r="AS1" s="135"/>
      <c r="AT1" s="135"/>
      <c r="AU1" s="135"/>
      <c r="AV1" s="136"/>
      <c r="AW1" s="135"/>
      <c r="AX1" s="135"/>
      <c r="AY1" s="135"/>
      <c r="AZ1" s="135"/>
      <c r="BA1" s="136"/>
      <c r="BB1" s="135"/>
      <c r="BC1" s="135"/>
      <c r="BD1" s="135"/>
      <c r="BE1" s="135"/>
      <c r="BF1" s="135"/>
      <c r="BG1" s="135"/>
      <c r="BH1" s="136"/>
      <c r="BI1" s="135"/>
      <c r="BJ1" s="135"/>
      <c r="BK1" s="135"/>
      <c r="BL1" s="135"/>
      <c r="BM1" s="135"/>
      <c r="BN1" s="136"/>
      <c r="BO1" s="135"/>
      <c r="BP1" s="135"/>
      <c r="BQ1" s="135"/>
      <c r="BR1" s="135"/>
      <c r="BS1" s="135"/>
      <c r="BT1" s="136"/>
      <c r="BU1" s="135"/>
      <c r="BV1" s="135"/>
      <c r="BW1" s="135"/>
      <c r="BX1" s="135"/>
      <c r="BY1" s="135"/>
      <c r="BZ1" s="136"/>
      <c r="CA1" s="135"/>
      <c r="CB1" s="135"/>
      <c r="CC1" s="135"/>
      <c r="CD1" s="135"/>
      <c r="CE1" s="135"/>
      <c r="CF1" s="136"/>
      <c r="CG1" s="135"/>
      <c r="CH1" s="135"/>
      <c r="CI1" s="135"/>
      <c r="CJ1" s="135"/>
      <c r="CK1" s="135"/>
      <c r="CL1" s="136"/>
      <c r="CM1" s="135"/>
      <c r="CN1" s="135"/>
      <c r="CO1" s="135"/>
      <c r="CP1" s="135"/>
      <c r="CQ1" s="135"/>
      <c r="CR1" s="136"/>
      <c r="CS1" s="135"/>
      <c r="CT1" s="135"/>
      <c r="CU1" s="135"/>
      <c r="CV1" s="135"/>
      <c r="CW1" s="135"/>
      <c r="CX1" s="136"/>
      <c r="CY1" s="135"/>
      <c r="CZ1" s="135"/>
      <c r="DA1" s="135"/>
      <c r="DB1" s="135"/>
      <c r="DC1" s="135"/>
      <c r="DD1" s="136"/>
      <c r="DE1" s="135"/>
      <c r="DF1" s="135"/>
      <c r="DG1" s="135"/>
      <c r="DH1" s="135"/>
      <c r="DI1" s="135"/>
      <c r="DJ1" s="136"/>
      <c r="DK1" s="135"/>
      <c r="DL1" s="135"/>
      <c r="DM1" s="135"/>
      <c r="DN1" s="135"/>
      <c r="DO1" s="135"/>
      <c r="DP1" s="136"/>
      <c r="DQ1" s="135"/>
      <c r="DR1" s="135"/>
      <c r="DS1" s="135"/>
      <c r="DT1" s="135"/>
      <c r="DU1" s="135"/>
      <c r="DV1" s="136"/>
      <c r="DW1" s="135"/>
      <c r="DX1" s="135"/>
      <c r="DY1" s="135"/>
      <c r="DZ1" s="135"/>
      <c r="EA1" s="135"/>
      <c r="EB1" s="136"/>
      <c r="EC1" s="135"/>
      <c r="ED1" s="135"/>
      <c r="EE1" s="135"/>
      <c r="EF1" s="135"/>
      <c r="EG1" s="135"/>
      <c r="EH1" s="136"/>
      <c r="EI1" s="135"/>
      <c r="EJ1" s="135"/>
      <c r="EK1" s="135"/>
      <c r="EL1" s="135"/>
      <c r="EM1" s="135"/>
      <c r="EN1" s="136"/>
      <c r="EO1" s="135"/>
      <c r="EP1" s="135"/>
      <c r="EQ1" s="135"/>
      <c r="ER1" s="135"/>
      <c r="ES1" s="135"/>
      <c r="ET1" s="136"/>
      <c r="EU1" s="135"/>
      <c r="EV1" s="135"/>
      <c r="EW1" s="135"/>
      <c r="EX1" s="135"/>
      <c r="EY1" s="135"/>
      <c r="EZ1" s="136"/>
      <c r="FA1" s="135"/>
      <c r="FB1" s="135"/>
      <c r="FC1" s="135"/>
      <c r="FD1" s="135"/>
      <c r="FE1" s="135"/>
      <c r="FF1" s="136"/>
      <c r="FG1" s="135"/>
      <c r="FH1" s="135"/>
      <c r="FI1" s="135"/>
      <c r="FJ1" s="135"/>
      <c r="FK1" s="135"/>
      <c r="FL1" s="136"/>
      <c r="FM1" s="135"/>
      <c r="FN1" s="135"/>
      <c r="FO1" s="135"/>
      <c r="FP1" s="135"/>
      <c r="FQ1" s="135"/>
      <c r="FR1" s="136"/>
      <c r="FS1" s="135"/>
      <c r="FT1" s="135"/>
      <c r="FU1" s="135"/>
      <c r="FV1" s="135"/>
      <c r="FW1" s="135"/>
      <c r="FX1" s="136"/>
      <c r="FY1" s="135"/>
      <c r="FZ1" s="135"/>
      <c r="GA1" s="135"/>
      <c r="GB1" s="135"/>
      <c r="GC1" s="135"/>
      <c r="GD1" s="136"/>
      <c r="GE1" s="135"/>
      <c r="GF1" s="135"/>
      <c r="GG1" s="135"/>
      <c r="GH1" s="135"/>
      <c r="GI1" s="135"/>
      <c r="GJ1" s="136"/>
      <c r="GK1" s="135"/>
      <c r="GL1" s="135"/>
      <c r="GM1" s="135"/>
      <c r="GN1" s="135"/>
      <c r="GO1" s="135"/>
      <c r="GP1" s="136"/>
      <c r="GQ1" s="135"/>
      <c r="GR1" s="135"/>
      <c r="GS1" s="135"/>
      <c r="GT1" s="135"/>
      <c r="GU1" s="135"/>
      <c r="GV1" s="136"/>
      <c r="GW1" s="135"/>
      <c r="GX1" s="135"/>
      <c r="GY1" s="135"/>
      <c r="GZ1" s="135"/>
      <c r="HA1" s="135"/>
      <c r="HB1" s="136"/>
      <c r="HC1" s="135"/>
      <c r="HD1" s="135"/>
      <c r="HE1" s="135"/>
      <c r="HF1" s="135"/>
      <c r="HG1" s="135"/>
      <c r="HH1" s="136"/>
      <c r="HI1" s="135"/>
      <c r="HJ1" s="135"/>
      <c r="HK1" s="135"/>
      <c r="HL1" s="135"/>
      <c r="HM1" s="135"/>
      <c r="HN1" s="136"/>
      <c r="HO1" s="135"/>
      <c r="HP1" s="135"/>
      <c r="HQ1" s="135"/>
      <c r="HR1" s="135"/>
      <c r="HS1" s="135"/>
      <c r="HT1" s="136"/>
      <c r="HU1" s="135"/>
      <c r="HV1" s="135"/>
      <c r="HW1" s="135"/>
      <c r="HX1" s="135"/>
      <c r="HY1" s="135"/>
      <c r="HZ1" s="136"/>
      <c r="IA1" s="135"/>
      <c r="IB1" s="135"/>
      <c r="IC1" s="135"/>
      <c r="ID1" s="135"/>
      <c r="IE1" s="135"/>
      <c r="IF1" s="135"/>
      <c r="IG1" s="135"/>
      <c r="IH1" s="135"/>
      <c r="II1" s="135"/>
    </row>
    <row r="2" ht="18.75" customHeight="1">
      <c r="A2" s="137"/>
      <c r="B2" s="137"/>
      <c r="C2" s="137"/>
      <c r="D2" s="137"/>
      <c r="E2" s="137"/>
      <c r="F2" s="138"/>
      <c r="G2" s="137"/>
      <c r="H2" s="137"/>
      <c r="I2" s="137"/>
      <c r="J2" s="137"/>
      <c r="K2" s="137"/>
      <c r="L2" s="138"/>
      <c r="M2" s="137"/>
      <c r="N2" s="137"/>
      <c r="O2" s="137"/>
      <c r="P2" s="137"/>
      <c r="Q2" s="137"/>
      <c r="R2" s="138"/>
      <c r="S2" s="137"/>
      <c r="T2" s="137"/>
      <c r="U2" s="137"/>
      <c r="V2" s="137"/>
      <c r="W2" s="137"/>
      <c r="X2" s="138"/>
      <c r="Y2" s="137"/>
      <c r="Z2" s="137"/>
      <c r="AA2" s="137"/>
      <c r="AB2" s="137"/>
      <c r="AC2" s="137"/>
      <c r="AD2" s="138"/>
      <c r="AE2" s="137"/>
      <c r="AF2" s="137"/>
      <c r="AG2" s="137"/>
      <c r="AH2" s="137"/>
      <c r="AI2" s="137"/>
      <c r="AJ2" s="138"/>
      <c r="AK2" s="137"/>
      <c r="AL2" s="137"/>
      <c r="AM2" s="137"/>
      <c r="AN2" s="137"/>
      <c r="AO2" s="137"/>
      <c r="AP2" s="138"/>
      <c r="AQ2" s="137"/>
      <c r="AR2" s="137"/>
      <c r="AS2" s="137"/>
      <c r="AT2" s="137"/>
      <c r="AU2" s="137"/>
      <c r="AV2" s="138"/>
      <c r="AW2" s="137"/>
      <c r="AX2" s="137"/>
      <c r="AY2" s="137"/>
      <c r="AZ2" s="137"/>
      <c r="BA2" s="138"/>
      <c r="BB2" s="137"/>
      <c r="BC2" s="137"/>
      <c r="BD2" s="137"/>
      <c r="BE2" s="137"/>
      <c r="BF2" s="137"/>
      <c r="BG2" s="137"/>
      <c r="BH2" s="138"/>
      <c r="BI2" s="137"/>
      <c r="BJ2" s="137"/>
      <c r="BK2" s="137"/>
      <c r="BL2" s="137"/>
      <c r="BM2" s="137"/>
      <c r="BN2" s="138"/>
      <c r="BO2" s="137"/>
      <c r="BP2" s="137"/>
      <c r="BQ2" s="137"/>
      <c r="BR2" s="137"/>
      <c r="BS2" s="137"/>
      <c r="BT2" s="138"/>
      <c r="BU2" s="137"/>
      <c r="BV2" s="137"/>
      <c r="BW2" s="137"/>
      <c r="BX2" s="137"/>
      <c r="BY2" s="137"/>
      <c r="BZ2" s="138"/>
      <c r="CA2" s="137"/>
      <c r="CB2" s="137"/>
      <c r="CC2" s="137"/>
      <c r="CD2" s="137"/>
      <c r="CE2" s="137"/>
      <c r="CF2" s="138"/>
      <c r="CG2" s="137"/>
      <c r="CH2" s="137"/>
      <c r="CI2" s="137"/>
      <c r="CJ2" s="137"/>
      <c r="CK2" s="137"/>
      <c r="CL2" s="138"/>
      <c r="CM2" s="137"/>
      <c r="CN2" s="137"/>
      <c r="CO2" s="137"/>
      <c r="CP2" s="137"/>
      <c r="CQ2" s="137"/>
      <c r="CR2" s="138"/>
      <c r="CS2" s="137"/>
      <c r="CT2" s="137"/>
      <c r="CU2" s="137"/>
      <c r="CV2" s="137"/>
      <c r="CW2" s="137"/>
      <c r="CX2" s="138"/>
      <c r="CY2" s="137"/>
      <c r="CZ2" s="137"/>
      <c r="DA2" s="137"/>
      <c r="DB2" s="137"/>
      <c r="DC2" s="137"/>
      <c r="DD2" s="138"/>
      <c r="DE2" s="137"/>
      <c r="DF2" s="137"/>
      <c r="DG2" s="137"/>
      <c r="DH2" s="137"/>
      <c r="DI2" s="137"/>
      <c r="DJ2" s="138"/>
      <c r="DK2" s="137"/>
      <c r="DL2" s="137"/>
      <c r="DM2" s="137"/>
      <c r="DN2" s="137"/>
      <c r="DO2" s="137"/>
      <c r="DP2" s="138"/>
      <c r="DQ2" s="137"/>
      <c r="DR2" s="137"/>
      <c r="DS2" s="137"/>
      <c r="DT2" s="137"/>
      <c r="DU2" s="137"/>
      <c r="DV2" s="138"/>
      <c r="DW2" s="137"/>
      <c r="DX2" s="137"/>
      <c r="DY2" s="137"/>
      <c r="DZ2" s="137"/>
      <c r="EA2" s="137"/>
      <c r="EB2" s="138"/>
      <c r="EC2" s="137"/>
      <c r="ED2" s="137"/>
      <c r="EE2" s="137"/>
      <c r="EF2" s="137"/>
      <c r="EG2" s="137"/>
      <c r="EH2" s="138"/>
      <c r="EI2" s="137"/>
      <c r="EJ2" s="137"/>
      <c r="EK2" s="137"/>
      <c r="EL2" s="137"/>
      <c r="EM2" s="137"/>
      <c r="EN2" s="138"/>
      <c r="EO2" s="137"/>
      <c r="EP2" s="137"/>
      <c r="EQ2" s="137"/>
      <c r="ER2" s="137"/>
      <c r="ES2" s="137"/>
      <c r="ET2" s="138"/>
      <c r="EU2" s="137"/>
      <c r="EV2" s="137"/>
      <c r="EW2" s="137"/>
      <c r="EX2" s="137"/>
      <c r="EY2" s="137"/>
      <c r="EZ2" s="138"/>
      <c r="FA2" s="137"/>
      <c r="FB2" s="137"/>
      <c r="FC2" s="137"/>
      <c r="FD2" s="137"/>
      <c r="FE2" s="137"/>
      <c r="FF2" s="138"/>
      <c r="FG2" s="137"/>
      <c r="FH2" s="137"/>
      <c r="FI2" s="137"/>
      <c r="FJ2" s="137"/>
      <c r="FK2" s="137"/>
      <c r="FL2" s="138"/>
      <c r="FM2" s="137"/>
      <c r="FN2" s="137"/>
      <c r="FO2" s="137"/>
      <c r="FP2" s="137"/>
      <c r="FQ2" s="137"/>
      <c r="FR2" s="138"/>
      <c r="FS2" s="137"/>
      <c r="FT2" s="137"/>
      <c r="FU2" s="137"/>
      <c r="FV2" s="137"/>
      <c r="FW2" s="137"/>
      <c r="FX2" s="138"/>
      <c r="FY2" s="137"/>
      <c r="FZ2" s="137"/>
      <c r="GA2" s="137"/>
      <c r="GB2" s="137"/>
      <c r="GC2" s="137"/>
      <c r="GD2" s="138"/>
      <c r="GE2" s="137"/>
      <c r="GF2" s="137"/>
      <c r="GG2" s="137"/>
      <c r="GH2" s="137"/>
      <c r="GI2" s="137"/>
      <c r="GJ2" s="138"/>
      <c r="GK2" s="137"/>
      <c r="GL2" s="137"/>
      <c r="GM2" s="137"/>
      <c r="GN2" s="137"/>
      <c r="GO2" s="137"/>
      <c r="GP2" s="138"/>
      <c r="GQ2" s="137"/>
      <c r="GR2" s="137"/>
      <c r="GS2" s="137"/>
      <c r="GT2" s="137"/>
      <c r="GU2" s="137"/>
      <c r="GV2" s="138"/>
      <c r="GW2" s="137"/>
      <c r="GX2" s="137"/>
      <c r="GY2" s="137"/>
      <c r="GZ2" s="137"/>
      <c r="HA2" s="137"/>
      <c r="HB2" s="138"/>
      <c r="HC2" s="137"/>
      <c r="HD2" s="137"/>
      <c r="HE2" s="137"/>
      <c r="HF2" s="137"/>
      <c r="HG2" s="137"/>
      <c r="HH2" s="138"/>
      <c r="HI2" s="137"/>
      <c r="HJ2" s="137"/>
      <c r="HK2" s="137"/>
      <c r="HL2" s="137"/>
      <c r="HM2" s="137"/>
      <c r="HN2" s="138"/>
      <c r="HO2" s="137"/>
      <c r="HP2" s="137"/>
      <c r="HQ2" s="137"/>
      <c r="HR2" s="137"/>
      <c r="HS2" s="137"/>
      <c r="HT2" s="138"/>
      <c r="HU2" s="137"/>
      <c r="HV2" s="137"/>
      <c r="HW2" s="137"/>
      <c r="HX2" s="137"/>
      <c r="HY2" s="137"/>
      <c r="HZ2" s="138"/>
      <c r="IA2" s="137"/>
      <c r="IB2" s="137"/>
      <c r="IC2" s="137"/>
      <c r="ID2" s="137"/>
      <c r="IE2" s="137"/>
      <c r="IF2" s="137"/>
      <c r="IG2" s="137"/>
      <c r="IH2" s="137"/>
      <c r="II2" s="137"/>
    </row>
    <row r="3">
      <c r="A3" s="137"/>
      <c r="B3" s="137"/>
      <c r="C3" s="137"/>
      <c r="D3" s="9"/>
      <c r="E3" s="137"/>
      <c r="F3" s="138"/>
      <c r="G3" s="137"/>
      <c r="H3" s="137"/>
      <c r="I3" s="9"/>
      <c r="J3" s="137"/>
      <c r="K3" s="137"/>
      <c r="L3" s="138"/>
      <c r="M3" s="137"/>
      <c r="N3" s="137"/>
      <c r="O3" s="9"/>
      <c r="P3" s="137"/>
      <c r="Q3" s="137"/>
      <c r="R3" s="138"/>
      <c r="S3" s="137"/>
      <c r="T3" s="137"/>
      <c r="U3" s="137"/>
      <c r="V3" s="137"/>
      <c r="W3" s="137"/>
      <c r="X3" s="138"/>
      <c r="Y3" s="137"/>
      <c r="Z3" s="137"/>
      <c r="AA3" s="137"/>
      <c r="AB3" s="137"/>
      <c r="AC3" s="137"/>
      <c r="AD3" s="138"/>
      <c r="AE3" s="137"/>
      <c r="AF3" s="137"/>
      <c r="AG3" s="137"/>
      <c r="AH3" s="137"/>
      <c r="AI3" s="137"/>
      <c r="AJ3" s="138"/>
      <c r="AK3" s="137"/>
      <c r="AL3" s="137"/>
      <c r="AM3" s="137"/>
      <c r="AN3" s="137"/>
      <c r="AO3" s="137"/>
      <c r="AP3" s="138"/>
      <c r="AQ3" s="137"/>
      <c r="AR3" s="137"/>
      <c r="AS3" s="137"/>
      <c r="AT3" s="137"/>
      <c r="AU3" s="137"/>
      <c r="AV3" s="138"/>
      <c r="AW3" s="137"/>
      <c r="AX3" s="137"/>
      <c r="AY3" s="137"/>
      <c r="AZ3" s="137"/>
      <c r="BA3" s="138"/>
      <c r="BB3" s="137"/>
      <c r="BC3" s="137"/>
      <c r="BD3" s="137"/>
      <c r="BE3" s="137"/>
      <c r="BF3" s="137"/>
      <c r="BG3" s="137"/>
      <c r="BH3" s="138"/>
      <c r="BI3" s="137"/>
      <c r="BJ3" s="137"/>
      <c r="BK3" s="137"/>
      <c r="BL3" s="137"/>
      <c r="BM3" s="137"/>
      <c r="BN3" s="138"/>
      <c r="BO3" s="137"/>
      <c r="BP3" s="137"/>
      <c r="BQ3" s="137"/>
      <c r="BR3" s="137"/>
      <c r="BS3" s="137"/>
      <c r="BT3" s="138"/>
      <c r="BU3" s="137"/>
      <c r="BV3" s="137"/>
      <c r="BW3" s="137"/>
      <c r="BX3" s="137"/>
      <c r="BY3" s="137"/>
      <c r="BZ3" s="138"/>
      <c r="CA3" s="137"/>
      <c r="CB3" s="137"/>
      <c r="CC3" s="137"/>
      <c r="CD3" s="137"/>
      <c r="CE3" s="137"/>
      <c r="CF3" s="138"/>
      <c r="CG3" s="137"/>
      <c r="CH3" s="137"/>
      <c r="CI3" s="137"/>
      <c r="CJ3" s="137"/>
      <c r="CK3" s="137"/>
      <c r="CL3" s="138"/>
      <c r="CM3" s="137"/>
      <c r="CN3" s="137"/>
      <c r="CO3" s="137"/>
      <c r="CP3" s="137"/>
      <c r="CQ3" s="137"/>
      <c r="CR3" s="138"/>
      <c r="CS3" s="137"/>
      <c r="CT3" s="137"/>
      <c r="CU3" s="137"/>
      <c r="CV3" s="137"/>
      <c r="CW3" s="137"/>
      <c r="CX3" s="138"/>
      <c r="CY3" s="137"/>
      <c r="CZ3" s="137"/>
      <c r="DA3" s="137"/>
      <c r="DB3" s="137"/>
      <c r="DC3" s="137"/>
      <c r="DD3" s="138"/>
      <c r="DE3" s="137"/>
      <c r="DF3" s="137"/>
      <c r="DG3" s="137"/>
      <c r="DH3" s="137"/>
      <c r="DI3" s="137"/>
      <c r="DJ3" s="138"/>
      <c r="DK3" s="137"/>
      <c r="DL3" s="137"/>
      <c r="DM3" s="137"/>
      <c r="DN3" s="137"/>
      <c r="DO3" s="137"/>
      <c r="DP3" s="138"/>
      <c r="DQ3" s="137"/>
      <c r="DR3" s="137"/>
      <c r="DS3" s="137"/>
      <c r="DT3" s="137"/>
      <c r="DU3" s="137"/>
      <c r="DV3" s="138"/>
      <c r="DW3" s="137"/>
      <c r="DX3" s="137"/>
      <c r="DY3" s="137"/>
      <c r="DZ3" s="137"/>
      <c r="EA3" s="137"/>
      <c r="EB3" s="138"/>
      <c r="EC3" s="137"/>
      <c r="ED3" s="137"/>
      <c r="EE3" s="137"/>
      <c r="EF3" s="137"/>
      <c r="EG3" s="137"/>
      <c r="EH3" s="138"/>
      <c r="EI3" s="137"/>
      <c r="EJ3" s="137"/>
      <c r="EK3" s="137"/>
      <c r="EL3" s="137"/>
      <c r="EM3" s="137"/>
      <c r="EN3" s="138"/>
      <c r="EO3" s="137"/>
      <c r="EP3" s="137"/>
      <c r="EQ3" s="137"/>
      <c r="ER3" s="137"/>
      <c r="ES3" s="137"/>
      <c r="ET3" s="138"/>
      <c r="EU3" s="137"/>
      <c r="EV3" s="137"/>
      <c r="EW3" s="137"/>
      <c r="EX3" s="137"/>
      <c r="EY3" s="137"/>
      <c r="EZ3" s="138"/>
      <c r="FA3" s="137"/>
      <c r="FB3" s="137"/>
      <c r="FC3" s="137"/>
      <c r="FD3" s="137"/>
      <c r="FE3" s="137"/>
      <c r="FF3" s="138"/>
      <c r="FG3" s="137"/>
      <c r="FH3" s="137"/>
      <c r="FI3" s="137"/>
      <c r="FJ3" s="137"/>
      <c r="FK3" s="137"/>
      <c r="FL3" s="138"/>
      <c r="FM3" s="137"/>
      <c r="FN3" s="137"/>
      <c r="FO3" s="137"/>
      <c r="FP3" s="137"/>
      <c r="FQ3" s="137"/>
      <c r="FR3" s="138"/>
      <c r="FS3" s="137"/>
      <c r="FT3" s="137"/>
      <c r="FU3" s="137"/>
      <c r="FV3" s="137"/>
      <c r="FW3" s="137"/>
      <c r="FX3" s="138"/>
      <c r="FY3" s="137"/>
      <c r="FZ3" s="137"/>
      <c r="GA3" s="137"/>
      <c r="GB3" s="137"/>
      <c r="GC3" s="137"/>
      <c r="GD3" s="138"/>
      <c r="GE3" s="137"/>
      <c r="GF3" s="137"/>
      <c r="GG3" s="137"/>
      <c r="GH3" s="137"/>
      <c r="GI3" s="137"/>
      <c r="GJ3" s="138"/>
      <c r="GK3" s="137"/>
      <c r="GL3" s="137"/>
      <c r="GM3" s="137"/>
      <c r="GN3" s="137"/>
      <c r="GO3" s="137"/>
      <c r="GP3" s="138"/>
      <c r="GQ3" s="137"/>
      <c r="GR3" s="137"/>
      <c r="GS3" s="137"/>
      <c r="GT3" s="137"/>
      <c r="GU3" s="137"/>
      <c r="GV3" s="138"/>
      <c r="GW3" s="137"/>
      <c r="GX3" s="137"/>
      <c r="GY3" s="137"/>
      <c r="GZ3" s="137"/>
      <c r="HA3" s="137"/>
      <c r="HB3" s="138"/>
      <c r="HC3" s="137"/>
      <c r="HD3" s="137"/>
      <c r="HE3" s="137"/>
      <c r="HF3" s="137"/>
      <c r="HG3" s="137"/>
      <c r="HH3" s="138"/>
      <c r="HI3" s="137"/>
      <c r="HJ3" s="137"/>
      <c r="HK3" s="137"/>
      <c r="HL3" s="137"/>
      <c r="HM3" s="137"/>
      <c r="HN3" s="138"/>
      <c r="HO3" s="137"/>
      <c r="HP3" s="137"/>
      <c r="HQ3" s="137"/>
      <c r="HR3" s="137"/>
      <c r="HS3" s="137"/>
      <c r="HT3" s="138"/>
      <c r="HU3" s="137"/>
      <c r="HV3" s="137"/>
      <c r="HW3" s="137"/>
      <c r="HX3" s="137"/>
      <c r="HY3" s="137"/>
      <c r="HZ3" s="138"/>
      <c r="IA3" s="137"/>
      <c r="IB3" s="137"/>
      <c r="IC3" s="137"/>
      <c r="ID3" s="137"/>
      <c r="IE3" s="137"/>
      <c r="IF3" s="137"/>
      <c r="IG3" s="137"/>
      <c r="IH3" s="137"/>
      <c r="II3" s="137"/>
    </row>
    <row r="4">
      <c r="A4" s="139"/>
      <c r="B4" s="139"/>
      <c r="C4" s="139"/>
      <c r="D4" s="139"/>
      <c r="E4" s="139"/>
      <c r="F4" s="140"/>
      <c r="G4" s="139"/>
      <c r="H4" s="139"/>
      <c r="I4" s="139"/>
      <c r="J4" s="139"/>
      <c r="K4" s="139"/>
      <c r="L4" s="140"/>
      <c r="M4" s="139"/>
      <c r="N4" s="139"/>
      <c r="O4" s="139"/>
      <c r="P4" s="139"/>
      <c r="Q4" s="139"/>
      <c r="R4" s="140"/>
      <c r="S4" s="139"/>
      <c r="T4" s="139"/>
      <c r="U4" s="139"/>
      <c r="V4" s="139"/>
      <c r="W4" s="139"/>
      <c r="X4" s="140"/>
      <c r="Y4" s="139"/>
      <c r="Z4" s="139"/>
      <c r="AA4" s="139"/>
      <c r="AB4" s="139"/>
      <c r="AC4" s="139"/>
      <c r="AD4" s="140"/>
      <c r="AE4" s="139"/>
      <c r="AF4" s="139"/>
      <c r="AG4" s="139"/>
      <c r="AH4" s="139"/>
      <c r="AI4" s="139"/>
      <c r="AJ4" s="140"/>
      <c r="AK4" s="139"/>
      <c r="AL4" s="139"/>
      <c r="AM4" s="139"/>
      <c r="AN4" s="139"/>
      <c r="AO4" s="139"/>
      <c r="AP4" s="140"/>
      <c r="AQ4" s="139"/>
      <c r="AR4" s="139"/>
      <c r="AS4" s="139"/>
      <c r="AT4" s="139"/>
      <c r="AU4" s="139"/>
      <c r="AV4" s="140"/>
      <c r="AW4" s="139"/>
      <c r="AX4" s="139"/>
      <c r="AY4" s="139"/>
      <c r="AZ4" s="139"/>
      <c r="BA4" s="140"/>
      <c r="BB4" s="139"/>
      <c r="BC4" s="139"/>
      <c r="BD4" s="139"/>
      <c r="BE4" s="139"/>
      <c r="BF4" s="139"/>
      <c r="BG4" s="139"/>
      <c r="BH4" s="140"/>
      <c r="BI4" s="139"/>
      <c r="BJ4" s="139"/>
      <c r="BK4" s="139"/>
      <c r="BL4" s="139"/>
      <c r="BM4" s="139"/>
      <c r="BN4" s="140"/>
      <c r="BO4" s="139"/>
      <c r="BP4" s="139"/>
      <c r="BQ4" s="139"/>
      <c r="BR4" s="139"/>
      <c r="BS4" s="139"/>
      <c r="BT4" s="140"/>
      <c r="BU4" s="139"/>
      <c r="BV4" s="139"/>
      <c r="BW4" s="139"/>
      <c r="BX4" s="139"/>
      <c r="BY4" s="139"/>
      <c r="BZ4" s="140"/>
      <c r="CA4" s="139"/>
      <c r="CB4" s="139"/>
      <c r="CC4" s="139"/>
      <c r="CD4" s="139"/>
      <c r="CE4" s="139"/>
      <c r="CF4" s="140"/>
      <c r="CG4" s="139"/>
      <c r="CH4" s="139"/>
      <c r="CI4" s="139"/>
      <c r="CJ4" s="139"/>
      <c r="CK4" s="139"/>
      <c r="CL4" s="140"/>
      <c r="CM4" s="139"/>
      <c r="CN4" s="139"/>
      <c r="CO4" s="139"/>
      <c r="CP4" s="139"/>
      <c r="CQ4" s="139"/>
      <c r="CR4" s="140"/>
      <c r="CS4" s="139"/>
      <c r="CT4" s="139"/>
      <c r="CU4" s="139"/>
      <c r="CV4" s="139"/>
      <c r="CW4" s="139"/>
      <c r="CX4" s="140"/>
      <c r="CY4" s="139"/>
      <c r="CZ4" s="139"/>
      <c r="DA4" s="139"/>
      <c r="DB4" s="139"/>
      <c r="DC4" s="139"/>
      <c r="DD4" s="140"/>
      <c r="DE4" s="139"/>
      <c r="DF4" s="139"/>
      <c r="DG4" s="139"/>
      <c r="DH4" s="139"/>
      <c r="DI4" s="139"/>
      <c r="DJ4" s="140"/>
      <c r="DK4" s="139"/>
      <c r="DL4" s="139"/>
      <c r="DM4" s="139"/>
      <c r="DN4" s="139"/>
      <c r="DO4" s="139"/>
      <c r="DP4" s="140"/>
      <c r="DQ4" s="139"/>
      <c r="DR4" s="139"/>
      <c r="DS4" s="139"/>
      <c r="DT4" s="139"/>
      <c r="DU4" s="139"/>
      <c r="DV4" s="140"/>
      <c r="DW4" s="139"/>
      <c r="DX4" s="139"/>
      <c r="DY4" s="139"/>
      <c r="DZ4" s="139"/>
      <c r="EA4" s="139"/>
      <c r="EB4" s="140"/>
      <c r="EC4" s="139"/>
      <c r="ED4" s="139"/>
      <c r="EE4" s="139"/>
      <c r="EF4" s="139"/>
      <c r="EG4" s="139"/>
      <c r="EH4" s="140"/>
      <c r="EI4" s="139"/>
      <c r="EJ4" s="139"/>
      <c r="EK4" s="139"/>
      <c r="EL4" s="139"/>
      <c r="EM4" s="139"/>
      <c r="EN4" s="140"/>
      <c r="EO4" s="139"/>
      <c r="EP4" s="139"/>
      <c r="EQ4" s="139"/>
      <c r="ER4" s="139"/>
      <c r="ES4" s="139"/>
      <c r="ET4" s="140"/>
      <c r="EU4" s="139"/>
      <c r="EV4" s="139"/>
      <c r="EW4" s="139"/>
      <c r="EX4" s="139"/>
      <c r="EY4" s="139"/>
      <c r="EZ4" s="140"/>
      <c r="FA4" s="139"/>
      <c r="FB4" s="139"/>
      <c r="FC4" s="139"/>
      <c r="FD4" s="139"/>
      <c r="FE4" s="139"/>
      <c r="FF4" s="140"/>
      <c r="FG4" s="139"/>
      <c r="FH4" s="139"/>
      <c r="FI4" s="139"/>
      <c r="FJ4" s="139"/>
      <c r="FK4" s="139"/>
      <c r="FL4" s="140"/>
      <c r="FM4" s="139"/>
      <c r="FN4" s="139"/>
      <c r="FO4" s="139"/>
      <c r="FP4" s="139"/>
      <c r="FQ4" s="139"/>
      <c r="FR4" s="140"/>
      <c r="FS4" s="139"/>
      <c r="FT4" s="139"/>
      <c r="FU4" s="139"/>
      <c r="FV4" s="139"/>
      <c r="FW4" s="139"/>
      <c r="FX4" s="140"/>
      <c r="FY4" s="139"/>
      <c r="FZ4" s="139"/>
      <c r="GA4" s="139"/>
      <c r="GB4" s="139"/>
      <c r="GC4" s="139"/>
      <c r="GD4" s="140"/>
      <c r="GE4" s="139"/>
      <c r="GF4" s="139"/>
      <c r="GG4" s="139"/>
      <c r="GH4" s="139"/>
      <c r="GI4" s="139"/>
      <c r="GJ4" s="140"/>
      <c r="GK4" s="139"/>
      <c r="GL4" s="139"/>
      <c r="GM4" s="139"/>
      <c r="GN4" s="139"/>
      <c r="GO4" s="139"/>
      <c r="GP4" s="140"/>
      <c r="GQ4" s="139"/>
      <c r="GR4" s="139"/>
      <c r="GS4" s="139"/>
      <c r="GT4" s="139"/>
      <c r="GU4" s="139"/>
      <c r="GV4" s="140"/>
      <c r="GW4" s="139"/>
      <c r="GX4" s="139"/>
      <c r="GY4" s="139"/>
      <c r="GZ4" s="139"/>
      <c r="HA4" s="139"/>
      <c r="HB4" s="140"/>
      <c r="HC4" s="139"/>
      <c r="HD4" s="139"/>
      <c r="HE4" s="139"/>
      <c r="HF4" s="139"/>
      <c r="HG4" s="139"/>
      <c r="HH4" s="140"/>
      <c r="HI4" s="139"/>
      <c r="HJ4" s="139"/>
      <c r="HK4" s="139"/>
      <c r="HL4" s="139"/>
      <c r="HM4" s="139"/>
      <c r="HN4" s="140"/>
      <c r="HO4" s="139"/>
      <c r="HP4" s="139"/>
      <c r="HQ4" s="139"/>
      <c r="HR4" s="139"/>
      <c r="HS4" s="139"/>
      <c r="HT4" s="140"/>
      <c r="HU4" s="139"/>
      <c r="HV4" s="139"/>
      <c r="HW4" s="139"/>
      <c r="HX4" s="139"/>
      <c r="HY4" s="139"/>
      <c r="HZ4" s="140"/>
      <c r="IA4" s="139"/>
      <c r="IB4" s="139"/>
      <c r="IC4" s="139"/>
      <c r="ID4" s="139"/>
      <c r="IE4" s="139"/>
      <c r="IF4" s="139"/>
      <c r="IG4" s="139"/>
      <c r="IH4" s="139"/>
      <c r="II4" s="139"/>
    </row>
    <row r="5">
      <c r="D5" s="7" t="s">
        <v>199</v>
      </c>
      <c r="F5" s="141" t="s">
        <v>199</v>
      </c>
      <c r="L5" s="142"/>
      <c r="P5" s="7" t="s">
        <v>200</v>
      </c>
      <c r="R5" s="142"/>
      <c r="X5" s="142"/>
      <c r="AD5" s="142"/>
      <c r="AJ5" s="142"/>
      <c r="AP5" s="142"/>
      <c r="AV5" s="142"/>
      <c r="BA5" s="142"/>
      <c r="BH5" s="142"/>
      <c r="BN5" s="142"/>
      <c r="BT5" s="142"/>
      <c r="BZ5" s="142"/>
      <c r="CF5" s="142"/>
      <c r="CL5" s="142"/>
      <c r="CR5" s="142"/>
      <c r="CX5" s="142"/>
      <c r="DD5" s="142"/>
      <c r="DJ5" s="142"/>
      <c r="DP5" s="142"/>
      <c r="DV5" s="142"/>
      <c r="EB5" s="142"/>
      <c r="EH5" s="142"/>
      <c r="EN5" s="142"/>
      <c r="ET5" s="142"/>
      <c r="EZ5" s="142"/>
      <c r="FF5" s="142"/>
      <c r="FL5" s="142"/>
      <c r="FR5" s="142"/>
      <c r="FX5" s="142"/>
      <c r="GD5" s="142"/>
      <c r="GJ5" s="142"/>
      <c r="GP5" s="142"/>
      <c r="GV5" s="142"/>
      <c r="HB5" s="142"/>
      <c r="HH5" s="142"/>
      <c r="HN5" s="142"/>
      <c r="HT5" s="142"/>
      <c r="HZ5" s="142"/>
    </row>
    <row r="6">
      <c r="F6" s="142"/>
      <c r="L6" s="142"/>
      <c r="R6" s="142"/>
      <c r="X6" s="142"/>
      <c r="AD6" s="142"/>
      <c r="AJ6" s="142"/>
      <c r="AP6" s="142"/>
      <c r="AV6" s="142"/>
      <c r="AY6" s="7" t="s">
        <v>199</v>
      </c>
      <c r="BA6" s="142"/>
      <c r="BH6" s="142"/>
      <c r="BN6" s="142"/>
      <c r="BT6" s="142"/>
      <c r="BZ6" s="142"/>
      <c r="CF6" s="142"/>
      <c r="CL6" s="142"/>
      <c r="CR6" s="142"/>
      <c r="CX6" s="142"/>
      <c r="DD6" s="142"/>
      <c r="DJ6" s="142"/>
      <c r="DP6" s="142"/>
      <c r="DV6" s="142"/>
      <c r="EB6" s="142"/>
      <c r="EH6" s="142"/>
      <c r="EN6" s="142"/>
      <c r="ET6" s="142"/>
      <c r="EZ6" s="142"/>
      <c r="FF6" s="142"/>
      <c r="FL6" s="142"/>
      <c r="FR6" s="142"/>
      <c r="FX6" s="142"/>
      <c r="GD6" s="142"/>
      <c r="GJ6" s="142"/>
      <c r="GP6" s="142"/>
      <c r="GV6" s="142"/>
      <c r="HB6" s="142"/>
      <c r="HH6" s="142"/>
      <c r="HN6" s="142"/>
      <c r="HT6" s="142"/>
      <c r="HZ6" s="142"/>
    </row>
    <row r="7">
      <c r="A7" t="str">
        <f>IFERROR(__xludf.DUMMYFUNCTION("IMPORTRANGE(""https://docs.google.com/spreadsheets/d/1Gna-QPqm5nMkASafIfGgLUIyj2TONZSOf-NI_7eoyt8/edit?gid=0#gid=0"",""CONVENTIONAL CORN / SMALL GRAIN!A7:IB45"")"),"#REF!")</f>
        <v>#REF!</v>
      </c>
      <c r="F7" s="142"/>
      <c r="L7" s="142"/>
      <c r="R7" s="142"/>
      <c r="X7" s="142"/>
      <c r="AD7" s="142"/>
      <c r="AJ7" s="142"/>
      <c r="AP7" s="142"/>
      <c r="AV7" s="142"/>
      <c r="BA7" s="142"/>
      <c r="BH7" s="142"/>
      <c r="BN7" s="142"/>
      <c r="BT7" s="142"/>
      <c r="BZ7" s="142"/>
      <c r="CF7" s="142"/>
      <c r="CL7" s="142"/>
      <c r="CR7" s="142"/>
      <c r="CX7" s="142"/>
      <c r="DD7" s="142"/>
      <c r="DJ7" s="142"/>
      <c r="DP7" s="142"/>
      <c r="DV7" s="142"/>
      <c r="EB7" s="142"/>
      <c r="EH7" s="142"/>
      <c r="EN7" s="142"/>
      <c r="ET7" s="142"/>
      <c r="EZ7" s="142"/>
      <c r="FF7" s="142"/>
      <c r="FL7" s="142"/>
      <c r="FR7" s="142"/>
      <c r="FX7" s="142"/>
      <c r="GD7" s="142"/>
      <c r="GJ7" s="142"/>
      <c r="GP7" s="142"/>
      <c r="GV7" s="142"/>
      <c r="HB7" s="142"/>
      <c r="HH7" s="142"/>
      <c r="HN7" s="142"/>
      <c r="HT7" s="142"/>
      <c r="HZ7" s="142"/>
    </row>
    <row r="8">
      <c r="A8" s="143"/>
      <c r="B8" s="143"/>
      <c r="C8" s="143"/>
      <c r="D8" s="143"/>
      <c r="E8" s="143"/>
      <c r="F8" s="144"/>
      <c r="G8" s="143"/>
      <c r="H8" s="143"/>
      <c r="I8" s="143"/>
      <c r="J8" s="143"/>
      <c r="K8" s="143"/>
      <c r="L8" s="144"/>
      <c r="M8" s="143"/>
      <c r="N8" s="143"/>
      <c r="O8" s="143"/>
      <c r="P8" s="143"/>
      <c r="Q8" s="143"/>
      <c r="R8" s="144"/>
      <c r="S8" s="143"/>
      <c r="T8" s="143"/>
      <c r="U8" s="143"/>
      <c r="V8" s="143"/>
      <c r="W8" s="143"/>
      <c r="X8" s="144"/>
      <c r="Y8" s="143"/>
      <c r="Z8" s="143"/>
      <c r="AA8" s="143"/>
      <c r="AB8" s="143"/>
      <c r="AC8" s="143"/>
      <c r="AD8" s="144"/>
      <c r="AE8" s="143"/>
      <c r="AF8" s="143"/>
      <c r="AG8" s="143"/>
      <c r="AH8" s="143"/>
      <c r="AI8" s="143"/>
      <c r="AJ8" s="144"/>
      <c r="AK8" s="143"/>
      <c r="AL8" s="143"/>
      <c r="AM8" s="143"/>
      <c r="AN8" s="143"/>
      <c r="AO8" s="143"/>
      <c r="AP8" s="144"/>
      <c r="AQ8" s="143"/>
      <c r="AR8" s="143"/>
      <c r="AS8" s="143"/>
      <c r="AT8" s="143"/>
      <c r="AU8" s="143"/>
      <c r="AV8" s="144"/>
      <c r="AW8" s="143"/>
      <c r="AX8" s="143"/>
      <c r="AY8" s="143"/>
      <c r="AZ8" s="143"/>
      <c r="BA8" s="144"/>
      <c r="BB8" s="143"/>
      <c r="BC8" s="143"/>
      <c r="BD8" s="143"/>
      <c r="BE8" s="143"/>
      <c r="BF8" s="143"/>
      <c r="BG8" s="143"/>
      <c r="BH8" s="144"/>
      <c r="BI8" s="143"/>
      <c r="BJ8" s="143"/>
      <c r="BK8" s="143"/>
      <c r="BL8" s="143"/>
      <c r="BM8" s="143"/>
      <c r="BN8" s="144"/>
      <c r="BO8" s="143"/>
      <c r="BP8" s="143"/>
      <c r="BQ8" s="143"/>
      <c r="BR8" s="143"/>
      <c r="BS8" s="143"/>
      <c r="BT8" s="144"/>
      <c r="BU8" s="143"/>
      <c r="BV8" s="143"/>
      <c r="BW8" s="143"/>
      <c r="BX8" s="143"/>
      <c r="BY8" s="143"/>
      <c r="BZ8" s="144"/>
      <c r="CA8" s="143"/>
      <c r="CB8" s="143"/>
      <c r="CC8" s="143"/>
      <c r="CD8" s="143"/>
      <c r="CE8" s="143"/>
      <c r="CF8" s="144"/>
      <c r="CG8" s="143"/>
      <c r="CH8" s="143"/>
      <c r="CI8" s="143"/>
      <c r="CJ8" s="143"/>
      <c r="CK8" s="143"/>
      <c r="CL8" s="144"/>
      <c r="CM8" s="143"/>
      <c r="CN8" s="143"/>
      <c r="CO8" s="143"/>
      <c r="CP8" s="143"/>
      <c r="CQ8" s="143"/>
      <c r="CR8" s="144"/>
      <c r="CS8" s="143"/>
      <c r="CT8" s="143"/>
      <c r="CU8" s="143"/>
      <c r="CV8" s="143"/>
      <c r="CW8" s="143"/>
      <c r="CX8" s="144"/>
      <c r="CY8" s="143"/>
      <c r="CZ8" s="143"/>
      <c r="DA8" s="143"/>
      <c r="DB8" s="143"/>
      <c r="DC8" s="143"/>
      <c r="DD8" s="144"/>
      <c r="DE8" s="143"/>
      <c r="DF8" s="143"/>
      <c r="DG8" s="143"/>
      <c r="DH8" s="143"/>
      <c r="DI8" s="143"/>
      <c r="DJ8" s="144"/>
      <c r="DK8" s="143"/>
      <c r="DL8" s="143"/>
      <c r="DM8" s="143"/>
      <c r="DN8" s="143"/>
      <c r="DO8" s="143"/>
      <c r="DP8" s="144"/>
      <c r="DQ8" s="143"/>
      <c r="DR8" s="143"/>
      <c r="DS8" s="143"/>
      <c r="DT8" s="143"/>
      <c r="DU8" s="143"/>
      <c r="DV8" s="144"/>
      <c r="DW8" s="143"/>
      <c r="DX8" s="143"/>
      <c r="DY8" s="143"/>
      <c r="DZ8" s="143"/>
      <c r="EA8" s="143"/>
      <c r="EB8" s="144"/>
      <c r="EC8" s="143"/>
      <c r="ED8" s="143"/>
      <c r="EE8" s="143"/>
      <c r="EF8" s="143"/>
      <c r="EG8" s="143"/>
      <c r="EH8" s="144"/>
      <c r="EI8" s="143"/>
      <c r="EJ8" s="143"/>
      <c r="EK8" s="143"/>
      <c r="EL8" s="143"/>
      <c r="EM8" s="143"/>
      <c r="EN8" s="144"/>
      <c r="EO8" s="143"/>
      <c r="EP8" s="143"/>
      <c r="EQ8" s="143"/>
      <c r="ER8" s="143"/>
      <c r="ES8" s="143"/>
      <c r="ET8" s="144"/>
      <c r="EU8" s="143"/>
      <c r="EV8" s="143"/>
      <c r="EW8" s="143"/>
      <c r="EX8" s="143"/>
      <c r="EY8" s="143"/>
      <c r="EZ8" s="144"/>
      <c r="FA8" s="143"/>
      <c r="FB8" s="143"/>
      <c r="FC8" s="143"/>
      <c r="FD8" s="143"/>
      <c r="FE8" s="143"/>
      <c r="FF8" s="144"/>
      <c r="FG8" s="143"/>
      <c r="FH8" s="143"/>
      <c r="FI8" s="143"/>
      <c r="FJ8" s="143"/>
      <c r="FK8" s="143"/>
      <c r="FL8" s="144"/>
      <c r="FM8" s="143"/>
      <c r="FN8" s="143"/>
      <c r="FO8" s="143"/>
      <c r="FP8" s="143"/>
      <c r="FQ8" s="143"/>
      <c r="FR8" s="144"/>
      <c r="FS8" s="143"/>
      <c r="FT8" s="143"/>
      <c r="FU8" s="143"/>
      <c r="FV8" s="143"/>
      <c r="FW8" s="143"/>
      <c r="FX8" s="144"/>
      <c r="FY8" s="143"/>
      <c r="FZ8" s="143"/>
      <c r="GA8" s="143"/>
      <c r="GB8" s="143"/>
      <c r="GC8" s="143"/>
      <c r="GD8" s="144"/>
      <c r="GE8" s="143"/>
      <c r="GF8" s="143"/>
      <c r="GG8" s="143"/>
      <c r="GH8" s="143"/>
      <c r="GI8" s="143"/>
      <c r="GJ8" s="144"/>
      <c r="GK8" s="143"/>
      <c r="GL8" s="143"/>
      <c r="GM8" s="143"/>
      <c r="GN8" s="143"/>
      <c r="GO8" s="143"/>
      <c r="GP8" s="144"/>
      <c r="GQ8" s="143"/>
      <c r="GR8" s="143"/>
      <c r="GS8" s="143"/>
      <c r="GT8" s="143"/>
      <c r="GU8" s="143"/>
      <c r="GV8" s="144"/>
      <c r="GW8" s="143"/>
      <c r="GX8" s="143"/>
      <c r="GY8" s="143"/>
      <c r="GZ8" s="143"/>
      <c r="HA8" s="143"/>
      <c r="HB8" s="144"/>
      <c r="HC8" s="143"/>
      <c r="HD8" s="143"/>
      <c r="HE8" s="143"/>
      <c r="HF8" s="143"/>
      <c r="HG8" s="143"/>
      <c r="HH8" s="144"/>
      <c r="HI8" s="143"/>
      <c r="HJ8" s="143"/>
      <c r="HK8" s="143"/>
      <c r="HL8" s="143"/>
      <c r="HM8" s="143"/>
      <c r="HN8" s="144"/>
      <c r="HO8" s="143"/>
      <c r="HP8" s="143"/>
      <c r="HQ8" s="143"/>
      <c r="HR8" s="143"/>
      <c r="HS8" s="143"/>
      <c r="HT8" s="144"/>
      <c r="HU8" s="143"/>
      <c r="HV8" s="143"/>
      <c r="HW8" s="143"/>
      <c r="HX8" s="143"/>
      <c r="HY8" s="143"/>
      <c r="HZ8" s="144"/>
      <c r="IA8" s="143"/>
      <c r="IB8" s="143"/>
      <c r="IC8" s="143"/>
      <c r="ID8" s="143"/>
      <c r="IE8" s="143"/>
      <c r="IF8" s="143"/>
      <c r="IG8" s="143"/>
      <c r="IH8" s="143"/>
      <c r="II8" s="143"/>
    </row>
    <row r="9">
      <c r="A9" s="145"/>
      <c r="B9" s="145"/>
      <c r="C9" s="145"/>
      <c r="D9" s="145"/>
      <c r="E9" s="145"/>
      <c r="F9" s="146"/>
      <c r="G9" s="145"/>
      <c r="H9" s="145"/>
      <c r="I9" s="145"/>
      <c r="J9" s="145"/>
      <c r="K9" s="145"/>
      <c r="L9" s="146"/>
      <c r="M9" s="145"/>
      <c r="N9" s="145"/>
      <c r="O9" s="145"/>
      <c r="P9" s="145"/>
      <c r="Q9" s="145"/>
      <c r="R9" s="146"/>
      <c r="S9" s="145"/>
      <c r="T9" s="145"/>
      <c r="U9" s="145"/>
      <c r="V9" s="145"/>
      <c r="W9" s="145"/>
      <c r="X9" s="146"/>
      <c r="Y9" s="145"/>
      <c r="Z9" s="145"/>
      <c r="AA9" s="145"/>
      <c r="AB9" s="145"/>
      <c r="AC9" s="145"/>
      <c r="AD9" s="146"/>
      <c r="AE9" s="145"/>
      <c r="AF9" s="145"/>
      <c r="AG9" s="145"/>
      <c r="AH9" s="145"/>
      <c r="AI9" s="145"/>
      <c r="AJ9" s="146"/>
      <c r="AK9" s="145"/>
      <c r="AL9" s="145"/>
      <c r="AM9" s="145"/>
      <c r="AN9" s="145"/>
      <c r="AO9" s="145"/>
      <c r="AP9" s="146"/>
      <c r="AQ9" s="145"/>
      <c r="AR9" s="145"/>
      <c r="AS9" s="145"/>
      <c r="AT9" s="145"/>
      <c r="AU9" s="145"/>
      <c r="AV9" s="146"/>
      <c r="AW9" s="145"/>
      <c r="AX9" s="145"/>
      <c r="AY9" s="145"/>
      <c r="AZ9" s="145"/>
      <c r="BA9" s="146"/>
      <c r="BB9" s="145"/>
      <c r="BC9" s="145"/>
      <c r="BD9" s="145"/>
      <c r="BE9" s="145"/>
      <c r="BF9" s="145"/>
      <c r="BG9" s="145"/>
      <c r="BH9" s="146"/>
      <c r="BI9" s="145"/>
      <c r="BJ9" s="145"/>
      <c r="BK9" s="145"/>
      <c r="BL9" s="145"/>
      <c r="BM9" s="145"/>
      <c r="BN9" s="146"/>
      <c r="BO9" s="145"/>
      <c r="BP9" s="145"/>
      <c r="BQ9" s="145"/>
      <c r="BR9" s="145"/>
      <c r="BS9" s="145"/>
      <c r="BT9" s="146"/>
      <c r="BU9" s="145"/>
      <c r="BV9" s="145"/>
      <c r="BW9" s="145"/>
      <c r="BX9" s="145"/>
      <c r="BY9" s="145"/>
      <c r="BZ9" s="146"/>
      <c r="CA9" s="145"/>
      <c r="CB9" s="145"/>
      <c r="CC9" s="145"/>
      <c r="CD9" s="145"/>
      <c r="CE9" s="145"/>
      <c r="CF9" s="146"/>
      <c r="CG9" s="145"/>
      <c r="CH9" s="145"/>
      <c r="CI9" s="145"/>
      <c r="CJ9" s="145"/>
      <c r="CK9" s="145"/>
      <c r="CL9" s="146"/>
      <c r="CM9" s="145"/>
      <c r="CN9" s="145"/>
      <c r="CO9" s="145"/>
      <c r="CP9" s="145"/>
      <c r="CQ9" s="145"/>
      <c r="CR9" s="146"/>
      <c r="CS9" s="145"/>
      <c r="CT9" s="145"/>
      <c r="CU9" s="145"/>
      <c r="CV9" s="145"/>
      <c r="CW9" s="145"/>
      <c r="CX9" s="146"/>
      <c r="CY9" s="145"/>
      <c r="CZ9" s="145"/>
      <c r="DA9" s="145"/>
      <c r="DB9" s="145"/>
      <c r="DC9" s="145"/>
      <c r="DD9" s="146"/>
      <c r="DE9" s="145"/>
      <c r="DF9" s="145"/>
      <c r="DG9" s="145"/>
      <c r="DH9" s="145"/>
      <c r="DI9" s="145"/>
      <c r="DJ9" s="146"/>
      <c r="DK9" s="145"/>
      <c r="DL9" s="145"/>
      <c r="DM9" s="145"/>
      <c r="DN9" s="145"/>
      <c r="DO9" s="145"/>
      <c r="DP9" s="146"/>
      <c r="DQ9" s="145"/>
      <c r="DR9" s="145"/>
      <c r="DS9" s="145"/>
      <c r="DT9" s="145"/>
      <c r="DU9" s="145"/>
      <c r="DV9" s="146"/>
      <c r="DW9" s="145"/>
      <c r="DX9" s="145"/>
      <c r="DY9" s="145"/>
      <c r="DZ9" s="145"/>
      <c r="EA9" s="145"/>
      <c r="EB9" s="146"/>
      <c r="EC9" s="145"/>
      <c r="ED9" s="145"/>
      <c r="EE9" s="145"/>
      <c r="EF9" s="145"/>
      <c r="EG9" s="145"/>
      <c r="EH9" s="146"/>
      <c r="EI9" s="145"/>
      <c r="EJ9" s="145"/>
      <c r="EK9" s="145"/>
      <c r="EL9" s="145"/>
      <c r="EM9" s="145"/>
      <c r="EN9" s="146"/>
      <c r="EO9" s="145"/>
      <c r="EP9" s="145"/>
      <c r="EQ9" s="145"/>
      <c r="ER9" s="145"/>
      <c r="ES9" s="145"/>
      <c r="ET9" s="146"/>
      <c r="EU9" s="145"/>
      <c r="EV9" s="145"/>
      <c r="EW9" s="145"/>
      <c r="EX9" s="145"/>
      <c r="EY9" s="145"/>
      <c r="EZ9" s="146"/>
      <c r="FA9" s="145"/>
      <c r="FB9" s="145"/>
      <c r="FC9" s="145"/>
      <c r="FD9" s="145"/>
      <c r="FE9" s="145"/>
      <c r="FF9" s="146"/>
      <c r="FG9" s="145"/>
      <c r="FH9" s="145"/>
      <c r="FI9" s="145"/>
      <c r="FJ9" s="145"/>
      <c r="FK9" s="145"/>
      <c r="FL9" s="146"/>
      <c r="FM9" s="145"/>
      <c r="FN9" s="145"/>
      <c r="FO9" s="145"/>
      <c r="FP9" s="145"/>
      <c r="FQ9" s="145"/>
      <c r="FR9" s="146"/>
      <c r="FS9" s="145"/>
      <c r="FT9" s="145"/>
      <c r="FU9" s="145"/>
      <c r="FV9" s="145"/>
      <c r="FW9" s="145"/>
      <c r="FX9" s="146"/>
      <c r="FY9" s="145"/>
      <c r="FZ9" s="145"/>
      <c r="GA9" s="145"/>
      <c r="GB9" s="145"/>
      <c r="GC9" s="145"/>
      <c r="GD9" s="146"/>
      <c r="GE9" s="145"/>
      <c r="GF9" s="145"/>
      <c r="GG9" s="145"/>
      <c r="GH9" s="145"/>
      <c r="GI9" s="145"/>
      <c r="GJ9" s="146"/>
      <c r="GK9" s="145"/>
      <c r="GL9" s="145"/>
      <c r="GM9" s="145"/>
      <c r="GN9" s="145"/>
      <c r="GO9" s="145"/>
      <c r="GP9" s="146"/>
      <c r="GQ9" s="145"/>
      <c r="GR9" s="145"/>
      <c r="GS9" s="145"/>
      <c r="GT9" s="145"/>
      <c r="GU9" s="145"/>
      <c r="GV9" s="146"/>
      <c r="GW9" s="145"/>
      <c r="GX9" s="145"/>
      <c r="GY9" s="145"/>
      <c r="GZ9" s="145"/>
      <c r="HA9" s="145"/>
      <c r="HB9" s="146"/>
      <c r="HC9" s="145"/>
      <c r="HD9" s="145"/>
      <c r="HE9" s="145"/>
      <c r="HF9" s="145"/>
      <c r="HG9" s="145"/>
      <c r="HH9" s="146"/>
      <c r="HI9" s="145"/>
      <c r="HJ9" s="145"/>
      <c r="HK9" s="145"/>
      <c r="HL9" s="145"/>
      <c r="HM9" s="145"/>
      <c r="HN9" s="146"/>
      <c r="HO9" s="145"/>
      <c r="HP9" s="145"/>
      <c r="HQ9" s="145"/>
      <c r="HR9" s="145"/>
      <c r="HS9" s="145"/>
      <c r="HT9" s="146"/>
      <c r="HU9" s="145"/>
      <c r="HV9" s="145"/>
      <c r="HW9" s="145"/>
      <c r="HX9" s="145"/>
      <c r="HY9" s="145"/>
      <c r="HZ9" s="146"/>
      <c r="IA9" s="145"/>
      <c r="IB9" s="145"/>
      <c r="IC9" s="145"/>
      <c r="ID9" s="145"/>
      <c r="IE9" s="145"/>
      <c r="IF9" s="145"/>
      <c r="IG9" s="145"/>
      <c r="IH9" s="145"/>
      <c r="II9" s="145"/>
    </row>
    <row r="10">
      <c r="A10" s="145"/>
      <c r="B10" s="145"/>
      <c r="C10" s="145"/>
      <c r="D10" s="145"/>
      <c r="E10" s="145"/>
      <c r="F10" s="146"/>
      <c r="G10" s="145"/>
      <c r="H10" s="145"/>
      <c r="I10" s="145"/>
      <c r="J10" s="145"/>
      <c r="K10" s="145"/>
      <c r="L10" s="146"/>
      <c r="M10" s="145"/>
      <c r="N10" s="145"/>
      <c r="O10" s="145"/>
      <c r="P10" s="145"/>
      <c r="Q10" s="145"/>
      <c r="R10" s="146"/>
      <c r="S10" s="145"/>
      <c r="T10" s="145"/>
      <c r="U10" s="145"/>
      <c r="V10" s="145"/>
      <c r="W10" s="145"/>
      <c r="X10" s="146"/>
      <c r="Y10" s="145"/>
      <c r="Z10" s="145"/>
      <c r="AA10" s="145"/>
      <c r="AB10" s="145"/>
      <c r="AC10" s="145"/>
      <c r="AD10" s="146"/>
      <c r="AE10" s="145"/>
      <c r="AF10" s="145"/>
      <c r="AG10" s="145"/>
      <c r="AH10" s="145"/>
      <c r="AI10" s="145"/>
      <c r="AJ10" s="146"/>
      <c r="AK10" s="145"/>
      <c r="AL10" s="145"/>
      <c r="AM10" s="145"/>
      <c r="AN10" s="145"/>
      <c r="AO10" s="145"/>
      <c r="AP10" s="146"/>
      <c r="AQ10" s="145"/>
      <c r="AR10" s="145"/>
      <c r="AS10" s="145"/>
      <c r="AT10" s="145"/>
      <c r="AU10" s="145"/>
      <c r="AV10" s="146"/>
      <c r="AW10" s="145"/>
      <c r="AX10" s="145"/>
      <c r="AY10" s="145"/>
      <c r="AZ10" s="145"/>
      <c r="BA10" s="146"/>
      <c r="BB10" s="145"/>
      <c r="BC10" s="145"/>
      <c r="BD10" s="145"/>
      <c r="BE10" s="145"/>
      <c r="BF10" s="145"/>
      <c r="BG10" s="145"/>
      <c r="BH10" s="146"/>
      <c r="BI10" s="145"/>
      <c r="BJ10" s="145"/>
      <c r="BK10" s="145"/>
      <c r="BL10" s="145"/>
      <c r="BM10" s="145"/>
      <c r="BN10" s="146"/>
      <c r="BO10" s="145"/>
      <c r="BP10" s="145"/>
      <c r="BQ10" s="145"/>
      <c r="BR10" s="145"/>
      <c r="BS10" s="145"/>
      <c r="BT10" s="146"/>
      <c r="BU10" s="145"/>
      <c r="BV10" s="145"/>
      <c r="BW10" s="145"/>
      <c r="BX10" s="145"/>
      <c r="BY10" s="145"/>
      <c r="BZ10" s="146"/>
      <c r="CA10" s="145"/>
      <c r="CB10" s="145"/>
      <c r="CC10" s="145"/>
      <c r="CD10" s="145"/>
      <c r="CE10" s="145"/>
      <c r="CF10" s="146"/>
      <c r="CG10" s="145"/>
      <c r="CH10" s="145"/>
      <c r="CI10" s="145"/>
      <c r="CJ10" s="145"/>
      <c r="CK10" s="145"/>
      <c r="CL10" s="146"/>
      <c r="CM10" s="145"/>
      <c r="CN10" s="145"/>
      <c r="CO10" s="145"/>
      <c r="CP10" s="145"/>
      <c r="CQ10" s="145"/>
      <c r="CR10" s="146"/>
      <c r="CS10" s="145"/>
      <c r="CT10" s="145"/>
      <c r="CU10" s="145"/>
      <c r="CV10" s="145"/>
      <c r="CW10" s="145"/>
      <c r="CX10" s="146"/>
      <c r="CY10" s="145"/>
      <c r="CZ10" s="145"/>
      <c r="DA10" s="145"/>
      <c r="DB10" s="145"/>
      <c r="DC10" s="145"/>
      <c r="DD10" s="146"/>
      <c r="DE10" s="145"/>
      <c r="DF10" s="145"/>
      <c r="DG10" s="145"/>
      <c r="DH10" s="145"/>
      <c r="DI10" s="145"/>
      <c r="DJ10" s="146"/>
      <c r="DK10" s="145"/>
      <c r="DL10" s="145"/>
      <c r="DM10" s="145"/>
      <c r="DN10" s="145"/>
      <c r="DO10" s="145"/>
      <c r="DP10" s="146"/>
      <c r="DQ10" s="145"/>
      <c r="DR10" s="145"/>
      <c r="DS10" s="145"/>
      <c r="DT10" s="145"/>
      <c r="DU10" s="145"/>
      <c r="DV10" s="146"/>
      <c r="DW10" s="145"/>
      <c r="DX10" s="145"/>
      <c r="DY10" s="145"/>
      <c r="DZ10" s="145"/>
      <c r="EA10" s="145"/>
      <c r="EB10" s="146"/>
      <c r="EC10" s="145"/>
      <c r="ED10" s="145"/>
      <c r="EE10" s="145"/>
      <c r="EF10" s="145"/>
      <c r="EG10" s="145"/>
      <c r="EH10" s="146"/>
      <c r="EI10" s="145"/>
      <c r="EJ10" s="145"/>
      <c r="EK10" s="145"/>
      <c r="EL10" s="145"/>
      <c r="EM10" s="145"/>
      <c r="EN10" s="146"/>
      <c r="EO10" s="145"/>
      <c r="EP10" s="145"/>
      <c r="EQ10" s="145"/>
      <c r="ER10" s="145"/>
      <c r="ES10" s="145"/>
      <c r="ET10" s="146"/>
      <c r="EU10" s="145"/>
      <c r="EV10" s="145"/>
      <c r="EW10" s="145"/>
      <c r="EX10" s="145"/>
      <c r="EY10" s="145"/>
      <c r="EZ10" s="146"/>
      <c r="FA10" s="145"/>
      <c r="FB10" s="145"/>
      <c r="FC10" s="145"/>
      <c r="FD10" s="145"/>
      <c r="FE10" s="145"/>
      <c r="FF10" s="146"/>
      <c r="FG10" s="145"/>
      <c r="FH10" s="145"/>
      <c r="FI10" s="145"/>
      <c r="FJ10" s="145"/>
      <c r="FK10" s="145"/>
      <c r="FL10" s="146"/>
      <c r="FM10" s="145"/>
      <c r="FN10" s="145"/>
      <c r="FO10" s="145"/>
      <c r="FP10" s="145"/>
      <c r="FQ10" s="145"/>
      <c r="FR10" s="146"/>
      <c r="FS10" s="145"/>
      <c r="FT10" s="145"/>
      <c r="FU10" s="145"/>
      <c r="FV10" s="145"/>
      <c r="FW10" s="145"/>
      <c r="FX10" s="146"/>
      <c r="FY10" s="145"/>
      <c r="FZ10" s="145"/>
      <c r="GA10" s="145"/>
      <c r="GB10" s="145"/>
      <c r="GC10" s="145"/>
      <c r="GD10" s="146"/>
      <c r="GE10" s="145"/>
      <c r="GF10" s="145"/>
      <c r="GG10" s="145"/>
      <c r="GH10" s="145"/>
      <c r="GI10" s="145"/>
      <c r="GJ10" s="146"/>
      <c r="GK10" s="145"/>
      <c r="GL10" s="145"/>
      <c r="GM10" s="145"/>
      <c r="GN10" s="145"/>
      <c r="GO10" s="145"/>
      <c r="GP10" s="146"/>
      <c r="GQ10" s="145"/>
      <c r="GR10" s="145"/>
      <c r="GS10" s="145"/>
      <c r="GT10" s="145"/>
      <c r="GU10" s="145"/>
      <c r="GV10" s="146"/>
      <c r="GW10" s="145"/>
      <c r="GX10" s="145"/>
      <c r="GY10" s="145"/>
      <c r="GZ10" s="145"/>
      <c r="HA10" s="145"/>
      <c r="HB10" s="146"/>
      <c r="HC10" s="145"/>
      <c r="HD10" s="145"/>
      <c r="HE10" s="145"/>
      <c r="HF10" s="145"/>
      <c r="HG10" s="145"/>
      <c r="HH10" s="146"/>
      <c r="HI10" s="145"/>
      <c r="HJ10" s="145"/>
      <c r="HK10" s="145"/>
      <c r="HL10" s="145"/>
      <c r="HM10" s="145"/>
      <c r="HN10" s="146"/>
      <c r="HO10" s="145"/>
      <c r="HP10" s="145"/>
      <c r="HQ10" s="145"/>
      <c r="HR10" s="145"/>
      <c r="HS10" s="145"/>
      <c r="HT10" s="146"/>
      <c r="HU10" s="145"/>
      <c r="HV10" s="145"/>
      <c r="HW10" s="145"/>
      <c r="HX10" s="145"/>
      <c r="HY10" s="145"/>
      <c r="HZ10" s="146"/>
      <c r="IA10" s="145"/>
      <c r="IB10" s="145"/>
      <c r="IC10" s="145"/>
      <c r="ID10" s="145"/>
      <c r="IE10" s="145"/>
      <c r="IF10" s="145"/>
      <c r="IG10" s="145"/>
      <c r="IH10" s="145"/>
      <c r="II10" s="145"/>
    </row>
    <row r="11">
      <c r="A11" s="147"/>
      <c r="B11" s="147"/>
      <c r="C11" s="147"/>
      <c r="D11" s="147"/>
      <c r="E11" s="147"/>
      <c r="F11" s="148"/>
      <c r="G11" s="147"/>
      <c r="H11" s="147"/>
      <c r="I11" s="147"/>
      <c r="J11" s="147"/>
      <c r="K11" s="147"/>
      <c r="L11" s="148"/>
      <c r="M11" s="147"/>
      <c r="N11" s="147"/>
      <c r="O11" s="147"/>
      <c r="P11" s="147"/>
      <c r="Q11" s="147"/>
      <c r="R11" s="148"/>
      <c r="S11" s="147"/>
      <c r="T11" s="147"/>
      <c r="U11" s="147"/>
      <c r="V11" s="147"/>
      <c r="W11" s="147"/>
      <c r="X11" s="148"/>
      <c r="Y11" s="147"/>
      <c r="Z11" s="147"/>
      <c r="AA11" s="147"/>
      <c r="AB11" s="147"/>
      <c r="AC11" s="147"/>
      <c r="AD11" s="148"/>
      <c r="AE11" s="147"/>
      <c r="AF11" s="147"/>
      <c r="AG11" s="147"/>
      <c r="AH11" s="147"/>
      <c r="AI11" s="147"/>
      <c r="AJ11" s="148"/>
      <c r="AK11" s="147"/>
      <c r="AL11" s="147"/>
      <c r="AM11" s="147"/>
      <c r="AN11" s="147"/>
      <c r="AO11" s="147"/>
      <c r="AP11" s="148"/>
      <c r="AQ11" s="147"/>
      <c r="AR11" s="147"/>
      <c r="AS11" s="147"/>
      <c r="AT11" s="147"/>
      <c r="AU11" s="147"/>
      <c r="AV11" s="148"/>
      <c r="AW11" s="147"/>
      <c r="AX11" s="147"/>
      <c r="AY11" s="147"/>
      <c r="AZ11" s="147"/>
      <c r="BA11" s="148"/>
      <c r="BB11" s="147"/>
      <c r="BC11" s="147"/>
      <c r="BD11" s="147"/>
      <c r="BE11" s="147"/>
      <c r="BF11" s="147"/>
      <c r="BG11" s="147"/>
      <c r="BH11" s="148"/>
      <c r="BI11" s="147"/>
      <c r="BJ11" s="147"/>
      <c r="BK11" s="147"/>
      <c r="BL11" s="147"/>
      <c r="BM11" s="147"/>
      <c r="BN11" s="148"/>
      <c r="BO11" s="147"/>
      <c r="BP11" s="147"/>
      <c r="BQ11" s="147"/>
      <c r="BR11" s="147"/>
      <c r="BS11" s="147"/>
      <c r="BT11" s="148"/>
      <c r="BU11" s="147"/>
      <c r="BV11" s="147"/>
      <c r="BW11" s="147"/>
      <c r="BX11" s="147"/>
      <c r="BY11" s="147"/>
      <c r="BZ11" s="148"/>
      <c r="CA11" s="147"/>
      <c r="CB11" s="147"/>
      <c r="CC11" s="147"/>
      <c r="CD11" s="147"/>
      <c r="CE11" s="147"/>
      <c r="CF11" s="148"/>
      <c r="CG11" s="147"/>
      <c r="CH11" s="147"/>
      <c r="CI11" s="147"/>
      <c r="CJ11" s="147"/>
      <c r="CK11" s="147"/>
      <c r="CL11" s="148"/>
      <c r="CM11" s="147"/>
      <c r="CN11" s="147"/>
      <c r="CO11" s="147"/>
      <c r="CP11" s="147"/>
      <c r="CQ11" s="147"/>
      <c r="CR11" s="148"/>
      <c r="CS11" s="147"/>
      <c r="CT11" s="147"/>
      <c r="CU11" s="147"/>
      <c r="CV11" s="147"/>
      <c r="CW11" s="147"/>
      <c r="CX11" s="148"/>
      <c r="CY11" s="147"/>
      <c r="CZ11" s="147"/>
      <c r="DA11" s="147"/>
      <c r="DB11" s="147"/>
      <c r="DC11" s="147"/>
      <c r="DD11" s="148"/>
      <c r="DE11" s="147"/>
      <c r="DF11" s="147"/>
      <c r="DG11" s="147"/>
      <c r="DH11" s="147"/>
      <c r="DI11" s="147"/>
      <c r="DJ11" s="148"/>
      <c r="DK11" s="147"/>
      <c r="DL11" s="147"/>
      <c r="DM11" s="147"/>
      <c r="DN11" s="147"/>
      <c r="DO11" s="147"/>
      <c r="DP11" s="148"/>
      <c r="DQ11" s="147"/>
      <c r="DR11" s="147"/>
      <c r="DS11" s="147"/>
      <c r="DT11" s="147"/>
      <c r="DU11" s="147"/>
      <c r="DV11" s="148"/>
      <c r="DW11" s="147"/>
      <c r="DX11" s="147"/>
      <c r="DY11" s="147"/>
      <c r="DZ11" s="147"/>
      <c r="EA11" s="147"/>
      <c r="EB11" s="148"/>
      <c r="EC11" s="147"/>
      <c r="ED11" s="147"/>
      <c r="EE11" s="147"/>
      <c r="EF11" s="147"/>
      <c r="EG11" s="147"/>
      <c r="EH11" s="148"/>
      <c r="EI11" s="147"/>
      <c r="EJ11" s="147"/>
      <c r="EK11" s="147"/>
      <c r="EL11" s="147"/>
      <c r="EM11" s="147"/>
      <c r="EN11" s="148"/>
      <c r="EO11" s="147"/>
      <c r="EP11" s="147"/>
      <c r="EQ11" s="147"/>
      <c r="ER11" s="147"/>
      <c r="ES11" s="147"/>
      <c r="ET11" s="148"/>
      <c r="EU11" s="147"/>
      <c r="EV11" s="147"/>
      <c r="EW11" s="147"/>
      <c r="EX11" s="147"/>
      <c r="EY11" s="147"/>
      <c r="EZ11" s="148"/>
      <c r="FA11" s="147"/>
      <c r="FB11" s="147"/>
      <c r="FC11" s="147"/>
      <c r="FD11" s="147"/>
      <c r="FE11" s="147"/>
      <c r="FF11" s="148"/>
      <c r="FG11" s="147"/>
      <c r="FH11" s="147"/>
      <c r="FI11" s="147"/>
      <c r="FJ11" s="147"/>
      <c r="FK11" s="147"/>
      <c r="FL11" s="148"/>
      <c r="FM11" s="147"/>
      <c r="FN11" s="147"/>
      <c r="FO11" s="147"/>
      <c r="FP11" s="147"/>
      <c r="FQ11" s="147"/>
      <c r="FR11" s="148"/>
      <c r="FS11" s="147"/>
      <c r="FT11" s="147"/>
      <c r="FU11" s="147"/>
      <c r="FV11" s="147"/>
      <c r="FW11" s="147"/>
      <c r="FX11" s="148"/>
      <c r="FY11" s="147"/>
      <c r="FZ11" s="147"/>
      <c r="GA11" s="147"/>
      <c r="GB11" s="147"/>
      <c r="GC11" s="147"/>
      <c r="GD11" s="148"/>
      <c r="GE11" s="147"/>
      <c r="GF11" s="147"/>
      <c r="GG11" s="147"/>
      <c r="GH11" s="147"/>
      <c r="GI11" s="147"/>
      <c r="GJ11" s="148"/>
      <c r="GK11" s="147"/>
      <c r="GL11" s="147"/>
      <c r="GM11" s="147"/>
      <c r="GN11" s="147"/>
      <c r="GO11" s="147"/>
      <c r="GP11" s="148"/>
      <c r="GQ11" s="147"/>
      <c r="GR11" s="147"/>
      <c r="GS11" s="147"/>
      <c r="GT11" s="147"/>
      <c r="GU11" s="147"/>
      <c r="GV11" s="148"/>
      <c r="GW11" s="147"/>
      <c r="GX11" s="147"/>
      <c r="GY11" s="147"/>
      <c r="GZ11" s="147"/>
      <c r="HA11" s="147"/>
      <c r="HB11" s="148"/>
      <c r="HC11" s="147"/>
      <c r="HD11" s="147"/>
      <c r="HE11" s="147"/>
      <c r="HF11" s="147"/>
      <c r="HG11" s="147"/>
      <c r="HH11" s="148"/>
      <c r="HI11" s="147"/>
      <c r="HJ11" s="147"/>
      <c r="HK11" s="147"/>
      <c r="HL11" s="147"/>
      <c r="HM11" s="147"/>
      <c r="HN11" s="148"/>
      <c r="HO11" s="147"/>
      <c r="HP11" s="147"/>
      <c r="HQ11" s="147"/>
      <c r="HR11" s="147"/>
      <c r="HS11" s="147"/>
      <c r="HT11" s="148"/>
      <c r="HU11" s="147"/>
      <c r="HV11" s="147"/>
      <c r="HW11" s="147"/>
      <c r="HX11" s="147"/>
      <c r="HY11" s="147"/>
      <c r="HZ11" s="148"/>
      <c r="IA11" s="147"/>
      <c r="IB11" s="147"/>
      <c r="IC11" s="147"/>
      <c r="ID11" s="147"/>
      <c r="IE11" s="147"/>
      <c r="IF11" s="147"/>
      <c r="IG11" s="147"/>
      <c r="IH11" s="147"/>
      <c r="II11" s="147"/>
    </row>
    <row r="12">
      <c r="A12" s="149"/>
      <c r="B12" s="149"/>
      <c r="C12" s="149"/>
      <c r="D12" s="149"/>
      <c r="E12" s="149"/>
      <c r="F12" s="150"/>
      <c r="G12" s="149"/>
      <c r="H12" s="149"/>
      <c r="I12" s="149"/>
      <c r="J12" s="149"/>
      <c r="K12" s="149"/>
      <c r="L12" s="150"/>
      <c r="M12" s="149"/>
      <c r="N12" s="149"/>
      <c r="O12" s="149"/>
      <c r="P12" s="149"/>
      <c r="Q12" s="149"/>
      <c r="R12" s="150"/>
      <c r="S12" s="149"/>
      <c r="T12" s="149"/>
      <c r="U12" s="149"/>
      <c r="V12" s="149"/>
      <c r="W12" s="149"/>
      <c r="X12" s="150"/>
      <c r="Y12" s="149"/>
      <c r="Z12" s="149"/>
      <c r="AA12" s="149"/>
      <c r="AB12" s="149"/>
      <c r="AC12" s="149"/>
      <c r="AD12" s="150"/>
      <c r="AE12" s="149"/>
      <c r="AF12" s="149"/>
      <c r="AG12" s="149"/>
      <c r="AH12" s="149"/>
      <c r="AI12" s="149"/>
      <c r="AJ12" s="150"/>
      <c r="AK12" s="149"/>
      <c r="AL12" s="149"/>
      <c r="AM12" s="149"/>
      <c r="AN12" s="149"/>
      <c r="AO12" s="149"/>
      <c r="AP12" s="150"/>
      <c r="AQ12" s="149"/>
      <c r="AR12" s="149"/>
      <c r="AS12" s="149"/>
      <c r="AT12" s="149"/>
      <c r="AU12" s="149"/>
      <c r="AV12" s="150"/>
      <c r="AW12" s="149"/>
      <c r="AX12" s="149"/>
      <c r="AY12" s="149"/>
      <c r="AZ12" s="149"/>
      <c r="BA12" s="150"/>
      <c r="BB12" s="149"/>
      <c r="BC12" s="149"/>
      <c r="BD12" s="149"/>
      <c r="BE12" s="149"/>
      <c r="BF12" s="149"/>
      <c r="BG12" s="149"/>
      <c r="BH12" s="150"/>
      <c r="BI12" s="149"/>
      <c r="BJ12" s="149"/>
      <c r="BK12" s="149"/>
      <c r="BL12" s="149"/>
      <c r="BM12" s="149"/>
      <c r="BN12" s="150"/>
      <c r="BO12" s="149"/>
      <c r="BP12" s="149"/>
      <c r="BQ12" s="149"/>
      <c r="BR12" s="149"/>
      <c r="BS12" s="149"/>
      <c r="BT12" s="150"/>
      <c r="BU12" s="149"/>
      <c r="BV12" s="149"/>
      <c r="BW12" s="149"/>
      <c r="BX12" s="149"/>
      <c r="BY12" s="149"/>
      <c r="BZ12" s="150"/>
      <c r="CA12" s="149"/>
      <c r="CB12" s="149"/>
      <c r="CC12" s="149"/>
      <c r="CD12" s="149"/>
      <c r="CE12" s="149"/>
      <c r="CF12" s="150"/>
      <c r="CG12" s="149"/>
      <c r="CH12" s="149"/>
      <c r="CI12" s="149"/>
      <c r="CJ12" s="149"/>
      <c r="CK12" s="149"/>
      <c r="CL12" s="150"/>
      <c r="CM12" s="149"/>
      <c r="CN12" s="149"/>
      <c r="CO12" s="149"/>
      <c r="CP12" s="149"/>
      <c r="CQ12" s="149"/>
      <c r="CR12" s="150"/>
      <c r="CS12" s="149"/>
      <c r="CT12" s="149"/>
      <c r="CU12" s="149"/>
      <c r="CV12" s="149"/>
      <c r="CW12" s="149"/>
      <c r="CX12" s="150"/>
      <c r="CY12" s="149"/>
      <c r="CZ12" s="149"/>
      <c r="DA12" s="149"/>
      <c r="DB12" s="149"/>
      <c r="DC12" s="149"/>
      <c r="DD12" s="150"/>
      <c r="DE12" s="149"/>
      <c r="DF12" s="149"/>
      <c r="DG12" s="149"/>
      <c r="DH12" s="149"/>
      <c r="DI12" s="149"/>
      <c r="DJ12" s="150"/>
      <c r="DK12" s="149"/>
      <c r="DL12" s="149"/>
      <c r="DM12" s="149"/>
      <c r="DN12" s="149"/>
      <c r="DO12" s="149"/>
      <c r="DP12" s="150"/>
      <c r="DQ12" s="149"/>
      <c r="DR12" s="149"/>
      <c r="DS12" s="149"/>
      <c r="DT12" s="149"/>
      <c r="DU12" s="149"/>
      <c r="DV12" s="150"/>
      <c r="DW12" s="149"/>
      <c r="DX12" s="149"/>
      <c r="DY12" s="149"/>
      <c r="DZ12" s="149"/>
      <c r="EA12" s="149"/>
      <c r="EB12" s="150"/>
      <c r="EC12" s="149"/>
      <c r="ED12" s="149"/>
      <c r="EE12" s="149"/>
      <c r="EF12" s="149"/>
      <c r="EG12" s="149"/>
      <c r="EH12" s="150"/>
      <c r="EI12" s="149"/>
      <c r="EJ12" s="149"/>
      <c r="EK12" s="149"/>
      <c r="EL12" s="149"/>
      <c r="EM12" s="149"/>
      <c r="EN12" s="150"/>
      <c r="EO12" s="149"/>
      <c r="EP12" s="149"/>
      <c r="EQ12" s="149"/>
      <c r="ER12" s="149"/>
      <c r="ES12" s="149"/>
      <c r="ET12" s="150"/>
      <c r="EU12" s="149"/>
      <c r="EV12" s="149"/>
      <c r="EW12" s="149"/>
      <c r="EX12" s="149"/>
      <c r="EY12" s="149"/>
      <c r="EZ12" s="150"/>
      <c r="FA12" s="149"/>
      <c r="FB12" s="149"/>
      <c r="FC12" s="149"/>
      <c r="FD12" s="149"/>
      <c r="FE12" s="149"/>
      <c r="FF12" s="150"/>
      <c r="FG12" s="149"/>
      <c r="FH12" s="149"/>
      <c r="FI12" s="149"/>
      <c r="FJ12" s="149"/>
      <c r="FK12" s="149"/>
      <c r="FL12" s="150"/>
      <c r="FM12" s="149"/>
      <c r="FN12" s="149"/>
      <c r="FO12" s="149"/>
      <c r="FP12" s="149"/>
      <c r="FQ12" s="149"/>
      <c r="FR12" s="150"/>
      <c r="FS12" s="149"/>
      <c r="FT12" s="149"/>
      <c r="FU12" s="149"/>
      <c r="FV12" s="149"/>
      <c r="FW12" s="149"/>
      <c r="FX12" s="150"/>
      <c r="FY12" s="149"/>
      <c r="FZ12" s="149"/>
      <c r="GA12" s="149"/>
      <c r="GB12" s="149"/>
      <c r="GC12" s="149"/>
      <c r="GD12" s="150"/>
      <c r="GE12" s="149"/>
      <c r="GF12" s="149"/>
      <c r="GG12" s="149"/>
      <c r="GH12" s="149"/>
      <c r="GI12" s="149"/>
      <c r="GJ12" s="150"/>
      <c r="GK12" s="149"/>
      <c r="GL12" s="149"/>
      <c r="GM12" s="149"/>
      <c r="GN12" s="149"/>
      <c r="GO12" s="149"/>
      <c r="GP12" s="150"/>
      <c r="GQ12" s="149"/>
      <c r="GR12" s="149"/>
      <c r="GS12" s="149"/>
      <c r="GT12" s="149"/>
      <c r="GU12" s="149"/>
      <c r="GV12" s="150"/>
      <c r="GW12" s="149"/>
      <c r="GX12" s="149"/>
      <c r="GY12" s="149"/>
      <c r="GZ12" s="149"/>
      <c r="HA12" s="149"/>
      <c r="HB12" s="150"/>
      <c r="HC12" s="149"/>
      <c r="HD12" s="149"/>
      <c r="HE12" s="149"/>
      <c r="HF12" s="149"/>
      <c r="HG12" s="149"/>
      <c r="HH12" s="150"/>
      <c r="HI12" s="149"/>
      <c r="HJ12" s="149"/>
      <c r="HK12" s="149"/>
      <c r="HL12" s="149"/>
      <c r="HM12" s="149"/>
      <c r="HN12" s="150"/>
      <c r="HO12" s="149"/>
      <c r="HP12" s="149"/>
      <c r="HQ12" s="149"/>
      <c r="HR12" s="149"/>
      <c r="HS12" s="149"/>
      <c r="HT12" s="150"/>
      <c r="HU12" s="149"/>
      <c r="HV12" s="149"/>
      <c r="HW12" s="149"/>
      <c r="HX12" s="149"/>
      <c r="HY12" s="149"/>
      <c r="HZ12" s="150"/>
      <c r="IA12" s="149"/>
      <c r="IB12" s="149"/>
      <c r="IC12" s="149"/>
      <c r="ID12" s="149"/>
      <c r="IE12" s="149"/>
      <c r="IF12" s="149"/>
      <c r="IG12" s="149"/>
      <c r="IH12" s="149"/>
      <c r="II12" s="149"/>
    </row>
    <row r="13">
      <c r="A13" s="149"/>
      <c r="B13" s="149"/>
      <c r="C13" s="149"/>
      <c r="D13" s="149"/>
      <c r="E13" s="149"/>
      <c r="F13" s="150"/>
      <c r="G13" s="149"/>
      <c r="H13" s="149"/>
      <c r="I13" s="149"/>
      <c r="J13" s="149"/>
      <c r="K13" s="149"/>
      <c r="L13" s="150"/>
      <c r="M13" s="149"/>
      <c r="N13" s="149"/>
      <c r="O13" s="149"/>
      <c r="P13" s="149"/>
      <c r="Q13" s="149"/>
      <c r="R13" s="150"/>
      <c r="S13" s="149"/>
      <c r="T13" s="149"/>
      <c r="U13" s="149"/>
      <c r="V13" s="149"/>
      <c r="W13" s="149"/>
      <c r="X13" s="150"/>
      <c r="Y13" s="149"/>
      <c r="Z13" s="149"/>
      <c r="AA13" s="149"/>
      <c r="AB13" s="149"/>
      <c r="AC13" s="149"/>
      <c r="AD13" s="150"/>
      <c r="AE13" s="149"/>
      <c r="AF13" s="149"/>
      <c r="AG13" s="149"/>
      <c r="AH13" s="149"/>
      <c r="AI13" s="149"/>
      <c r="AJ13" s="150"/>
      <c r="AK13" s="149"/>
      <c r="AL13" s="149"/>
      <c r="AM13" s="149"/>
      <c r="AN13" s="149"/>
      <c r="AO13" s="149"/>
      <c r="AP13" s="150"/>
      <c r="AQ13" s="149"/>
      <c r="AR13" s="149"/>
      <c r="AS13" s="149"/>
      <c r="AT13" s="149"/>
      <c r="AU13" s="149"/>
      <c r="AV13" s="150"/>
      <c r="AW13" s="149"/>
      <c r="AX13" s="149"/>
      <c r="AY13" s="149"/>
      <c r="AZ13" s="149"/>
      <c r="BA13" s="150"/>
      <c r="BB13" s="149"/>
      <c r="BC13" s="149"/>
      <c r="BD13" s="149"/>
      <c r="BE13" s="149"/>
      <c r="BF13" s="149"/>
      <c r="BG13" s="149"/>
      <c r="BH13" s="150"/>
      <c r="BI13" s="149"/>
      <c r="BJ13" s="149"/>
      <c r="BK13" s="149"/>
      <c r="BL13" s="149"/>
      <c r="BM13" s="149"/>
      <c r="BN13" s="150"/>
      <c r="BO13" s="149"/>
      <c r="BP13" s="149"/>
      <c r="BQ13" s="149"/>
      <c r="BR13" s="149"/>
      <c r="BS13" s="149"/>
      <c r="BT13" s="150"/>
      <c r="BU13" s="149"/>
      <c r="BV13" s="149"/>
      <c r="BW13" s="149"/>
      <c r="BX13" s="149"/>
      <c r="BY13" s="149"/>
      <c r="BZ13" s="150"/>
      <c r="CA13" s="149"/>
      <c r="CB13" s="149"/>
      <c r="CC13" s="149"/>
      <c r="CD13" s="149"/>
      <c r="CE13" s="149"/>
      <c r="CF13" s="150"/>
      <c r="CG13" s="149"/>
      <c r="CH13" s="149"/>
      <c r="CI13" s="149"/>
      <c r="CJ13" s="149"/>
      <c r="CK13" s="149"/>
      <c r="CL13" s="150"/>
      <c r="CM13" s="149"/>
      <c r="CN13" s="149"/>
      <c r="CO13" s="149"/>
      <c r="CP13" s="149"/>
      <c r="CQ13" s="149"/>
      <c r="CR13" s="150"/>
      <c r="CS13" s="149"/>
      <c r="CT13" s="149"/>
      <c r="CU13" s="149"/>
      <c r="CV13" s="149"/>
      <c r="CW13" s="149"/>
      <c r="CX13" s="150"/>
      <c r="CY13" s="149"/>
      <c r="CZ13" s="149"/>
      <c r="DA13" s="149"/>
      <c r="DB13" s="149"/>
      <c r="DC13" s="149"/>
      <c r="DD13" s="150"/>
      <c r="DE13" s="149"/>
      <c r="DF13" s="149"/>
      <c r="DG13" s="149"/>
      <c r="DH13" s="149"/>
      <c r="DI13" s="149"/>
      <c r="DJ13" s="150"/>
      <c r="DK13" s="149"/>
      <c r="DL13" s="149"/>
      <c r="DM13" s="149"/>
      <c r="DN13" s="149"/>
      <c r="DO13" s="149"/>
      <c r="DP13" s="150"/>
      <c r="DQ13" s="149"/>
      <c r="DR13" s="149"/>
      <c r="DS13" s="149"/>
      <c r="DT13" s="149"/>
      <c r="DU13" s="149"/>
      <c r="DV13" s="150"/>
      <c r="DW13" s="149"/>
      <c r="DX13" s="149"/>
      <c r="DY13" s="149"/>
      <c r="DZ13" s="149"/>
      <c r="EA13" s="149"/>
      <c r="EB13" s="150"/>
      <c r="EC13" s="149"/>
      <c r="ED13" s="149"/>
      <c r="EE13" s="149"/>
      <c r="EF13" s="149"/>
      <c r="EG13" s="149"/>
      <c r="EH13" s="150"/>
      <c r="EI13" s="149"/>
      <c r="EJ13" s="149"/>
      <c r="EK13" s="149"/>
      <c r="EL13" s="149"/>
      <c r="EM13" s="149"/>
      <c r="EN13" s="150"/>
      <c r="EO13" s="149"/>
      <c r="EP13" s="149"/>
      <c r="EQ13" s="149"/>
      <c r="ER13" s="149"/>
      <c r="ES13" s="149"/>
      <c r="ET13" s="150"/>
      <c r="EU13" s="149"/>
      <c r="EV13" s="149"/>
      <c r="EW13" s="149"/>
      <c r="EX13" s="149"/>
      <c r="EY13" s="149"/>
      <c r="EZ13" s="150"/>
      <c r="FA13" s="149"/>
      <c r="FB13" s="149"/>
      <c r="FC13" s="149"/>
      <c r="FD13" s="149"/>
      <c r="FE13" s="149"/>
      <c r="FF13" s="150"/>
      <c r="FG13" s="149"/>
      <c r="FH13" s="149"/>
      <c r="FI13" s="149"/>
      <c r="FJ13" s="149"/>
      <c r="FK13" s="149"/>
      <c r="FL13" s="150"/>
      <c r="FM13" s="149"/>
      <c r="FN13" s="149"/>
      <c r="FO13" s="149"/>
      <c r="FP13" s="149"/>
      <c r="FQ13" s="149"/>
      <c r="FR13" s="150"/>
      <c r="FS13" s="149"/>
      <c r="FT13" s="149"/>
      <c r="FU13" s="149"/>
      <c r="FV13" s="149"/>
      <c r="FW13" s="149"/>
      <c r="FX13" s="150"/>
      <c r="FY13" s="149"/>
      <c r="FZ13" s="149"/>
      <c r="GA13" s="149"/>
      <c r="GB13" s="149"/>
      <c r="GC13" s="149"/>
      <c r="GD13" s="150"/>
      <c r="GE13" s="149"/>
      <c r="GF13" s="149"/>
      <c r="GG13" s="149"/>
      <c r="GH13" s="149"/>
      <c r="GI13" s="149"/>
      <c r="GJ13" s="150"/>
      <c r="GK13" s="149"/>
      <c r="GL13" s="149"/>
      <c r="GM13" s="149"/>
      <c r="GN13" s="149"/>
      <c r="GO13" s="149"/>
      <c r="GP13" s="150"/>
      <c r="GQ13" s="149"/>
      <c r="GR13" s="149"/>
      <c r="GS13" s="149"/>
      <c r="GT13" s="149"/>
      <c r="GU13" s="149"/>
      <c r="GV13" s="150"/>
      <c r="GW13" s="149"/>
      <c r="GX13" s="149"/>
      <c r="GY13" s="149"/>
      <c r="GZ13" s="149"/>
      <c r="HA13" s="149"/>
      <c r="HB13" s="150"/>
      <c r="HC13" s="149"/>
      <c r="HD13" s="149"/>
      <c r="HE13" s="149"/>
      <c r="HF13" s="149"/>
      <c r="HG13" s="149"/>
      <c r="HH13" s="150"/>
      <c r="HI13" s="149"/>
      <c r="HJ13" s="149"/>
      <c r="HK13" s="149"/>
      <c r="HL13" s="149"/>
      <c r="HM13" s="149"/>
      <c r="HN13" s="150"/>
      <c r="HO13" s="149"/>
      <c r="HP13" s="149"/>
      <c r="HQ13" s="149"/>
      <c r="HR13" s="149"/>
      <c r="HS13" s="149"/>
      <c r="HT13" s="150"/>
      <c r="HU13" s="149"/>
      <c r="HV13" s="149"/>
      <c r="HW13" s="149"/>
      <c r="HX13" s="149"/>
      <c r="HY13" s="149"/>
      <c r="HZ13" s="150"/>
      <c r="IA13" s="149"/>
      <c r="IB13" s="149"/>
      <c r="IC13" s="149"/>
      <c r="ID13" s="149"/>
      <c r="IE13" s="149"/>
      <c r="IF13" s="149"/>
      <c r="IG13" s="149"/>
      <c r="IH13" s="149"/>
      <c r="II13" s="149"/>
    </row>
    <row r="14">
      <c r="A14" s="149"/>
      <c r="B14" s="149"/>
      <c r="C14" s="149"/>
      <c r="D14" s="149"/>
      <c r="E14" s="149"/>
      <c r="F14" s="150"/>
      <c r="G14" s="149"/>
      <c r="H14" s="149"/>
      <c r="I14" s="149"/>
      <c r="J14" s="149"/>
      <c r="K14" s="149"/>
      <c r="L14" s="150"/>
      <c r="M14" s="149"/>
      <c r="N14" s="149"/>
      <c r="O14" s="149"/>
      <c r="P14" s="149"/>
      <c r="Q14" s="149"/>
      <c r="R14" s="150"/>
      <c r="S14" s="149"/>
      <c r="T14" s="149"/>
      <c r="U14" s="149"/>
      <c r="V14" s="149"/>
      <c r="W14" s="149"/>
      <c r="X14" s="150"/>
      <c r="Y14" s="149"/>
      <c r="Z14" s="149"/>
      <c r="AA14" s="149"/>
      <c r="AB14" s="149"/>
      <c r="AC14" s="149"/>
      <c r="AD14" s="150"/>
      <c r="AE14" s="149"/>
      <c r="AF14" s="149"/>
      <c r="AG14" s="149"/>
      <c r="AH14" s="149"/>
      <c r="AI14" s="149"/>
      <c r="AJ14" s="150"/>
      <c r="AK14" s="149"/>
      <c r="AL14" s="149"/>
      <c r="AM14" s="149"/>
      <c r="AN14" s="149"/>
      <c r="AO14" s="149"/>
      <c r="AP14" s="150"/>
      <c r="AQ14" s="149"/>
      <c r="AR14" s="149"/>
      <c r="AS14" s="149"/>
      <c r="AT14" s="149"/>
      <c r="AU14" s="149"/>
      <c r="AV14" s="150"/>
      <c r="AW14" s="149"/>
      <c r="AX14" s="149"/>
      <c r="AY14" s="149"/>
      <c r="AZ14" s="149"/>
      <c r="BA14" s="150"/>
      <c r="BB14" s="149"/>
      <c r="BC14" s="149"/>
      <c r="BD14" s="149"/>
      <c r="BE14" s="149"/>
      <c r="BF14" s="149"/>
      <c r="BG14" s="149"/>
      <c r="BH14" s="150"/>
      <c r="BI14" s="149"/>
      <c r="BJ14" s="149"/>
      <c r="BK14" s="149"/>
      <c r="BL14" s="149"/>
      <c r="BM14" s="149"/>
      <c r="BN14" s="150"/>
      <c r="BO14" s="149"/>
      <c r="BP14" s="149"/>
      <c r="BQ14" s="149"/>
      <c r="BR14" s="149"/>
      <c r="BS14" s="149"/>
      <c r="BT14" s="150"/>
      <c r="BU14" s="149"/>
      <c r="BV14" s="149"/>
      <c r="BW14" s="149"/>
      <c r="BX14" s="149"/>
      <c r="BY14" s="149"/>
      <c r="BZ14" s="150"/>
      <c r="CA14" s="149"/>
      <c r="CB14" s="149"/>
      <c r="CC14" s="149"/>
      <c r="CD14" s="149"/>
      <c r="CE14" s="149"/>
      <c r="CF14" s="150"/>
      <c r="CG14" s="149"/>
      <c r="CH14" s="149"/>
      <c r="CI14" s="149"/>
      <c r="CJ14" s="149"/>
      <c r="CK14" s="149"/>
      <c r="CL14" s="150"/>
      <c r="CM14" s="149"/>
      <c r="CN14" s="149"/>
      <c r="CO14" s="149"/>
      <c r="CP14" s="149"/>
      <c r="CQ14" s="149"/>
      <c r="CR14" s="150"/>
      <c r="CS14" s="149"/>
      <c r="CT14" s="149"/>
      <c r="CU14" s="149"/>
      <c r="CV14" s="149"/>
      <c r="CW14" s="149"/>
      <c r="CX14" s="150"/>
      <c r="CY14" s="149"/>
      <c r="CZ14" s="149"/>
      <c r="DA14" s="149"/>
      <c r="DB14" s="149"/>
      <c r="DC14" s="149"/>
      <c r="DD14" s="150"/>
      <c r="DE14" s="149"/>
      <c r="DF14" s="149"/>
      <c r="DG14" s="149"/>
      <c r="DH14" s="149"/>
      <c r="DI14" s="149"/>
      <c r="DJ14" s="150"/>
      <c r="DK14" s="149"/>
      <c r="DL14" s="149"/>
      <c r="DM14" s="149"/>
      <c r="DN14" s="149"/>
      <c r="DO14" s="149"/>
      <c r="DP14" s="150"/>
      <c r="DQ14" s="149"/>
      <c r="DR14" s="149"/>
      <c r="DS14" s="149"/>
      <c r="DT14" s="149"/>
      <c r="DU14" s="149"/>
      <c r="DV14" s="150"/>
      <c r="DW14" s="149"/>
      <c r="DX14" s="149"/>
      <c r="DY14" s="149"/>
      <c r="DZ14" s="149"/>
      <c r="EA14" s="149"/>
      <c r="EB14" s="150"/>
      <c r="EC14" s="149"/>
      <c r="ED14" s="149"/>
      <c r="EE14" s="149"/>
      <c r="EF14" s="149"/>
      <c r="EG14" s="149"/>
      <c r="EH14" s="150"/>
      <c r="EI14" s="149"/>
      <c r="EJ14" s="149"/>
      <c r="EK14" s="149"/>
      <c r="EL14" s="149"/>
      <c r="EM14" s="149"/>
      <c r="EN14" s="150"/>
      <c r="EO14" s="149"/>
      <c r="EP14" s="149"/>
      <c r="EQ14" s="149"/>
      <c r="ER14" s="149"/>
      <c r="ES14" s="149"/>
      <c r="ET14" s="150"/>
      <c r="EU14" s="149"/>
      <c r="EV14" s="149"/>
      <c r="EW14" s="149"/>
      <c r="EX14" s="149"/>
      <c r="EY14" s="149"/>
      <c r="EZ14" s="150"/>
      <c r="FA14" s="149"/>
      <c r="FB14" s="149"/>
      <c r="FC14" s="149"/>
      <c r="FD14" s="149"/>
      <c r="FE14" s="149"/>
      <c r="FF14" s="150"/>
      <c r="FG14" s="149"/>
      <c r="FH14" s="149"/>
      <c r="FI14" s="149"/>
      <c r="FJ14" s="149"/>
      <c r="FK14" s="149"/>
      <c r="FL14" s="150"/>
      <c r="FM14" s="149"/>
      <c r="FN14" s="149"/>
      <c r="FO14" s="149"/>
      <c r="FP14" s="149"/>
      <c r="FQ14" s="149"/>
      <c r="FR14" s="150"/>
      <c r="FS14" s="149"/>
      <c r="FT14" s="149"/>
      <c r="FU14" s="149"/>
      <c r="FV14" s="149"/>
      <c r="FW14" s="149"/>
      <c r="FX14" s="150"/>
      <c r="FY14" s="149"/>
      <c r="FZ14" s="149"/>
      <c r="GA14" s="149"/>
      <c r="GB14" s="149"/>
      <c r="GC14" s="149"/>
      <c r="GD14" s="150"/>
      <c r="GE14" s="149"/>
      <c r="GF14" s="149"/>
      <c r="GG14" s="149"/>
      <c r="GH14" s="149"/>
      <c r="GI14" s="149"/>
      <c r="GJ14" s="150"/>
      <c r="GK14" s="149"/>
      <c r="GL14" s="149"/>
      <c r="GM14" s="149"/>
      <c r="GN14" s="149"/>
      <c r="GO14" s="149"/>
      <c r="GP14" s="150"/>
      <c r="GQ14" s="149"/>
      <c r="GR14" s="149"/>
      <c r="GS14" s="149"/>
      <c r="GT14" s="149"/>
      <c r="GU14" s="149"/>
      <c r="GV14" s="150"/>
      <c r="GW14" s="149"/>
      <c r="GX14" s="149"/>
      <c r="GY14" s="149"/>
      <c r="GZ14" s="149"/>
      <c r="HA14" s="149"/>
      <c r="HB14" s="150"/>
      <c r="HC14" s="149"/>
      <c r="HD14" s="149"/>
      <c r="HE14" s="149"/>
      <c r="HF14" s="149"/>
      <c r="HG14" s="149"/>
      <c r="HH14" s="150"/>
      <c r="HI14" s="149"/>
      <c r="HJ14" s="149"/>
      <c r="HK14" s="149"/>
      <c r="HL14" s="149"/>
      <c r="HM14" s="149"/>
      <c r="HN14" s="150"/>
      <c r="HO14" s="149"/>
      <c r="HP14" s="149"/>
      <c r="HQ14" s="149"/>
      <c r="HR14" s="149"/>
      <c r="HS14" s="149"/>
      <c r="HT14" s="150"/>
      <c r="HU14" s="149"/>
      <c r="HV14" s="149"/>
      <c r="HW14" s="149"/>
      <c r="HX14" s="149"/>
      <c r="HY14" s="149"/>
      <c r="HZ14" s="150"/>
      <c r="IA14" s="149"/>
      <c r="IB14" s="149"/>
      <c r="IC14" s="149"/>
      <c r="ID14" s="149"/>
      <c r="IE14" s="149"/>
      <c r="IF14" s="149"/>
      <c r="IG14" s="149"/>
      <c r="IH14" s="149"/>
      <c r="II14" s="149"/>
    </row>
    <row r="15">
      <c r="A15" s="149"/>
      <c r="B15" s="149"/>
      <c r="C15" s="149"/>
      <c r="D15" s="149"/>
      <c r="E15" s="149"/>
      <c r="F15" s="150"/>
      <c r="G15" s="149"/>
      <c r="H15" s="149"/>
      <c r="I15" s="149"/>
      <c r="J15" s="149"/>
      <c r="K15" s="149"/>
      <c r="L15" s="150"/>
      <c r="M15" s="149"/>
      <c r="N15" s="149"/>
      <c r="O15" s="149"/>
      <c r="P15" s="149"/>
      <c r="Q15" s="149"/>
      <c r="R15" s="150"/>
      <c r="S15" s="149"/>
      <c r="T15" s="149"/>
      <c r="U15" s="149"/>
      <c r="V15" s="149"/>
      <c r="W15" s="149"/>
      <c r="X15" s="150"/>
      <c r="Y15" s="149"/>
      <c r="Z15" s="149"/>
      <c r="AA15" s="149"/>
      <c r="AB15" s="149"/>
      <c r="AC15" s="149"/>
      <c r="AD15" s="150"/>
      <c r="AE15" s="149"/>
      <c r="AF15" s="149"/>
      <c r="AG15" s="149"/>
      <c r="AH15" s="149"/>
      <c r="AI15" s="149"/>
      <c r="AJ15" s="150"/>
      <c r="AK15" s="149"/>
      <c r="AL15" s="149"/>
      <c r="AM15" s="149"/>
      <c r="AN15" s="149"/>
      <c r="AO15" s="149"/>
      <c r="AP15" s="150"/>
      <c r="AQ15" s="149"/>
      <c r="AR15" s="149"/>
      <c r="AS15" s="149"/>
      <c r="AT15" s="149"/>
      <c r="AU15" s="149"/>
      <c r="AV15" s="150"/>
      <c r="AW15" s="149"/>
      <c r="AX15" s="149"/>
      <c r="AY15" s="149"/>
      <c r="AZ15" s="149"/>
      <c r="BA15" s="150"/>
      <c r="BB15" s="149"/>
      <c r="BC15" s="149"/>
      <c r="BD15" s="149"/>
      <c r="BE15" s="149"/>
      <c r="BF15" s="149"/>
      <c r="BG15" s="149"/>
      <c r="BH15" s="150"/>
      <c r="BI15" s="149"/>
      <c r="BJ15" s="149"/>
      <c r="BK15" s="149"/>
      <c r="BL15" s="149"/>
      <c r="BM15" s="149"/>
      <c r="BN15" s="150"/>
      <c r="BO15" s="149"/>
      <c r="BP15" s="149"/>
      <c r="BQ15" s="149"/>
      <c r="BR15" s="149"/>
      <c r="BS15" s="149"/>
      <c r="BT15" s="150"/>
      <c r="BU15" s="149"/>
      <c r="BV15" s="149"/>
      <c r="BW15" s="149"/>
      <c r="BX15" s="149"/>
      <c r="BY15" s="149"/>
      <c r="BZ15" s="150"/>
      <c r="CA15" s="149"/>
      <c r="CB15" s="149"/>
      <c r="CC15" s="149"/>
      <c r="CD15" s="149"/>
      <c r="CE15" s="149"/>
      <c r="CF15" s="150"/>
      <c r="CG15" s="149"/>
      <c r="CH15" s="149"/>
      <c r="CI15" s="149"/>
      <c r="CJ15" s="149"/>
      <c r="CK15" s="149"/>
      <c r="CL15" s="150"/>
      <c r="CM15" s="149"/>
      <c r="CN15" s="149"/>
      <c r="CO15" s="149"/>
      <c r="CP15" s="149"/>
      <c r="CQ15" s="149"/>
      <c r="CR15" s="150"/>
      <c r="CS15" s="149"/>
      <c r="CT15" s="149"/>
      <c r="CU15" s="149"/>
      <c r="CV15" s="149"/>
      <c r="CW15" s="149"/>
      <c r="CX15" s="150"/>
      <c r="CY15" s="149"/>
      <c r="CZ15" s="149"/>
      <c r="DA15" s="149"/>
      <c r="DB15" s="149"/>
      <c r="DC15" s="149"/>
      <c r="DD15" s="150"/>
      <c r="DE15" s="149"/>
      <c r="DF15" s="149"/>
      <c r="DG15" s="149"/>
      <c r="DH15" s="149"/>
      <c r="DI15" s="149"/>
      <c r="DJ15" s="150"/>
      <c r="DK15" s="149"/>
      <c r="DL15" s="149"/>
      <c r="DM15" s="149"/>
      <c r="DN15" s="149"/>
      <c r="DO15" s="149"/>
      <c r="DP15" s="150"/>
      <c r="DQ15" s="149"/>
      <c r="DR15" s="149"/>
      <c r="DS15" s="149"/>
      <c r="DT15" s="149"/>
      <c r="DU15" s="149"/>
      <c r="DV15" s="150"/>
      <c r="DW15" s="149"/>
      <c r="DX15" s="149"/>
      <c r="DY15" s="149"/>
      <c r="DZ15" s="149"/>
      <c r="EA15" s="149"/>
      <c r="EB15" s="150"/>
      <c r="EC15" s="149"/>
      <c r="ED15" s="149"/>
      <c r="EE15" s="149"/>
      <c r="EF15" s="149"/>
      <c r="EG15" s="149"/>
      <c r="EH15" s="150"/>
      <c r="EI15" s="149"/>
      <c r="EJ15" s="149"/>
      <c r="EK15" s="149"/>
      <c r="EL15" s="149"/>
      <c r="EM15" s="149"/>
      <c r="EN15" s="150"/>
      <c r="EO15" s="149"/>
      <c r="EP15" s="149"/>
      <c r="EQ15" s="149"/>
      <c r="ER15" s="149"/>
      <c r="ES15" s="149"/>
      <c r="ET15" s="150"/>
      <c r="EU15" s="149"/>
      <c r="EV15" s="149"/>
      <c r="EW15" s="149"/>
      <c r="EX15" s="149"/>
      <c r="EY15" s="149"/>
      <c r="EZ15" s="150"/>
      <c r="FA15" s="149"/>
      <c r="FB15" s="149"/>
      <c r="FC15" s="149"/>
      <c r="FD15" s="149"/>
      <c r="FE15" s="149"/>
      <c r="FF15" s="150"/>
      <c r="FG15" s="149"/>
      <c r="FH15" s="149"/>
      <c r="FI15" s="149"/>
      <c r="FJ15" s="149"/>
      <c r="FK15" s="149"/>
      <c r="FL15" s="150"/>
      <c r="FM15" s="149"/>
      <c r="FN15" s="149"/>
      <c r="FO15" s="149"/>
      <c r="FP15" s="149"/>
      <c r="FQ15" s="149"/>
      <c r="FR15" s="150"/>
      <c r="FS15" s="149"/>
      <c r="FT15" s="149"/>
      <c r="FU15" s="149"/>
      <c r="FV15" s="149"/>
      <c r="FW15" s="149"/>
      <c r="FX15" s="150"/>
      <c r="FY15" s="149"/>
      <c r="FZ15" s="149"/>
      <c r="GA15" s="149"/>
      <c r="GB15" s="149"/>
      <c r="GC15" s="149"/>
      <c r="GD15" s="150"/>
      <c r="GE15" s="149"/>
      <c r="GF15" s="149"/>
      <c r="GG15" s="149"/>
      <c r="GH15" s="149"/>
      <c r="GI15" s="149"/>
      <c r="GJ15" s="150"/>
      <c r="GK15" s="149"/>
      <c r="GL15" s="149"/>
      <c r="GM15" s="149"/>
      <c r="GN15" s="149"/>
      <c r="GO15" s="149"/>
      <c r="GP15" s="150"/>
      <c r="GQ15" s="149"/>
      <c r="GR15" s="149"/>
      <c r="GS15" s="149"/>
      <c r="GT15" s="149"/>
      <c r="GU15" s="149"/>
      <c r="GV15" s="150"/>
      <c r="GW15" s="149"/>
      <c r="GX15" s="149"/>
      <c r="GY15" s="149"/>
      <c r="GZ15" s="149"/>
      <c r="HA15" s="149"/>
      <c r="HB15" s="150"/>
      <c r="HC15" s="149"/>
      <c r="HD15" s="149"/>
      <c r="HE15" s="149"/>
      <c r="HF15" s="149"/>
      <c r="HG15" s="149"/>
      <c r="HH15" s="150"/>
      <c r="HI15" s="149"/>
      <c r="HJ15" s="149"/>
      <c r="HK15" s="149"/>
      <c r="HL15" s="149"/>
      <c r="HM15" s="149"/>
      <c r="HN15" s="150"/>
      <c r="HO15" s="149"/>
      <c r="HP15" s="149"/>
      <c r="HQ15" s="149"/>
      <c r="HR15" s="149"/>
      <c r="HS15" s="149"/>
      <c r="HT15" s="150"/>
      <c r="HU15" s="149"/>
      <c r="HV15" s="149"/>
      <c r="HW15" s="149"/>
      <c r="HX15" s="149"/>
      <c r="HY15" s="149"/>
      <c r="HZ15" s="150"/>
      <c r="IA15" s="149"/>
      <c r="IB15" s="149"/>
      <c r="IC15" s="149"/>
      <c r="ID15" s="149"/>
      <c r="IE15" s="149"/>
      <c r="IF15" s="149"/>
      <c r="IG15" s="149"/>
      <c r="IH15" s="149"/>
      <c r="II15" s="149"/>
    </row>
    <row r="16">
      <c r="A16" s="149"/>
      <c r="B16" s="149"/>
      <c r="C16" s="149"/>
      <c r="D16" s="149"/>
      <c r="E16" s="149"/>
      <c r="F16" s="150"/>
      <c r="G16" s="149"/>
      <c r="H16" s="149"/>
      <c r="I16" s="149"/>
      <c r="J16" s="149"/>
      <c r="K16" s="149"/>
      <c r="L16" s="150"/>
      <c r="M16" s="149"/>
      <c r="N16" s="149"/>
      <c r="O16" s="149"/>
      <c r="P16" s="149"/>
      <c r="Q16" s="149"/>
      <c r="R16" s="150"/>
      <c r="S16" s="149"/>
      <c r="T16" s="149"/>
      <c r="U16" s="149"/>
      <c r="V16" s="149"/>
      <c r="W16" s="149"/>
      <c r="X16" s="150"/>
      <c r="Y16" s="149"/>
      <c r="Z16" s="149"/>
      <c r="AA16" s="149"/>
      <c r="AB16" s="149"/>
      <c r="AC16" s="149"/>
      <c r="AD16" s="150"/>
      <c r="AE16" s="149"/>
      <c r="AF16" s="149"/>
      <c r="AG16" s="149"/>
      <c r="AH16" s="149"/>
      <c r="AI16" s="149"/>
      <c r="AJ16" s="150"/>
      <c r="AK16" s="149"/>
      <c r="AL16" s="149"/>
      <c r="AM16" s="149"/>
      <c r="AN16" s="149"/>
      <c r="AO16" s="149"/>
      <c r="AP16" s="150"/>
      <c r="AQ16" s="149"/>
      <c r="AR16" s="149"/>
      <c r="AS16" s="149"/>
      <c r="AT16" s="149"/>
      <c r="AU16" s="149"/>
      <c r="AV16" s="150"/>
      <c r="AW16" s="149"/>
      <c r="AX16" s="149"/>
      <c r="AY16" s="149"/>
      <c r="AZ16" s="149"/>
      <c r="BA16" s="150"/>
      <c r="BB16" s="149"/>
      <c r="BC16" s="149"/>
      <c r="BD16" s="149"/>
      <c r="BE16" s="149"/>
      <c r="BF16" s="149"/>
      <c r="BG16" s="149"/>
      <c r="BH16" s="150"/>
      <c r="BI16" s="149"/>
      <c r="BJ16" s="149"/>
      <c r="BK16" s="149"/>
      <c r="BL16" s="149"/>
      <c r="BM16" s="149"/>
      <c r="BN16" s="150"/>
      <c r="BO16" s="149"/>
      <c r="BP16" s="149"/>
      <c r="BQ16" s="149"/>
      <c r="BR16" s="149"/>
      <c r="BS16" s="149"/>
      <c r="BT16" s="150"/>
      <c r="BU16" s="149"/>
      <c r="BV16" s="149"/>
      <c r="BW16" s="149"/>
      <c r="BX16" s="149"/>
      <c r="BY16" s="149"/>
      <c r="BZ16" s="150"/>
      <c r="CA16" s="149"/>
      <c r="CB16" s="149"/>
      <c r="CC16" s="149"/>
      <c r="CD16" s="149"/>
      <c r="CE16" s="149"/>
      <c r="CF16" s="150"/>
      <c r="CG16" s="149"/>
      <c r="CH16" s="149"/>
      <c r="CI16" s="149"/>
      <c r="CJ16" s="149"/>
      <c r="CK16" s="149"/>
      <c r="CL16" s="150"/>
      <c r="CM16" s="149"/>
      <c r="CN16" s="149"/>
      <c r="CO16" s="149"/>
      <c r="CP16" s="149"/>
      <c r="CQ16" s="149"/>
      <c r="CR16" s="150"/>
      <c r="CS16" s="149"/>
      <c r="CT16" s="149"/>
      <c r="CU16" s="149"/>
      <c r="CV16" s="149"/>
      <c r="CW16" s="149"/>
      <c r="CX16" s="150"/>
      <c r="CY16" s="149"/>
      <c r="CZ16" s="149"/>
      <c r="DA16" s="149"/>
      <c r="DB16" s="149"/>
      <c r="DC16" s="149"/>
      <c r="DD16" s="150"/>
      <c r="DE16" s="149"/>
      <c r="DF16" s="149"/>
      <c r="DG16" s="149"/>
      <c r="DH16" s="149"/>
      <c r="DI16" s="149"/>
      <c r="DJ16" s="150"/>
      <c r="DK16" s="149"/>
      <c r="DL16" s="149"/>
      <c r="DM16" s="149"/>
      <c r="DN16" s="149"/>
      <c r="DO16" s="149"/>
      <c r="DP16" s="150"/>
      <c r="DQ16" s="149"/>
      <c r="DR16" s="149"/>
      <c r="DS16" s="149"/>
      <c r="DT16" s="149"/>
      <c r="DU16" s="149"/>
      <c r="DV16" s="150"/>
      <c r="DW16" s="149"/>
      <c r="DX16" s="149"/>
      <c r="DY16" s="149"/>
      <c r="DZ16" s="149"/>
      <c r="EA16" s="149"/>
      <c r="EB16" s="150"/>
      <c r="EC16" s="149"/>
      <c r="ED16" s="149"/>
      <c r="EE16" s="149"/>
      <c r="EF16" s="149"/>
      <c r="EG16" s="149"/>
      <c r="EH16" s="150"/>
      <c r="EI16" s="149"/>
      <c r="EJ16" s="149"/>
      <c r="EK16" s="149"/>
      <c r="EL16" s="149"/>
      <c r="EM16" s="149"/>
      <c r="EN16" s="150"/>
      <c r="EO16" s="149"/>
      <c r="EP16" s="149"/>
      <c r="EQ16" s="149"/>
      <c r="ER16" s="149"/>
      <c r="ES16" s="149"/>
      <c r="ET16" s="150"/>
      <c r="EU16" s="149"/>
      <c r="EV16" s="149"/>
      <c r="EW16" s="149"/>
      <c r="EX16" s="149"/>
      <c r="EY16" s="149"/>
      <c r="EZ16" s="150"/>
      <c r="FA16" s="149"/>
      <c r="FB16" s="149"/>
      <c r="FC16" s="149"/>
      <c r="FD16" s="149"/>
      <c r="FE16" s="149"/>
      <c r="FF16" s="150"/>
      <c r="FG16" s="149"/>
      <c r="FH16" s="149"/>
      <c r="FI16" s="149"/>
      <c r="FJ16" s="149"/>
      <c r="FK16" s="149"/>
      <c r="FL16" s="150"/>
      <c r="FM16" s="149"/>
      <c r="FN16" s="149"/>
      <c r="FO16" s="149"/>
      <c r="FP16" s="149"/>
      <c r="FQ16" s="149"/>
      <c r="FR16" s="150"/>
      <c r="FS16" s="149"/>
      <c r="FT16" s="149"/>
      <c r="FU16" s="149"/>
      <c r="FV16" s="149"/>
      <c r="FW16" s="149"/>
      <c r="FX16" s="150"/>
      <c r="FY16" s="149"/>
      <c r="FZ16" s="149"/>
      <c r="GA16" s="149"/>
      <c r="GB16" s="149"/>
      <c r="GC16" s="149"/>
      <c r="GD16" s="150"/>
      <c r="GE16" s="149"/>
      <c r="GF16" s="149"/>
      <c r="GG16" s="149"/>
      <c r="GH16" s="149"/>
      <c r="GI16" s="149"/>
      <c r="GJ16" s="150"/>
      <c r="GK16" s="149"/>
      <c r="GL16" s="149"/>
      <c r="GM16" s="149"/>
      <c r="GN16" s="149"/>
      <c r="GO16" s="149"/>
      <c r="GP16" s="150"/>
      <c r="GQ16" s="149"/>
      <c r="GR16" s="149"/>
      <c r="GS16" s="149"/>
      <c r="GT16" s="149"/>
      <c r="GU16" s="149"/>
      <c r="GV16" s="150"/>
      <c r="GW16" s="149"/>
      <c r="GX16" s="149"/>
      <c r="GY16" s="149"/>
      <c r="GZ16" s="149"/>
      <c r="HA16" s="149"/>
      <c r="HB16" s="150"/>
      <c r="HC16" s="149"/>
      <c r="HD16" s="149"/>
      <c r="HE16" s="149"/>
      <c r="HF16" s="149"/>
      <c r="HG16" s="149"/>
      <c r="HH16" s="150"/>
      <c r="HI16" s="149"/>
      <c r="HJ16" s="149"/>
      <c r="HK16" s="149"/>
      <c r="HL16" s="149"/>
      <c r="HM16" s="149"/>
      <c r="HN16" s="150"/>
      <c r="HO16" s="149"/>
      <c r="HP16" s="149"/>
      <c r="HQ16" s="149"/>
      <c r="HR16" s="149"/>
      <c r="HS16" s="149"/>
      <c r="HT16" s="150"/>
      <c r="HU16" s="149"/>
      <c r="HV16" s="149"/>
      <c r="HW16" s="149"/>
      <c r="HX16" s="149"/>
      <c r="HY16" s="149"/>
      <c r="HZ16" s="150"/>
      <c r="IA16" s="149"/>
      <c r="IB16" s="149"/>
      <c r="IC16" s="149"/>
      <c r="ID16" s="149"/>
      <c r="IE16" s="149"/>
      <c r="IF16" s="149"/>
      <c r="IG16" s="149"/>
      <c r="IH16" s="149"/>
      <c r="II16" s="149"/>
    </row>
    <row r="17">
      <c r="A17" s="149"/>
      <c r="B17" s="149"/>
      <c r="C17" s="149"/>
      <c r="D17" s="149"/>
      <c r="E17" s="149"/>
      <c r="F17" s="150"/>
      <c r="G17" s="149"/>
      <c r="H17" s="149"/>
      <c r="I17" s="149"/>
      <c r="J17" s="149"/>
      <c r="K17" s="149"/>
      <c r="L17" s="150"/>
      <c r="M17" s="149"/>
      <c r="N17" s="149"/>
      <c r="O17" s="149"/>
      <c r="P17" s="149"/>
      <c r="Q17" s="149"/>
      <c r="R17" s="150"/>
      <c r="S17" s="149"/>
      <c r="T17" s="149"/>
      <c r="U17" s="149"/>
      <c r="V17" s="149"/>
      <c r="W17" s="149"/>
      <c r="X17" s="150"/>
      <c r="Y17" s="149"/>
      <c r="Z17" s="149"/>
      <c r="AA17" s="149"/>
      <c r="AB17" s="149"/>
      <c r="AC17" s="149"/>
      <c r="AD17" s="150"/>
      <c r="AE17" s="149"/>
      <c r="AF17" s="149"/>
      <c r="AG17" s="149"/>
      <c r="AH17" s="149"/>
      <c r="AI17" s="149"/>
      <c r="AJ17" s="150"/>
      <c r="AK17" s="149"/>
      <c r="AL17" s="149"/>
      <c r="AM17" s="149"/>
      <c r="AN17" s="149"/>
      <c r="AO17" s="149"/>
      <c r="AP17" s="150"/>
      <c r="AQ17" s="149"/>
      <c r="AR17" s="149"/>
      <c r="AS17" s="149"/>
      <c r="AT17" s="149"/>
      <c r="AU17" s="149"/>
      <c r="AV17" s="150"/>
      <c r="AW17" s="149"/>
      <c r="AX17" s="149"/>
      <c r="AY17" s="149"/>
      <c r="AZ17" s="149"/>
      <c r="BA17" s="150"/>
      <c r="BB17" s="149"/>
      <c r="BC17" s="149"/>
      <c r="BD17" s="149"/>
      <c r="BE17" s="149"/>
      <c r="BF17" s="149"/>
      <c r="BG17" s="149"/>
      <c r="BH17" s="150"/>
      <c r="BI17" s="149"/>
      <c r="BJ17" s="149"/>
      <c r="BK17" s="149"/>
      <c r="BL17" s="149"/>
      <c r="BM17" s="149"/>
      <c r="BN17" s="150"/>
      <c r="BO17" s="149"/>
      <c r="BP17" s="149"/>
      <c r="BQ17" s="149"/>
      <c r="BR17" s="149"/>
      <c r="BS17" s="149"/>
      <c r="BT17" s="150"/>
      <c r="BU17" s="149"/>
      <c r="BV17" s="149"/>
      <c r="BW17" s="149"/>
      <c r="BX17" s="149"/>
      <c r="BY17" s="149"/>
      <c r="BZ17" s="150"/>
      <c r="CA17" s="149"/>
      <c r="CB17" s="149"/>
      <c r="CC17" s="149"/>
      <c r="CD17" s="149"/>
      <c r="CE17" s="149"/>
      <c r="CF17" s="150"/>
      <c r="CG17" s="149"/>
      <c r="CH17" s="149"/>
      <c r="CI17" s="149"/>
      <c r="CJ17" s="149"/>
      <c r="CK17" s="149"/>
      <c r="CL17" s="150"/>
      <c r="CM17" s="149"/>
      <c r="CN17" s="149"/>
      <c r="CO17" s="149"/>
      <c r="CP17" s="149"/>
      <c r="CQ17" s="149"/>
      <c r="CR17" s="150"/>
      <c r="CS17" s="149"/>
      <c r="CT17" s="149"/>
      <c r="CU17" s="149"/>
      <c r="CV17" s="149"/>
      <c r="CW17" s="149"/>
      <c r="CX17" s="150"/>
      <c r="CY17" s="149"/>
      <c r="CZ17" s="149"/>
      <c r="DA17" s="149"/>
      <c r="DB17" s="149"/>
      <c r="DC17" s="149"/>
      <c r="DD17" s="150"/>
      <c r="DE17" s="149"/>
      <c r="DF17" s="149"/>
      <c r="DG17" s="149"/>
      <c r="DH17" s="149"/>
      <c r="DI17" s="149"/>
      <c r="DJ17" s="150"/>
      <c r="DK17" s="149"/>
      <c r="DL17" s="149"/>
      <c r="DM17" s="149"/>
      <c r="DN17" s="149"/>
      <c r="DO17" s="149"/>
      <c r="DP17" s="150"/>
      <c r="DQ17" s="149"/>
      <c r="DR17" s="149"/>
      <c r="DS17" s="149"/>
      <c r="DT17" s="149"/>
      <c r="DU17" s="149"/>
      <c r="DV17" s="150"/>
      <c r="DW17" s="149"/>
      <c r="DX17" s="149"/>
      <c r="DY17" s="149"/>
      <c r="DZ17" s="149"/>
      <c r="EA17" s="149"/>
      <c r="EB17" s="150"/>
      <c r="EC17" s="149"/>
      <c r="ED17" s="149"/>
      <c r="EE17" s="149"/>
      <c r="EF17" s="149"/>
      <c r="EG17" s="149"/>
      <c r="EH17" s="150"/>
      <c r="EI17" s="149"/>
      <c r="EJ17" s="149"/>
      <c r="EK17" s="149"/>
      <c r="EL17" s="149"/>
      <c r="EM17" s="149"/>
      <c r="EN17" s="150"/>
      <c r="EO17" s="149"/>
      <c r="EP17" s="149"/>
      <c r="EQ17" s="149"/>
      <c r="ER17" s="149"/>
      <c r="ES17" s="149"/>
      <c r="ET17" s="150"/>
      <c r="EU17" s="149"/>
      <c r="EV17" s="149"/>
      <c r="EW17" s="149"/>
      <c r="EX17" s="149"/>
      <c r="EY17" s="149"/>
      <c r="EZ17" s="150"/>
      <c r="FA17" s="149"/>
      <c r="FB17" s="149"/>
      <c r="FC17" s="149"/>
      <c r="FD17" s="149"/>
      <c r="FE17" s="149"/>
      <c r="FF17" s="150"/>
      <c r="FG17" s="149"/>
      <c r="FH17" s="149"/>
      <c r="FI17" s="149"/>
      <c r="FJ17" s="149"/>
      <c r="FK17" s="149"/>
      <c r="FL17" s="150"/>
      <c r="FM17" s="149"/>
      <c r="FN17" s="149"/>
      <c r="FO17" s="149"/>
      <c r="FP17" s="149"/>
      <c r="FQ17" s="149"/>
      <c r="FR17" s="150"/>
      <c r="FS17" s="149"/>
      <c r="FT17" s="149"/>
      <c r="FU17" s="149"/>
      <c r="FV17" s="149"/>
      <c r="FW17" s="149"/>
      <c r="FX17" s="150"/>
      <c r="FY17" s="149"/>
      <c r="FZ17" s="149"/>
      <c r="GA17" s="149"/>
      <c r="GB17" s="149"/>
      <c r="GC17" s="149"/>
      <c r="GD17" s="150"/>
      <c r="GE17" s="149"/>
      <c r="GF17" s="149"/>
      <c r="GG17" s="149"/>
      <c r="GH17" s="149"/>
      <c r="GI17" s="149"/>
      <c r="GJ17" s="150"/>
      <c r="GK17" s="149"/>
      <c r="GL17" s="149"/>
      <c r="GM17" s="149"/>
      <c r="GN17" s="149"/>
      <c r="GO17" s="149"/>
      <c r="GP17" s="150"/>
      <c r="GQ17" s="149"/>
      <c r="GR17" s="149"/>
      <c r="GS17" s="149"/>
      <c r="GT17" s="149"/>
      <c r="GU17" s="149"/>
      <c r="GV17" s="150"/>
      <c r="GW17" s="149"/>
      <c r="GX17" s="149"/>
      <c r="GY17" s="149"/>
      <c r="GZ17" s="149"/>
      <c r="HA17" s="149"/>
      <c r="HB17" s="150"/>
      <c r="HC17" s="149"/>
      <c r="HD17" s="149"/>
      <c r="HE17" s="149"/>
      <c r="HF17" s="149"/>
      <c r="HG17" s="149"/>
      <c r="HH17" s="150"/>
      <c r="HI17" s="149"/>
      <c r="HJ17" s="149"/>
      <c r="HK17" s="149"/>
      <c r="HL17" s="149"/>
      <c r="HM17" s="149"/>
      <c r="HN17" s="150"/>
      <c r="HO17" s="149"/>
      <c r="HP17" s="149"/>
      <c r="HQ17" s="149"/>
      <c r="HR17" s="149"/>
      <c r="HS17" s="149"/>
      <c r="HT17" s="150"/>
      <c r="HU17" s="149"/>
      <c r="HV17" s="149"/>
      <c r="HW17" s="149"/>
      <c r="HX17" s="149"/>
      <c r="HY17" s="149"/>
      <c r="HZ17" s="150"/>
      <c r="IA17" s="149"/>
      <c r="IB17" s="149"/>
      <c r="IC17" s="149"/>
      <c r="ID17" s="149"/>
      <c r="IE17" s="149"/>
      <c r="IF17" s="149"/>
      <c r="IG17" s="149"/>
      <c r="IH17" s="149"/>
      <c r="II17" s="149"/>
    </row>
    <row r="18">
      <c r="A18" s="149"/>
      <c r="B18" s="149"/>
      <c r="C18" s="149"/>
      <c r="D18" s="149"/>
      <c r="E18" s="149"/>
      <c r="F18" s="150"/>
      <c r="G18" s="149"/>
      <c r="H18" s="149"/>
      <c r="I18" s="149"/>
      <c r="J18" s="149"/>
      <c r="K18" s="149"/>
      <c r="L18" s="150"/>
      <c r="M18" s="149"/>
      <c r="N18" s="149"/>
      <c r="O18" s="149"/>
      <c r="P18" s="149"/>
      <c r="Q18" s="149"/>
      <c r="R18" s="150"/>
      <c r="S18" s="149"/>
      <c r="T18" s="149"/>
      <c r="U18" s="149"/>
      <c r="V18" s="149"/>
      <c r="W18" s="149"/>
      <c r="X18" s="150"/>
      <c r="Y18" s="149"/>
      <c r="Z18" s="149"/>
      <c r="AA18" s="149"/>
      <c r="AB18" s="149"/>
      <c r="AC18" s="149"/>
      <c r="AD18" s="150"/>
      <c r="AE18" s="149"/>
      <c r="AF18" s="149"/>
      <c r="AG18" s="149"/>
      <c r="AH18" s="149"/>
      <c r="AI18" s="149"/>
      <c r="AJ18" s="150"/>
      <c r="AK18" s="149"/>
      <c r="AL18" s="149"/>
      <c r="AM18" s="149"/>
      <c r="AN18" s="149"/>
      <c r="AO18" s="149"/>
      <c r="AP18" s="150"/>
      <c r="AQ18" s="149"/>
      <c r="AR18" s="149"/>
      <c r="AS18" s="149"/>
      <c r="AT18" s="149"/>
      <c r="AU18" s="149"/>
      <c r="AV18" s="150"/>
      <c r="AW18" s="149"/>
      <c r="AX18" s="149"/>
      <c r="AY18" s="149"/>
      <c r="AZ18" s="149"/>
      <c r="BA18" s="150"/>
      <c r="BB18" s="149"/>
      <c r="BC18" s="149"/>
      <c r="BD18" s="149"/>
      <c r="BE18" s="149"/>
      <c r="BF18" s="149"/>
      <c r="BG18" s="149"/>
      <c r="BH18" s="150"/>
      <c r="BI18" s="149"/>
      <c r="BJ18" s="149"/>
      <c r="BK18" s="149"/>
      <c r="BL18" s="149"/>
      <c r="BM18" s="149"/>
      <c r="BN18" s="150"/>
      <c r="BO18" s="149"/>
      <c r="BP18" s="149"/>
      <c r="BQ18" s="149"/>
      <c r="BR18" s="149"/>
      <c r="BS18" s="149"/>
      <c r="BT18" s="150"/>
      <c r="BU18" s="149"/>
      <c r="BV18" s="149"/>
      <c r="BW18" s="149"/>
      <c r="BX18" s="149"/>
      <c r="BY18" s="149"/>
      <c r="BZ18" s="150"/>
      <c r="CA18" s="149"/>
      <c r="CB18" s="149"/>
      <c r="CC18" s="149"/>
      <c r="CD18" s="149"/>
      <c r="CE18" s="149"/>
      <c r="CF18" s="150"/>
      <c r="CG18" s="149"/>
      <c r="CH18" s="149"/>
      <c r="CI18" s="149"/>
      <c r="CJ18" s="149"/>
      <c r="CK18" s="149"/>
      <c r="CL18" s="150"/>
      <c r="CM18" s="149"/>
      <c r="CN18" s="149"/>
      <c r="CO18" s="149"/>
      <c r="CP18" s="149"/>
      <c r="CQ18" s="149"/>
      <c r="CR18" s="150"/>
      <c r="CS18" s="149"/>
      <c r="CT18" s="149"/>
      <c r="CU18" s="149"/>
      <c r="CV18" s="149"/>
      <c r="CW18" s="149"/>
      <c r="CX18" s="150"/>
      <c r="CY18" s="149"/>
      <c r="CZ18" s="149"/>
      <c r="DA18" s="149"/>
      <c r="DB18" s="149"/>
      <c r="DC18" s="149"/>
      <c r="DD18" s="150"/>
      <c r="DE18" s="149"/>
      <c r="DF18" s="149"/>
      <c r="DG18" s="149"/>
      <c r="DH18" s="149"/>
      <c r="DI18" s="149"/>
      <c r="DJ18" s="150"/>
      <c r="DK18" s="149"/>
      <c r="DL18" s="149"/>
      <c r="DM18" s="149"/>
      <c r="DN18" s="149"/>
      <c r="DO18" s="149"/>
      <c r="DP18" s="150"/>
      <c r="DQ18" s="149"/>
      <c r="DR18" s="149"/>
      <c r="DS18" s="149"/>
      <c r="DT18" s="149"/>
      <c r="DU18" s="149"/>
      <c r="DV18" s="150"/>
      <c r="DW18" s="149"/>
      <c r="DX18" s="149"/>
      <c r="DY18" s="149"/>
      <c r="DZ18" s="149"/>
      <c r="EA18" s="149"/>
      <c r="EB18" s="150"/>
      <c r="EC18" s="149"/>
      <c r="ED18" s="149"/>
      <c r="EE18" s="149"/>
      <c r="EF18" s="149"/>
      <c r="EG18" s="149"/>
      <c r="EH18" s="150"/>
      <c r="EI18" s="149"/>
      <c r="EJ18" s="149"/>
      <c r="EK18" s="149"/>
      <c r="EL18" s="149"/>
      <c r="EM18" s="149"/>
      <c r="EN18" s="150"/>
      <c r="EO18" s="149"/>
      <c r="EP18" s="149"/>
      <c r="EQ18" s="149"/>
      <c r="ER18" s="149"/>
      <c r="ES18" s="149"/>
      <c r="ET18" s="150"/>
      <c r="EU18" s="149"/>
      <c r="EV18" s="149"/>
      <c r="EW18" s="149"/>
      <c r="EX18" s="149"/>
      <c r="EY18" s="149"/>
      <c r="EZ18" s="150"/>
      <c r="FA18" s="149"/>
      <c r="FB18" s="149"/>
      <c r="FC18" s="149"/>
      <c r="FD18" s="149"/>
      <c r="FE18" s="149"/>
      <c r="FF18" s="150"/>
      <c r="FG18" s="149"/>
      <c r="FH18" s="149"/>
      <c r="FI18" s="149"/>
      <c r="FJ18" s="149"/>
      <c r="FK18" s="149"/>
      <c r="FL18" s="150"/>
      <c r="FM18" s="149"/>
      <c r="FN18" s="149"/>
      <c r="FO18" s="149"/>
      <c r="FP18" s="149"/>
      <c r="FQ18" s="149"/>
      <c r="FR18" s="150"/>
      <c r="FS18" s="149"/>
      <c r="FT18" s="149"/>
      <c r="FU18" s="149"/>
      <c r="FV18" s="149"/>
      <c r="FW18" s="149"/>
      <c r="FX18" s="150"/>
      <c r="FY18" s="149"/>
      <c r="FZ18" s="149"/>
      <c r="GA18" s="149"/>
      <c r="GB18" s="149"/>
      <c r="GC18" s="149"/>
      <c r="GD18" s="150"/>
      <c r="GE18" s="149"/>
      <c r="GF18" s="149"/>
      <c r="GG18" s="149"/>
      <c r="GH18" s="149"/>
      <c r="GI18" s="149"/>
      <c r="GJ18" s="150"/>
      <c r="GK18" s="149"/>
      <c r="GL18" s="149"/>
      <c r="GM18" s="149"/>
      <c r="GN18" s="149"/>
      <c r="GO18" s="149"/>
      <c r="GP18" s="150"/>
      <c r="GQ18" s="149"/>
      <c r="GR18" s="149"/>
      <c r="GS18" s="149"/>
      <c r="GT18" s="149"/>
      <c r="GU18" s="149"/>
      <c r="GV18" s="150"/>
      <c r="GW18" s="149"/>
      <c r="GX18" s="149"/>
      <c r="GY18" s="149"/>
      <c r="GZ18" s="149"/>
      <c r="HA18" s="149"/>
      <c r="HB18" s="150"/>
      <c r="HC18" s="149"/>
      <c r="HD18" s="149"/>
      <c r="HE18" s="149"/>
      <c r="HF18" s="149"/>
      <c r="HG18" s="149"/>
      <c r="HH18" s="150"/>
      <c r="HI18" s="149"/>
      <c r="HJ18" s="149"/>
      <c r="HK18" s="149"/>
      <c r="HL18" s="149"/>
      <c r="HM18" s="149"/>
      <c r="HN18" s="150"/>
      <c r="HO18" s="149"/>
      <c r="HP18" s="149"/>
      <c r="HQ18" s="149"/>
      <c r="HR18" s="149"/>
      <c r="HS18" s="149"/>
      <c r="HT18" s="150"/>
      <c r="HU18" s="149"/>
      <c r="HV18" s="149"/>
      <c r="HW18" s="149"/>
      <c r="HX18" s="149"/>
      <c r="HY18" s="149"/>
      <c r="HZ18" s="150"/>
      <c r="IA18" s="149"/>
      <c r="IB18" s="149"/>
      <c r="IC18" s="149"/>
      <c r="ID18" s="149"/>
      <c r="IE18" s="149"/>
      <c r="IF18" s="149"/>
      <c r="IG18" s="149"/>
      <c r="IH18" s="149"/>
      <c r="II18" s="149"/>
    </row>
    <row r="19">
      <c r="A19" s="149"/>
      <c r="B19" s="149"/>
      <c r="C19" s="149"/>
      <c r="D19" s="149"/>
      <c r="E19" s="149"/>
      <c r="F19" s="150"/>
      <c r="G19" s="149"/>
      <c r="H19" s="149"/>
      <c r="I19" s="149"/>
      <c r="J19" s="149"/>
      <c r="K19" s="149"/>
      <c r="L19" s="150"/>
      <c r="M19" s="149"/>
      <c r="N19" s="149"/>
      <c r="O19" s="149"/>
      <c r="P19" s="149"/>
      <c r="Q19" s="149"/>
      <c r="R19" s="150"/>
      <c r="S19" s="149"/>
      <c r="T19" s="149"/>
      <c r="U19" s="149"/>
      <c r="V19" s="149"/>
      <c r="W19" s="149"/>
      <c r="X19" s="150"/>
      <c r="Y19" s="149"/>
      <c r="Z19" s="149"/>
      <c r="AA19" s="149"/>
      <c r="AB19" s="149"/>
      <c r="AC19" s="149"/>
      <c r="AD19" s="150"/>
      <c r="AE19" s="149"/>
      <c r="AF19" s="149"/>
      <c r="AG19" s="149"/>
      <c r="AH19" s="149"/>
      <c r="AI19" s="149"/>
      <c r="AJ19" s="150"/>
      <c r="AK19" s="149"/>
      <c r="AL19" s="149"/>
      <c r="AM19" s="149"/>
      <c r="AN19" s="149"/>
      <c r="AO19" s="149"/>
      <c r="AP19" s="150"/>
      <c r="AQ19" s="149"/>
      <c r="AR19" s="149"/>
      <c r="AS19" s="149"/>
      <c r="AT19" s="149"/>
      <c r="AU19" s="149"/>
      <c r="AV19" s="150"/>
      <c r="AW19" s="149"/>
      <c r="AX19" s="149"/>
      <c r="AY19" s="149"/>
      <c r="AZ19" s="149"/>
      <c r="BA19" s="150"/>
      <c r="BB19" s="149"/>
      <c r="BC19" s="149"/>
      <c r="BD19" s="149"/>
      <c r="BE19" s="149"/>
      <c r="BF19" s="149"/>
      <c r="BG19" s="149"/>
      <c r="BH19" s="150"/>
      <c r="BI19" s="149"/>
      <c r="BJ19" s="149"/>
      <c r="BK19" s="149"/>
      <c r="BL19" s="149"/>
      <c r="BM19" s="149"/>
      <c r="BN19" s="150"/>
      <c r="BO19" s="149"/>
      <c r="BP19" s="149"/>
      <c r="BQ19" s="149"/>
      <c r="BR19" s="149"/>
      <c r="BS19" s="149"/>
      <c r="BT19" s="150"/>
      <c r="BU19" s="149"/>
      <c r="BV19" s="149"/>
      <c r="BW19" s="149"/>
      <c r="BX19" s="149"/>
      <c r="BY19" s="149"/>
      <c r="BZ19" s="150"/>
      <c r="CA19" s="149"/>
      <c r="CB19" s="149"/>
      <c r="CC19" s="149"/>
      <c r="CD19" s="149"/>
      <c r="CE19" s="149"/>
      <c r="CF19" s="150"/>
      <c r="CG19" s="149"/>
      <c r="CH19" s="149"/>
      <c r="CI19" s="149"/>
      <c r="CJ19" s="149"/>
      <c r="CK19" s="149"/>
      <c r="CL19" s="150"/>
      <c r="CM19" s="149"/>
      <c r="CN19" s="149"/>
      <c r="CO19" s="149"/>
      <c r="CP19" s="149"/>
      <c r="CQ19" s="149"/>
      <c r="CR19" s="150"/>
      <c r="CS19" s="149"/>
      <c r="CT19" s="149"/>
      <c r="CU19" s="149"/>
      <c r="CV19" s="149"/>
      <c r="CW19" s="149"/>
      <c r="CX19" s="150"/>
      <c r="CY19" s="149"/>
      <c r="CZ19" s="149"/>
      <c r="DA19" s="149"/>
      <c r="DB19" s="149"/>
      <c r="DC19" s="149"/>
      <c r="DD19" s="150"/>
      <c r="DE19" s="149"/>
      <c r="DF19" s="149"/>
      <c r="DG19" s="149"/>
      <c r="DH19" s="149"/>
      <c r="DI19" s="149"/>
      <c r="DJ19" s="150"/>
      <c r="DK19" s="149"/>
      <c r="DL19" s="149"/>
      <c r="DM19" s="149"/>
      <c r="DN19" s="149"/>
      <c r="DO19" s="149"/>
      <c r="DP19" s="150"/>
      <c r="DQ19" s="149"/>
      <c r="DR19" s="149"/>
      <c r="DS19" s="149"/>
      <c r="DT19" s="149"/>
      <c r="DU19" s="149"/>
      <c r="DV19" s="150"/>
      <c r="DW19" s="149"/>
      <c r="DX19" s="149"/>
      <c r="DY19" s="149"/>
      <c r="DZ19" s="149"/>
      <c r="EA19" s="149"/>
      <c r="EB19" s="150"/>
      <c r="EC19" s="149"/>
      <c r="ED19" s="149"/>
      <c r="EE19" s="149"/>
      <c r="EF19" s="149"/>
      <c r="EG19" s="149"/>
      <c r="EH19" s="150"/>
      <c r="EI19" s="149"/>
      <c r="EJ19" s="149"/>
      <c r="EK19" s="149"/>
      <c r="EL19" s="149"/>
      <c r="EM19" s="149"/>
      <c r="EN19" s="150"/>
      <c r="EO19" s="149"/>
      <c r="EP19" s="149"/>
      <c r="EQ19" s="149"/>
      <c r="ER19" s="149"/>
      <c r="ES19" s="149"/>
      <c r="ET19" s="150"/>
      <c r="EU19" s="149"/>
      <c r="EV19" s="149"/>
      <c r="EW19" s="149"/>
      <c r="EX19" s="149"/>
      <c r="EY19" s="149"/>
      <c r="EZ19" s="150"/>
      <c r="FA19" s="149"/>
      <c r="FB19" s="149"/>
      <c r="FC19" s="149"/>
      <c r="FD19" s="149"/>
      <c r="FE19" s="149"/>
      <c r="FF19" s="150"/>
      <c r="FG19" s="149"/>
      <c r="FH19" s="149"/>
      <c r="FI19" s="149"/>
      <c r="FJ19" s="149"/>
      <c r="FK19" s="149"/>
      <c r="FL19" s="150"/>
      <c r="FM19" s="149"/>
      <c r="FN19" s="149"/>
      <c r="FO19" s="149"/>
      <c r="FP19" s="149"/>
      <c r="FQ19" s="149"/>
      <c r="FR19" s="150"/>
      <c r="FS19" s="149"/>
      <c r="FT19" s="149"/>
      <c r="FU19" s="149"/>
      <c r="FV19" s="149"/>
      <c r="FW19" s="149"/>
      <c r="FX19" s="150"/>
      <c r="FY19" s="149"/>
      <c r="FZ19" s="149"/>
      <c r="GA19" s="149"/>
      <c r="GB19" s="149"/>
      <c r="GC19" s="149"/>
      <c r="GD19" s="150"/>
      <c r="GE19" s="149"/>
      <c r="GF19" s="149"/>
      <c r="GG19" s="149"/>
      <c r="GH19" s="149"/>
      <c r="GI19" s="149"/>
      <c r="GJ19" s="150"/>
      <c r="GK19" s="149"/>
      <c r="GL19" s="149"/>
      <c r="GM19" s="149"/>
      <c r="GN19" s="149"/>
      <c r="GO19" s="149"/>
      <c r="GP19" s="150"/>
      <c r="GQ19" s="149"/>
      <c r="GR19" s="149"/>
      <c r="GS19" s="149"/>
      <c r="GT19" s="149"/>
      <c r="GU19" s="149"/>
      <c r="GV19" s="150"/>
      <c r="GW19" s="149"/>
      <c r="GX19" s="149"/>
      <c r="GY19" s="149"/>
      <c r="GZ19" s="149"/>
      <c r="HA19" s="149"/>
      <c r="HB19" s="150"/>
      <c r="HC19" s="149"/>
      <c r="HD19" s="149"/>
      <c r="HE19" s="149"/>
      <c r="HF19" s="149"/>
      <c r="HG19" s="149"/>
      <c r="HH19" s="150"/>
      <c r="HI19" s="149"/>
      <c r="HJ19" s="149"/>
      <c r="HK19" s="149"/>
      <c r="HL19" s="149"/>
      <c r="HM19" s="149"/>
      <c r="HN19" s="150"/>
      <c r="HO19" s="149"/>
      <c r="HP19" s="149"/>
      <c r="HQ19" s="149"/>
      <c r="HR19" s="149"/>
      <c r="HS19" s="149"/>
      <c r="HT19" s="150"/>
      <c r="HU19" s="149"/>
      <c r="HV19" s="149"/>
      <c r="HW19" s="149"/>
      <c r="HX19" s="149"/>
      <c r="HY19" s="149"/>
      <c r="HZ19" s="150"/>
      <c r="IA19" s="149"/>
      <c r="IB19" s="149"/>
      <c r="IC19" s="149"/>
      <c r="ID19" s="149"/>
      <c r="IE19" s="149"/>
      <c r="IF19" s="149"/>
      <c r="IG19" s="149"/>
      <c r="IH19" s="149"/>
      <c r="II19" s="149"/>
    </row>
    <row r="20">
      <c r="A20" s="149"/>
      <c r="B20" s="149"/>
      <c r="C20" s="149"/>
      <c r="D20" s="149"/>
      <c r="E20" s="149"/>
      <c r="F20" s="150"/>
      <c r="G20" s="149"/>
      <c r="H20" s="149"/>
      <c r="I20" s="149"/>
      <c r="J20" s="149"/>
      <c r="K20" s="149"/>
      <c r="L20" s="150"/>
      <c r="M20" s="149"/>
      <c r="N20" s="149"/>
      <c r="O20" s="149"/>
      <c r="P20" s="149"/>
      <c r="Q20" s="149"/>
      <c r="R20" s="150"/>
      <c r="S20" s="149"/>
      <c r="T20" s="149"/>
      <c r="U20" s="149"/>
      <c r="V20" s="149"/>
      <c r="W20" s="149"/>
      <c r="X20" s="150"/>
      <c r="Y20" s="149"/>
      <c r="Z20" s="149"/>
      <c r="AA20" s="149"/>
      <c r="AB20" s="149"/>
      <c r="AC20" s="149"/>
      <c r="AD20" s="150"/>
      <c r="AE20" s="149"/>
      <c r="AF20" s="149"/>
      <c r="AG20" s="149"/>
      <c r="AH20" s="149"/>
      <c r="AI20" s="149"/>
      <c r="AJ20" s="150"/>
      <c r="AK20" s="149"/>
      <c r="AL20" s="149"/>
      <c r="AM20" s="149"/>
      <c r="AN20" s="149"/>
      <c r="AO20" s="149"/>
      <c r="AP20" s="150"/>
      <c r="AQ20" s="149"/>
      <c r="AR20" s="149"/>
      <c r="AS20" s="149"/>
      <c r="AT20" s="149"/>
      <c r="AU20" s="149"/>
      <c r="AV20" s="150"/>
      <c r="AW20" s="149"/>
      <c r="AX20" s="149"/>
      <c r="AY20" s="149"/>
      <c r="AZ20" s="149"/>
      <c r="BA20" s="150"/>
      <c r="BB20" s="149"/>
      <c r="BC20" s="149"/>
      <c r="BD20" s="149"/>
      <c r="BE20" s="149"/>
      <c r="BF20" s="149"/>
      <c r="BG20" s="149"/>
      <c r="BH20" s="150"/>
      <c r="BI20" s="149"/>
      <c r="BJ20" s="149"/>
      <c r="BK20" s="149"/>
      <c r="BL20" s="149"/>
      <c r="BM20" s="149"/>
      <c r="BN20" s="150"/>
      <c r="BO20" s="149"/>
      <c r="BP20" s="149"/>
      <c r="BQ20" s="149"/>
      <c r="BR20" s="149"/>
      <c r="BS20" s="149"/>
      <c r="BT20" s="150"/>
      <c r="BU20" s="149"/>
      <c r="BV20" s="149"/>
      <c r="BW20" s="149"/>
      <c r="BX20" s="149"/>
      <c r="BY20" s="149"/>
      <c r="BZ20" s="150"/>
      <c r="CA20" s="149"/>
      <c r="CB20" s="149"/>
      <c r="CC20" s="149"/>
      <c r="CD20" s="149"/>
      <c r="CE20" s="149"/>
      <c r="CF20" s="150"/>
      <c r="CG20" s="149"/>
      <c r="CH20" s="149"/>
      <c r="CI20" s="149"/>
      <c r="CJ20" s="149"/>
      <c r="CK20" s="149"/>
      <c r="CL20" s="150"/>
      <c r="CM20" s="149"/>
      <c r="CN20" s="149"/>
      <c r="CO20" s="149"/>
      <c r="CP20" s="149"/>
      <c r="CQ20" s="149"/>
      <c r="CR20" s="150"/>
      <c r="CS20" s="149"/>
      <c r="CT20" s="149"/>
      <c r="CU20" s="149"/>
      <c r="CV20" s="149"/>
      <c r="CW20" s="149"/>
      <c r="CX20" s="150"/>
      <c r="CY20" s="149"/>
      <c r="CZ20" s="149"/>
      <c r="DA20" s="149"/>
      <c r="DB20" s="149"/>
      <c r="DC20" s="149"/>
      <c r="DD20" s="150"/>
      <c r="DE20" s="149"/>
      <c r="DF20" s="149"/>
      <c r="DG20" s="149"/>
      <c r="DH20" s="149"/>
      <c r="DI20" s="149"/>
      <c r="DJ20" s="150"/>
      <c r="DK20" s="149"/>
      <c r="DL20" s="149"/>
      <c r="DM20" s="149"/>
      <c r="DN20" s="149"/>
      <c r="DO20" s="149"/>
      <c r="DP20" s="150"/>
      <c r="DQ20" s="149"/>
      <c r="DR20" s="149"/>
      <c r="DS20" s="149"/>
      <c r="DT20" s="149"/>
      <c r="DU20" s="149"/>
      <c r="DV20" s="150"/>
      <c r="DW20" s="149"/>
      <c r="DX20" s="149"/>
      <c r="DY20" s="149"/>
      <c r="DZ20" s="149"/>
      <c r="EA20" s="149"/>
      <c r="EB20" s="150"/>
      <c r="EC20" s="149"/>
      <c r="ED20" s="149"/>
      <c r="EE20" s="149"/>
      <c r="EF20" s="149"/>
      <c r="EG20" s="149"/>
      <c r="EH20" s="150"/>
      <c r="EI20" s="149"/>
      <c r="EJ20" s="149"/>
      <c r="EK20" s="149"/>
      <c r="EL20" s="149"/>
      <c r="EM20" s="149"/>
      <c r="EN20" s="150"/>
      <c r="EO20" s="149"/>
      <c r="EP20" s="149"/>
      <c r="EQ20" s="149"/>
      <c r="ER20" s="149"/>
      <c r="ES20" s="149"/>
      <c r="ET20" s="150"/>
      <c r="EU20" s="149"/>
      <c r="EV20" s="149"/>
      <c r="EW20" s="149"/>
      <c r="EX20" s="149"/>
      <c r="EY20" s="149"/>
      <c r="EZ20" s="150"/>
      <c r="FA20" s="149"/>
      <c r="FB20" s="149"/>
      <c r="FC20" s="149"/>
      <c r="FD20" s="149"/>
      <c r="FE20" s="149"/>
      <c r="FF20" s="150"/>
      <c r="FG20" s="149"/>
      <c r="FH20" s="149"/>
      <c r="FI20" s="149"/>
      <c r="FJ20" s="149"/>
      <c r="FK20" s="149"/>
      <c r="FL20" s="150"/>
      <c r="FM20" s="149"/>
      <c r="FN20" s="149"/>
      <c r="FO20" s="149"/>
      <c r="FP20" s="149"/>
      <c r="FQ20" s="149"/>
      <c r="FR20" s="150"/>
      <c r="FS20" s="149"/>
      <c r="FT20" s="149"/>
      <c r="FU20" s="149"/>
      <c r="FV20" s="149"/>
      <c r="FW20" s="149"/>
      <c r="FX20" s="150"/>
      <c r="FY20" s="149"/>
      <c r="FZ20" s="149"/>
      <c r="GA20" s="149"/>
      <c r="GB20" s="149"/>
      <c r="GC20" s="149"/>
      <c r="GD20" s="150"/>
      <c r="GE20" s="149"/>
      <c r="GF20" s="149"/>
      <c r="GG20" s="149"/>
      <c r="GH20" s="149"/>
      <c r="GI20" s="149"/>
      <c r="GJ20" s="150"/>
      <c r="GK20" s="149"/>
      <c r="GL20" s="149"/>
      <c r="GM20" s="149"/>
      <c r="GN20" s="149"/>
      <c r="GO20" s="149"/>
      <c r="GP20" s="150"/>
      <c r="GQ20" s="149"/>
      <c r="GR20" s="149"/>
      <c r="GS20" s="149"/>
      <c r="GT20" s="149"/>
      <c r="GU20" s="149"/>
      <c r="GV20" s="150"/>
      <c r="GW20" s="149"/>
      <c r="GX20" s="149"/>
      <c r="GY20" s="149"/>
      <c r="GZ20" s="149"/>
      <c r="HA20" s="149"/>
      <c r="HB20" s="150"/>
      <c r="HC20" s="149"/>
      <c r="HD20" s="149"/>
      <c r="HE20" s="149"/>
      <c r="HF20" s="149"/>
      <c r="HG20" s="149"/>
      <c r="HH20" s="150"/>
      <c r="HI20" s="149"/>
      <c r="HJ20" s="149"/>
      <c r="HK20" s="149"/>
      <c r="HL20" s="149"/>
      <c r="HM20" s="149"/>
      <c r="HN20" s="150"/>
      <c r="HO20" s="149"/>
      <c r="HP20" s="149"/>
      <c r="HQ20" s="149"/>
      <c r="HR20" s="149"/>
      <c r="HS20" s="149"/>
      <c r="HT20" s="150"/>
      <c r="HU20" s="149"/>
      <c r="HV20" s="149"/>
      <c r="HW20" s="149"/>
      <c r="HX20" s="149"/>
      <c r="HY20" s="149"/>
      <c r="HZ20" s="150"/>
      <c r="IA20" s="149"/>
      <c r="IB20" s="149"/>
      <c r="IC20" s="149"/>
      <c r="ID20" s="149"/>
      <c r="IE20" s="149"/>
      <c r="IF20" s="149"/>
      <c r="IG20" s="149"/>
      <c r="IH20" s="149"/>
      <c r="II20" s="149"/>
    </row>
    <row r="21">
      <c r="A21" s="149"/>
      <c r="B21" s="149"/>
      <c r="C21" s="149"/>
      <c r="D21" s="149"/>
      <c r="E21" s="149"/>
      <c r="F21" s="150"/>
      <c r="G21" s="149"/>
      <c r="H21" s="149"/>
      <c r="I21" s="149"/>
      <c r="J21" s="149"/>
      <c r="K21" s="149"/>
      <c r="L21" s="150"/>
      <c r="M21" s="149"/>
      <c r="N21" s="149"/>
      <c r="O21" s="149"/>
      <c r="P21" s="149"/>
      <c r="Q21" s="149"/>
      <c r="R21" s="150"/>
      <c r="S21" s="149"/>
      <c r="T21" s="149"/>
      <c r="U21" s="149"/>
      <c r="V21" s="149"/>
      <c r="W21" s="149"/>
      <c r="X21" s="150"/>
      <c r="Y21" s="149"/>
      <c r="Z21" s="149"/>
      <c r="AA21" s="149"/>
      <c r="AB21" s="149"/>
      <c r="AC21" s="149"/>
      <c r="AD21" s="150"/>
      <c r="AE21" s="149"/>
      <c r="AF21" s="149"/>
      <c r="AG21" s="149"/>
      <c r="AH21" s="149"/>
      <c r="AI21" s="149"/>
      <c r="AJ21" s="150"/>
      <c r="AK21" s="149"/>
      <c r="AL21" s="149"/>
      <c r="AM21" s="149"/>
      <c r="AN21" s="149"/>
      <c r="AO21" s="149"/>
      <c r="AP21" s="150"/>
      <c r="AQ21" s="149"/>
      <c r="AR21" s="149"/>
      <c r="AS21" s="149"/>
      <c r="AT21" s="149"/>
      <c r="AU21" s="149"/>
      <c r="AV21" s="150"/>
      <c r="AW21" s="149"/>
      <c r="AX21" s="149"/>
      <c r="AY21" s="149"/>
      <c r="AZ21" s="149"/>
      <c r="BA21" s="150"/>
      <c r="BB21" s="149"/>
      <c r="BC21" s="149"/>
      <c r="BD21" s="149"/>
      <c r="BE21" s="149"/>
      <c r="BF21" s="149"/>
      <c r="BG21" s="149"/>
      <c r="BH21" s="150"/>
      <c r="BI21" s="149"/>
      <c r="BJ21" s="149"/>
      <c r="BK21" s="149"/>
      <c r="BL21" s="149"/>
      <c r="BM21" s="149"/>
      <c r="BN21" s="150"/>
      <c r="BO21" s="149"/>
      <c r="BP21" s="149"/>
      <c r="BQ21" s="149"/>
      <c r="BR21" s="149"/>
      <c r="BS21" s="149"/>
      <c r="BT21" s="150"/>
      <c r="BU21" s="149"/>
      <c r="BV21" s="149"/>
      <c r="BW21" s="149"/>
      <c r="BX21" s="149"/>
      <c r="BY21" s="149"/>
      <c r="BZ21" s="150"/>
      <c r="CA21" s="149"/>
      <c r="CB21" s="149"/>
      <c r="CC21" s="149"/>
      <c r="CD21" s="149"/>
      <c r="CE21" s="149"/>
      <c r="CF21" s="150"/>
      <c r="CG21" s="149"/>
      <c r="CH21" s="149"/>
      <c r="CI21" s="149"/>
      <c r="CJ21" s="149"/>
      <c r="CK21" s="149"/>
      <c r="CL21" s="150"/>
      <c r="CM21" s="149"/>
      <c r="CN21" s="149"/>
      <c r="CO21" s="149"/>
      <c r="CP21" s="149"/>
      <c r="CQ21" s="149"/>
      <c r="CR21" s="150"/>
      <c r="CS21" s="149"/>
      <c r="CT21" s="149"/>
      <c r="CU21" s="149"/>
      <c r="CV21" s="149"/>
      <c r="CW21" s="149"/>
      <c r="CX21" s="150"/>
      <c r="CY21" s="149"/>
      <c r="CZ21" s="149"/>
      <c r="DA21" s="149"/>
      <c r="DB21" s="149"/>
      <c r="DC21" s="149"/>
      <c r="DD21" s="150"/>
      <c r="DE21" s="149"/>
      <c r="DF21" s="149"/>
      <c r="DG21" s="149"/>
      <c r="DH21" s="149"/>
      <c r="DI21" s="149"/>
      <c r="DJ21" s="150"/>
      <c r="DK21" s="149"/>
      <c r="DL21" s="149"/>
      <c r="DM21" s="149"/>
      <c r="DN21" s="149"/>
      <c r="DO21" s="149"/>
      <c r="DP21" s="150"/>
      <c r="DQ21" s="149"/>
      <c r="DR21" s="149"/>
      <c r="DS21" s="149"/>
      <c r="DT21" s="149"/>
      <c r="DU21" s="149"/>
      <c r="DV21" s="150"/>
      <c r="DW21" s="149"/>
      <c r="DX21" s="149"/>
      <c r="DY21" s="149"/>
      <c r="DZ21" s="149"/>
      <c r="EA21" s="149"/>
      <c r="EB21" s="150"/>
      <c r="EC21" s="149"/>
      <c r="ED21" s="149"/>
      <c r="EE21" s="149"/>
      <c r="EF21" s="149"/>
      <c r="EG21" s="149"/>
      <c r="EH21" s="150"/>
      <c r="EI21" s="149"/>
      <c r="EJ21" s="149"/>
      <c r="EK21" s="149"/>
      <c r="EL21" s="149"/>
      <c r="EM21" s="149"/>
      <c r="EN21" s="150"/>
      <c r="EO21" s="149"/>
      <c r="EP21" s="149"/>
      <c r="EQ21" s="149"/>
      <c r="ER21" s="149"/>
      <c r="ES21" s="149"/>
      <c r="ET21" s="150"/>
      <c r="EU21" s="149"/>
      <c r="EV21" s="149"/>
      <c r="EW21" s="149"/>
      <c r="EX21" s="149"/>
      <c r="EY21" s="149"/>
      <c r="EZ21" s="150"/>
      <c r="FA21" s="149"/>
      <c r="FB21" s="149"/>
      <c r="FC21" s="149"/>
      <c r="FD21" s="149"/>
      <c r="FE21" s="149"/>
      <c r="FF21" s="150"/>
      <c r="FG21" s="149"/>
      <c r="FH21" s="149"/>
      <c r="FI21" s="149"/>
      <c r="FJ21" s="149"/>
      <c r="FK21" s="149"/>
      <c r="FL21" s="150"/>
      <c r="FM21" s="149"/>
      <c r="FN21" s="149"/>
      <c r="FO21" s="149"/>
      <c r="FP21" s="149"/>
      <c r="FQ21" s="149"/>
      <c r="FR21" s="150"/>
      <c r="FS21" s="149"/>
      <c r="FT21" s="149"/>
      <c r="FU21" s="149"/>
      <c r="FV21" s="149"/>
      <c r="FW21" s="149"/>
      <c r="FX21" s="150"/>
      <c r="FY21" s="149"/>
      <c r="FZ21" s="149"/>
      <c r="GA21" s="149"/>
      <c r="GB21" s="149"/>
      <c r="GC21" s="149"/>
      <c r="GD21" s="150"/>
      <c r="GE21" s="149"/>
      <c r="GF21" s="149"/>
      <c r="GG21" s="149"/>
      <c r="GH21" s="149"/>
      <c r="GI21" s="149"/>
      <c r="GJ21" s="150"/>
      <c r="GK21" s="149"/>
      <c r="GL21" s="149"/>
      <c r="GM21" s="149"/>
      <c r="GN21" s="149"/>
      <c r="GO21" s="149"/>
      <c r="GP21" s="150"/>
      <c r="GQ21" s="149"/>
      <c r="GR21" s="149"/>
      <c r="GS21" s="149"/>
      <c r="GT21" s="149"/>
      <c r="GU21" s="149"/>
      <c r="GV21" s="150"/>
      <c r="GW21" s="149"/>
      <c r="GX21" s="149"/>
      <c r="GY21" s="149"/>
      <c r="GZ21" s="149"/>
      <c r="HA21" s="149"/>
      <c r="HB21" s="150"/>
      <c r="HC21" s="149"/>
      <c r="HD21" s="149"/>
      <c r="HE21" s="149"/>
      <c r="HF21" s="149"/>
      <c r="HG21" s="149"/>
      <c r="HH21" s="150"/>
      <c r="HI21" s="149"/>
      <c r="HJ21" s="149"/>
      <c r="HK21" s="149"/>
      <c r="HL21" s="149"/>
      <c r="HM21" s="149"/>
      <c r="HN21" s="150"/>
      <c r="HO21" s="149"/>
      <c r="HP21" s="149"/>
      <c r="HQ21" s="149"/>
      <c r="HR21" s="149"/>
      <c r="HS21" s="149"/>
      <c r="HT21" s="150"/>
      <c r="HU21" s="149"/>
      <c r="HV21" s="149"/>
      <c r="HW21" s="149"/>
      <c r="HX21" s="149"/>
      <c r="HY21" s="149"/>
      <c r="HZ21" s="150"/>
      <c r="IA21" s="149"/>
      <c r="IB21" s="149"/>
      <c r="IC21" s="149"/>
      <c r="ID21" s="149"/>
      <c r="IE21" s="149"/>
      <c r="IF21" s="149"/>
      <c r="IG21" s="149"/>
      <c r="IH21" s="149"/>
      <c r="II21" s="149"/>
    </row>
    <row r="22">
      <c r="A22" s="149"/>
      <c r="B22" s="149"/>
      <c r="C22" s="149"/>
      <c r="D22" s="149"/>
      <c r="E22" s="149"/>
      <c r="F22" s="150"/>
      <c r="G22" s="149"/>
      <c r="H22" s="149"/>
      <c r="I22" s="149"/>
      <c r="J22" s="149"/>
      <c r="K22" s="149"/>
      <c r="L22" s="150"/>
      <c r="M22" s="149"/>
      <c r="N22" s="149"/>
      <c r="O22" s="149"/>
      <c r="P22" s="149"/>
      <c r="Q22" s="149"/>
      <c r="R22" s="150"/>
      <c r="S22" s="149"/>
      <c r="T22" s="149"/>
      <c r="U22" s="149"/>
      <c r="V22" s="149"/>
      <c r="W22" s="149"/>
      <c r="X22" s="150"/>
      <c r="Y22" s="149"/>
      <c r="Z22" s="149"/>
      <c r="AA22" s="149"/>
      <c r="AB22" s="149"/>
      <c r="AC22" s="149"/>
      <c r="AD22" s="150"/>
      <c r="AE22" s="149"/>
      <c r="AF22" s="149"/>
      <c r="AG22" s="149"/>
      <c r="AH22" s="149"/>
      <c r="AI22" s="149"/>
      <c r="AJ22" s="150"/>
      <c r="AK22" s="149"/>
      <c r="AL22" s="149"/>
      <c r="AM22" s="149"/>
      <c r="AN22" s="149"/>
      <c r="AO22" s="149"/>
      <c r="AP22" s="150"/>
      <c r="AQ22" s="149"/>
      <c r="AR22" s="149"/>
      <c r="AS22" s="149"/>
      <c r="AT22" s="149"/>
      <c r="AU22" s="149"/>
      <c r="AV22" s="150"/>
      <c r="AW22" s="149"/>
      <c r="AX22" s="149"/>
      <c r="AY22" s="149"/>
      <c r="AZ22" s="149"/>
      <c r="BA22" s="150"/>
      <c r="BB22" s="149"/>
      <c r="BC22" s="149"/>
      <c r="BD22" s="149"/>
      <c r="BE22" s="149"/>
      <c r="BF22" s="149"/>
      <c r="BG22" s="149"/>
      <c r="BH22" s="150"/>
      <c r="BI22" s="149"/>
      <c r="BJ22" s="149"/>
      <c r="BK22" s="149"/>
      <c r="BL22" s="149"/>
      <c r="BM22" s="149"/>
      <c r="BN22" s="150"/>
      <c r="BO22" s="149"/>
      <c r="BP22" s="149"/>
      <c r="BQ22" s="149"/>
      <c r="BR22" s="149"/>
      <c r="BS22" s="149"/>
      <c r="BT22" s="150"/>
      <c r="BU22" s="149"/>
      <c r="BV22" s="149"/>
      <c r="BW22" s="149"/>
      <c r="BX22" s="149"/>
      <c r="BY22" s="149"/>
      <c r="BZ22" s="150"/>
      <c r="CA22" s="149"/>
      <c r="CB22" s="149"/>
      <c r="CC22" s="149"/>
      <c r="CD22" s="149"/>
      <c r="CE22" s="149"/>
      <c r="CF22" s="150"/>
      <c r="CG22" s="149"/>
      <c r="CH22" s="149"/>
      <c r="CI22" s="149"/>
      <c r="CJ22" s="149"/>
      <c r="CK22" s="149"/>
      <c r="CL22" s="150"/>
      <c r="CM22" s="149"/>
      <c r="CN22" s="149"/>
      <c r="CO22" s="149"/>
      <c r="CP22" s="149"/>
      <c r="CQ22" s="149"/>
      <c r="CR22" s="150"/>
      <c r="CS22" s="149"/>
      <c r="CT22" s="149"/>
      <c r="CU22" s="149"/>
      <c r="CV22" s="149"/>
      <c r="CW22" s="149"/>
      <c r="CX22" s="150"/>
      <c r="CY22" s="149"/>
      <c r="CZ22" s="149"/>
      <c r="DA22" s="149"/>
      <c r="DB22" s="149"/>
      <c r="DC22" s="149"/>
      <c r="DD22" s="150"/>
      <c r="DE22" s="149"/>
      <c r="DF22" s="149"/>
      <c r="DG22" s="149"/>
      <c r="DH22" s="149"/>
      <c r="DI22" s="149"/>
      <c r="DJ22" s="150"/>
      <c r="DK22" s="149"/>
      <c r="DL22" s="149"/>
      <c r="DM22" s="149"/>
      <c r="DN22" s="149"/>
      <c r="DO22" s="149"/>
      <c r="DP22" s="150"/>
      <c r="DQ22" s="149"/>
      <c r="DR22" s="149"/>
      <c r="DS22" s="149"/>
      <c r="DT22" s="149"/>
      <c r="DU22" s="149"/>
      <c r="DV22" s="150"/>
      <c r="DW22" s="149"/>
      <c r="DX22" s="149"/>
      <c r="DY22" s="149"/>
      <c r="DZ22" s="149"/>
      <c r="EA22" s="149"/>
      <c r="EB22" s="150"/>
      <c r="EC22" s="149"/>
      <c r="ED22" s="149"/>
      <c r="EE22" s="149"/>
      <c r="EF22" s="149"/>
      <c r="EG22" s="149"/>
      <c r="EH22" s="150"/>
      <c r="EI22" s="149"/>
      <c r="EJ22" s="149"/>
      <c r="EK22" s="149"/>
      <c r="EL22" s="149"/>
      <c r="EM22" s="149"/>
      <c r="EN22" s="150"/>
      <c r="EO22" s="149"/>
      <c r="EP22" s="149"/>
      <c r="EQ22" s="149"/>
      <c r="ER22" s="149"/>
      <c r="ES22" s="149"/>
      <c r="ET22" s="150"/>
      <c r="EU22" s="149"/>
      <c r="EV22" s="149"/>
      <c r="EW22" s="149"/>
      <c r="EX22" s="149"/>
      <c r="EY22" s="149"/>
      <c r="EZ22" s="150"/>
      <c r="FA22" s="149"/>
      <c r="FB22" s="149"/>
      <c r="FC22" s="149"/>
      <c r="FD22" s="149"/>
      <c r="FE22" s="149"/>
      <c r="FF22" s="150"/>
      <c r="FG22" s="149"/>
      <c r="FH22" s="149"/>
      <c r="FI22" s="149"/>
      <c r="FJ22" s="149"/>
      <c r="FK22" s="149"/>
      <c r="FL22" s="150"/>
      <c r="FM22" s="149"/>
      <c r="FN22" s="149"/>
      <c r="FO22" s="149"/>
      <c r="FP22" s="149"/>
      <c r="FQ22" s="149"/>
      <c r="FR22" s="150"/>
      <c r="FS22" s="149"/>
      <c r="FT22" s="149"/>
      <c r="FU22" s="149"/>
      <c r="FV22" s="149"/>
      <c r="FW22" s="149"/>
      <c r="FX22" s="150"/>
      <c r="FY22" s="149"/>
      <c r="FZ22" s="149"/>
      <c r="GA22" s="149"/>
      <c r="GB22" s="149"/>
      <c r="GC22" s="149"/>
      <c r="GD22" s="150"/>
      <c r="GE22" s="149"/>
      <c r="GF22" s="149"/>
      <c r="GG22" s="149"/>
      <c r="GH22" s="149"/>
      <c r="GI22" s="149"/>
      <c r="GJ22" s="150"/>
      <c r="GK22" s="149"/>
      <c r="GL22" s="149"/>
      <c r="GM22" s="149"/>
      <c r="GN22" s="149"/>
      <c r="GO22" s="149"/>
      <c r="GP22" s="150"/>
      <c r="GQ22" s="149"/>
      <c r="GR22" s="149"/>
      <c r="GS22" s="149"/>
      <c r="GT22" s="149"/>
      <c r="GU22" s="149"/>
      <c r="GV22" s="150"/>
      <c r="GW22" s="149"/>
      <c r="GX22" s="149"/>
      <c r="GY22" s="149"/>
      <c r="GZ22" s="149"/>
      <c r="HA22" s="149"/>
      <c r="HB22" s="150"/>
      <c r="HC22" s="149"/>
      <c r="HD22" s="149"/>
      <c r="HE22" s="149"/>
      <c r="HF22" s="149"/>
      <c r="HG22" s="149"/>
      <c r="HH22" s="150"/>
      <c r="HI22" s="149"/>
      <c r="HJ22" s="149"/>
      <c r="HK22" s="149"/>
      <c r="HL22" s="149"/>
      <c r="HM22" s="149"/>
      <c r="HN22" s="150"/>
      <c r="HO22" s="149"/>
      <c r="HP22" s="149"/>
      <c r="HQ22" s="149"/>
      <c r="HR22" s="149"/>
      <c r="HS22" s="149"/>
      <c r="HT22" s="150"/>
      <c r="HU22" s="149"/>
      <c r="HV22" s="149"/>
      <c r="HW22" s="149"/>
      <c r="HX22" s="149"/>
      <c r="HY22" s="149"/>
      <c r="HZ22" s="150"/>
      <c r="IA22" s="149"/>
      <c r="IB22" s="149"/>
      <c r="IC22" s="149"/>
      <c r="ID22" s="149"/>
      <c r="IE22" s="149"/>
      <c r="IF22" s="149"/>
      <c r="IG22" s="149"/>
      <c r="IH22" s="149"/>
      <c r="II22" s="149"/>
    </row>
    <row r="23">
      <c r="A23" s="149"/>
      <c r="B23" s="149"/>
      <c r="C23" s="149"/>
      <c r="D23" s="149"/>
      <c r="E23" s="149"/>
      <c r="F23" s="150"/>
      <c r="G23" s="149"/>
      <c r="H23" s="149"/>
      <c r="I23" s="149"/>
      <c r="J23" s="149"/>
      <c r="K23" s="149"/>
      <c r="L23" s="150"/>
      <c r="M23" s="149"/>
      <c r="N23" s="149"/>
      <c r="O23" s="149"/>
      <c r="P23" s="149"/>
      <c r="Q23" s="149"/>
      <c r="R23" s="150"/>
      <c r="S23" s="149"/>
      <c r="T23" s="149"/>
      <c r="U23" s="149"/>
      <c r="V23" s="149"/>
      <c r="W23" s="149"/>
      <c r="X23" s="150"/>
      <c r="Y23" s="149"/>
      <c r="Z23" s="149"/>
      <c r="AA23" s="149"/>
      <c r="AB23" s="149"/>
      <c r="AC23" s="149"/>
      <c r="AD23" s="150"/>
      <c r="AE23" s="149"/>
      <c r="AF23" s="149"/>
      <c r="AG23" s="149"/>
      <c r="AH23" s="149"/>
      <c r="AI23" s="149"/>
      <c r="AJ23" s="150"/>
      <c r="AK23" s="149"/>
      <c r="AL23" s="149"/>
      <c r="AM23" s="149"/>
      <c r="AN23" s="149"/>
      <c r="AO23" s="149"/>
      <c r="AP23" s="150"/>
      <c r="AQ23" s="149"/>
      <c r="AR23" s="149"/>
      <c r="AS23" s="149"/>
      <c r="AT23" s="149"/>
      <c r="AU23" s="149"/>
      <c r="AV23" s="150"/>
      <c r="AW23" s="149"/>
      <c r="AX23" s="149"/>
      <c r="AY23" s="149"/>
      <c r="AZ23" s="149"/>
      <c r="BA23" s="150"/>
      <c r="BB23" s="149"/>
      <c r="BC23" s="149"/>
      <c r="BD23" s="149"/>
      <c r="BE23" s="149"/>
      <c r="BF23" s="149"/>
      <c r="BG23" s="149"/>
      <c r="BH23" s="150"/>
      <c r="BI23" s="149"/>
      <c r="BJ23" s="149"/>
      <c r="BK23" s="149"/>
      <c r="BL23" s="149"/>
      <c r="BM23" s="149"/>
      <c r="BN23" s="150"/>
      <c r="BO23" s="149"/>
      <c r="BP23" s="149"/>
      <c r="BQ23" s="149"/>
      <c r="BR23" s="149"/>
      <c r="BS23" s="149"/>
      <c r="BT23" s="150"/>
      <c r="BU23" s="149"/>
      <c r="BV23" s="149"/>
      <c r="BW23" s="149"/>
      <c r="BX23" s="149"/>
      <c r="BY23" s="149"/>
      <c r="BZ23" s="150"/>
      <c r="CA23" s="149"/>
      <c r="CB23" s="149"/>
      <c r="CC23" s="149"/>
      <c r="CD23" s="149"/>
      <c r="CE23" s="149"/>
      <c r="CF23" s="150"/>
      <c r="CG23" s="149"/>
      <c r="CH23" s="149"/>
      <c r="CI23" s="149"/>
      <c r="CJ23" s="149"/>
      <c r="CK23" s="149"/>
      <c r="CL23" s="150"/>
      <c r="CM23" s="149"/>
      <c r="CN23" s="149"/>
      <c r="CO23" s="149"/>
      <c r="CP23" s="149"/>
      <c r="CQ23" s="149"/>
      <c r="CR23" s="150"/>
      <c r="CS23" s="149"/>
      <c r="CT23" s="149"/>
      <c r="CU23" s="149"/>
      <c r="CV23" s="149"/>
      <c r="CW23" s="149"/>
      <c r="CX23" s="150"/>
      <c r="CY23" s="149"/>
      <c r="CZ23" s="149"/>
      <c r="DA23" s="149"/>
      <c r="DB23" s="149"/>
      <c r="DC23" s="149"/>
      <c r="DD23" s="150"/>
      <c r="DE23" s="149"/>
      <c r="DF23" s="149"/>
      <c r="DG23" s="149"/>
      <c r="DH23" s="149"/>
      <c r="DI23" s="149"/>
      <c r="DJ23" s="150"/>
      <c r="DK23" s="149"/>
      <c r="DL23" s="149"/>
      <c r="DM23" s="149"/>
      <c r="DN23" s="149"/>
      <c r="DO23" s="149"/>
      <c r="DP23" s="150"/>
      <c r="DQ23" s="149"/>
      <c r="DR23" s="149"/>
      <c r="DS23" s="149"/>
      <c r="DT23" s="149"/>
      <c r="DU23" s="149"/>
      <c r="DV23" s="150"/>
      <c r="DW23" s="149"/>
      <c r="DX23" s="149"/>
      <c r="DY23" s="149"/>
      <c r="DZ23" s="149"/>
      <c r="EA23" s="149"/>
      <c r="EB23" s="150"/>
      <c r="EC23" s="149"/>
      <c r="ED23" s="149"/>
      <c r="EE23" s="149"/>
      <c r="EF23" s="149"/>
      <c r="EG23" s="149"/>
      <c r="EH23" s="150"/>
      <c r="EI23" s="149"/>
      <c r="EJ23" s="149"/>
      <c r="EK23" s="149"/>
      <c r="EL23" s="149"/>
      <c r="EM23" s="149"/>
      <c r="EN23" s="150"/>
      <c r="EO23" s="149"/>
      <c r="EP23" s="149"/>
      <c r="EQ23" s="149"/>
      <c r="ER23" s="149"/>
      <c r="ES23" s="149"/>
      <c r="ET23" s="150"/>
      <c r="EU23" s="149"/>
      <c r="EV23" s="149"/>
      <c r="EW23" s="149"/>
      <c r="EX23" s="149"/>
      <c r="EY23" s="149"/>
      <c r="EZ23" s="150"/>
      <c r="FA23" s="149"/>
      <c r="FB23" s="149"/>
      <c r="FC23" s="149"/>
      <c r="FD23" s="149"/>
      <c r="FE23" s="149"/>
      <c r="FF23" s="150"/>
      <c r="FG23" s="149"/>
      <c r="FH23" s="149"/>
      <c r="FI23" s="149"/>
      <c r="FJ23" s="149"/>
      <c r="FK23" s="149"/>
      <c r="FL23" s="150"/>
      <c r="FM23" s="149"/>
      <c r="FN23" s="149"/>
      <c r="FO23" s="149"/>
      <c r="FP23" s="149"/>
      <c r="FQ23" s="149"/>
      <c r="FR23" s="150"/>
      <c r="FS23" s="149"/>
      <c r="FT23" s="149"/>
      <c r="FU23" s="149"/>
      <c r="FV23" s="149"/>
      <c r="FW23" s="149"/>
      <c r="FX23" s="150"/>
      <c r="FY23" s="149"/>
      <c r="FZ23" s="149"/>
      <c r="GA23" s="149"/>
      <c r="GB23" s="149"/>
      <c r="GC23" s="149"/>
      <c r="GD23" s="150"/>
      <c r="GE23" s="149"/>
      <c r="GF23" s="149"/>
      <c r="GG23" s="149"/>
      <c r="GH23" s="149"/>
      <c r="GI23" s="149"/>
      <c r="GJ23" s="150"/>
      <c r="GK23" s="149"/>
      <c r="GL23" s="149"/>
      <c r="GM23" s="149"/>
      <c r="GN23" s="149"/>
      <c r="GO23" s="149"/>
      <c r="GP23" s="150"/>
      <c r="GQ23" s="149"/>
      <c r="GR23" s="149"/>
      <c r="GS23" s="149"/>
      <c r="GT23" s="149"/>
      <c r="GU23" s="149"/>
      <c r="GV23" s="150"/>
      <c r="GW23" s="149"/>
      <c r="GX23" s="149"/>
      <c r="GY23" s="149"/>
      <c r="GZ23" s="149"/>
      <c r="HA23" s="149"/>
      <c r="HB23" s="150"/>
      <c r="HC23" s="149"/>
      <c r="HD23" s="149"/>
      <c r="HE23" s="149"/>
      <c r="HF23" s="149"/>
      <c r="HG23" s="149"/>
      <c r="HH23" s="150"/>
      <c r="HI23" s="149"/>
      <c r="HJ23" s="149"/>
      <c r="HK23" s="149"/>
      <c r="HL23" s="149"/>
      <c r="HM23" s="149"/>
      <c r="HN23" s="150"/>
      <c r="HO23" s="149"/>
      <c r="HP23" s="149"/>
      <c r="HQ23" s="149"/>
      <c r="HR23" s="149"/>
      <c r="HS23" s="149"/>
      <c r="HT23" s="150"/>
      <c r="HU23" s="149"/>
      <c r="HV23" s="149"/>
      <c r="HW23" s="149"/>
      <c r="HX23" s="149"/>
      <c r="HY23" s="149"/>
      <c r="HZ23" s="150"/>
      <c r="IA23" s="149"/>
      <c r="IB23" s="149"/>
      <c r="IC23" s="149"/>
      <c r="ID23" s="149"/>
      <c r="IE23" s="149"/>
      <c r="IF23" s="149"/>
      <c r="IG23" s="149"/>
      <c r="IH23" s="149"/>
      <c r="II23" s="149"/>
    </row>
    <row r="24">
      <c r="A24" s="149"/>
      <c r="B24" s="149"/>
      <c r="C24" s="149"/>
      <c r="D24" s="149"/>
      <c r="E24" s="149"/>
      <c r="F24" s="150"/>
      <c r="G24" s="149"/>
      <c r="H24" s="149"/>
      <c r="I24" s="149"/>
      <c r="J24" s="149"/>
      <c r="K24" s="149"/>
      <c r="L24" s="150"/>
      <c r="M24" s="149"/>
      <c r="N24" s="149"/>
      <c r="O24" s="149"/>
      <c r="P24" s="149"/>
      <c r="Q24" s="149"/>
      <c r="R24" s="150"/>
      <c r="S24" s="149"/>
      <c r="T24" s="149"/>
      <c r="U24" s="149"/>
      <c r="V24" s="149"/>
      <c r="W24" s="149"/>
      <c r="X24" s="150"/>
      <c r="Y24" s="149"/>
      <c r="Z24" s="149"/>
      <c r="AA24" s="149"/>
      <c r="AB24" s="149"/>
      <c r="AC24" s="149"/>
      <c r="AD24" s="150"/>
      <c r="AE24" s="149"/>
      <c r="AF24" s="149"/>
      <c r="AG24" s="149"/>
      <c r="AH24" s="149"/>
      <c r="AI24" s="149"/>
      <c r="AJ24" s="150"/>
      <c r="AK24" s="149"/>
      <c r="AL24" s="149"/>
      <c r="AM24" s="149"/>
      <c r="AN24" s="149"/>
      <c r="AO24" s="149"/>
      <c r="AP24" s="150"/>
      <c r="AQ24" s="149"/>
      <c r="AR24" s="149"/>
      <c r="AS24" s="149"/>
      <c r="AT24" s="149"/>
      <c r="AU24" s="149"/>
      <c r="AV24" s="150"/>
      <c r="AW24" s="149"/>
      <c r="AX24" s="149"/>
      <c r="AY24" s="149"/>
      <c r="AZ24" s="149"/>
      <c r="BA24" s="150"/>
      <c r="BB24" s="149"/>
      <c r="BC24" s="149"/>
      <c r="BD24" s="149"/>
      <c r="BE24" s="149"/>
      <c r="BF24" s="149"/>
      <c r="BG24" s="149"/>
      <c r="BH24" s="150"/>
      <c r="BI24" s="149"/>
      <c r="BJ24" s="149"/>
      <c r="BK24" s="149"/>
      <c r="BL24" s="149"/>
      <c r="BM24" s="149"/>
      <c r="BN24" s="150"/>
      <c r="BO24" s="149"/>
      <c r="BP24" s="149"/>
      <c r="BQ24" s="149"/>
      <c r="BR24" s="149"/>
      <c r="BS24" s="149"/>
      <c r="BT24" s="150"/>
      <c r="BU24" s="149"/>
      <c r="BV24" s="149"/>
      <c r="BW24" s="149"/>
      <c r="BX24" s="149"/>
      <c r="BY24" s="149"/>
      <c r="BZ24" s="150"/>
      <c r="CA24" s="149"/>
      <c r="CB24" s="149"/>
      <c r="CC24" s="149"/>
      <c r="CD24" s="149"/>
      <c r="CE24" s="149"/>
      <c r="CF24" s="150"/>
      <c r="CG24" s="149"/>
      <c r="CH24" s="149"/>
      <c r="CI24" s="149"/>
      <c r="CJ24" s="149"/>
      <c r="CK24" s="149"/>
      <c r="CL24" s="150"/>
      <c r="CM24" s="149"/>
      <c r="CN24" s="149"/>
      <c r="CO24" s="149"/>
      <c r="CP24" s="149"/>
      <c r="CQ24" s="149"/>
      <c r="CR24" s="150"/>
      <c r="CS24" s="149"/>
      <c r="CT24" s="149"/>
      <c r="CU24" s="149"/>
      <c r="CV24" s="149"/>
      <c r="CW24" s="149"/>
      <c r="CX24" s="150"/>
      <c r="CY24" s="149"/>
      <c r="CZ24" s="149"/>
      <c r="DA24" s="149"/>
      <c r="DB24" s="149"/>
      <c r="DC24" s="149"/>
      <c r="DD24" s="150"/>
      <c r="DE24" s="149"/>
      <c r="DF24" s="149"/>
      <c r="DG24" s="149"/>
      <c r="DH24" s="149"/>
      <c r="DI24" s="149"/>
      <c r="DJ24" s="150"/>
      <c r="DK24" s="149"/>
      <c r="DL24" s="149"/>
      <c r="DM24" s="149"/>
      <c r="DN24" s="149"/>
      <c r="DO24" s="149"/>
      <c r="DP24" s="150"/>
      <c r="DQ24" s="149"/>
      <c r="DR24" s="149"/>
      <c r="DS24" s="149"/>
      <c r="DT24" s="149"/>
      <c r="DU24" s="149"/>
      <c r="DV24" s="150"/>
      <c r="DW24" s="149"/>
      <c r="DX24" s="149"/>
      <c r="DY24" s="149"/>
      <c r="DZ24" s="149"/>
      <c r="EA24" s="149"/>
      <c r="EB24" s="150"/>
      <c r="EC24" s="149"/>
      <c r="ED24" s="149"/>
      <c r="EE24" s="149"/>
      <c r="EF24" s="149"/>
      <c r="EG24" s="149"/>
      <c r="EH24" s="150"/>
      <c r="EI24" s="149"/>
      <c r="EJ24" s="149"/>
      <c r="EK24" s="149"/>
      <c r="EL24" s="149"/>
      <c r="EM24" s="149"/>
      <c r="EN24" s="150"/>
      <c r="EO24" s="149"/>
      <c r="EP24" s="149"/>
      <c r="EQ24" s="149"/>
      <c r="ER24" s="149"/>
      <c r="ES24" s="149"/>
      <c r="ET24" s="150"/>
      <c r="EU24" s="149"/>
      <c r="EV24" s="149"/>
      <c r="EW24" s="149"/>
      <c r="EX24" s="149"/>
      <c r="EY24" s="149"/>
      <c r="EZ24" s="150"/>
      <c r="FA24" s="149"/>
      <c r="FB24" s="149"/>
      <c r="FC24" s="149"/>
      <c r="FD24" s="149"/>
      <c r="FE24" s="149"/>
      <c r="FF24" s="150"/>
      <c r="FG24" s="149"/>
      <c r="FH24" s="149"/>
      <c r="FI24" s="149"/>
      <c r="FJ24" s="149"/>
      <c r="FK24" s="149"/>
      <c r="FL24" s="150"/>
      <c r="FM24" s="149"/>
      <c r="FN24" s="149"/>
      <c r="FO24" s="149"/>
      <c r="FP24" s="149"/>
      <c r="FQ24" s="149"/>
      <c r="FR24" s="150"/>
      <c r="FS24" s="149"/>
      <c r="FT24" s="149"/>
      <c r="FU24" s="149"/>
      <c r="FV24" s="149"/>
      <c r="FW24" s="149"/>
      <c r="FX24" s="150"/>
      <c r="FY24" s="149"/>
      <c r="FZ24" s="149"/>
      <c r="GA24" s="149"/>
      <c r="GB24" s="149"/>
      <c r="GC24" s="149"/>
      <c r="GD24" s="150"/>
      <c r="GE24" s="149"/>
      <c r="GF24" s="149"/>
      <c r="GG24" s="149"/>
      <c r="GH24" s="149"/>
      <c r="GI24" s="149"/>
      <c r="GJ24" s="150"/>
      <c r="GK24" s="149"/>
      <c r="GL24" s="149"/>
      <c r="GM24" s="149"/>
      <c r="GN24" s="149"/>
      <c r="GO24" s="149"/>
      <c r="GP24" s="150"/>
      <c r="GQ24" s="149"/>
      <c r="GR24" s="149"/>
      <c r="GS24" s="149"/>
      <c r="GT24" s="149"/>
      <c r="GU24" s="149"/>
      <c r="GV24" s="150"/>
      <c r="GW24" s="149"/>
      <c r="GX24" s="149"/>
      <c r="GY24" s="149"/>
      <c r="GZ24" s="149"/>
      <c r="HA24" s="149"/>
      <c r="HB24" s="150"/>
      <c r="HC24" s="149"/>
      <c r="HD24" s="149"/>
      <c r="HE24" s="149"/>
      <c r="HF24" s="149"/>
      <c r="HG24" s="149"/>
      <c r="HH24" s="150"/>
      <c r="HI24" s="149"/>
      <c r="HJ24" s="149"/>
      <c r="HK24" s="149"/>
      <c r="HL24" s="149"/>
      <c r="HM24" s="149"/>
      <c r="HN24" s="150"/>
      <c r="HO24" s="149"/>
      <c r="HP24" s="149"/>
      <c r="HQ24" s="149"/>
      <c r="HR24" s="149"/>
      <c r="HS24" s="149"/>
      <c r="HT24" s="150"/>
      <c r="HU24" s="149"/>
      <c r="HV24" s="149"/>
      <c r="HW24" s="149"/>
      <c r="HX24" s="149"/>
      <c r="HY24" s="149"/>
      <c r="HZ24" s="150"/>
      <c r="IA24" s="149"/>
      <c r="IB24" s="149"/>
      <c r="IC24" s="149"/>
      <c r="ID24" s="149"/>
      <c r="IE24" s="149"/>
      <c r="IF24" s="149"/>
      <c r="IG24" s="149"/>
      <c r="IH24" s="149"/>
      <c r="II24" s="149"/>
    </row>
    <row r="25">
      <c r="A25" s="149"/>
      <c r="B25" s="149"/>
      <c r="C25" s="149"/>
      <c r="D25" s="149"/>
      <c r="E25" s="149"/>
      <c r="F25" s="150"/>
      <c r="G25" s="149"/>
      <c r="H25" s="149"/>
      <c r="I25" s="149"/>
      <c r="J25" s="149"/>
      <c r="K25" s="149"/>
      <c r="L25" s="150"/>
      <c r="M25" s="149"/>
      <c r="N25" s="149"/>
      <c r="O25" s="149"/>
      <c r="P25" s="149"/>
      <c r="Q25" s="149"/>
      <c r="R25" s="150"/>
      <c r="S25" s="149"/>
      <c r="T25" s="149"/>
      <c r="U25" s="149"/>
      <c r="V25" s="149"/>
      <c r="W25" s="149"/>
      <c r="X25" s="150"/>
      <c r="Y25" s="149"/>
      <c r="Z25" s="149"/>
      <c r="AA25" s="149"/>
      <c r="AB25" s="149"/>
      <c r="AC25" s="149"/>
      <c r="AD25" s="150"/>
      <c r="AE25" s="149"/>
      <c r="AF25" s="149"/>
      <c r="AG25" s="149"/>
      <c r="AH25" s="149"/>
      <c r="AI25" s="149"/>
      <c r="AJ25" s="150"/>
      <c r="AK25" s="149"/>
      <c r="AL25" s="149"/>
      <c r="AM25" s="149"/>
      <c r="AN25" s="149"/>
      <c r="AO25" s="149"/>
      <c r="AP25" s="150"/>
      <c r="AQ25" s="149"/>
      <c r="AR25" s="149"/>
      <c r="AS25" s="149"/>
      <c r="AT25" s="149"/>
      <c r="AU25" s="149"/>
      <c r="AV25" s="150"/>
      <c r="AW25" s="149"/>
      <c r="AX25" s="149"/>
      <c r="AY25" s="149"/>
      <c r="AZ25" s="149"/>
      <c r="BA25" s="150"/>
      <c r="BB25" s="149"/>
      <c r="BC25" s="149"/>
      <c r="BD25" s="149"/>
      <c r="BE25" s="149"/>
      <c r="BF25" s="149"/>
      <c r="BG25" s="149"/>
      <c r="BH25" s="150"/>
      <c r="BI25" s="149"/>
      <c r="BJ25" s="149"/>
      <c r="BK25" s="149"/>
      <c r="BL25" s="149"/>
      <c r="BM25" s="149"/>
      <c r="BN25" s="150"/>
      <c r="BO25" s="149"/>
      <c r="BP25" s="149"/>
      <c r="BQ25" s="149"/>
      <c r="BR25" s="149"/>
      <c r="BS25" s="149"/>
      <c r="BT25" s="150"/>
      <c r="BU25" s="149"/>
      <c r="BV25" s="149"/>
      <c r="BW25" s="149"/>
      <c r="BX25" s="149"/>
      <c r="BY25" s="149"/>
      <c r="BZ25" s="150"/>
      <c r="CA25" s="149"/>
      <c r="CB25" s="149"/>
      <c r="CC25" s="149"/>
      <c r="CD25" s="149"/>
      <c r="CE25" s="149"/>
      <c r="CF25" s="150"/>
      <c r="CG25" s="149"/>
      <c r="CH25" s="149"/>
      <c r="CI25" s="149"/>
      <c r="CJ25" s="149"/>
      <c r="CK25" s="149"/>
      <c r="CL25" s="150"/>
      <c r="CM25" s="149"/>
      <c r="CN25" s="149"/>
      <c r="CO25" s="149"/>
      <c r="CP25" s="149"/>
      <c r="CQ25" s="149"/>
      <c r="CR25" s="150"/>
      <c r="CS25" s="149"/>
      <c r="CT25" s="149"/>
      <c r="CU25" s="149"/>
      <c r="CV25" s="149"/>
      <c r="CW25" s="149"/>
      <c r="CX25" s="150"/>
      <c r="CY25" s="149"/>
      <c r="CZ25" s="149"/>
      <c r="DA25" s="149"/>
      <c r="DB25" s="149"/>
      <c r="DC25" s="149"/>
      <c r="DD25" s="150"/>
      <c r="DE25" s="149"/>
      <c r="DF25" s="149"/>
      <c r="DG25" s="149"/>
      <c r="DH25" s="149"/>
      <c r="DI25" s="149"/>
      <c r="DJ25" s="150"/>
      <c r="DK25" s="149"/>
      <c r="DL25" s="149"/>
      <c r="DM25" s="149"/>
      <c r="DN25" s="149"/>
      <c r="DO25" s="149"/>
      <c r="DP25" s="150"/>
      <c r="DQ25" s="149"/>
      <c r="DR25" s="149"/>
      <c r="DS25" s="149"/>
      <c r="DT25" s="149"/>
      <c r="DU25" s="149"/>
      <c r="DV25" s="150"/>
      <c r="DW25" s="149"/>
      <c r="DX25" s="149"/>
      <c r="DY25" s="149"/>
      <c r="DZ25" s="149"/>
      <c r="EA25" s="149"/>
      <c r="EB25" s="150"/>
      <c r="EC25" s="149"/>
      <c r="ED25" s="149"/>
      <c r="EE25" s="149"/>
      <c r="EF25" s="149"/>
      <c r="EG25" s="149"/>
      <c r="EH25" s="150"/>
      <c r="EI25" s="149"/>
      <c r="EJ25" s="149"/>
      <c r="EK25" s="149"/>
      <c r="EL25" s="149"/>
      <c r="EM25" s="149"/>
      <c r="EN25" s="150"/>
      <c r="EO25" s="149"/>
      <c r="EP25" s="149"/>
      <c r="EQ25" s="149"/>
      <c r="ER25" s="149"/>
      <c r="ES25" s="149"/>
      <c r="ET25" s="150"/>
      <c r="EU25" s="149"/>
      <c r="EV25" s="149"/>
      <c r="EW25" s="149"/>
      <c r="EX25" s="149"/>
      <c r="EY25" s="149"/>
      <c r="EZ25" s="150"/>
      <c r="FA25" s="149"/>
      <c r="FB25" s="149"/>
      <c r="FC25" s="149"/>
      <c r="FD25" s="149"/>
      <c r="FE25" s="149"/>
      <c r="FF25" s="150"/>
      <c r="FG25" s="149"/>
      <c r="FH25" s="149"/>
      <c r="FI25" s="149"/>
      <c r="FJ25" s="149"/>
      <c r="FK25" s="149"/>
      <c r="FL25" s="150"/>
      <c r="FM25" s="149"/>
      <c r="FN25" s="149"/>
      <c r="FO25" s="149"/>
      <c r="FP25" s="149"/>
      <c r="FQ25" s="149"/>
      <c r="FR25" s="150"/>
      <c r="FS25" s="149"/>
      <c r="FT25" s="149"/>
      <c r="FU25" s="149"/>
      <c r="FV25" s="149"/>
      <c r="FW25" s="149"/>
      <c r="FX25" s="150"/>
      <c r="FY25" s="149"/>
      <c r="FZ25" s="149"/>
      <c r="GA25" s="149"/>
      <c r="GB25" s="149"/>
      <c r="GC25" s="149"/>
      <c r="GD25" s="150"/>
      <c r="GE25" s="149"/>
      <c r="GF25" s="149"/>
      <c r="GG25" s="149"/>
      <c r="GH25" s="149"/>
      <c r="GI25" s="149"/>
      <c r="GJ25" s="150"/>
      <c r="GK25" s="149"/>
      <c r="GL25" s="149"/>
      <c r="GM25" s="149"/>
      <c r="GN25" s="149"/>
      <c r="GO25" s="149"/>
      <c r="GP25" s="150"/>
      <c r="GQ25" s="149"/>
      <c r="GR25" s="149"/>
      <c r="GS25" s="149"/>
      <c r="GT25" s="149"/>
      <c r="GU25" s="149"/>
      <c r="GV25" s="150"/>
      <c r="GW25" s="149"/>
      <c r="GX25" s="149"/>
      <c r="GY25" s="149"/>
      <c r="GZ25" s="149"/>
      <c r="HA25" s="149"/>
      <c r="HB25" s="150"/>
      <c r="HC25" s="149"/>
      <c r="HD25" s="149"/>
      <c r="HE25" s="149"/>
      <c r="HF25" s="149"/>
      <c r="HG25" s="149"/>
      <c r="HH25" s="150"/>
      <c r="HI25" s="149"/>
      <c r="HJ25" s="149"/>
      <c r="HK25" s="149"/>
      <c r="HL25" s="149"/>
      <c r="HM25" s="149"/>
      <c r="HN25" s="150"/>
      <c r="HO25" s="149"/>
      <c r="HP25" s="149"/>
      <c r="HQ25" s="149"/>
      <c r="HR25" s="149"/>
      <c r="HS25" s="149"/>
      <c r="HT25" s="150"/>
      <c r="HU25" s="149"/>
      <c r="HV25" s="149"/>
      <c r="HW25" s="149"/>
      <c r="HX25" s="149"/>
      <c r="HY25" s="149"/>
      <c r="HZ25" s="150"/>
      <c r="IA25" s="149"/>
      <c r="IB25" s="149"/>
      <c r="IC25" s="149"/>
      <c r="ID25" s="149"/>
      <c r="IE25" s="149"/>
      <c r="IF25" s="149"/>
      <c r="IG25" s="149"/>
      <c r="IH25" s="149"/>
      <c r="II25" s="149"/>
    </row>
    <row r="26">
      <c r="A26" s="149"/>
      <c r="B26" s="149"/>
      <c r="C26" s="149"/>
      <c r="D26" s="149"/>
      <c r="E26" s="149"/>
      <c r="F26" s="150"/>
      <c r="G26" s="149"/>
      <c r="H26" s="149"/>
      <c r="I26" s="149"/>
      <c r="J26" s="149"/>
      <c r="K26" s="149"/>
      <c r="L26" s="150"/>
      <c r="M26" s="149"/>
      <c r="N26" s="149"/>
      <c r="O26" s="149"/>
      <c r="P26" s="149"/>
      <c r="Q26" s="149"/>
      <c r="R26" s="150"/>
      <c r="S26" s="149"/>
      <c r="T26" s="149"/>
      <c r="U26" s="149"/>
      <c r="V26" s="149"/>
      <c r="W26" s="149"/>
      <c r="X26" s="150"/>
      <c r="Y26" s="149"/>
      <c r="Z26" s="149"/>
      <c r="AA26" s="149"/>
      <c r="AB26" s="149"/>
      <c r="AC26" s="149"/>
      <c r="AD26" s="150"/>
      <c r="AE26" s="149"/>
      <c r="AF26" s="149"/>
      <c r="AG26" s="149"/>
      <c r="AH26" s="149"/>
      <c r="AI26" s="149"/>
      <c r="AJ26" s="150"/>
      <c r="AK26" s="149"/>
      <c r="AL26" s="149"/>
      <c r="AM26" s="149"/>
      <c r="AN26" s="149"/>
      <c r="AO26" s="149"/>
      <c r="AP26" s="150"/>
      <c r="AQ26" s="149"/>
      <c r="AR26" s="149"/>
      <c r="AS26" s="149"/>
      <c r="AT26" s="149"/>
      <c r="AU26" s="149"/>
      <c r="AV26" s="150"/>
      <c r="AW26" s="149"/>
      <c r="AX26" s="149"/>
      <c r="AY26" s="149"/>
      <c r="AZ26" s="149"/>
      <c r="BA26" s="150"/>
      <c r="BB26" s="149"/>
      <c r="BC26" s="149"/>
      <c r="BD26" s="149"/>
      <c r="BE26" s="149"/>
      <c r="BF26" s="149"/>
      <c r="BG26" s="149"/>
      <c r="BH26" s="150"/>
      <c r="BI26" s="149"/>
      <c r="BJ26" s="149"/>
      <c r="BK26" s="149"/>
      <c r="BL26" s="149"/>
      <c r="BM26" s="149"/>
      <c r="BN26" s="150"/>
      <c r="BO26" s="149"/>
      <c r="BP26" s="149"/>
      <c r="BQ26" s="149"/>
      <c r="BR26" s="149"/>
      <c r="BS26" s="149"/>
      <c r="BT26" s="150"/>
      <c r="BU26" s="149"/>
      <c r="BV26" s="149"/>
      <c r="BW26" s="149"/>
      <c r="BX26" s="149"/>
      <c r="BY26" s="149"/>
      <c r="BZ26" s="150"/>
      <c r="CA26" s="149"/>
      <c r="CB26" s="149"/>
      <c r="CC26" s="149"/>
      <c r="CD26" s="149"/>
      <c r="CE26" s="149"/>
      <c r="CF26" s="150"/>
      <c r="CG26" s="149"/>
      <c r="CH26" s="149"/>
      <c r="CI26" s="149"/>
      <c r="CJ26" s="149"/>
      <c r="CK26" s="149"/>
      <c r="CL26" s="150"/>
      <c r="CM26" s="149"/>
      <c r="CN26" s="149"/>
      <c r="CO26" s="149"/>
      <c r="CP26" s="149"/>
      <c r="CQ26" s="149"/>
      <c r="CR26" s="150"/>
      <c r="CS26" s="149"/>
      <c r="CT26" s="149"/>
      <c r="CU26" s="149"/>
      <c r="CV26" s="149"/>
      <c r="CW26" s="149"/>
      <c r="CX26" s="150"/>
      <c r="CY26" s="149"/>
      <c r="CZ26" s="149"/>
      <c r="DA26" s="149"/>
      <c r="DB26" s="149"/>
      <c r="DC26" s="149"/>
      <c r="DD26" s="150"/>
      <c r="DE26" s="149"/>
      <c r="DF26" s="149"/>
      <c r="DG26" s="149"/>
      <c r="DH26" s="149"/>
      <c r="DI26" s="149"/>
      <c r="DJ26" s="150"/>
      <c r="DK26" s="149"/>
      <c r="DL26" s="149"/>
      <c r="DM26" s="149"/>
      <c r="DN26" s="149"/>
      <c r="DO26" s="149"/>
      <c r="DP26" s="150"/>
      <c r="DQ26" s="149"/>
      <c r="DR26" s="149"/>
      <c r="DS26" s="149"/>
      <c r="DT26" s="149"/>
      <c r="DU26" s="149"/>
      <c r="DV26" s="150"/>
      <c r="DW26" s="149"/>
      <c r="DX26" s="149"/>
      <c r="DY26" s="149"/>
      <c r="DZ26" s="149"/>
      <c r="EA26" s="149"/>
      <c r="EB26" s="150"/>
      <c r="EC26" s="149"/>
      <c r="ED26" s="149"/>
      <c r="EE26" s="149"/>
      <c r="EF26" s="149"/>
      <c r="EG26" s="149"/>
      <c r="EH26" s="150"/>
      <c r="EI26" s="149"/>
      <c r="EJ26" s="149"/>
      <c r="EK26" s="149"/>
      <c r="EL26" s="149"/>
      <c r="EM26" s="149"/>
      <c r="EN26" s="150"/>
      <c r="EO26" s="149"/>
      <c r="EP26" s="149"/>
      <c r="EQ26" s="149"/>
      <c r="ER26" s="149"/>
      <c r="ES26" s="149"/>
      <c r="ET26" s="150"/>
      <c r="EU26" s="149"/>
      <c r="EV26" s="149"/>
      <c r="EW26" s="149"/>
      <c r="EX26" s="149"/>
      <c r="EY26" s="149"/>
      <c r="EZ26" s="150"/>
      <c r="FA26" s="149"/>
      <c r="FB26" s="149"/>
      <c r="FC26" s="149"/>
      <c r="FD26" s="149"/>
      <c r="FE26" s="149"/>
      <c r="FF26" s="150"/>
      <c r="FG26" s="149"/>
      <c r="FH26" s="149"/>
      <c r="FI26" s="149"/>
      <c r="FJ26" s="149"/>
      <c r="FK26" s="149"/>
      <c r="FL26" s="150"/>
      <c r="FM26" s="149"/>
      <c r="FN26" s="149"/>
      <c r="FO26" s="149"/>
      <c r="FP26" s="149"/>
      <c r="FQ26" s="149"/>
      <c r="FR26" s="150"/>
      <c r="FS26" s="149"/>
      <c r="FT26" s="149"/>
      <c r="FU26" s="149"/>
      <c r="FV26" s="149"/>
      <c r="FW26" s="149"/>
      <c r="FX26" s="150"/>
      <c r="FY26" s="149"/>
      <c r="FZ26" s="149"/>
      <c r="GA26" s="149"/>
      <c r="GB26" s="149"/>
      <c r="GC26" s="149"/>
      <c r="GD26" s="150"/>
      <c r="GE26" s="149"/>
      <c r="GF26" s="149"/>
      <c r="GG26" s="149"/>
      <c r="GH26" s="149"/>
      <c r="GI26" s="149"/>
      <c r="GJ26" s="150"/>
      <c r="GK26" s="149"/>
      <c r="GL26" s="149"/>
      <c r="GM26" s="149"/>
      <c r="GN26" s="149"/>
      <c r="GO26" s="149"/>
      <c r="GP26" s="150"/>
      <c r="GQ26" s="149"/>
      <c r="GR26" s="149"/>
      <c r="GS26" s="149"/>
      <c r="GT26" s="149"/>
      <c r="GU26" s="149"/>
      <c r="GV26" s="150"/>
      <c r="GW26" s="149"/>
      <c r="GX26" s="149"/>
      <c r="GY26" s="149"/>
      <c r="GZ26" s="149"/>
      <c r="HA26" s="149"/>
      <c r="HB26" s="150"/>
      <c r="HC26" s="149"/>
      <c r="HD26" s="149"/>
      <c r="HE26" s="149"/>
      <c r="HF26" s="149"/>
      <c r="HG26" s="149"/>
      <c r="HH26" s="150"/>
      <c r="HI26" s="149"/>
      <c r="HJ26" s="149"/>
      <c r="HK26" s="149"/>
      <c r="HL26" s="149"/>
      <c r="HM26" s="149"/>
      <c r="HN26" s="150"/>
      <c r="HO26" s="149"/>
      <c r="HP26" s="149"/>
      <c r="HQ26" s="149"/>
      <c r="HR26" s="149"/>
      <c r="HS26" s="149"/>
      <c r="HT26" s="150"/>
      <c r="HU26" s="149"/>
      <c r="HV26" s="149"/>
      <c r="HW26" s="149"/>
      <c r="HX26" s="149"/>
      <c r="HY26" s="149"/>
      <c r="HZ26" s="150"/>
      <c r="IA26" s="149"/>
      <c r="IB26" s="149"/>
      <c r="IC26" s="149"/>
      <c r="ID26" s="149"/>
      <c r="IE26" s="149"/>
      <c r="IF26" s="149"/>
      <c r="IG26" s="149"/>
      <c r="IH26" s="149"/>
      <c r="II26" s="149"/>
    </row>
    <row r="27">
      <c r="A27" s="149"/>
      <c r="B27" s="149"/>
      <c r="C27" s="149"/>
      <c r="D27" s="149"/>
      <c r="E27" s="149"/>
      <c r="F27" s="150"/>
      <c r="G27" s="149"/>
      <c r="H27" s="149"/>
      <c r="I27" s="149"/>
      <c r="J27" s="149"/>
      <c r="K27" s="149"/>
      <c r="L27" s="150"/>
      <c r="M27" s="149"/>
      <c r="N27" s="149"/>
      <c r="O27" s="149"/>
      <c r="P27" s="149"/>
      <c r="Q27" s="149"/>
      <c r="R27" s="150"/>
      <c r="S27" s="149"/>
      <c r="T27" s="149"/>
      <c r="U27" s="149"/>
      <c r="V27" s="149"/>
      <c r="W27" s="149"/>
      <c r="X27" s="150"/>
      <c r="Y27" s="149"/>
      <c r="Z27" s="149"/>
      <c r="AA27" s="149"/>
      <c r="AB27" s="149"/>
      <c r="AC27" s="149"/>
      <c r="AD27" s="150"/>
      <c r="AE27" s="149"/>
      <c r="AF27" s="149"/>
      <c r="AG27" s="149"/>
      <c r="AH27" s="149"/>
      <c r="AI27" s="149"/>
      <c r="AJ27" s="150"/>
      <c r="AK27" s="149"/>
      <c r="AL27" s="149"/>
      <c r="AM27" s="149"/>
      <c r="AN27" s="149"/>
      <c r="AO27" s="149"/>
      <c r="AP27" s="150"/>
      <c r="AQ27" s="149"/>
      <c r="AR27" s="149"/>
      <c r="AS27" s="149"/>
      <c r="AT27" s="149"/>
      <c r="AU27" s="149"/>
      <c r="AV27" s="150"/>
      <c r="AW27" s="149"/>
      <c r="AX27" s="149"/>
      <c r="AY27" s="149"/>
      <c r="AZ27" s="149"/>
      <c r="BA27" s="150"/>
      <c r="BB27" s="149"/>
      <c r="BC27" s="149"/>
      <c r="BD27" s="149"/>
      <c r="BE27" s="149"/>
      <c r="BF27" s="149"/>
      <c r="BG27" s="149"/>
      <c r="BH27" s="150"/>
      <c r="BI27" s="149"/>
      <c r="BJ27" s="149"/>
      <c r="BK27" s="149"/>
      <c r="BL27" s="149"/>
      <c r="BM27" s="149"/>
      <c r="BN27" s="150"/>
      <c r="BO27" s="149"/>
      <c r="BP27" s="149"/>
      <c r="BQ27" s="149"/>
      <c r="BR27" s="149"/>
      <c r="BS27" s="149"/>
      <c r="BT27" s="150"/>
      <c r="BU27" s="149"/>
      <c r="BV27" s="149"/>
      <c r="BW27" s="149"/>
      <c r="BX27" s="149"/>
      <c r="BY27" s="149"/>
      <c r="BZ27" s="150"/>
      <c r="CA27" s="149"/>
      <c r="CB27" s="149"/>
      <c r="CC27" s="149"/>
      <c r="CD27" s="149"/>
      <c r="CE27" s="149"/>
      <c r="CF27" s="150"/>
      <c r="CG27" s="149"/>
      <c r="CH27" s="149"/>
      <c r="CI27" s="149"/>
      <c r="CJ27" s="149"/>
      <c r="CK27" s="149"/>
      <c r="CL27" s="150"/>
      <c r="CM27" s="149"/>
      <c r="CN27" s="149"/>
      <c r="CO27" s="149"/>
      <c r="CP27" s="149"/>
      <c r="CQ27" s="149"/>
      <c r="CR27" s="150"/>
      <c r="CS27" s="149"/>
      <c r="CT27" s="149"/>
      <c r="CU27" s="149"/>
      <c r="CV27" s="149"/>
      <c r="CW27" s="149"/>
      <c r="CX27" s="150"/>
      <c r="CY27" s="149"/>
      <c r="CZ27" s="149"/>
      <c r="DA27" s="149"/>
      <c r="DB27" s="149"/>
      <c r="DC27" s="149"/>
      <c r="DD27" s="150"/>
      <c r="DE27" s="149"/>
      <c r="DF27" s="149"/>
      <c r="DG27" s="149"/>
      <c r="DH27" s="149"/>
      <c r="DI27" s="149"/>
      <c r="DJ27" s="150"/>
      <c r="DK27" s="149"/>
      <c r="DL27" s="149"/>
      <c r="DM27" s="149"/>
      <c r="DN27" s="149"/>
      <c r="DO27" s="149"/>
      <c r="DP27" s="150"/>
      <c r="DQ27" s="149"/>
      <c r="DR27" s="149"/>
      <c r="DS27" s="149"/>
      <c r="DT27" s="149"/>
      <c r="DU27" s="149"/>
      <c r="DV27" s="150"/>
      <c r="DW27" s="149"/>
      <c r="DX27" s="149"/>
      <c r="DY27" s="149"/>
      <c r="DZ27" s="149"/>
      <c r="EA27" s="149"/>
      <c r="EB27" s="150"/>
      <c r="EC27" s="149"/>
      <c r="ED27" s="149"/>
      <c r="EE27" s="149"/>
      <c r="EF27" s="149"/>
      <c r="EG27" s="149"/>
      <c r="EH27" s="150"/>
      <c r="EI27" s="149"/>
      <c r="EJ27" s="149"/>
      <c r="EK27" s="149"/>
      <c r="EL27" s="149"/>
      <c r="EM27" s="149"/>
      <c r="EN27" s="150"/>
      <c r="EO27" s="149"/>
      <c r="EP27" s="149"/>
      <c r="EQ27" s="149"/>
      <c r="ER27" s="149"/>
      <c r="ES27" s="149"/>
      <c r="ET27" s="150"/>
      <c r="EU27" s="149"/>
      <c r="EV27" s="149"/>
      <c r="EW27" s="149"/>
      <c r="EX27" s="149"/>
      <c r="EY27" s="149"/>
      <c r="EZ27" s="150"/>
      <c r="FA27" s="149"/>
      <c r="FB27" s="149"/>
      <c r="FC27" s="149"/>
      <c r="FD27" s="149"/>
      <c r="FE27" s="149"/>
      <c r="FF27" s="150"/>
      <c r="FG27" s="149"/>
      <c r="FH27" s="149"/>
      <c r="FI27" s="149"/>
      <c r="FJ27" s="149"/>
      <c r="FK27" s="149"/>
      <c r="FL27" s="150"/>
      <c r="FM27" s="149"/>
      <c r="FN27" s="149"/>
      <c r="FO27" s="149"/>
      <c r="FP27" s="149"/>
      <c r="FQ27" s="149"/>
      <c r="FR27" s="150"/>
      <c r="FS27" s="149"/>
      <c r="FT27" s="149"/>
      <c r="FU27" s="149"/>
      <c r="FV27" s="149"/>
      <c r="FW27" s="149"/>
      <c r="FX27" s="150"/>
      <c r="FY27" s="149"/>
      <c r="FZ27" s="149"/>
      <c r="GA27" s="149"/>
      <c r="GB27" s="149"/>
      <c r="GC27" s="149"/>
      <c r="GD27" s="150"/>
      <c r="GE27" s="149"/>
      <c r="GF27" s="149"/>
      <c r="GG27" s="149"/>
      <c r="GH27" s="149"/>
      <c r="GI27" s="149"/>
      <c r="GJ27" s="150"/>
      <c r="GK27" s="149"/>
      <c r="GL27" s="149"/>
      <c r="GM27" s="149"/>
      <c r="GN27" s="149"/>
      <c r="GO27" s="149"/>
      <c r="GP27" s="150"/>
      <c r="GQ27" s="149"/>
      <c r="GR27" s="149"/>
      <c r="GS27" s="149"/>
      <c r="GT27" s="149"/>
      <c r="GU27" s="149"/>
      <c r="GV27" s="150"/>
      <c r="GW27" s="149"/>
      <c r="GX27" s="149"/>
      <c r="GY27" s="149"/>
      <c r="GZ27" s="149"/>
      <c r="HA27" s="149"/>
      <c r="HB27" s="150"/>
      <c r="HC27" s="149"/>
      <c r="HD27" s="149"/>
      <c r="HE27" s="149"/>
      <c r="HF27" s="149"/>
      <c r="HG27" s="149"/>
      <c r="HH27" s="150"/>
      <c r="HI27" s="149"/>
      <c r="HJ27" s="149"/>
      <c r="HK27" s="149"/>
      <c r="HL27" s="149"/>
      <c r="HM27" s="149"/>
      <c r="HN27" s="150"/>
      <c r="HO27" s="149"/>
      <c r="HP27" s="149"/>
      <c r="HQ27" s="149"/>
      <c r="HR27" s="149"/>
      <c r="HS27" s="149"/>
      <c r="HT27" s="150"/>
      <c r="HU27" s="149"/>
      <c r="HV27" s="149"/>
      <c r="HW27" s="149"/>
      <c r="HX27" s="149"/>
      <c r="HY27" s="149"/>
      <c r="HZ27" s="150"/>
      <c r="IA27" s="149"/>
      <c r="IB27" s="149"/>
      <c r="IC27" s="149"/>
      <c r="ID27" s="149"/>
      <c r="IE27" s="149"/>
      <c r="IF27" s="149"/>
      <c r="IG27" s="149"/>
      <c r="IH27" s="149"/>
      <c r="II27" s="149"/>
    </row>
    <row r="28">
      <c r="A28" s="149"/>
      <c r="B28" s="149"/>
      <c r="C28" s="149"/>
      <c r="D28" s="149"/>
      <c r="E28" s="149"/>
      <c r="F28" s="150"/>
      <c r="G28" s="149"/>
      <c r="H28" s="149"/>
      <c r="I28" s="149"/>
      <c r="J28" s="149"/>
      <c r="K28" s="149"/>
      <c r="L28" s="150"/>
      <c r="M28" s="149"/>
      <c r="N28" s="149"/>
      <c r="O28" s="149"/>
      <c r="P28" s="149"/>
      <c r="Q28" s="149"/>
      <c r="R28" s="150"/>
      <c r="S28" s="149"/>
      <c r="T28" s="149"/>
      <c r="U28" s="149"/>
      <c r="V28" s="149"/>
      <c r="W28" s="149"/>
      <c r="X28" s="150"/>
      <c r="Y28" s="149"/>
      <c r="Z28" s="149"/>
      <c r="AA28" s="149"/>
      <c r="AB28" s="149"/>
      <c r="AC28" s="149"/>
      <c r="AD28" s="150"/>
      <c r="AE28" s="149"/>
      <c r="AF28" s="149"/>
      <c r="AG28" s="149"/>
      <c r="AH28" s="149"/>
      <c r="AI28" s="149"/>
      <c r="AJ28" s="150"/>
      <c r="AK28" s="149"/>
      <c r="AL28" s="149"/>
      <c r="AM28" s="149"/>
      <c r="AN28" s="149"/>
      <c r="AO28" s="149"/>
      <c r="AP28" s="150"/>
      <c r="AQ28" s="149"/>
      <c r="AR28" s="149"/>
      <c r="AS28" s="149"/>
      <c r="AT28" s="149"/>
      <c r="AU28" s="149"/>
      <c r="AV28" s="150"/>
      <c r="AW28" s="149"/>
      <c r="AX28" s="149"/>
      <c r="AY28" s="149"/>
      <c r="AZ28" s="149"/>
      <c r="BA28" s="150"/>
      <c r="BB28" s="149"/>
      <c r="BC28" s="149"/>
      <c r="BD28" s="149"/>
      <c r="BE28" s="149"/>
      <c r="BF28" s="149"/>
      <c r="BG28" s="149"/>
      <c r="BH28" s="150"/>
      <c r="BI28" s="149"/>
      <c r="BJ28" s="149"/>
      <c r="BK28" s="149"/>
      <c r="BL28" s="149"/>
      <c r="BM28" s="149"/>
      <c r="BN28" s="150"/>
      <c r="BO28" s="149"/>
      <c r="BP28" s="149"/>
      <c r="BQ28" s="149"/>
      <c r="BR28" s="149"/>
      <c r="BS28" s="149"/>
      <c r="BT28" s="150"/>
      <c r="BU28" s="149"/>
      <c r="BV28" s="149"/>
      <c r="BW28" s="149"/>
      <c r="BX28" s="149"/>
      <c r="BY28" s="149"/>
      <c r="BZ28" s="150"/>
      <c r="CA28" s="149"/>
      <c r="CB28" s="149"/>
      <c r="CC28" s="149"/>
      <c r="CD28" s="149"/>
      <c r="CE28" s="149"/>
      <c r="CF28" s="150"/>
      <c r="CG28" s="149"/>
      <c r="CH28" s="149"/>
      <c r="CI28" s="149"/>
      <c r="CJ28" s="149"/>
      <c r="CK28" s="149"/>
      <c r="CL28" s="150"/>
      <c r="CM28" s="149"/>
      <c r="CN28" s="149"/>
      <c r="CO28" s="149"/>
      <c r="CP28" s="149"/>
      <c r="CQ28" s="149"/>
      <c r="CR28" s="150"/>
      <c r="CS28" s="149"/>
      <c r="CT28" s="149"/>
      <c r="CU28" s="149"/>
      <c r="CV28" s="149"/>
      <c r="CW28" s="149"/>
      <c r="CX28" s="150"/>
      <c r="CY28" s="149"/>
      <c r="CZ28" s="149"/>
      <c r="DA28" s="149"/>
      <c r="DB28" s="149"/>
      <c r="DC28" s="149"/>
      <c r="DD28" s="150"/>
      <c r="DE28" s="149"/>
      <c r="DF28" s="149"/>
      <c r="DG28" s="149"/>
      <c r="DH28" s="149"/>
      <c r="DI28" s="149"/>
      <c r="DJ28" s="150"/>
      <c r="DK28" s="149"/>
      <c r="DL28" s="149"/>
      <c r="DM28" s="149"/>
      <c r="DN28" s="149"/>
      <c r="DO28" s="149"/>
      <c r="DP28" s="150"/>
      <c r="DQ28" s="149"/>
      <c r="DR28" s="149"/>
      <c r="DS28" s="149"/>
      <c r="DT28" s="149"/>
      <c r="DU28" s="149"/>
      <c r="DV28" s="150"/>
      <c r="DW28" s="149"/>
      <c r="DX28" s="149"/>
      <c r="DY28" s="149"/>
      <c r="DZ28" s="149"/>
      <c r="EA28" s="149"/>
      <c r="EB28" s="150"/>
      <c r="EC28" s="149"/>
      <c r="ED28" s="149"/>
      <c r="EE28" s="149"/>
      <c r="EF28" s="149"/>
      <c r="EG28" s="149"/>
      <c r="EH28" s="150"/>
      <c r="EI28" s="149"/>
      <c r="EJ28" s="149"/>
      <c r="EK28" s="149"/>
      <c r="EL28" s="149"/>
      <c r="EM28" s="149"/>
      <c r="EN28" s="150"/>
      <c r="EO28" s="149"/>
      <c r="EP28" s="149"/>
      <c r="EQ28" s="149"/>
      <c r="ER28" s="149"/>
      <c r="ES28" s="149"/>
      <c r="ET28" s="150"/>
      <c r="EU28" s="149"/>
      <c r="EV28" s="149"/>
      <c r="EW28" s="149"/>
      <c r="EX28" s="149"/>
      <c r="EY28" s="149"/>
      <c r="EZ28" s="150"/>
      <c r="FA28" s="149"/>
      <c r="FB28" s="149"/>
      <c r="FC28" s="149"/>
      <c r="FD28" s="149"/>
      <c r="FE28" s="149"/>
      <c r="FF28" s="150"/>
      <c r="FG28" s="149"/>
      <c r="FH28" s="149"/>
      <c r="FI28" s="149"/>
      <c r="FJ28" s="149"/>
      <c r="FK28" s="149"/>
      <c r="FL28" s="150"/>
      <c r="FM28" s="149"/>
      <c r="FN28" s="149"/>
      <c r="FO28" s="149"/>
      <c r="FP28" s="149"/>
      <c r="FQ28" s="149"/>
      <c r="FR28" s="150"/>
      <c r="FS28" s="149"/>
      <c r="FT28" s="149"/>
      <c r="FU28" s="149"/>
      <c r="FV28" s="149"/>
      <c r="FW28" s="149"/>
      <c r="FX28" s="150"/>
      <c r="FY28" s="149"/>
      <c r="FZ28" s="149"/>
      <c r="GA28" s="149"/>
      <c r="GB28" s="149"/>
      <c r="GC28" s="149"/>
      <c r="GD28" s="150"/>
      <c r="GE28" s="149"/>
      <c r="GF28" s="149"/>
      <c r="GG28" s="149"/>
      <c r="GH28" s="149"/>
      <c r="GI28" s="149"/>
      <c r="GJ28" s="150"/>
      <c r="GK28" s="149"/>
      <c r="GL28" s="149"/>
      <c r="GM28" s="149"/>
      <c r="GN28" s="149"/>
      <c r="GO28" s="149"/>
      <c r="GP28" s="150"/>
      <c r="GQ28" s="149"/>
      <c r="GR28" s="149"/>
      <c r="GS28" s="149"/>
      <c r="GT28" s="149"/>
      <c r="GU28" s="149"/>
      <c r="GV28" s="150"/>
      <c r="GW28" s="149"/>
      <c r="GX28" s="149"/>
      <c r="GY28" s="149"/>
      <c r="GZ28" s="149"/>
      <c r="HA28" s="149"/>
      <c r="HB28" s="150"/>
      <c r="HC28" s="149"/>
      <c r="HD28" s="149"/>
      <c r="HE28" s="149"/>
      <c r="HF28" s="149"/>
      <c r="HG28" s="149"/>
      <c r="HH28" s="150"/>
      <c r="HI28" s="149"/>
      <c r="HJ28" s="149"/>
      <c r="HK28" s="149"/>
      <c r="HL28" s="149"/>
      <c r="HM28" s="149"/>
      <c r="HN28" s="150"/>
      <c r="HO28" s="149"/>
      <c r="HP28" s="149"/>
      <c r="HQ28" s="149"/>
      <c r="HR28" s="149"/>
      <c r="HS28" s="149"/>
      <c r="HT28" s="150"/>
      <c r="HU28" s="149"/>
      <c r="HV28" s="149"/>
      <c r="HW28" s="149"/>
      <c r="HX28" s="149"/>
      <c r="HY28" s="149"/>
      <c r="HZ28" s="150"/>
      <c r="IA28" s="149"/>
      <c r="IB28" s="149"/>
      <c r="IC28" s="149"/>
      <c r="ID28" s="149"/>
      <c r="IE28" s="149"/>
      <c r="IF28" s="149"/>
      <c r="IG28" s="149"/>
      <c r="IH28" s="149"/>
      <c r="II28" s="149"/>
    </row>
    <row r="29">
      <c r="A29" s="149"/>
      <c r="B29" s="149"/>
      <c r="C29" s="149"/>
      <c r="D29" s="149"/>
      <c r="E29" s="149"/>
      <c r="F29" s="150"/>
      <c r="G29" s="149"/>
      <c r="H29" s="149"/>
      <c r="I29" s="149"/>
      <c r="J29" s="149"/>
      <c r="K29" s="149"/>
      <c r="L29" s="150"/>
      <c r="M29" s="149"/>
      <c r="N29" s="149"/>
      <c r="O29" s="149"/>
      <c r="P29" s="149"/>
      <c r="Q29" s="149"/>
      <c r="R29" s="150"/>
      <c r="S29" s="149"/>
      <c r="T29" s="149"/>
      <c r="U29" s="149"/>
      <c r="V29" s="149"/>
      <c r="W29" s="149"/>
      <c r="X29" s="150"/>
      <c r="Y29" s="149"/>
      <c r="Z29" s="149"/>
      <c r="AA29" s="149"/>
      <c r="AB29" s="149"/>
      <c r="AC29" s="149"/>
      <c r="AD29" s="150"/>
      <c r="AE29" s="149"/>
      <c r="AF29" s="149"/>
      <c r="AG29" s="149"/>
      <c r="AH29" s="149"/>
      <c r="AI29" s="149"/>
      <c r="AJ29" s="150"/>
      <c r="AK29" s="149"/>
      <c r="AL29" s="149"/>
      <c r="AM29" s="149"/>
      <c r="AN29" s="149"/>
      <c r="AO29" s="149"/>
      <c r="AP29" s="150"/>
      <c r="AQ29" s="149"/>
      <c r="AR29" s="149"/>
      <c r="AS29" s="149"/>
      <c r="AT29" s="149"/>
      <c r="AU29" s="149"/>
      <c r="AV29" s="150"/>
      <c r="AW29" s="149"/>
      <c r="AX29" s="149"/>
      <c r="AY29" s="149"/>
      <c r="AZ29" s="149"/>
      <c r="BA29" s="150"/>
      <c r="BB29" s="149"/>
      <c r="BC29" s="149"/>
      <c r="BD29" s="149"/>
      <c r="BE29" s="149"/>
      <c r="BF29" s="149"/>
      <c r="BG29" s="149"/>
      <c r="BH29" s="150"/>
      <c r="BI29" s="149"/>
      <c r="BJ29" s="149"/>
      <c r="BK29" s="149"/>
      <c r="BL29" s="149"/>
      <c r="BM29" s="149"/>
      <c r="BN29" s="150"/>
      <c r="BO29" s="149"/>
      <c r="BP29" s="149"/>
      <c r="BQ29" s="149"/>
      <c r="BR29" s="149"/>
      <c r="BS29" s="149"/>
      <c r="BT29" s="150"/>
      <c r="BU29" s="149"/>
      <c r="BV29" s="149"/>
      <c r="BW29" s="149"/>
      <c r="BX29" s="149"/>
      <c r="BY29" s="149"/>
      <c r="BZ29" s="150"/>
      <c r="CA29" s="149"/>
      <c r="CB29" s="149"/>
      <c r="CC29" s="149"/>
      <c r="CD29" s="149"/>
      <c r="CE29" s="149"/>
      <c r="CF29" s="150"/>
      <c r="CG29" s="149"/>
      <c r="CH29" s="149"/>
      <c r="CI29" s="149"/>
      <c r="CJ29" s="149"/>
      <c r="CK29" s="149"/>
      <c r="CL29" s="150"/>
      <c r="CM29" s="149"/>
      <c r="CN29" s="149"/>
      <c r="CO29" s="149"/>
      <c r="CP29" s="149"/>
      <c r="CQ29" s="149"/>
      <c r="CR29" s="150"/>
      <c r="CS29" s="149"/>
      <c r="CT29" s="149"/>
      <c r="CU29" s="149"/>
      <c r="CV29" s="149"/>
      <c r="CW29" s="149"/>
      <c r="CX29" s="150"/>
      <c r="CY29" s="149"/>
      <c r="CZ29" s="149"/>
      <c r="DA29" s="149"/>
      <c r="DB29" s="149"/>
      <c r="DC29" s="149"/>
      <c r="DD29" s="150"/>
      <c r="DE29" s="149"/>
      <c r="DF29" s="149"/>
      <c r="DG29" s="149"/>
      <c r="DH29" s="149"/>
      <c r="DI29" s="149"/>
      <c r="DJ29" s="150"/>
      <c r="DK29" s="149"/>
      <c r="DL29" s="149"/>
      <c r="DM29" s="149"/>
      <c r="DN29" s="149"/>
      <c r="DO29" s="149"/>
      <c r="DP29" s="150"/>
      <c r="DQ29" s="149"/>
      <c r="DR29" s="149"/>
      <c r="DS29" s="149"/>
      <c r="DT29" s="149"/>
      <c r="DU29" s="149"/>
      <c r="DV29" s="150"/>
      <c r="DW29" s="149"/>
      <c r="DX29" s="149"/>
      <c r="DY29" s="149"/>
      <c r="DZ29" s="149"/>
      <c r="EA29" s="149"/>
      <c r="EB29" s="150"/>
      <c r="EC29" s="149"/>
      <c r="ED29" s="149"/>
      <c r="EE29" s="149"/>
      <c r="EF29" s="149"/>
      <c r="EG29" s="149"/>
      <c r="EH29" s="150"/>
      <c r="EI29" s="149"/>
      <c r="EJ29" s="149"/>
      <c r="EK29" s="149"/>
      <c r="EL29" s="149"/>
      <c r="EM29" s="149"/>
      <c r="EN29" s="150"/>
      <c r="EO29" s="149"/>
      <c r="EP29" s="149"/>
      <c r="EQ29" s="149"/>
      <c r="ER29" s="149"/>
      <c r="ES29" s="149"/>
      <c r="ET29" s="150"/>
      <c r="EU29" s="149"/>
      <c r="EV29" s="149"/>
      <c r="EW29" s="149"/>
      <c r="EX29" s="149"/>
      <c r="EY29" s="149"/>
      <c r="EZ29" s="150"/>
      <c r="FA29" s="149"/>
      <c r="FB29" s="149"/>
      <c r="FC29" s="149"/>
      <c r="FD29" s="149"/>
      <c r="FE29" s="149"/>
      <c r="FF29" s="150"/>
      <c r="FG29" s="149"/>
      <c r="FH29" s="149"/>
      <c r="FI29" s="149"/>
      <c r="FJ29" s="149"/>
      <c r="FK29" s="149"/>
      <c r="FL29" s="150"/>
      <c r="FM29" s="149"/>
      <c r="FN29" s="149"/>
      <c r="FO29" s="149"/>
      <c r="FP29" s="149"/>
      <c r="FQ29" s="149"/>
      <c r="FR29" s="150"/>
      <c r="FS29" s="149"/>
      <c r="FT29" s="149"/>
      <c r="FU29" s="149"/>
      <c r="FV29" s="149"/>
      <c r="FW29" s="149"/>
      <c r="FX29" s="150"/>
      <c r="FY29" s="149"/>
      <c r="FZ29" s="149"/>
      <c r="GA29" s="149"/>
      <c r="GB29" s="149"/>
      <c r="GC29" s="149"/>
      <c r="GD29" s="150"/>
      <c r="GE29" s="149"/>
      <c r="GF29" s="149"/>
      <c r="GG29" s="149"/>
      <c r="GH29" s="149"/>
      <c r="GI29" s="149"/>
      <c r="GJ29" s="150"/>
      <c r="GK29" s="149"/>
      <c r="GL29" s="149"/>
      <c r="GM29" s="149"/>
      <c r="GN29" s="149"/>
      <c r="GO29" s="149"/>
      <c r="GP29" s="150"/>
      <c r="GQ29" s="149"/>
      <c r="GR29" s="149"/>
      <c r="GS29" s="149"/>
      <c r="GT29" s="149"/>
      <c r="GU29" s="149"/>
      <c r="GV29" s="150"/>
      <c r="GW29" s="149"/>
      <c r="GX29" s="149"/>
      <c r="GY29" s="149"/>
      <c r="GZ29" s="149"/>
      <c r="HA29" s="149"/>
      <c r="HB29" s="150"/>
      <c r="HC29" s="149"/>
      <c r="HD29" s="149"/>
      <c r="HE29" s="149"/>
      <c r="HF29" s="149"/>
      <c r="HG29" s="149"/>
      <c r="HH29" s="150"/>
      <c r="HI29" s="149"/>
      <c r="HJ29" s="149"/>
      <c r="HK29" s="149"/>
      <c r="HL29" s="149"/>
      <c r="HM29" s="149"/>
      <c r="HN29" s="150"/>
      <c r="HO29" s="149"/>
      <c r="HP29" s="149"/>
      <c r="HQ29" s="149"/>
      <c r="HR29" s="149"/>
      <c r="HS29" s="149"/>
      <c r="HT29" s="150"/>
      <c r="HU29" s="149"/>
      <c r="HV29" s="149"/>
      <c r="HW29" s="149"/>
      <c r="HX29" s="149"/>
      <c r="HY29" s="149"/>
      <c r="HZ29" s="150"/>
      <c r="IA29" s="149"/>
      <c r="IB29" s="149"/>
      <c r="IC29" s="149"/>
      <c r="ID29" s="149"/>
      <c r="IE29" s="149"/>
      <c r="IF29" s="149"/>
      <c r="IG29" s="149"/>
      <c r="IH29" s="149"/>
      <c r="II29" s="149"/>
    </row>
    <row r="30">
      <c r="A30" s="149"/>
      <c r="B30" s="149"/>
      <c r="C30" s="149"/>
      <c r="D30" s="149"/>
      <c r="E30" s="149"/>
      <c r="F30" s="150"/>
      <c r="G30" s="149"/>
      <c r="H30" s="149"/>
      <c r="I30" s="149"/>
      <c r="J30" s="149"/>
      <c r="K30" s="149"/>
      <c r="L30" s="150"/>
      <c r="M30" s="149"/>
      <c r="N30" s="149"/>
      <c r="O30" s="149"/>
      <c r="P30" s="149"/>
      <c r="Q30" s="149"/>
      <c r="R30" s="150"/>
      <c r="S30" s="149"/>
      <c r="T30" s="149"/>
      <c r="U30" s="149"/>
      <c r="V30" s="149"/>
      <c r="W30" s="149"/>
      <c r="X30" s="150"/>
      <c r="Y30" s="149"/>
      <c r="Z30" s="149"/>
      <c r="AA30" s="149"/>
      <c r="AB30" s="149"/>
      <c r="AC30" s="149"/>
      <c r="AD30" s="150"/>
      <c r="AE30" s="149"/>
      <c r="AF30" s="149"/>
      <c r="AG30" s="149"/>
      <c r="AH30" s="149"/>
      <c r="AI30" s="149"/>
      <c r="AJ30" s="150"/>
      <c r="AK30" s="149"/>
      <c r="AL30" s="149"/>
      <c r="AM30" s="149"/>
      <c r="AN30" s="149"/>
      <c r="AO30" s="149"/>
      <c r="AP30" s="150"/>
      <c r="AQ30" s="149"/>
      <c r="AR30" s="149"/>
      <c r="AS30" s="149"/>
      <c r="AT30" s="149"/>
      <c r="AU30" s="149"/>
      <c r="AV30" s="150"/>
      <c r="AW30" s="149"/>
      <c r="AX30" s="149"/>
      <c r="AY30" s="149"/>
      <c r="AZ30" s="149"/>
      <c r="BA30" s="150"/>
      <c r="BB30" s="149"/>
      <c r="BC30" s="149"/>
      <c r="BD30" s="149"/>
      <c r="BE30" s="149"/>
      <c r="BF30" s="149"/>
      <c r="BG30" s="149"/>
      <c r="BH30" s="150"/>
      <c r="BI30" s="149"/>
      <c r="BJ30" s="149"/>
      <c r="BK30" s="149"/>
      <c r="BL30" s="149"/>
      <c r="BM30" s="149"/>
      <c r="BN30" s="150"/>
      <c r="BO30" s="149"/>
      <c r="BP30" s="149"/>
      <c r="BQ30" s="149"/>
      <c r="BR30" s="149"/>
      <c r="BS30" s="149"/>
      <c r="BT30" s="150"/>
      <c r="BU30" s="149"/>
      <c r="BV30" s="149"/>
      <c r="BW30" s="149"/>
      <c r="BX30" s="149"/>
      <c r="BY30" s="149"/>
      <c r="BZ30" s="150"/>
      <c r="CA30" s="149"/>
      <c r="CB30" s="149"/>
      <c r="CC30" s="149"/>
      <c r="CD30" s="149"/>
      <c r="CE30" s="149"/>
      <c r="CF30" s="150"/>
      <c r="CG30" s="149"/>
      <c r="CH30" s="149"/>
      <c r="CI30" s="149"/>
      <c r="CJ30" s="149"/>
      <c r="CK30" s="149"/>
      <c r="CL30" s="150"/>
      <c r="CM30" s="149"/>
      <c r="CN30" s="149"/>
      <c r="CO30" s="149"/>
      <c r="CP30" s="149"/>
      <c r="CQ30" s="149"/>
      <c r="CR30" s="150"/>
      <c r="CS30" s="149"/>
      <c r="CT30" s="149"/>
      <c r="CU30" s="149"/>
      <c r="CV30" s="149"/>
      <c r="CW30" s="149"/>
      <c r="CX30" s="150"/>
      <c r="CY30" s="149"/>
      <c r="CZ30" s="149"/>
      <c r="DA30" s="149"/>
      <c r="DB30" s="149"/>
      <c r="DC30" s="149"/>
      <c r="DD30" s="150"/>
      <c r="DE30" s="149"/>
      <c r="DF30" s="149"/>
      <c r="DG30" s="149"/>
      <c r="DH30" s="149"/>
      <c r="DI30" s="149"/>
      <c r="DJ30" s="150"/>
      <c r="DK30" s="149"/>
      <c r="DL30" s="149"/>
      <c r="DM30" s="149"/>
      <c r="DN30" s="149"/>
      <c r="DO30" s="149"/>
      <c r="DP30" s="150"/>
      <c r="DQ30" s="149"/>
      <c r="DR30" s="149"/>
      <c r="DS30" s="149"/>
      <c r="DT30" s="149"/>
      <c r="DU30" s="149"/>
      <c r="DV30" s="150"/>
      <c r="DW30" s="149"/>
      <c r="DX30" s="149"/>
      <c r="DY30" s="149"/>
      <c r="DZ30" s="149"/>
      <c r="EA30" s="149"/>
      <c r="EB30" s="150"/>
      <c r="EC30" s="149"/>
      <c r="ED30" s="149"/>
      <c r="EE30" s="149"/>
      <c r="EF30" s="149"/>
      <c r="EG30" s="149"/>
      <c r="EH30" s="150"/>
      <c r="EI30" s="149"/>
      <c r="EJ30" s="149"/>
      <c r="EK30" s="149"/>
      <c r="EL30" s="149"/>
      <c r="EM30" s="149"/>
      <c r="EN30" s="150"/>
      <c r="EO30" s="149"/>
      <c r="EP30" s="149"/>
      <c r="EQ30" s="149"/>
      <c r="ER30" s="149"/>
      <c r="ES30" s="149"/>
      <c r="ET30" s="150"/>
      <c r="EU30" s="149"/>
      <c r="EV30" s="149"/>
      <c r="EW30" s="149"/>
      <c r="EX30" s="149"/>
      <c r="EY30" s="149"/>
      <c r="EZ30" s="150"/>
      <c r="FA30" s="149"/>
      <c r="FB30" s="149"/>
      <c r="FC30" s="149"/>
      <c r="FD30" s="149"/>
      <c r="FE30" s="149"/>
      <c r="FF30" s="150"/>
      <c r="FG30" s="149"/>
      <c r="FH30" s="149"/>
      <c r="FI30" s="149"/>
      <c r="FJ30" s="149"/>
      <c r="FK30" s="149"/>
      <c r="FL30" s="150"/>
      <c r="FM30" s="149"/>
      <c r="FN30" s="149"/>
      <c r="FO30" s="149"/>
      <c r="FP30" s="149"/>
      <c r="FQ30" s="149"/>
      <c r="FR30" s="150"/>
      <c r="FS30" s="149"/>
      <c r="FT30" s="149"/>
      <c r="FU30" s="149"/>
      <c r="FV30" s="149"/>
      <c r="FW30" s="149"/>
      <c r="FX30" s="150"/>
      <c r="FY30" s="149"/>
      <c r="FZ30" s="149"/>
      <c r="GA30" s="149"/>
      <c r="GB30" s="149"/>
      <c r="GC30" s="149"/>
      <c r="GD30" s="150"/>
      <c r="GE30" s="149"/>
      <c r="GF30" s="149"/>
      <c r="GG30" s="149"/>
      <c r="GH30" s="149"/>
      <c r="GI30" s="149"/>
      <c r="GJ30" s="150"/>
      <c r="GK30" s="149"/>
      <c r="GL30" s="149"/>
      <c r="GM30" s="149"/>
      <c r="GN30" s="149"/>
      <c r="GO30" s="149"/>
      <c r="GP30" s="150"/>
      <c r="GQ30" s="149"/>
      <c r="GR30" s="149"/>
      <c r="GS30" s="149"/>
      <c r="GT30" s="149"/>
      <c r="GU30" s="149"/>
      <c r="GV30" s="150"/>
      <c r="GW30" s="149"/>
      <c r="GX30" s="149"/>
      <c r="GY30" s="149"/>
      <c r="GZ30" s="149"/>
      <c r="HA30" s="149"/>
      <c r="HB30" s="150"/>
      <c r="HC30" s="149"/>
      <c r="HD30" s="149"/>
      <c r="HE30" s="149"/>
      <c r="HF30" s="149"/>
      <c r="HG30" s="149"/>
      <c r="HH30" s="150"/>
      <c r="HI30" s="149"/>
      <c r="HJ30" s="149"/>
      <c r="HK30" s="149"/>
      <c r="HL30" s="149"/>
      <c r="HM30" s="149"/>
      <c r="HN30" s="150"/>
      <c r="HO30" s="149"/>
      <c r="HP30" s="149"/>
      <c r="HQ30" s="149"/>
      <c r="HR30" s="149"/>
      <c r="HS30" s="149"/>
      <c r="HT30" s="150"/>
      <c r="HU30" s="149"/>
      <c r="HV30" s="149"/>
      <c r="HW30" s="149"/>
      <c r="HX30" s="149"/>
      <c r="HY30" s="149"/>
      <c r="HZ30" s="150"/>
      <c r="IA30" s="149"/>
      <c r="IB30" s="149"/>
      <c r="IC30" s="149"/>
      <c r="ID30" s="149"/>
      <c r="IE30" s="149"/>
      <c r="IF30" s="149"/>
      <c r="IG30" s="149"/>
      <c r="IH30" s="149"/>
      <c r="II30" s="149"/>
    </row>
    <row r="31">
      <c r="A31" s="149"/>
      <c r="B31" s="149"/>
      <c r="C31" s="149"/>
      <c r="D31" s="149"/>
      <c r="E31" s="149"/>
      <c r="F31" s="150"/>
      <c r="G31" s="149"/>
      <c r="H31" s="149"/>
      <c r="I31" s="149"/>
      <c r="J31" s="149"/>
      <c r="K31" s="149"/>
      <c r="L31" s="150"/>
      <c r="M31" s="149"/>
      <c r="N31" s="149"/>
      <c r="O31" s="149"/>
      <c r="P31" s="149"/>
      <c r="Q31" s="149"/>
      <c r="R31" s="150"/>
      <c r="S31" s="149"/>
      <c r="T31" s="149"/>
      <c r="U31" s="149"/>
      <c r="V31" s="149"/>
      <c r="W31" s="149"/>
      <c r="X31" s="150"/>
      <c r="Y31" s="149"/>
      <c r="Z31" s="149"/>
      <c r="AA31" s="149"/>
      <c r="AB31" s="149"/>
      <c r="AC31" s="149"/>
      <c r="AD31" s="150"/>
      <c r="AE31" s="149"/>
      <c r="AF31" s="149"/>
      <c r="AG31" s="149"/>
      <c r="AH31" s="149"/>
      <c r="AI31" s="149"/>
      <c r="AJ31" s="150"/>
      <c r="AK31" s="149"/>
      <c r="AL31" s="149"/>
      <c r="AM31" s="149"/>
      <c r="AN31" s="149"/>
      <c r="AO31" s="149"/>
      <c r="AP31" s="150"/>
      <c r="AQ31" s="149"/>
      <c r="AR31" s="149"/>
      <c r="AS31" s="149"/>
      <c r="AT31" s="149"/>
      <c r="AU31" s="149"/>
      <c r="AV31" s="150"/>
      <c r="AW31" s="149"/>
      <c r="AX31" s="149"/>
      <c r="AY31" s="149"/>
      <c r="AZ31" s="149"/>
      <c r="BA31" s="150"/>
      <c r="BB31" s="149"/>
      <c r="BC31" s="149"/>
      <c r="BD31" s="149"/>
      <c r="BE31" s="149"/>
      <c r="BF31" s="149"/>
      <c r="BG31" s="149"/>
      <c r="BH31" s="150"/>
      <c r="BI31" s="149"/>
      <c r="BJ31" s="149"/>
      <c r="BK31" s="149"/>
      <c r="BL31" s="149"/>
      <c r="BM31" s="149"/>
      <c r="BN31" s="150"/>
      <c r="BO31" s="149"/>
      <c r="BP31" s="149"/>
      <c r="BQ31" s="149"/>
      <c r="BR31" s="149"/>
      <c r="BS31" s="149"/>
      <c r="BT31" s="150"/>
      <c r="BU31" s="149"/>
      <c r="BV31" s="149"/>
      <c r="BW31" s="149"/>
      <c r="BX31" s="149"/>
      <c r="BY31" s="149"/>
      <c r="BZ31" s="150"/>
      <c r="CA31" s="149"/>
      <c r="CB31" s="149"/>
      <c r="CC31" s="149"/>
      <c r="CD31" s="149"/>
      <c r="CE31" s="149"/>
      <c r="CF31" s="150"/>
      <c r="CG31" s="149"/>
      <c r="CH31" s="149"/>
      <c r="CI31" s="149"/>
      <c r="CJ31" s="149"/>
      <c r="CK31" s="149"/>
      <c r="CL31" s="150"/>
      <c r="CM31" s="149"/>
      <c r="CN31" s="149"/>
      <c r="CO31" s="149"/>
      <c r="CP31" s="149"/>
      <c r="CQ31" s="149"/>
      <c r="CR31" s="150"/>
      <c r="CS31" s="149"/>
      <c r="CT31" s="149"/>
      <c r="CU31" s="149"/>
      <c r="CV31" s="149"/>
      <c r="CW31" s="149"/>
      <c r="CX31" s="150"/>
      <c r="CY31" s="149"/>
      <c r="CZ31" s="149"/>
      <c r="DA31" s="149"/>
      <c r="DB31" s="149"/>
      <c r="DC31" s="149"/>
      <c r="DD31" s="150"/>
      <c r="DE31" s="149"/>
      <c r="DF31" s="149"/>
      <c r="DG31" s="149"/>
      <c r="DH31" s="149"/>
      <c r="DI31" s="149"/>
      <c r="DJ31" s="150"/>
      <c r="DK31" s="149"/>
      <c r="DL31" s="149"/>
      <c r="DM31" s="149"/>
      <c r="DN31" s="149"/>
      <c r="DO31" s="149"/>
      <c r="DP31" s="150"/>
      <c r="DQ31" s="149"/>
      <c r="DR31" s="149"/>
      <c r="DS31" s="149"/>
      <c r="DT31" s="149"/>
      <c r="DU31" s="149"/>
      <c r="DV31" s="150"/>
      <c r="DW31" s="149"/>
      <c r="DX31" s="149"/>
      <c r="DY31" s="149"/>
      <c r="DZ31" s="149"/>
      <c r="EA31" s="149"/>
      <c r="EB31" s="150"/>
      <c r="EC31" s="149"/>
      <c r="ED31" s="149"/>
      <c r="EE31" s="149"/>
      <c r="EF31" s="149"/>
      <c r="EG31" s="149"/>
      <c r="EH31" s="150"/>
      <c r="EI31" s="149"/>
      <c r="EJ31" s="149"/>
      <c r="EK31" s="149"/>
      <c r="EL31" s="149"/>
      <c r="EM31" s="149"/>
      <c r="EN31" s="150"/>
      <c r="EO31" s="149"/>
      <c r="EP31" s="149"/>
      <c r="EQ31" s="149"/>
      <c r="ER31" s="149"/>
      <c r="ES31" s="149"/>
      <c r="ET31" s="150"/>
      <c r="EU31" s="149"/>
      <c r="EV31" s="149"/>
      <c r="EW31" s="149"/>
      <c r="EX31" s="149"/>
      <c r="EY31" s="149"/>
      <c r="EZ31" s="150"/>
      <c r="FA31" s="149"/>
      <c r="FB31" s="149"/>
      <c r="FC31" s="149"/>
      <c r="FD31" s="149"/>
      <c r="FE31" s="149"/>
      <c r="FF31" s="150"/>
      <c r="FG31" s="149"/>
      <c r="FH31" s="149"/>
      <c r="FI31" s="149"/>
      <c r="FJ31" s="149"/>
      <c r="FK31" s="149"/>
      <c r="FL31" s="150"/>
      <c r="FM31" s="149"/>
      <c r="FN31" s="149"/>
      <c r="FO31" s="149"/>
      <c r="FP31" s="149"/>
      <c r="FQ31" s="149"/>
      <c r="FR31" s="150"/>
      <c r="FS31" s="149"/>
      <c r="FT31" s="149"/>
      <c r="FU31" s="149"/>
      <c r="FV31" s="149"/>
      <c r="FW31" s="149"/>
      <c r="FX31" s="150"/>
      <c r="FY31" s="149"/>
      <c r="FZ31" s="149"/>
      <c r="GA31" s="149"/>
      <c r="GB31" s="149"/>
      <c r="GC31" s="149"/>
      <c r="GD31" s="150"/>
      <c r="GE31" s="149"/>
      <c r="GF31" s="149"/>
      <c r="GG31" s="149"/>
      <c r="GH31" s="149"/>
      <c r="GI31" s="149"/>
      <c r="GJ31" s="150"/>
      <c r="GK31" s="149"/>
      <c r="GL31" s="149"/>
      <c r="GM31" s="149"/>
      <c r="GN31" s="149"/>
      <c r="GO31" s="149"/>
      <c r="GP31" s="150"/>
      <c r="GQ31" s="149"/>
      <c r="GR31" s="149"/>
      <c r="GS31" s="149"/>
      <c r="GT31" s="149"/>
      <c r="GU31" s="149"/>
      <c r="GV31" s="150"/>
      <c r="GW31" s="149"/>
      <c r="GX31" s="149"/>
      <c r="GY31" s="149"/>
      <c r="GZ31" s="149"/>
      <c r="HA31" s="149"/>
      <c r="HB31" s="150"/>
      <c r="HC31" s="149"/>
      <c r="HD31" s="149"/>
      <c r="HE31" s="149"/>
      <c r="HF31" s="149"/>
      <c r="HG31" s="149"/>
      <c r="HH31" s="150"/>
      <c r="HI31" s="149"/>
      <c r="HJ31" s="149"/>
      <c r="HK31" s="149"/>
      <c r="HL31" s="149"/>
      <c r="HM31" s="149"/>
      <c r="HN31" s="150"/>
      <c r="HO31" s="149"/>
      <c r="HP31" s="149"/>
      <c r="HQ31" s="149"/>
      <c r="HR31" s="149"/>
      <c r="HS31" s="149"/>
      <c r="HT31" s="150"/>
      <c r="HU31" s="149"/>
      <c r="HV31" s="149"/>
      <c r="HW31" s="149"/>
      <c r="HX31" s="149"/>
      <c r="HY31" s="149"/>
      <c r="HZ31" s="150"/>
      <c r="IA31" s="149"/>
      <c r="IB31" s="149"/>
      <c r="IC31" s="149"/>
      <c r="ID31" s="149"/>
      <c r="IE31" s="149"/>
      <c r="IF31" s="149"/>
      <c r="IG31" s="149"/>
      <c r="IH31" s="149"/>
      <c r="II31" s="149"/>
    </row>
    <row r="32">
      <c r="A32" s="149"/>
      <c r="B32" s="149"/>
      <c r="C32" s="149"/>
      <c r="D32" s="149"/>
      <c r="E32" s="149"/>
      <c r="F32" s="150"/>
      <c r="G32" s="149"/>
      <c r="H32" s="149"/>
      <c r="I32" s="149"/>
      <c r="J32" s="149"/>
      <c r="K32" s="149"/>
      <c r="L32" s="150"/>
      <c r="M32" s="149"/>
      <c r="N32" s="149"/>
      <c r="O32" s="149"/>
      <c r="P32" s="149"/>
      <c r="Q32" s="149"/>
      <c r="R32" s="150"/>
      <c r="S32" s="149"/>
      <c r="T32" s="149"/>
      <c r="U32" s="149"/>
      <c r="V32" s="149"/>
      <c r="W32" s="149"/>
      <c r="X32" s="150"/>
      <c r="Y32" s="149"/>
      <c r="Z32" s="149"/>
      <c r="AA32" s="149"/>
      <c r="AB32" s="149"/>
      <c r="AC32" s="149"/>
      <c r="AD32" s="150"/>
      <c r="AE32" s="149"/>
      <c r="AF32" s="149"/>
      <c r="AG32" s="149"/>
      <c r="AH32" s="149"/>
      <c r="AI32" s="149"/>
      <c r="AJ32" s="150"/>
      <c r="AK32" s="149"/>
      <c r="AL32" s="149"/>
      <c r="AM32" s="149"/>
      <c r="AN32" s="149"/>
      <c r="AO32" s="149"/>
      <c r="AP32" s="150"/>
      <c r="AQ32" s="149"/>
      <c r="AR32" s="149"/>
      <c r="AS32" s="149"/>
      <c r="AT32" s="149"/>
      <c r="AU32" s="149"/>
      <c r="AV32" s="150"/>
      <c r="AW32" s="149"/>
      <c r="AX32" s="149"/>
      <c r="AY32" s="149"/>
      <c r="AZ32" s="149"/>
      <c r="BA32" s="150"/>
      <c r="BB32" s="149"/>
      <c r="BC32" s="149"/>
      <c r="BD32" s="149"/>
      <c r="BE32" s="149"/>
      <c r="BF32" s="149"/>
      <c r="BG32" s="149"/>
      <c r="BH32" s="150"/>
      <c r="BI32" s="149"/>
      <c r="BJ32" s="149"/>
      <c r="BK32" s="149"/>
      <c r="BL32" s="149"/>
      <c r="BM32" s="149"/>
      <c r="BN32" s="150"/>
      <c r="BO32" s="149"/>
      <c r="BP32" s="149"/>
      <c r="BQ32" s="149"/>
      <c r="BR32" s="149"/>
      <c r="BS32" s="149"/>
      <c r="BT32" s="150"/>
      <c r="BU32" s="149"/>
      <c r="BV32" s="149"/>
      <c r="BW32" s="149"/>
      <c r="BX32" s="149"/>
      <c r="BY32" s="149"/>
      <c r="BZ32" s="150"/>
      <c r="CA32" s="149"/>
      <c r="CB32" s="149"/>
      <c r="CC32" s="149"/>
      <c r="CD32" s="149"/>
      <c r="CE32" s="149"/>
      <c r="CF32" s="150"/>
      <c r="CG32" s="149"/>
      <c r="CH32" s="149"/>
      <c r="CI32" s="149"/>
      <c r="CJ32" s="149"/>
      <c r="CK32" s="149"/>
      <c r="CL32" s="150"/>
      <c r="CM32" s="149"/>
      <c r="CN32" s="149"/>
      <c r="CO32" s="149"/>
      <c r="CP32" s="149"/>
      <c r="CQ32" s="149"/>
      <c r="CR32" s="150"/>
      <c r="CS32" s="149"/>
      <c r="CT32" s="149"/>
      <c r="CU32" s="149"/>
      <c r="CV32" s="149"/>
      <c r="CW32" s="149"/>
      <c r="CX32" s="150"/>
      <c r="CY32" s="149"/>
      <c r="CZ32" s="149"/>
      <c r="DA32" s="149"/>
      <c r="DB32" s="149"/>
      <c r="DC32" s="149"/>
      <c r="DD32" s="150"/>
      <c r="DE32" s="149"/>
      <c r="DF32" s="149"/>
      <c r="DG32" s="149"/>
      <c r="DH32" s="149"/>
      <c r="DI32" s="149"/>
      <c r="DJ32" s="150"/>
      <c r="DK32" s="149"/>
      <c r="DL32" s="149"/>
      <c r="DM32" s="149"/>
      <c r="DN32" s="149"/>
      <c r="DO32" s="149"/>
      <c r="DP32" s="150"/>
      <c r="DQ32" s="149"/>
      <c r="DR32" s="149"/>
      <c r="DS32" s="149"/>
      <c r="DT32" s="149"/>
      <c r="DU32" s="149"/>
      <c r="DV32" s="150"/>
      <c r="DW32" s="149"/>
      <c r="DX32" s="149"/>
      <c r="DY32" s="149"/>
      <c r="DZ32" s="149"/>
      <c r="EA32" s="149"/>
      <c r="EB32" s="150"/>
      <c r="EC32" s="149"/>
      <c r="ED32" s="149"/>
      <c r="EE32" s="149"/>
      <c r="EF32" s="149"/>
      <c r="EG32" s="149"/>
      <c r="EH32" s="150"/>
      <c r="EI32" s="149"/>
      <c r="EJ32" s="149"/>
      <c r="EK32" s="149"/>
      <c r="EL32" s="149"/>
      <c r="EM32" s="149"/>
      <c r="EN32" s="150"/>
      <c r="EO32" s="149"/>
      <c r="EP32" s="149"/>
      <c r="EQ32" s="149"/>
      <c r="ER32" s="149"/>
      <c r="ES32" s="149"/>
      <c r="ET32" s="150"/>
      <c r="EU32" s="149"/>
      <c r="EV32" s="149"/>
      <c r="EW32" s="149"/>
      <c r="EX32" s="149"/>
      <c r="EY32" s="149"/>
      <c r="EZ32" s="150"/>
      <c r="FA32" s="149"/>
      <c r="FB32" s="149"/>
      <c r="FC32" s="149"/>
      <c r="FD32" s="149"/>
      <c r="FE32" s="149"/>
      <c r="FF32" s="150"/>
      <c r="FG32" s="149"/>
      <c r="FH32" s="149"/>
      <c r="FI32" s="149"/>
      <c r="FJ32" s="149"/>
      <c r="FK32" s="149"/>
      <c r="FL32" s="150"/>
      <c r="FM32" s="149"/>
      <c r="FN32" s="149"/>
      <c r="FO32" s="149"/>
      <c r="FP32" s="149"/>
      <c r="FQ32" s="149"/>
      <c r="FR32" s="150"/>
      <c r="FS32" s="149"/>
      <c r="FT32" s="149"/>
      <c r="FU32" s="149"/>
      <c r="FV32" s="149"/>
      <c r="FW32" s="149"/>
      <c r="FX32" s="150"/>
      <c r="FY32" s="149"/>
      <c r="FZ32" s="149"/>
      <c r="GA32" s="149"/>
      <c r="GB32" s="149"/>
      <c r="GC32" s="149"/>
      <c r="GD32" s="150"/>
      <c r="GE32" s="149"/>
      <c r="GF32" s="149"/>
      <c r="GG32" s="149"/>
      <c r="GH32" s="149"/>
      <c r="GI32" s="149"/>
      <c r="GJ32" s="150"/>
      <c r="GK32" s="149"/>
      <c r="GL32" s="149"/>
      <c r="GM32" s="149"/>
      <c r="GN32" s="149"/>
      <c r="GO32" s="149"/>
      <c r="GP32" s="150"/>
      <c r="GQ32" s="149"/>
      <c r="GR32" s="149"/>
      <c r="GS32" s="149"/>
      <c r="GT32" s="149"/>
      <c r="GU32" s="149"/>
      <c r="GV32" s="150"/>
      <c r="GW32" s="149"/>
      <c r="GX32" s="149"/>
      <c r="GY32" s="149"/>
      <c r="GZ32" s="149"/>
      <c r="HA32" s="149"/>
      <c r="HB32" s="150"/>
      <c r="HC32" s="149"/>
      <c r="HD32" s="149"/>
      <c r="HE32" s="149"/>
      <c r="HF32" s="149"/>
      <c r="HG32" s="149"/>
      <c r="HH32" s="150"/>
      <c r="HI32" s="149"/>
      <c r="HJ32" s="149"/>
      <c r="HK32" s="149"/>
      <c r="HL32" s="149"/>
      <c r="HM32" s="149"/>
      <c r="HN32" s="150"/>
      <c r="HO32" s="149"/>
      <c r="HP32" s="149"/>
      <c r="HQ32" s="149"/>
      <c r="HR32" s="149"/>
      <c r="HS32" s="149"/>
      <c r="HT32" s="150"/>
      <c r="HU32" s="149"/>
      <c r="HV32" s="149"/>
      <c r="HW32" s="149"/>
      <c r="HX32" s="149"/>
      <c r="HY32" s="149"/>
      <c r="HZ32" s="150"/>
      <c r="IA32" s="149"/>
      <c r="IB32" s="149"/>
      <c r="IC32" s="149"/>
      <c r="ID32" s="149"/>
      <c r="IE32" s="149"/>
      <c r="IF32" s="149"/>
      <c r="IG32" s="149"/>
      <c r="IH32" s="149"/>
      <c r="II32" s="149"/>
    </row>
    <row r="33">
      <c r="A33" s="149"/>
      <c r="B33" s="149"/>
      <c r="C33" s="149"/>
      <c r="D33" s="149"/>
      <c r="E33" s="149"/>
      <c r="F33" s="150"/>
      <c r="G33" s="149"/>
      <c r="H33" s="149"/>
      <c r="I33" s="149"/>
      <c r="J33" s="149"/>
      <c r="K33" s="149"/>
      <c r="L33" s="150"/>
      <c r="M33" s="149"/>
      <c r="N33" s="149"/>
      <c r="O33" s="149"/>
      <c r="P33" s="149"/>
      <c r="Q33" s="149"/>
      <c r="R33" s="150"/>
      <c r="S33" s="149"/>
      <c r="T33" s="149"/>
      <c r="U33" s="149"/>
      <c r="V33" s="149"/>
      <c r="W33" s="149"/>
      <c r="X33" s="150"/>
      <c r="Y33" s="149"/>
      <c r="Z33" s="149"/>
      <c r="AA33" s="149"/>
      <c r="AB33" s="149"/>
      <c r="AC33" s="149"/>
      <c r="AD33" s="150"/>
      <c r="AE33" s="149"/>
      <c r="AF33" s="149"/>
      <c r="AG33" s="149"/>
      <c r="AH33" s="149"/>
      <c r="AI33" s="149"/>
      <c r="AJ33" s="150"/>
      <c r="AK33" s="149"/>
      <c r="AL33" s="149"/>
      <c r="AM33" s="149"/>
      <c r="AN33" s="149"/>
      <c r="AO33" s="149"/>
      <c r="AP33" s="150"/>
      <c r="AQ33" s="149"/>
      <c r="AR33" s="149"/>
      <c r="AS33" s="149"/>
      <c r="AT33" s="149"/>
      <c r="AU33" s="149"/>
      <c r="AV33" s="150"/>
      <c r="AW33" s="149"/>
      <c r="AX33" s="149"/>
      <c r="AY33" s="149"/>
      <c r="AZ33" s="149"/>
      <c r="BA33" s="150"/>
      <c r="BB33" s="149"/>
      <c r="BC33" s="149"/>
      <c r="BD33" s="149"/>
      <c r="BE33" s="149"/>
      <c r="BF33" s="149"/>
      <c r="BG33" s="149"/>
      <c r="BH33" s="150"/>
      <c r="BI33" s="149"/>
      <c r="BJ33" s="149"/>
      <c r="BK33" s="149"/>
      <c r="BL33" s="149"/>
      <c r="BM33" s="149"/>
      <c r="BN33" s="150"/>
      <c r="BO33" s="149"/>
      <c r="BP33" s="149"/>
      <c r="BQ33" s="149"/>
      <c r="BR33" s="149"/>
      <c r="BS33" s="149"/>
      <c r="BT33" s="150"/>
      <c r="BU33" s="149"/>
      <c r="BV33" s="149"/>
      <c r="BW33" s="149"/>
      <c r="BX33" s="149"/>
      <c r="BY33" s="149"/>
      <c r="BZ33" s="150"/>
      <c r="CA33" s="149"/>
      <c r="CB33" s="149"/>
      <c r="CC33" s="149"/>
      <c r="CD33" s="149"/>
      <c r="CE33" s="149"/>
      <c r="CF33" s="150"/>
      <c r="CG33" s="149"/>
      <c r="CH33" s="149"/>
      <c r="CI33" s="149"/>
      <c r="CJ33" s="149"/>
      <c r="CK33" s="149"/>
      <c r="CL33" s="150"/>
      <c r="CM33" s="149"/>
      <c r="CN33" s="149"/>
      <c r="CO33" s="149"/>
      <c r="CP33" s="149"/>
      <c r="CQ33" s="149"/>
      <c r="CR33" s="150"/>
      <c r="CS33" s="149"/>
      <c r="CT33" s="149"/>
      <c r="CU33" s="149"/>
      <c r="CV33" s="149"/>
      <c r="CW33" s="149"/>
      <c r="CX33" s="150"/>
      <c r="CY33" s="149"/>
      <c r="CZ33" s="149"/>
      <c r="DA33" s="149"/>
      <c r="DB33" s="149"/>
      <c r="DC33" s="149"/>
      <c r="DD33" s="150"/>
      <c r="DE33" s="149"/>
      <c r="DF33" s="149"/>
      <c r="DG33" s="149"/>
      <c r="DH33" s="149"/>
      <c r="DI33" s="149"/>
      <c r="DJ33" s="150"/>
      <c r="DK33" s="149"/>
      <c r="DL33" s="149"/>
      <c r="DM33" s="149"/>
      <c r="DN33" s="149"/>
      <c r="DO33" s="149"/>
      <c r="DP33" s="150"/>
      <c r="DQ33" s="149"/>
      <c r="DR33" s="149"/>
      <c r="DS33" s="149"/>
      <c r="DT33" s="149"/>
      <c r="DU33" s="149"/>
      <c r="DV33" s="150"/>
      <c r="DW33" s="149"/>
      <c r="DX33" s="149"/>
      <c r="DY33" s="149"/>
      <c r="DZ33" s="149"/>
      <c r="EA33" s="149"/>
      <c r="EB33" s="150"/>
      <c r="EC33" s="149"/>
      <c r="ED33" s="149"/>
      <c r="EE33" s="149"/>
      <c r="EF33" s="149"/>
      <c r="EG33" s="149"/>
      <c r="EH33" s="150"/>
      <c r="EI33" s="149"/>
      <c r="EJ33" s="149"/>
      <c r="EK33" s="149"/>
      <c r="EL33" s="149"/>
      <c r="EM33" s="149"/>
      <c r="EN33" s="150"/>
      <c r="EO33" s="149"/>
      <c r="EP33" s="149"/>
      <c r="EQ33" s="149"/>
      <c r="ER33" s="149"/>
      <c r="ES33" s="149"/>
      <c r="ET33" s="150"/>
      <c r="EU33" s="149"/>
      <c r="EV33" s="149"/>
      <c r="EW33" s="149"/>
      <c r="EX33" s="149"/>
      <c r="EY33" s="149"/>
      <c r="EZ33" s="150"/>
      <c r="FA33" s="149"/>
      <c r="FB33" s="149"/>
      <c r="FC33" s="149"/>
      <c r="FD33" s="149"/>
      <c r="FE33" s="149"/>
      <c r="FF33" s="150"/>
      <c r="FG33" s="149"/>
      <c r="FH33" s="149"/>
      <c r="FI33" s="149"/>
      <c r="FJ33" s="149"/>
      <c r="FK33" s="149"/>
      <c r="FL33" s="150"/>
      <c r="FM33" s="149"/>
      <c r="FN33" s="149"/>
      <c r="FO33" s="149"/>
      <c r="FP33" s="149"/>
      <c r="FQ33" s="149"/>
      <c r="FR33" s="150"/>
      <c r="FS33" s="149"/>
      <c r="FT33" s="149"/>
      <c r="FU33" s="149"/>
      <c r="FV33" s="149"/>
      <c r="FW33" s="149"/>
      <c r="FX33" s="150"/>
      <c r="FY33" s="149"/>
      <c r="FZ33" s="149"/>
      <c r="GA33" s="149"/>
      <c r="GB33" s="149"/>
      <c r="GC33" s="149"/>
      <c r="GD33" s="150"/>
      <c r="GE33" s="149"/>
      <c r="GF33" s="149"/>
      <c r="GG33" s="149"/>
      <c r="GH33" s="149"/>
      <c r="GI33" s="149"/>
      <c r="GJ33" s="150"/>
      <c r="GK33" s="149"/>
      <c r="GL33" s="149"/>
      <c r="GM33" s="149"/>
      <c r="GN33" s="149"/>
      <c r="GO33" s="149"/>
      <c r="GP33" s="150"/>
      <c r="GQ33" s="149"/>
      <c r="GR33" s="149"/>
      <c r="GS33" s="149"/>
      <c r="GT33" s="149"/>
      <c r="GU33" s="149"/>
      <c r="GV33" s="150"/>
      <c r="GW33" s="149"/>
      <c r="GX33" s="149"/>
      <c r="GY33" s="149"/>
      <c r="GZ33" s="149"/>
      <c r="HA33" s="149"/>
      <c r="HB33" s="150"/>
      <c r="HC33" s="149"/>
      <c r="HD33" s="149"/>
      <c r="HE33" s="149"/>
      <c r="HF33" s="149"/>
      <c r="HG33" s="149"/>
      <c r="HH33" s="150"/>
      <c r="HI33" s="149"/>
      <c r="HJ33" s="149"/>
      <c r="HK33" s="149"/>
      <c r="HL33" s="149"/>
      <c r="HM33" s="149"/>
      <c r="HN33" s="150"/>
      <c r="HO33" s="149"/>
      <c r="HP33" s="149"/>
      <c r="HQ33" s="149"/>
      <c r="HR33" s="149"/>
      <c r="HS33" s="149"/>
      <c r="HT33" s="150"/>
      <c r="HU33" s="149"/>
      <c r="HV33" s="149"/>
      <c r="HW33" s="149"/>
      <c r="HX33" s="149"/>
      <c r="HY33" s="149"/>
      <c r="HZ33" s="150"/>
      <c r="IA33" s="149"/>
      <c r="IB33" s="149"/>
      <c r="IC33" s="149"/>
      <c r="ID33" s="149"/>
      <c r="IE33" s="149"/>
      <c r="IF33" s="149"/>
      <c r="IG33" s="149"/>
      <c r="IH33" s="149"/>
      <c r="II33" s="149"/>
    </row>
    <row r="34">
      <c r="A34" s="149"/>
      <c r="B34" s="149"/>
      <c r="C34" s="149"/>
      <c r="D34" s="149"/>
      <c r="E34" s="149"/>
      <c r="F34" s="150"/>
      <c r="G34" s="149"/>
      <c r="H34" s="149"/>
      <c r="I34" s="149"/>
      <c r="J34" s="149"/>
      <c r="K34" s="149"/>
      <c r="L34" s="150"/>
      <c r="M34" s="149"/>
      <c r="N34" s="149"/>
      <c r="O34" s="149"/>
      <c r="P34" s="149"/>
      <c r="Q34" s="149"/>
      <c r="R34" s="150"/>
      <c r="S34" s="149"/>
      <c r="T34" s="149"/>
      <c r="U34" s="149"/>
      <c r="V34" s="149"/>
      <c r="W34" s="149"/>
      <c r="X34" s="150"/>
      <c r="Y34" s="149"/>
      <c r="Z34" s="149"/>
      <c r="AA34" s="149"/>
      <c r="AB34" s="149"/>
      <c r="AC34" s="149"/>
      <c r="AD34" s="150"/>
      <c r="AE34" s="149"/>
      <c r="AF34" s="149"/>
      <c r="AG34" s="149"/>
      <c r="AH34" s="149"/>
      <c r="AI34" s="149"/>
      <c r="AJ34" s="150"/>
      <c r="AK34" s="149"/>
      <c r="AL34" s="149"/>
      <c r="AM34" s="149"/>
      <c r="AN34" s="149"/>
      <c r="AO34" s="149"/>
      <c r="AP34" s="150"/>
      <c r="AQ34" s="149"/>
      <c r="AR34" s="149"/>
      <c r="AS34" s="149"/>
      <c r="AT34" s="149"/>
      <c r="AU34" s="149"/>
      <c r="AV34" s="150"/>
      <c r="AW34" s="149"/>
      <c r="AX34" s="149"/>
      <c r="AY34" s="149"/>
      <c r="AZ34" s="149"/>
      <c r="BA34" s="150"/>
      <c r="BB34" s="149"/>
      <c r="BC34" s="149"/>
      <c r="BD34" s="149"/>
      <c r="BE34" s="149"/>
      <c r="BF34" s="149"/>
      <c r="BG34" s="149"/>
      <c r="BH34" s="150"/>
      <c r="BI34" s="149"/>
      <c r="BJ34" s="149"/>
      <c r="BK34" s="149"/>
      <c r="BL34" s="149"/>
      <c r="BM34" s="149"/>
      <c r="BN34" s="150"/>
      <c r="BO34" s="149"/>
      <c r="BP34" s="149"/>
      <c r="BQ34" s="149"/>
      <c r="BR34" s="149"/>
      <c r="BS34" s="149"/>
      <c r="BT34" s="150"/>
      <c r="BU34" s="149"/>
      <c r="BV34" s="149"/>
      <c r="BW34" s="149"/>
      <c r="BX34" s="149"/>
      <c r="BY34" s="149"/>
      <c r="BZ34" s="150"/>
      <c r="CA34" s="149"/>
      <c r="CB34" s="149"/>
      <c r="CC34" s="149"/>
      <c r="CD34" s="149"/>
      <c r="CE34" s="149"/>
      <c r="CF34" s="150"/>
      <c r="CG34" s="149"/>
      <c r="CH34" s="149"/>
      <c r="CI34" s="149"/>
      <c r="CJ34" s="149"/>
      <c r="CK34" s="149"/>
      <c r="CL34" s="150"/>
      <c r="CM34" s="149"/>
      <c r="CN34" s="149"/>
      <c r="CO34" s="149"/>
      <c r="CP34" s="149"/>
      <c r="CQ34" s="149"/>
      <c r="CR34" s="150"/>
      <c r="CS34" s="149"/>
      <c r="CT34" s="149"/>
      <c r="CU34" s="149"/>
      <c r="CV34" s="149"/>
      <c r="CW34" s="149"/>
      <c r="CX34" s="150"/>
      <c r="CY34" s="149"/>
      <c r="CZ34" s="149"/>
      <c r="DA34" s="149"/>
      <c r="DB34" s="149"/>
      <c r="DC34" s="149"/>
      <c r="DD34" s="150"/>
      <c r="DE34" s="149"/>
      <c r="DF34" s="149"/>
      <c r="DG34" s="149"/>
      <c r="DH34" s="149"/>
      <c r="DI34" s="149"/>
      <c r="DJ34" s="150"/>
      <c r="DK34" s="149"/>
      <c r="DL34" s="149"/>
      <c r="DM34" s="149"/>
      <c r="DN34" s="149"/>
      <c r="DO34" s="149"/>
      <c r="DP34" s="150"/>
      <c r="DQ34" s="149"/>
      <c r="DR34" s="149"/>
      <c r="DS34" s="149"/>
      <c r="DT34" s="149"/>
      <c r="DU34" s="149"/>
      <c r="DV34" s="150"/>
      <c r="DW34" s="149"/>
      <c r="DX34" s="149"/>
      <c r="DY34" s="149"/>
      <c r="DZ34" s="149"/>
      <c r="EA34" s="149"/>
      <c r="EB34" s="150"/>
      <c r="EC34" s="149"/>
      <c r="ED34" s="149"/>
      <c r="EE34" s="149"/>
      <c r="EF34" s="149"/>
      <c r="EG34" s="149"/>
      <c r="EH34" s="150"/>
      <c r="EI34" s="149"/>
      <c r="EJ34" s="149"/>
      <c r="EK34" s="149"/>
      <c r="EL34" s="149"/>
      <c r="EM34" s="149"/>
      <c r="EN34" s="150"/>
      <c r="EO34" s="149"/>
      <c r="EP34" s="149"/>
      <c r="EQ34" s="149"/>
      <c r="ER34" s="149"/>
      <c r="ES34" s="149"/>
      <c r="ET34" s="150"/>
      <c r="EU34" s="149"/>
      <c r="EV34" s="149"/>
      <c r="EW34" s="149"/>
      <c r="EX34" s="149"/>
      <c r="EY34" s="149"/>
      <c r="EZ34" s="150"/>
      <c r="FA34" s="149"/>
      <c r="FB34" s="149"/>
      <c r="FC34" s="149"/>
      <c r="FD34" s="149"/>
      <c r="FE34" s="149"/>
      <c r="FF34" s="150"/>
      <c r="FG34" s="149"/>
      <c r="FH34" s="149"/>
      <c r="FI34" s="149"/>
      <c r="FJ34" s="149"/>
      <c r="FK34" s="149"/>
      <c r="FL34" s="150"/>
      <c r="FM34" s="149"/>
      <c r="FN34" s="149"/>
      <c r="FO34" s="149"/>
      <c r="FP34" s="149"/>
      <c r="FQ34" s="149"/>
      <c r="FR34" s="150"/>
      <c r="FS34" s="149"/>
      <c r="FT34" s="149"/>
      <c r="FU34" s="149"/>
      <c r="FV34" s="149"/>
      <c r="FW34" s="149"/>
      <c r="FX34" s="150"/>
      <c r="FY34" s="149"/>
      <c r="FZ34" s="149"/>
      <c r="GA34" s="149"/>
      <c r="GB34" s="149"/>
      <c r="GC34" s="149"/>
      <c r="GD34" s="150"/>
      <c r="GE34" s="149"/>
      <c r="GF34" s="149"/>
      <c r="GG34" s="149"/>
      <c r="GH34" s="149"/>
      <c r="GI34" s="149"/>
      <c r="GJ34" s="150"/>
      <c r="GK34" s="149"/>
      <c r="GL34" s="149"/>
      <c r="GM34" s="149"/>
      <c r="GN34" s="149"/>
      <c r="GO34" s="149"/>
      <c r="GP34" s="150"/>
      <c r="GQ34" s="149"/>
      <c r="GR34" s="149"/>
      <c r="GS34" s="149"/>
      <c r="GT34" s="149"/>
      <c r="GU34" s="149"/>
      <c r="GV34" s="150"/>
      <c r="GW34" s="149"/>
      <c r="GX34" s="149"/>
      <c r="GY34" s="149"/>
      <c r="GZ34" s="149"/>
      <c r="HA34" s="149"/>
      <c r="HB34" s="150"/>
      <c r="HC34" s="149"/>
      <c r="HD34" s="149"/>
      <c r="HE34" s="149"/>
      <c r="HF34" s="149"/>
      <c r="HG34" s="149"/>
      <c r="HH34" s="150"/>
      <c r="HI34" s="149"/>
      <c r="HJ34" s="149"/>
      <c r="HK34" s="149"/>
      <c r="HL34" s="149"/>
      <c r="HM34" s="149"/>
      <c r="HN34" s="150"/>
      <c r="HO34" s="149"/>
      <c r="HP34" s="149"/>
      <c r="HQ34" s="149"/>
      <c r="HR34" s="149"/>
      <c r="HS34" s="149"/>
      <c r="HT34" s="150"/>
      <c r="HU34" s="149"/>
      <c r="HV34" s="149"/>
      <c r="HW34" s="149"/>
      <c r="HX34" s="149"/>
      <c r="HY34" s="149"/>
      <c r="HZ34" s="150"/>
      <c r="IA34" s="149"/>
      <c r="IB34" s="149"/>
      <c r="IC34" s="149"/>
      <c r="ID34" s="149"/>
      <c r="IE34" s="149"/>
      <c r="IF34" s="149"/>
      <c r="IG34" s="149"/>
      <c r="IH34" s="149"/>
      <c r="II34" s="149"/>
    </row>
    <row r="35">
      <c r="A35" s="149"/>
      <c r="B35" s="149"/>
      <c r="C35" s="149"/>
      <c r="D35" s="149"/>
      <c r="E35" s="149"/>
      <c r="F35" s="150"/>
      <c r="G35" s="149"/>
      <c r="H35" s="149"/>
      <c r="I35" s="149"/>
      <c r="J35" s="149"/>
      <c r="K35" s="149"/>
      <c r="L35" s="150"/>
      <c r="M35" s="149"/>
      <c r="N35" s="149"/>
      <c r="O35" s="149"/>
      <c r="P35" s="149"/>
      <c r="Q35" s="149"/>
      <c r="R35" s="150"/>
      <c r="S35" s="149"/>
      <c r="T35" s="149"/>
      <c r="U35" s="149"/>
      <c r="V35" s="149"/>
      <c r="W35" s="149"/>
      <c r="X35" s="150"/>
      <c r="Y35" s="149"/>
      <c r="Z35" s="149"/>
      <c r="AA35" s="149"/>
      <c r="AB35" s="149"/>
      <c r="AC35" s="149"/>
      <c r="AD35" s="150"/>
      <c r="AE35" s="149"/>
      <c r="AF35" s="149"/>
      <c r="AG35" s="149"/>
      <c r="AH35" s="149"/>
      <c r="AI35" s="149"/>
      <c r="AJ35" s="150"/>
      <c r="AK35" s="149"/>
      <c r="AL35" s="149"/>
      <c r="AM35" s="149"/>
      <c r="AN35" s="149"/>
      <c r="AO35" s="149"/>
      <c r="AP35" s="150"/>
      <c r="AQ35" s="149"/>
      <c r="AR35" s="149"/>
      <c r="AS35" s="149"/>
      <c r="AT35" s="149"/>
      <c r="AU35" s="149"/>
      <c r="AV35" s="150"/>
      <c r="AW35" s="149"/>
      <c r="AX35" s="149"/>
      <c r="AY35" s="149"/>
      <c r="AZ35" s="149"/>
      <c r="BA35" s="150"/>
      <c r="BB35" s="149"/>
      <c r="BC35" s="149"/>
      <c r="BD35" s="149"/>
      <c r="BE35" s="149"/>
      <c r="BF35" s="149"/>
      <c r="BG35" s="149"/>
      <c r="BH35" s="150"/>
      <c r="BI35" s="149"/>
      <c r="BJ35" s="149"/>
      <c r="BK35" s="149"/>
      <c r="BL35" s="149"/>
      <c r="BM35" s="149"/>
      <c r="BN35" s="150"/>
      <c r="BO35" s="149"/>
      <c r="BP35" s="149"/>
      <c r="BQ35" s="149"/>
      <c r="BR35" s="149"/>
      <c r="BS35" s="149"/>
      <c r="BT35" s="150"/>
      <c r="BU35" s="149"/>
      <c r="BV35" s="149"/>
      <c r="BW35" s="149"/>
      <c r="BX35" s="149"/>
      <c r="BY35" s="149"/>
      <c r="BZ35" s="150"/>
      <c r="CA35" s="149"/>
      <c r="CB35" s="149"/>
      <c r="CC35" s="149"/>
      <c r="CD35" s="149"/>
      <c r="CE35" s="149"/>
      <c r="CF35" s="150"/>
      <c r="CG35" s="149"/>
      <c r="CH35" s="149"/>
      <c r="CI35" s="149"/>
      <c r="CJ35" s="149"/>
      <c r="CK35" s="149"/>
      <c r="CL35" s="150"/>
      <c r="CM35" s="149"/>
      <c r="CN35" s="149"/>
      <c r="CO35" s="149"/>
      <c r="CP35" s="149"/>
      <c r="CQ35" s="149"/>
      <c r="CR35" s="150"/>
      <c r="CS35" s="149"/>
      <c r="CT35" s="149"/>
      <c r="CU35" s="149"/>
      <c r="CV35" s="149"/>
      <c r="CW35" s="149"/>
      <c r="CX35" s="150"/>
      <c r="CY35" s="149"/>
      <c r="CZ35" s="149"/>
      <c r="DA35" s="149"/>
      <c r="DB35" s="149"/>
      <c r="DC35" s="149"/>
      <c r="DD35" s="150"/>
      <c r="DE35" s="149"/>
      <c r="DF35" s="149"/>
      <c r="DG35" s="149"/>
      <c r="DH35" s="149"/>
      <c r="DI35" s="149"/>
      <c r="DJ35" s="150"/>
      <c r="DK35" s="149"/>
      <c r="DL35" s="149"/>
      <c r="DM35" s="149"/>
      <c r="DN35" s="149"/>
      <c r="DO35" s="149"/>
      <c r="DP35" s="150"/>
      <c r="DQ35" s="149"/>
      <c r="DR35" s="149"/>
      <c r="DS35" s="149"/>
      <c r="DT35" s="149"/>
      <c r="DU35" s="149"/>
      <c r="DV35" s="150"/>
      <c r="DW35" s="149"/>
      <c r="DX35" s="149"/>
      <c r="DY35" s="149"/>
      <c r="DZ35" s="149"/>
      <c r="EA35" s="149"/>
      <c r="EB35" s="150"/>
      <c r="EC35" s="149"/>
      <c r="ED35" s="149"/>
      <c r="EE35" s="149"/>
      <c r="EF35" s="149"/>
      <c r="EG35" s="149"/>
      <c r="EH35" s="150"/>
      <c r="EI35" s="149"/>
      <c r="EJ35" s="149"/>
      <c r="EK35" s="149"/>
      <c r="EL35" s="149"/>
      <c r="EM35" s="149"/>
      <c r="EN35" s="150"/>
      <c r="EO35" s="149"/>
      <c r="EP35" s="149"/>
      <c r="EQ35" s="149"/>
      <c r="ER35" s="149"/>
      <c r="ES35" s="149"/>
      <c r="ET35" s="150"/>
      <c r="EU35" s="149"/>
      <c r="EV35" s="149"/>
      <c r="EW35" s="149"/>
      <c r="EX35" s="149"/>
      <c r="EY35" s="149"/>
      <c r="EZ35" s="150"/>
      <c r="FA35" s="149"/>
      <c r="FB35" s="149"/>
      <c r="FC35" s="149"/>
      <c r="FD35" s="149"/>
      <c r="FE35" s="149"/>
      <c r="FF35" s="150"/>
      <c r="FG35" s="149"/>
      <c r="FH35" s="149"/>
      <c r="FI35" s="149"/>
      <c r="FJ35" s="149"/>
      <c r="FK35" s="149"/>
      <c r="FL35" s="150"/>
      <c r="FM35" s="149"/>
      <c r="FN35" s="149"/>
      <c r="FO35" s="149"/>
      <c r="FP35" s="149"/>
      <c r="FQ35" s="149"/>
      <c r="FR35" s="150"/>
      <c r="FS35" s="149"/>
      <c r="FT35" s="149"/>
      <c r="FU35" s="149"/>
      <c r="FV35" s="149"/>
      <c r="FW35" s="149"/>
      <c r="FX35" s="150"/>
      <c r="FY35" s="149"/>
      <c r="FZ35" s="149"/>
      <c r="GA35" s="149"/>
      <c r="GB35" s="149"/>
      <c r="GC35" s="149"/>
      <c r="GD35" s="150"/>
      <c r="GE35" s="149"/>
      <c r="GF35" s="149"/>
      <c r="GG35" s="149"/>
      <c r="GH35" s="149"/>
      <c r="GI35" s="149"/>
      <c r="GJ35" s="150"/>
      <c r="GK35" s="149"/>
      <c r="GL35" s="149"/>
      <c r="GM35" s="149"/>
      <c r="GN35" s="149"/>
      <c r="GO35" s="149"/>
      <c r="GP35" s="150"/>
      <c r="GQ35" s="149"/>
      <c r="GR35" s="149"/>
      <c r="GS35" s="149"/>
      <c r="GT35" s="149"/>
      <c r="GU35" s="149"/>
      <c r="GV35" s="150"/>
      <c r="GW35" s="149"/>
      <c r="GX35" s="149"/>
      <c r="GY35" s="149"/>
      <c r="GZ35" s="149"/>
      <c r="HA35" s="149"/>
      <c r="HB35" s="150"/>
      <c r="HC35" s="149"/>
      <c r="HD35" s="149"/>
      <c r="HE35" s="149"/>
      <c r="HF35" s="149"/>
      <c r="HG35" s="149"/>
      <c r="HH35" s="150"/>
      <c r="HI35" s="149"/>
      <c r="HJ35" s="149"/>
      <c r="HK35" s="149"/>
      <c r="HL35" s="149"/>
      <c r="HM35" s="149"/>
      <c r="HN35" s="150"/>
      <c r="HO35" s="149"/>
      <c r="HP35" s="149"/>
      <c r="HQ35" s="149"/>
      <c r="HR35" s="149"/>
      <c r="HS35" s="149"/>
      <c r="HT35" s="150"/>
      <c r="HU35" s="149"/>
      <c r="HV35" s="149"/>
      <c r="HW35" s="149"/>
      <c r="HX35" s="149"/>
      <c r="HY35" s="149"/>
      <c r="HZ35" s="150"/>
      <c r="IA35" s="149"/>
      <c r="IB35" s="149"/>
      <c r="IC35" s="149"/>
      <c r="ID35" s="149"/>
      <c r="IE35" s="149"/>
      <c r="IF35" s="149"/>
      <c r="IG35" s="149"/>
      <c r="IH35" s="149"/>
      <c r="II35" s="149"/>
    </row>
    <row r="36">
      <c r="A36" s="149"/>
      <c r="B36" s="149"/>
      <c r="C36" s="149"/>
      <c r="D36" s="149"/>
      <c r="E36" s="149"/>
      <c r="F36" s="150"/>
      <c r="G36" s="149"/>
      <c r="H36" s="149"/>
      <c r="I36" s="149"/>
      <c r="J36" s="149"/>
      <c r="K36" s="149"/>
      <c r="L36" s="150"/>
      <c r="M36" s="149"/>
      <c r="N36" s="149"/>
      <c r="O36" s="149"/>
      <c r="P36" s="149"/>
      <c r="Q36" s="149"/>
      <c r="R36" s="150"/>
      <c r="S36" s="149"/>
      <c r="T36" s="149"/>
      <c r="U36" s="149"/>
      <c r="V36" s="149"/>
      <c r="W36" s="149"/>
      <c r="X36" s="150"/>
      <c r="Y36" s="149"/>
      <c r="Z36" s="149"/>
      <c r="AA36" s="149"/>
      <c r="AB36" s="149"/>
      <c r="AC36" s="149"/>
      <c r="AD36" s="150"/>
      <c r="AE36" s="149"/>
      <c r="AF36" s="149"/>
      <c r="AG36" s="149"/>
      <c r="AH36" s="149"/>
      <c r="AI36" s="149"/>
      <c r="AJ36" s="150"/>
      <c r="AK36" s="149"/>
      <c r="AL36" s="149"/>
      <c r="AM36" s="149"/>
      <c r="AN36" s="149"/>
      <c r="AO36" s="149"/>
      <c r="AP36" s="150"/>
      <c r="AQ36" s="149"/>
      <c r="AR36" s="149"/>
      <c r="AS36" s="149"/>
      <c r="AT36" s="149"/>
      <c r="AU36" s="149"/>
      <c r="AV36" s="150"/>
      <c r="AW36" s="149"/>
      <c r="AX36" s="149"/>
      <c r="AY36" s="149"/>
      <c r="AZ36" s="149"/>
      <c r="BA36" s="150"/>
      <c r="BB36" s="149"/>
      <c r="BC36" s="149"/>
      <c r="BD36" s="149"/>
      <c r="BE36" s="149"/>
      <c r="BF36" s="149"/>
      <c r="BG36" s="149"/>
      <c r="BH36" s="150"/>
      <c r="BI36" s="149"/>
      <c r="BJ36" s="149"/>
      <c r="BK36" s="149"/>
      <c r="BL36" s="149"/>
      <c r="BM36" s="149"/>
      <c r="BN36" s="150"/>
      <c r="BO36" s="149"/>
      <c r="BP36" s="149"/>
      <c r="BQ36" s="149"/>
      <c r="BR36" s="149"/>
      <c r="BS36" s="149"/>
      <c r="BT36" s="150"/>
      <c r="BU36" s="149"/>
      <c r="BV36" s="149"/>
      <c r="BW36" s="149"/>
      <c r="BX36" s="149"/>
      <c r="BY36" s="149"/>
      <c r="BZ36" s="150"/>
      <c r="CA36" s="149"/>
      <c r="CB36" s="149"/>
      <c r="CC36" s="149"/>
      <c r="CD36" s="149"/>
      <c r="CE36" s="149"/>
      <c r="CF36" s="150"/>
      <c r="CG36" s="149"/>
      <c r="CH36" s="149"/>
      <c r="CI36" s="149"/>
      <c r="CJ36" s="149"/>
      <c r="CK36" s="149"/>
      <c r="CL36" s="150"/>
      <c r="CM36" s="149"/>
      <c r="CN36" s="149"/>
      <c r="CO36" s="149"/>
      <c r="CP36" s="149"/>
      <c r="CQ36" s="149"/>
      <c r="CR36" s="150"/>
      <c r="CS36" s="149"/>
      <c r="CT36" s="149"/>
      <c r="CU36" s="149"/>
      <c r="CV36" s="149"/>
      <c r="CW36" s="149"/>
      <c r="CX36" s="150"/>
      <c r="CY36" s="149"/>
      <c r="CZ36" s="149"/>
      <c r="DA36" s="149"/>
      <c r="DB36" s="149"/>
      <c r="DC36" s="149"/>
      <c r="DD36" s="150"/>
      <c r="DE36" s="149"/>
      <c r="DF36" s="149"/>
      <c r="DG36" s="149"/>
      <c r="DH36" s="149"/>
      <c r="DI36" s="149"/>
      <c r="DJ36" s="150"/>
      <c r="DK36" s="149"/>
      <c r="DL36" s="149"/>
      <c r="DM36" s="149"/>
      <c r="DN36" s="149"/>
      <c r="DO36" s="149"/>
      <c r="DP36" s="150"/>
      <c r="DQ36" s="149"/>
      <c r="DR36" s="149"/>
      <c r="DS36" s="149"/>
      <c r="DT36" s="149"/>
      <c r="DU36" s="149"/>
      <c r="DV36" s="150"/>
      <c r="DW36" s="149"/>
      <c r="DX36" s="149"/>
      <c r="DY36" s="149"/>
      <c r="DZ36" s="149"/>
      <c r="EA36" s="149"/>
      <c r="EB36" s="150"/>
      <c r="EC36" s="149"/>
      <c r="ED36" s="149"/>
      <c r="EE36" s="149"/>
      <c r="EF36" s="149"/>
      <c r="EG36" s="149"/>
      <c r="EH36" s="150"/>
      <c r="EI36" s="149"/>
      <c r="EJ36" s="149"/>
      <c r="EK36" s="149"/>
      <c r="EL36" s="149"/>
      <c r="EM36" s="149"/>
      <c r="EN36" s="150"/>
      <c r="EO36" s="149"/>
      <c r="EP36" s="149"/>
      <c r="EQ36" s="149"/>
      <c r="ER36" s="149"/>
      <c r="ES36" s="149"/>
      <c r="ET36" s="150"/>
      <c r="EU36" s="149"/>
      <c r="EV36" s="149"/>
      <c r="EW36" s="149"/>
      <c r="EX36" s="149"/>
      <c r="EY36" s="149"/>
      <c r="EZ36" s="150"/>
      <c r="FA36" s="149"/>
      <c r="FB36" s="149"/>
      <c r="FC36" s="149"/>
      <c r="FD36" s="149"/>
      <c r="FE36" s="149"/>
      <c r="FF36" s="150"/>
      <c r="FG36" s="149"/>
      <c r="FH36" s="149"/>
      <c r="FI36" s="149"/>
      <c r="FJ36" s="149"/>
      <c r="FK36" s="149"/>
      <c r="FL36" s="150"/>
      <c r="FM36" s="149"/>
      <c r="FN36" s="149"/>
      <c r="FO36" s="149"/>
      <c r="FP36" s="149"/>
      <c r="FQ36" s="149"/>
      <c r="FR36" s="150"/>
      <c r="FS36" s="149"/>
      <c r="FT36" s="149"/>
      <c r="FU36" s="149"/>
      <c r="FV36" s="149"/>
      <c r="FW36" s="149"/>
      <c r="FX36" s="150"/>
      <c r="FY36" s="149"/>
      <c r="FZ36" s="149"/>
      <c r="GA36" s="149"/>
      <c r="GB36" s="149"/>
      <c r="GC36" s="149"/>
      <c r="GD36" s="150"/>
      <c r="GE36" s="149"/>
      <c r="GF36" s="149"/>
      <c r="GG36" s="149"/>
      <c r="GH36" s="149"/>
      <c r="GI36" s="149"/>
      <c r="GJ36" s="150"/>
      <c r="GK36" s="149"/>
      <c r="GL36" s="149"/>
      <c r="GM36" s="149"/>
      <c r="GN36" s="149"/>
      <c r="GO36" s="149"/>
      <c r="GP36" s="150"/>
      <c r="GQ36" s="149"/>
      <c r="GR36" s="149"/>
      <c r="GS36" s="149"/>
      <c r="GT36" s="149"/>
      <c r="GU36" s="149"/>
      <c r="GV36" s="150"/>
      <c r="GW36" s="149"/>
      <c r="GX36" s="149"/>
      <c r="GY36" s="149"/>
      <c r="GZ36" s="149"/>
      <c r="HA36" s="149"/>
      <c r="HB36" s="150"/>
      <c r="HC36" s="149"/>
      <c r="HD36" s="149"/>
      <c r="HE36" s="149"/>
      <c r="HF36" s="149"/>
      <c r="HG36" s="149"/>
      <c r="HH36" s="150"/>
      <c r="HI36" s="149"/>
      <c r="HJ36" s="149"/>
      <c r="HK36" s="149"/>
      <c r="HL36" s="149"/>
      <c r="HM36" s="149"/>
      <c r="HN36" s="150"/>
      <c r="HO36" s="149"/>
      <c r="HP36" s="149"/>
      <c r="HQ36" s="149"/>
      <c r="HR36" s="149"/>
      <c r="HS36" s="149"/>
      <c r="HT36" s="150"/>
      <c r="HU36" s="149"/>
      <c r="HV36" s="149"/>
      <c r="HW36" s="149"/>
      <c r="HX36" s="149"/>
      <c r="HY36" s="149"/>
      <c r="HZ36" s="150"/>
      <c r="IA36" s="149"/>
      <c r="IB36" s="149"/>
      <c r="IC36" s="149"/>
      <c r="ID36" s="149"/>
      <c r="IE36" s="149"/>
      <c r="IF36" s="149"/>
      <c r="IG36" s="149"/>
      <c r="IH36" s="149"/>
      <c r="II36" s="149"/>
    </row>
    <row r="37">
      <c r="A37" s="149"/>
      <c r="B37" s="149"/>
      <c r="C37" s="149"/>
      <c r="D37" s="149"/>
      <c r="E37" s="149"/>
      <c r="F37" s="150"/>
      <c r="G37" s="149"/>
      <c r="H37" s="149"/>
      <c r="I37" s="149"/>
      <c r="J37" s="149"/>
      <c r="K37" s="149"/>
      <c r="L37" s="150"/>
      <c r="M37" s="149"/>
      <c r="N37" s="149"/>
      <c r="O37" s="149"/>
      <c r="P37" s="149"/>
      <c r="Q37" s="149"/>
      <c r="R37" s="150"/>
      <c r="S37" s="149"/>
      <c r="T37" s="149"/>
      <c r="U37" s="149"/>
      <c r="V37" s="149"/>
      <c r="W37" s="149"/>
      <c r="X37" s="150"/>
      <c r="Y37" s="149"/>
      <c r="Z37" s="149"/>
      <c r="AA37" s="149"/>
      <c r="AB37" s="149"/>
      <c r="AC37" s="149"/>
      <c r="AD37" s="150"/>
      <c r="AE37" s="149"/>
      <c r="AF37" s="149"/>
      <c r="AG37" s="149"/>
      <c r="AH37" s="149"/>
      <c r="AI37" s="149"/>
      <c r="AJ37" s="150"/>
      <c r="AK37" s="149"/>
      <c r="AL37" s="149"/>
      <c r="AM37" s="149"/>
      <c r="AN37" s="149"/>
      <c r="AO37" s="149"/>
      <c r="AP37" s="150"/>
      <c r="AQ37" s="149"/>
      <c r="AR37" s="149"/>
      <c r="AS37" s="149"/>
      <c r="AT37" s="149"/>
      <c r="AU37" s="149"/>
      <c r="AV37" s="150"/>
      <c r="AW37" s="149"/>
      <c r="AX37" s="149"/>
      <c r="AY37" s="149"/>
      <c r="AZ37" s="149"/>
      <c r="BA37" s="150"/>
      <c r="BB37" s="149"/>
      <c r="BC37" s="149"/>
      <c r="BD37" s="149"/>
      <c r="BE37" s="149"/>
      <c r="BF37" s="149"/>
      <c r="BG37" s="149"/>
      <c r="BH37" s="150"/>
      <c r="BI37" s="149"/>
      <c r="BJ37" s="149"/>
      <c r="BK37" s="149"/>
      <c r="BL37" s="149"/>
      <c r="BM37" s="149"/>
      <c r="BN37" s="150"/>
      <c r="BO37" s="149"/>
      <c r="BP37" s="149"/>
      <c r="BQ37" s="149"/>
      <c r="BR37" s="149"/>
      <c r="BS37" s="149"/>
      <c r="BT37" s="150"/>
      <c r="BU37" s="149"/>
      <c r="BV37" s="149"/>
      <c r="BW37" s="149"/>
      <c r="BX37" s="149"/>
      <c r="BY37" s="149"/>
      <c r="BZ37" s="150"/>
      <c r="CA37" s="149"/>
      <c r="CB37" s="149"/>
      <c r="CC37" s="149"/>
      <c r="CD37" s="149"/>
      <c r="CE37" s="149"/>
      <c r="CF37" s="150"/>
      <c r="CG37" s="149"/>
      <c r="CH37" s="149"/>
      <c r="CI37" s="149"/>
      <c r="CJ37" s="149"/>
      <c r="CK37" s="149"/>
      <c r="CL37" s="150"/>
      <c r="CM37" s="149"/>
      <c r="CN37" s="149"/>
      <c r="CO37" s="149"/>
      <c r="CP37" s="149"/>
      <c r="CQ37" s="149"/>
      <c r="CR37" s="150"/>
      <c r="CS37" s="149"/>
      <c r="CT37" s="149"/>
      <c r="CU37" s="149"/>
      <c r="CV37" s="149"/>
      <c r="CW37" s="149"/>
      <c r="CX37" s="150"/>
      <c r="CY37" s="149"/>
      <c r="CZ37" s="149"/>
      <c r="DA37" s="149"/>
      <c r="DB37" s="149"/>
      <c r="DC37" s="149"/>
      <c r="DD37" s="150"/>
      <c r="DE37" s="149"/>
      <c r="DF37" s="149"/>
      <c r="DG37" s="149"/>
      <c r="DH37" s="149"/>
      <c r="DI37" s="149"/>
      <c r="DJ37" s="150"/>
      <c r="DK37" s="149"/>
      <c r="DL37" s="149"/>
      <c r="DM37" s="149"/>
      <c r="DN37" s="149"/>
      <c r="DO37" s="149"/>
      <c r="DP37" s="150"/>
      <c r="DQ37" s="149"/>
      <c r="DR37" s="149"/>
      <c r="DS37" s="149"/>
      <c r="DT37" s="149"/>
      <c r="DU37" s="149"/>
      <c r="DV37" s="150"/>
      <c r="DW37" s="149"/>
      <c r="DX37" s="149"/>
      <c r="DY37" s="149"/>
      <c r="DZ37" s="149"/>
      <c r="EA37" s="149"/>
      <c r="EB37" s="150"/>
      <c r="EC37" s="149"/>
      <c r="ED37" s="149"/>
      <c r="EE37" s="149"/>
      <c r="EF37" s="149"/>
      <c r="EG37" s="149"/>
      <c r="EH37" s="150"/>
      <c r="EI37" s="149"/>
      <c r="EJ37" s="149"/>
      <c r="EK37" s="149"/>
      <c r="EL37" s="149"/>
      <c r="EM37" s="149"/>
      <c r="EN37" s="150"/>
      <c r="EO37" s="149"/>
      <c r="EP37" s="149"/>
      <c r="EQ37" s="149"/>
      <c r="ER37" s="149"/>
      <c r="ES37" s="149"/>
      <c r="ET37" s="150"/>
      <c r="EU37" s="149"/>
      <c r="EV37" s="149"/>
      <c r="EW37" s="149"/>
      <c r="EX37" s="149"/>
      <c r="EY37" s="149"/>
      <c r="EZ37" s="150"/>
      <c r="FA37" s="149"/>
      <c r="FB37" s="149"/>
      <c r="FC37" s="149"/>
      <c r="FD37" s="149"/>
      <c r="FE37" s="149"/>
      <c r="FF37" s="150"/>
      <c r="FG37" s="149"/>
      <c r="FH37" s="149"/>
      <c r="FI37" s="149"/>
      <c r="FJ37" s="149"/>
      <c r="FK37" s="149"/>
      <c r="FL37" s="150"/>
      <c r="FM37" s="149"/>
      <c r="FN37" s="149"/>
      <c r="FO37" s="149"/>
      <c r="FP37" s="149"/>
      <c r="FQ37" s="149"/>
      <c r="FR37" s="150"/>
      <c r="FS37" s="149"/>
      <c r="FT37" s="149"/>
      <c r="FU37" s="149"/>
      <c r="FV37" s="149"/>
      <c r="FW37" s="149"/>
      <c r="FX37" s="150"/>
      <c r="FY37" s="149"/>
      <c r="FZ37" s="149"/>
      <c r="GA37" s="149"/>
      <c r="GB37" s="149"/>
      <c r="GC37" s="149"/>
      <c r="GD37" s="150"/>
      <c r="GE37" s="149"/>
      <c r="GF37" s="149"/>
      <c r="GG37" s="149"/>
      <c r="GH37" s="149"/>
      <c r="GI37" s="149"/>
      <c r="GJ37" s="150"/>
      <c r="GK37" s="149"/>
      <c r="GL37" s="149"/>
      <c r="GM37" s="149"/>
      <c r="GN37" s="149"/>
      <c r="GO37" s="149"/>
      <c r="GP37" s="150"/>
      <c r="GQ37" s="149"/>
      <c r="GR37" s="149"/>
      <c r="GS37" s="149"/>
      <c r="GT37" s="149"/>
      <c r="GU37" s="149"/>
      <c r="GV37" s="150"/>
      <c r="GW37" s="149"/>
      <c r="GX37" s="149"/>
      <c r="GY37" s="149"/>
      <c r="GZ37" s="149"/>
      <c r="HA37" s="149"/>
      <c r="HB37" s="150"/>
      <c r="HC37" s="149"/>
      <c r="HD37" s="149"/>
      <c r="HE37" s="149"/>
      <c r="HF37" s="149"/>
      <c r="HG37" s="149"/>
      <c r="HH37" s="150"/>
      <c r="HI37" s="149"/>
      <c r="HJ37" s="149"/>
      <c r="HK37" s="149"/>
      <c r="HL37" s="149"/>
      <c r="HM37" s="149"/>
      <c r="HN37" s="150"/>
      <c r="HO37" s="149"/>
      <c r="HP37" s="149"/>
      <c r="HQ37" s="149"/>
      <c r="HR37" s="149"/>
      <c r="HS37" s="149"/>
      <c r="HT37" s="150"/>
      <c r="HU37" s="149"/>
      <c r="HV37" s="149"/>
      <c r="HW37" s="149"/>
      <c r="HX37" s="149"/>
      <c r="HY37" s="149"/>
      <c r="HZ37" s="150"/>
      <c r="IA37" s="149"/>
      <c r="IB37" s="149"/>
      <c r="IC37" s="149"/>
      <c r="ID37" s="149"/>
      <c r="IE37" s="149"/>
      <c r="IF37" s="149"/>
      <c r="IG37" s="149"/>
      <c r="IH37" s="149"/>
      <c r="II37" s="149"/>
    </row>
    <row r="38">
      <c r="A38" s="149"/>
      <c r="B38" s="149"/>
      <c r="C38" s="149"/>
      <c r="D38" s="149"/>
      <c r="E38" s="149"/>
      <c r="F38" s="150"/>
      <c r="G38" s="149"/>
      <c r="H38" s="149"/>
      <c r="I38" s="149"/>
      <c r="J38" s="149"/>
      <c r="K38" s="149"/>
      <c r="L38" s="150"/>
      <c r="M38" s="149"/>
      <c r="N38" s="149"/>
      <c r="O38" s="149"/>
      <c r="P38" s="149"/>
      <c r="Q38" s="149"/>
      <c r="R38" s="150"/>
      <c r="S38" s="149"/>
      <c r="T38" s="149"/>
      <c r="U38" s="149"/>
      <c r="V38" s="149"/>
      <c r="W38" s="149"/>
      <c r="X38" s="150"/>
      <c r="Y38" s="149"/>
      <c r="Z38" s="149"/>
      <c r="AA38" s="149"/>
      <c r="AB38" s="149"/>
      <c r="AC38" s="149"/>
      <c r="AD38" s="150"/>
      <c r="AE38" s="149"/>
      <c r="AF38" s="149"/>
      <c r="AG38" s="149"/>
      <c r="AH38" s="149"/>
      <c r="AI38" s="149"/>
      <c r="AJ38" s="150"/>
      <c r="AK38" s="149"/>
      <c r="AL38" s="149"/>
      <c r="AM38" s="149"/>
      <c r="AN38" s="149"/>
      <c r="AO38" s="149"/>
      <c r="AP38" s="150"/>
      <c r="AQ38" s="149"/>
      <c r="AR38" s="149"/>
      <c r="AS38" s="149"/>
      <c r="AT38" s="149"/>
      <c r="AU38" s="149"/>
      <c r="AV38" s="150"/>
      <c r="AW38" s="149"/>
      <c r="AX38" s="149"/>
      <c r="AY38" s="149"/>
      <c r="AZ38" s="149"/>
      <c r="BA38" s="150"/>
      <c r="BB38" s="149"/>
      <c r="BC38" s="149"/>
      <c r="BD38" s="149"/>
      <c r="BE38" s="149"/>
      <c r="BF38" s="149"/>
      <c r="BG38" s="149"/>
      <c r="BH38" s="150"/>
      <c r="BI38" s="149"/>
      <c r="BJ38" s="149"/>
      <c r="BK38" s="149"/>
      <c r="BL38" s="149"/>
      <c r="BM38" s="149"/>
      <c r="BN38" s="150"/>
      <c r="BO38" s="149"/>
      <c r="BP38" s="149"/>
      <c r="BQ38" s="149"/>
      <c r="BR38" s="149"/>
      <c r="BS38" s="149"/>
      <c r="BT38" s="150"/>
      <c r="BU38" s="149"/>
      <c r="BV38" s="149"/>
      <c r="BW38" s="149"/>
      <c r="BX38" s="149"/>
      <c r="BY38" s="149"/>
      <c r="BZ38" s="150"/>
      <c r="CA38" s="149"/>
      <c r="CB38" s="149"/>
      <c r="CC38" s="149"/>
      <c r="CD38" s="149"/>
      <c r="CE38" s="149"/>
      <c r="CF38" s="150"/>
      <c r="CG38" s="149"/>
      <c r="CH38" s="149"/>
      <c r="CI38" s="149"/>
      <c r="CJ38" s="149"/>
      <c r="CK38" s="149"/>
      <c r="CL38" s="150"/>
      <c r="CM38" s="149"/>
      <c r="CN38" s="149"/>
      <c r="CO38" s="149"/>
      <c r="CP38" s="149"/>
      <c r="CQ38" s="149"/>
      <c r="CR38" s="150"/>
      <c r="CS38" s="149"/>
      <c r="CT38" s="149"/>
      <c r="CU38" s="149"/>
      <c r="CV38" s="149"/>
      <c r="CW38" s="149"/>
      <c r="CX38" s="150"/>
      <c r="CY38" s="149"/>
      <c r="CZ38" s="149"/>
      <c r="DA38" s="149"/>
      <c r="DB38" s="149"/>
      <c r="DC38" s="149"/>
      <c r="DD38" s="150"/>
      <c r="DE38" s="149"/>
      <c r="DF38" s="149"/>
      <c r="DG38" s="149"/>
      <c r="DH38" s="149"/>
      <c r="DI38" s="149"/>
      <c r="DJ38" s="150"/>
      <c r="DK38" s="149"/>
      <c r="DL38" s="149"/>
      <c r="DM38" s="149"/>
      <c r="DN38" s="149"/>
      <c r="DO38" s="149"/>
      <c r="DP38" s="150"/>
      <c r="DQ38" s="149"/>
      <c r="DR38" s="149"/>
      <c r="DS38" s="149"/>
      <c r="DT38" s="149"/>
      <c r="DU38" s="149"/>
      <c r="DV38" s="150"/>
      <c r="DW38" s="149"/>
      <c r="DX38" s="149"/>
      <c r="DY38" s="149"/>
      <c r="DZ38" s="149"/>
      <c r="EA38" s="149"/>
      <c r="EB38" s="150"/>
      <c r="EC38" s="149"/>
      <c r="ED38" s="149"/>
      <c r="EE38" s="149"/>
      <c r="EF38" s="149"/>
      <c r="EG38" s="149"/>
      <c r="EH38" s="150"/>
      <c r="EI38" s="149"/>
      <c r="EJ38" s="149"/>
      <c r="EK38" s="149"/>
      <c r="EL38" s="149"/>
      <c r="EM38" s="149"/>
      <c r="EN38" s="150"/>
      <c r="EO38" s="149"/>
      <c r="EP38" s="149"/>
      <c r="EQ38" s="149"/>
      <c r="ER38" s="149"/>
      <c r="ES38" s="149"/>
      <c r="ET38" s="150"/>
      <c r="EU38" s="149"/>
      <c r="EV38" s="149"/>
      <c r="EW38" s="149"/>
      <c r="EX38" s="149"/>
      <c r="EY38" s="149"/>
      <c r="EZ38" s="150"/>
      <c r="FA38" s="149"/>
      <c r="FB38" s="149"/>
      <c r="FC38" s="149"/>
      <c r="FD38" s="149"/>
      <c r="FE38" s="149"/>
      <c r="FF38" s="150"/>
      <c r="FG38" s="149"/>
      <c r="FH38" s="149"/>
      <c r="FI38" s="149"/>
      <c r="FJ38" s="149"/>
      <c r="FK38" s="149"/>
      <c r="FL38" s="150"/>
      <c r="FM38" s="149"/>
      <c r="FN38" s="149"/>
      <c r="FO38" s="149"/>
      <c r="FP38" s="149"/>
      <c r="FQ38" s="149"/>
      <c r="FR38" s="150"/>
      <c r="FS38" s="149"/>
      <c r="FT38" s="149"/>
      <c r="FU38" s="149"/>
      <c r="FV38" s="149"/>
      <c r="FW38" s="149"/>
      <c r="FX38" s="150"/>
      <c r="FY38" s="149"/>
      <c r="FZ38" s="149"/>
      <c r="GA38" s="149"/>
      <c r="GB38" s="149"/>
      <c r="GC38" s="149"/>
      <c r="GD38" s="150"/>
      <c r="GE38" s="149"/>
      <c r="GF38" s="149"/>
      <c r="GG38" s="149"/>
      <c r="GH38" s="149"/>
      <c r="GI38" s="149"/>
      <c r="GJ38" s="150"/>
      <c r="GK38" s="149"/>
      <c r="GL38" s="149"/>
      <c r="GM38" s="149"/>
      <c r="GN38" s="149"/>
      <c r="GO38" s="149"/>
      <c r="GP38" s="150"/>
      <c r="GQ38" s="149"/>
      <c r="GR38" s="149"/>
      <c r="GS38" s="149"/>
      <c r="GT38" s="149"/>
      <c r="GU38" s="149"/>
      <c r="GV38" s="150"/>
      <c r="GW38" s="149"/>
      <c r="GX38" s="149"/>
      <c r="GY38" s="149"/>
      <c r="GZ38" s="149"/>
      <c r="HA38" s="149"/>
      <c r="HB38" s="150"/>
      <c r="HC38" s="149"/>
      <c r="HD38" s="149"/>
      <c r="HE38" s="149"/>
      <c r="HF38" s="149"/>
      <c r="HG38" s="149"/>
      <c r="HH38" s="150"/>
      <c r="HI38" s="149"/>
      <c r="HJ38" s="149"/>
      <c r="HK38" s="149"/>
      <c r="HL38" s="149"/>
      <c r="HM38" s="149"/>
      <c r="HN38" s="150"/>
      <c r="HO38" s="149"/>
      <c r="HP38" s="149"/>
      <c r="HQ38" s="149"/>
      <c r="HR38" s="149"/>
      <c r="HS38" s="149"/>
      <c r="HT38" s="150"/>
      <c r="HU38" s="149"/>
      <c r="HV38" s="149"/>
      <c r="HW38" s="149"/>
      <c r="HX38" s="149"/>
      <c r="HY38" s="149"/>
      <c r="HZ38" s="150"/>
      <c r="IA38" s="149"/>
      <c r="IB38" s="149"/>
      <c r="IC38" s="149"/>
      <c r="ID38" s="149"/>
      <c r="IE38" s="149"/>
      <c r="IF38" s="149"/>
      <c r="IG38" s="149"/>
      <c r="IH38" s="149"/>
      <c r="II38" s="149"/>
    </row>
    <row r="39">
      <c r="A39" s="151"/>
      <c r="B39" s="151"/>
      <c r="C39" s="151"/>
      <c r="D39" s="151"/>
      <c r="E39" s="151"/>
      <c r="F39" s="152"/>
      <c r="G39" s="151"/>
      <c r="H39" s="151"/>
      <c r="I39" s="151"/>
      <c r="J39" s="151"/>
      <c r="K39" s="151"/>
      <c r="L39" s="152"/>
      <c r="M39" s="151"/>
      <c r="N39" s="151"/>
      <c r="O39" s="151"/>
      <c r="P39" s="151"/>
      <c r="Q39" s="151"/>
      <c r="R39" s="152"/>
      <c r="S39" s="151"/>
      <c r="T39" s="151"/>
      <c r="U39" s="151"/>
      <c r="V39" s="151"/>
      <c r="W39" s="151"/>
      <c r="X39" s="152"/>
      <c r="Y39" s="151"/>
      <c r="Z39" s="151"/>
      <c r="AA39" s="151"/>
      <c r="AB39" s="151"/>
      <c r="AC39" s="151"/>
      <c r="AD39" s="152"/>
      <c r="AE39" s="151"/>
      <c r="AF39" s="151"/>
      <c r="AG39" s="151"/>
      <c r="AH39" s="151"/>
      <c r="AI39" s="151"/>
      <c r="AJ39" s="152"/>
      <c r="AK39" s="151"/>
      <c r="AL39" s="151"/>
      <c r="AM39" s="151"/>
      <c r="AN39" s="151"/>
      <c r="AO39" s="151"/>
      <c r="AP39" s="152"/>
      <c r="AQ39" s="151"/>
      <c r="AR39" s="151"/>
      <c r="AS39" s="151"/>
      <c r="AT39" s="151"/>
      <c r="AU39" s="151"/>
      <c r="AV39" s="152"/>
      <c r="AW39" s="151"/>
      <c r="AX39" s="151"/>
      <c r="AY39" s="151"/>
      <c r="AZ39" s="151"/>
      <c r="BA39" s="152"/>
      <c r="BB39" s="151"/>
      <c r="BC39" s="151"/>
      <c r="BD39" s="151"/>
      <c r="BE39" s="151"/>
      <c r="BF39" s="151"/>
      <c r="BG39" s="151"/>
      <c r="BH39" s="152"/>
      <c r="BI39" s="151"/>
      <c r="BJ39" s="151"/>
      <c r="BK39" s="151"/>
      <c r="BL39" s="151"/>
      <c r="BM39" s="151"/>
      <c r="BN39" s="152"/>
      <c r="BO39" s="151"/>
      <c r="BP39" s="151"/>
      <c r="BQ39" s="151"/>
      <c r="BR39" s="151"/>
      <c r="BS39" s="151"/>
      <c r="BT39" s="152"/>
      <c r="BU39" s="151"/>
      <c r="BV39" s="151"/>
      <c r="BW39" s="151"/>
      <c r="BX39" s="151"/>
      <c r="BY39" s="151"/>
      <c r="BZ39" s="152"/>
      <c r="CA39" s="151"/>
      <c r="CB39" s="151"/>
      <c r="CC39" s="151"/>
      <c r="CD39" s="151"/>
      <c r="CE39" s="151"/>
      <c r="CF39" s="152"/>
      <c r="CG39" s="151"/>
      <c r="CH39" s="151"/>
      <c r="CI39" s="151"/>
      <c r="CJ39" s="151"/>
      <c r="CK39" s="151"/>
      <c r="CL39" s="152"/>
      <c r="CM39" s="151"/>
      <c r="CN39" s="151"/>
      <c r="CO39" s="151"/>
      <c r="CP39" s="151"/>
      <c r="CQ39" s="151"/>
      <c r="CR39" s="152"/>
      <c r="CS39" s="151"/>
      <c r="CT39" s="151"/>
      <c r="CU39" s="151"/>
      <c r="CV39" s="151"/>
      <c r="CW39" s="151"/>
      <c r="CX39" s="152"/>
      <c r="CY39" s="151"/>
      <c r="CZ39" s="151"/>
      <c r="DA39" s="151"/>
      <c r="DB39" s="151"/>
      <c r="DC39" s="151"/>
      <c r="DD39" s="152"/>
      <c r="DE39" s="151"/>
      <c r="DF39" s="151"/>
      <c r="DG39" s="151"/>
      <c r="DH39" s="151"/>
      <c r="DI39" s="151"/>
      <c r="DJ39" s="152"/>
      <c r="DK39" s="151"/>
      <c r="DL39" s="151"/>
      <c r="DM39" s="151"/>
      <c r="DN39" s="151"/>
      <c r="DO39" s="151"/>
      <c r="DP39" s="152"/>
      <c r="DQ39" s="151"/>
      <c r="DR39" s="151"/>
      <c r="DS39" s="151"/>
      <c r="DT39" s="151"/>
      <c r="DU39" s="151"/>
      <c r="DV39" s="152"/>
      <c r="DW39" s="151"/>
      <c r="DX39" s="151"/>
      <c r="DY39" s="151"/>
      <c r="DZ39" s="151"/>
      <c r="EA39" s="151"/>
      <c r="EB39" s="152"/>
      <c r="EC39" s="151"/>
      <c r="ED39" s="151"/>
      <c r="EE39" s="151"/>
      <c r="EF39" s="151"/>
      <c r="EG39" s="151"/>
      <c r="EH39" s="152"/>
      <c r="EI39" s="151"/>
      <c r="EJ39" s="151"/>
      <c r="EK39" s="151"/>
      <c r="EL39" s="151"/>
      <c r="EM39" s="151"/>
      <c r="EN39" s="152"/>
      <c r="EO39" s="151"/>
      <c r="EP39" s="151"/>
      <c r="EQ39" s="151"/>
      <c r="ER39" s="151"/>
      <c r="ES39" s="151"/>
      <c r="ET39" s="152"/>
      <c r="EU39" s="151"/>
      <c r="EV39" s="151"/>
      <c r="EW39" s="151"/>
      <c r="EX39" s="151"/>
      <c r="EY39" s="151"/>
      <c r="EZ39" s="152"/>
      <c r="FA39" s="151"/>
      <c r="FB39" s="151"/>
      <c r="FC39" s="151"/>
      <c r="FD39" s="151"/>
      <c r="FE39" s="151"/>
      <c r="FF39" s="152"/>
      <c r="FG39" s="151"/>
      <c r="FH39" s="151"/>
      <c r="FI39" s="151"/>
      <c r="FJ39" s="151"/>
      <c r="FK39" s="151"/>
      <c r="FL39" s="152"/>
      <c r="FM39" s="151"/>
      <c r="FN39" s="151"/>
      <c r="FO39" s="151"/>
      <c r="FP39" s="151"/>
      <c r="FQ39" s="151"/>
      <c r="FR39" s="152"/>
      <c r="FS39" s="151"/>
      <c r="FT39" s="151"/>
      <c r="FU39" s="151"/>
      <c r="FV39" s="151"/>
      <c r="FW39" s="151"/>
      <c r="FX39" s="152"/>
      <c r="FY39" s="151"/>
      <c r="FZ39" s="151"/>
      <c r="GA39" s="151"/>
      <c r="GB39" s="151"/>
      <c r="GC39" s="151"/>
      <c r="GD39" s="152"/>
      <c r="GE39" s="151"/>
      <c r="GF39" s="151"/>
      <c r="GG39" s="151"/>
      <c r="GH39" s="151"/>
      <c r="GI39" s="151"/>
      <c r="GJ39" s="152"/>
      <c r="GK39" s="151"/>
      <c r="GL39" s="151"/>
      <c r="GM39" s="151"/>
      <c r="GN39" s="151"/>
      <c r="GO39" s="151"/>
      <c r="GP39" s="152"/>
      <c r="GQ39" s="151"/>
      <c r="GR39" s="151"/>
      <c r="GS39" s="151"/>
      <c r="GT39" s="151"/>
      <c r="GU39" s="151"/>
      <c r="GV39" s="152"/>
      <c r="GW39" s="151"/>
      <c r="GX39" s="151"/>
      <c r="GY39" s="151"/>
      <c r="GZ39" s="151"/>
      <c r="HA39" s="151"/>
      <c r="HB39" s="152"/>
      <c r="HC39" s="151"/>
      <c r="HD39" s="151"/>
      <c r="HE39" s="151"/>
      <c r="HF39" s="151"/>
      <c r="HG39" s="151"/>
      <c r="HH39" s="152"/>
      <c r="HI39" s="151"/>
      <c r="HJ39" s="151"/>
      <c r="HK39" s="151"/>
      <c r="HL39" s="151"/>
      <c r="HM39" s="151"/>
      <c r="HN39" s="152"/>
      <c r="HO39" s="151"/>
      <c r="HP39" s="151"/>
      <c r="HQ39" s="151"/>
      <c r="HR39" s="151"/>
      <c r="HS39" s="151"/>
      <c r="HT39" s="152"/>
      <c r="HU39" s="151"/>
      <c r="HV39" s="151"/>
      <c r="HW39" s="151"/>
      <c r="HX39" s="151"/>
      <c r="HY39" s="151"/>
      <c r="HZ39" s="152"/>
      <c r="IA39" s="151"/>
      <c r="IB39" s="151"/>
      <c r="IC39" s="151"/>
      <c r="ID39" s="151"/>
      <c r="IE39" s="151"/>
      <c r="IF39" s="151"/>
      <c r="IG39" s="151"/>
      <c r="IH39" s="151"/>
      <c r="II39" s="151"/>
    </row>
    <row r="40">
      <c r="A40" s="153"/>
      <c r="B40" s="153"/>
      <c r="C40" s="153"/>
      <c r="D40" s="153"/>
      <c r="E40" s="153"/>
      <c r="F40" s="154"/>
      <c r="G40" s="153"/>
      <c r="H40" s="153"/>
      <c r="I40" s="153"/>
      <c r="J40" s="153"/>
      <c r="K40" s="153"/>
      <c r="L40" s="154"/>
      <c r="M40" s="153"/>
      <c r="N40" s="153"/>
      <c r="O40" s="153"/>
      <c r="P40" s="153"/>
      <c r="Q40" s="153"/>
      <c r="R40" s="154"/>
      <c r="S40" s="153"/>
      <c r="T40" s="153"/>
      <c r="U40" s="153"/>
      <c r="V40" s="153"/>
      <c r="W40" s="153"/>
      <c r="X40" s="154"/>
      <c r="Y40" s="153"/>
      <c r="Z40" s="153"/>
      <c r="AA40" s="153"/>
      <c r="AB40" s="153"/>
      <c r="AC40" s="153"/>
      <c r="AD40" s="154"/>
      <c r="AE40" s="153"/>
      <c r="AF40" s="153"/>
      <c r="AG40" s="153"/>
      <c r="AH40" s="153"/>
      <c r="AI40" s="153"/>
      <c r="AJ40" s="154"/>
      <c r="AK40" s="153"/>
      <c r="AL40" s="153"/>
      <c r="AM40" s="153"/>
      <c r="AN40" s="153"/>
      <c r="AO40" s="153"/>
      <c r="AP40" s="154"/>
      <c r="AQ40" s="153"/>
      <c r="AR40" s="153"/>
      <c r="AS40" s="153"/>
      <c r="AT40" s="153"/>
      <c r="AU40" s="153"/>
      <c r="AV40" s="154"/>
      <c r="AW40" s="153"/>
      <c r="AX40" s="153"/>
      <c r="AY40" s="153"/>
      <c r="AZ40" s="153"/>
      <c r="BA40" s="154"/>
      <c r="BB40" s="153"/>
      <c r="BC40" s="153"/>
      <c r="BD40" s="153"/>
      <c r="BE40" s="153"/>
      <c r="BF40" s="153"/>
      <c r="BG40" s="153"/>
      <c r="BH40" s="154"/>
      <c r="BI40" s="153"/>
      <c r="BJ40" s="153"/>
      <c r="BK40" s="153"/>
      <c r="BL40" s="153"/>
      <c r="BM40" s="153"/>
      <c r="BN40" s="154"/>
      <c r="BO40" s="153"/>
      <c r="BP40" s="153"/>
      <c r="BQ40" s="153"/>
      <c r="BR40" s="153"/>
      <c r="BS40" s="153"/>
      <c r="BT40" s="154"/>
      <c r="BU40" s="153"/>
      <c r="BV40" s="153"/>
      <c r="BW40" s="153"/>
      <c r="BX40" s="153"/>
      <c r="BY40" s="153"/>
      <c r="BZ40" s="154"/>
      <c r="CA40" s="153"/>
      <c r="CB40" s="153"/>
      <c r="CC40" s="153"/>
      <c r="CD40" s="153"/>
      <c r="CE40" s="153"/>
      <c r="CF40" s="154"/>
      <c r="CG40" s="153"/>
      <c r="CH40" s="153"/>
      <c r="CI40" s="153"/>
      <c r="CJ40" s="153"/>
      <c r="CK40" s="153"/>
      <c r="CL40" s="154"/>
      <c r="CM40" s="153"/>
      <c r="CN40" s="153"/>
      <c r="CO40" s="153"/>
      <c r="CP40" s="153"/>
      <c r="CQ40" s="153"/>
      <c r="CR40" s="154"/>
      <c r="CS40" s="153"/>
      <c r="CT40" s="153"/>
      <c r="CU40" s="153"/>
      <c r="CV40" s="153"/>
      <c r="CW40" s="153"/>
      <c r="CX40" s="154"/>
      <c r="CY40" s="153"/>
      <c r="CZ40" s="153"/>
      <c r="DA40" s="153"/>
      <c r="DB40" s="153"/>
      <c r="DC40" s="153"/>
      <c r="DD40" s="154"/>
      <c r="DE40" s="153"/>
      <c r="DF40" s="153"/>
      <c r="DG40" s="153"/>
      <c r="DH40" s="153"/>
      <c r="DI40" s="153"/>
      <c r="DJ40" s="154"/>
      <c r="DK40" s="153"/>
      <c r="DL40" s="153"/>
      <c r="DM40" s="153"/>
      <c r="DN40" s="153"/>
      <c r="DO40" s="153"/>
      <c r="DP40" s="154"/>
      <c r="DQ40" s="153"/>
      <c r="DR40" s="153"/>
      <c r="DS40" s="153"/>
      <c r="DT40" s="153"/>
      <c r="DU40" s="153"/>
      <c r="DV40" s="154"/>
      <c r="DW40" s="153"/>
      <c r="DX40" s="153"/>
      <c r="DY40" s="153"/>
      <c r="DZ40" s="153"/>
      <c r="EA40" s="153"/>
      <c r="EB40" s="154"/>
      <c r="EC40" s="153"/>
      <c r="ED40" s="153"/>
      <c r="EE40" s="153"/>
      <c r="EF40" s="153"/>
      <c r="EG40" s="153"/>
      <c r="EH40" s="154"/>
      <c r="EI40" s="153"/>
      <c r="EJ40" s="153"/>
      <c r="EK40" s="153"/>
      <c r="EL40" s="153"/>
      <c r="EM40" s="153"/>
      <c r="EN40" s="154"/>
      <c r="EO40" s="153"/>
      <c r="EP40" s="153"/>
      <c r="EQ40" s="153"/>
      <c r="ER40" s="153"/>
      <c r="ES40" s="153"/>
      <c r="ET40" s="154"/>
      <c r="EU40" s="153"/>
      <c r="EV40" s="153"/>
      <c r="EW40" s="153"/>
      <c r="EX40" s="153"/>
      <c r="EY40" s="153"/>
      <c r="EZ40" s="154"/>
      <c r="FA40" s="153"/>
      <c r="FB40" s="153"/>
      <c r="FC40" s="153"/>
      <c r="FD40" s="153"/>
      <c r="FE40" s="153"/>
      <c r="FF40" s="154"/>
      <c r="FG40" s="153"/>
      <c r="FH40" s="153"/>
      <c r="FI40" s="153"/>
      <c r="FJ40" s="153"/>
      <c r="FK40" s="153"/>
      <c r="FL40" s="154"/>
      <c r="FM40" s="153"/>
      <c r="FN40" s="153"/>
      <c r="FO40" s="153"/>
      <c r="FP40" s="153"/>
      <c r="FQ40" s="153"/>
      <c r="FR40" s="154"/>
      <c r="FS40" s="153"/>
      <c r="FT40" s="153"/>
      <c r="FU40" s="153"/>
      <c r="FV40" s="153"/>
      <c r="FW40" s="153"/>
      <c r="FX40" s="154"/>
      <c r="FY40" s="153"/>
      <c r="FZ40" s="153"/>
      <c r="GA40" s="153"/>
      <c r="GB40" s="153"/>
      <c r="GC40" s="153"/>
      <c r="GD40" s="154"/>
      <c r="GE40" s="153"/>
      <c r="GF40" s="153"/>
      <c r="GG40" s="153"/>
      <c r="GH40" s="153"/>
      <c r="GI40" s="153"/>
      <c r="GJ40" s="154"/>
      <c r="GK40" s="153"/>
      <c r="GL40" s="153"/>
      <c r="GM40" s="153"/>
      <c r="GN40" s="153"/>
      <c r="GO40" s="153"/>
      <c r="GP40" s="154"/>
      <c r="GQ40" s="153"/>
      <c r="GR40" s="153"/>
      <c r="GS40" s="153"/>
      <c r="GT40" s="153"/>
      <c r="GU40" s="153"/>
      <c r="GV40" s="154"/>
      <c r="GW40" s="153"/>
      <c r="GX40" s="153"/>
      <c r="GY40" s="153"/>
      <c r="GZ40" s="153"/>
      <c r="HA40" s="153"/>
      <c r="HB40" s="154"/>
      <c r="HC40" s="153"/>
      <c r="HD40" s="153"/>
      <c r="HE40" s="153"/>
      <c r="HF40" s="153"/>
      <c r="HG40" s="153"/>
      <c r="HH40" s="154"/>
      <c r="HI40" s="153"/>
      <c r="HJ40" s="153"/>
      <c r="HK40" s="153"/>
      <c r="HL40" s="153"/>
      <c r="HM40" s="153"/>
      <c r="HN40" s="154"/>
      <c r="HO40" s="153"/>
      <c r="HP40" s="153"/>
      <c r="HQ40" s="153"/>
      <c r="HR40" s="153"/>
      <c r="HS40" s="153"/>
      <c r="HT40" s="154"/>
      <c r="HU40" s="153"/>
      <c r="HV40" s="153"/>
      <c r="HW40" s="153"/>
      <c r="HX40" s="153"/>
      <c r="HY40" s="153"/>
      <c r="HZ40" s="154"/>
      <c r="IA40" s="153"/>
      <c r="IB40" s="153"/>
      <c r="IC40" s="153"/>
      <c r="ID40" s="153"/>
      <c r="IE40" s="153"/>
      <c r="IF40" s="153"/>
      <c r="IG40" s="153"/>
      <c r="IH40" s="153"/>
      <c r="II40" s="153"/>
    </row>
    <row r="41">
      <c r="F41" s="142"/>
      <c r="L41" s="142"/>
      <c r="R41" s="142"/>
      <c r="X41" s="142"/>
      <c r="AD41" s="142"/>
      <c r="AJ41" s="142"/>
      <c r="AP41" s="142"/>
      <c r="AV41" s="142"/>
      <c r="BA41" s="142"/>
      <c r="BH41" s="142"/>
      <c r="BN41" s="142"/>
      <c r="BT41" s="142"/>
      <c r="BZ41" s="142"/>
      <c r="CF41" s="142"/>
      <c r="CL41" s="142"/>
      <c r="CR41" s="142"/>
      <c r="CX41" s="142"/>
      <c r="DD41" s="142"/>
      <c r="DJ41" s="142"/>
      <c r="DP41" s="142"/>
      <c r="DV41" s="142"/>
      <c r="EB41" s="142"/>
      <c r="EH41" s="142"/>
      <c r="EN41" s="142"/>
      <c r="ET41" s="142"/>
      <c r="EZ41" s="142"/>
      <c r="FF41" s="142"/>
      <c r="FL41" s="142"/>
      <c r="FR41" s="142"/>
      <c r="FX41" s="142"/>
      <c r="GD41" s="142"/>
      <c r="GJ41" s="142"/>
      <c r="GP41" s="142"/>
      <c r="GV41" s="142"/>
      <c r="HB41" s="142"/>
      <c r="HH41" s="142"/>
      <c r="HN41" s="142"/>
      <c r="HT41" s="142"/>
      <c r="HZ41" s="142"/>
    </row>
    <row r="42">
      <c r="A42" s="155"/>
      <c r="B42" s="155"/>
      <c r="C42" s="155"/>
      <c r="D42" s="155"/>
      <c r="E42" s="155"/>
      <c r="F42" s="156"/>
      <c r="G42" s="155"/>
      <c r="H42" s="155"/>
      <c r="I42" s="155"/>
      <c r="J42" s="155"/>
      <c r="K42" s="155"/>
      <c r="L42" s="156"/>
      <c r="M42" s="155"/>
      <c r="N42" s="155"/>
      <c r="O42" s="155"/>
      <c r="P42" s="155"/>
      <c r="Q42" s="155"/>
      <c r="R42" s="156"/>
      <c r="S42" s="155"/>
      <c r="T42" s="155"/>
      <c r="U42" s="155"/>
      <c r="V42" s="155"/>
      <c r="W42" s="155"/>
      <c r="X42" s="156"/>
      <c r="Y42" s="155"/>
      <c r="Z42" s="155"/>
      <c r="AA42" s="155"/>
      <c r="AB42" s="155"/>
      <c r="AC42" s="155"/>
      <c r="AD42" s="156"/>
      <c r="AE42" s="155"/>
      <c r="AF42" s="155"/>
      <c r="AG42" s="155"/>
      <c r="AH42" s="155"/>
      <c r="AI42" s="155"/>
      <c r="AJ42" s="156"/>
      <c r="AK42" s="155"/>
      <c r="AL42" s="155"/>
      <c r="AM42" s="155"/>
      <c r="AN42" s="155"/>
      <c r="AO42" s="155"/>
      <c r="AP42" s="156"/>
      <c r="AQ42" s="155"/>
      <c r="AR42" s="155"/>
      <c r="AS42" s="155"/>
      <c r="AT42" s="155"/>
      <c r="AU42" s="155"/>
      <c r="AV42" s="156"/>
      <c r="AW42" s="155"/>
      <c r="AX42" s="155"/>
      <c r="AY42" s="155"/>
      <c r="AZ42" s="155"/>
      <c r="BA42" s="156"/>
      <c r="BB42" s="155"/>
      <c r="BC42" s="155"/>
      <c r="BD42" s="155"/>
      <c r="BE42" s="155"/>
      <c r="BF42" s="155"/>
      <c r="BG42" s="155"/>
      <c r="BH42" s="156"/>
      <c r="BI42" s="155"/>
      <c r="BJ42" s="155"/>
      <c r="BK42" s="155"/>
      <c r="BL42" s="155"/>
      <c r="BM42" s="155"/>
      <c r="BN42" s="156"/>
      <c r="BO42" s="155"/>
      <c r="BP42" s="155"/>
      <c r="BQ42" s="155"/>
      <c r="BR42" s="155"/>
      <c r="BS42" s="155"/>
      <c r="BT42" s="156"/>
      <c r="BU42" s="155"/>
      <c r="BV42" s="155"/>
      <c r="BW42" s="155"/>
      <c r="BX42" s="155"/>
      <c r="BY42" s="155"/>
      <c r="BZ42" s="156"/>
      <c r="CA42" s="155"/>
      <c r="CB42" s="155"/>
      <c r="CC42" s="155"/>
      <c r="CD42" s="155"/>
      <c r="CE42" s="155"/>
      <c r="CF42" s="156"/>
      <c r="CG42" s="155"/>
      <c r="CH42" s="155"/>
      <c r="CI42" s="155"/>
      <c r="CJ42" s="155"/>
      <c r="CK42" s="155"/>
      <c r="CL42" s="156"/>
      <c r="CM42" s="155"/>
      <c r="CN42" s="155"/>
      <c r="CO42" s="155"/>
      <c r="CP42" s="155"/>
      <c r="CQ42" s="155"/>
      <c r="CR42" s="156"/>
      <c r="CS42" s="155"/>
      <c r="CT42" s="155"/>
      <c r="CU42" s="155"/>
      <c r="CV42" s="155"/>
      <c r="CW42" s="155"/>
      <c r="CX42" s="156"/>
      <c r="CY42" s="155"/>
      <c r="CZ42" s="155"/>
      <c r="DA42" s="155"/>
      <c r="DB42" s="155"/>
      <c r="DC42" s="155"/>
      <c r="DD42" s="156"/>
      <c r="DE42" s="155"/>
      <c r="DF42" s="155"/>
      <c r="DG42" s="155"/>
      <c r="DH42" s="155"/>
      <c r="DI42" s="155"/>
      <c r="DJ42" s="156"/>
      <c r="DK42" s="155"/>
      <c r="DL42" s="155"/>
      <c r="DM42" s="155"/>
      <c r="DN42" s="155"/>
      <c r="DO42" s="155"/>
      <c r="DP42" s="156"/>
      <c r="DQ42" s="155"/>
      <c r="DR42" s="155"/>
      <c r="DS42" s="155"/>
      <c r="DT42" s="155"/>
      <c r="DU42" s="155"/>
      <c r="DV42" s="156"/>
      <c r="DW42" s="155"/>
      <c r="DX42" s="155"/>
      <c r="DY42" s="155"/>
      <c r="DZ42" s="155"/>
      <c r="EA42" s="155"/>
      <c r="EB42" s="156"/>
      <c r="EC42" s="155"/>
      <c r="ED42" s="155"/>
      <c r="EE42" s="155"/>
      <c r="EF42" s="155"/>
      <c r="EG42" s="155"/>
      <c r="EH42" s="156"/>
      <c r="EI42" s="155"/>
      <c r="EJ42" s="155"/>
      <c r="EK42" s="155"/>
      <c r="EL42" s="155"/>
      <c r="EM42" s="155"/>
      <c r="EN42" s="156"/>
      <c r="EO42" s="155"/>
      <c r="EP42" s="155"/>
      <c r="EQ42" s="155"/>
      <c r="ER42" s="155"/>
      <c r="ES42" s="155"/>
      <c r="ET42" s="156"/>
      <c r="EU42" s="155"/>
      <c r="EV42" s="155"/>
      <c r="EW42" s="155"/>
      <c r="EX42" s="155"/>
      <c r="EY42" s="155"/>
      <c r="EZ42" s="156"/>
      <c r="FA42" s="155"/>
      <c r="FB42" s="155"/>
      <c r="FC42" s="155"/>
      <c r="FD42" s="155"/>
      <c r="FE42" s="155"/>
      <c r="FF42" s="156"/>
      <c r="FG42" s="155"/>
      <c r="FH42" s="155"/>
      <c r="FI42" s="155"/>
      <c r="FJ42" s="155"/>
      <c r="FK42" s="155"/>
      <c r="FL42" s="156"/>
      <c r="FM42" s="155"/>
      <c r="FN42" s="155"/>
      <c r="FO42" s="155"/>
      <c r="FP42" s="155"/>
      <c r="FQ42" s="155"/>
      <c r="FR42" s="156"/>
      <c r="FS42" s="155"/>
      <c r="FT42" s="155"/>
      <c r="FU42" s="155"/>
      <c r="FV42" s="155"/>
      <c r="FW42" s="155"/>
      <c r="FX42" s="156"/>
      <c r="FY42" s="155"/>
      <c r="FZ42" s="155"/>
      <c r="GA42" s="155"/>
      <c r="GB42" s="155"/>
      <c r="GC42" s="155"/>
      <c r="GD42" s="156"/>
      <c r="GE42" s="155"/>
      <c r="GF42" s="155"/>
      <c r="GG42" s="155"/>
      <c r="GH42" s="155"/>
      <c r="GI42" s="155"/>
      <c r="GJ42" s="156"/>
      <c r="GK42" s="155"/>
      <c r="GL42" s="155"/>
      <c r="GM42" s="155"/>
      <c r="GN42" s="155"/>
      <c r="GO42" s="155"/>
      <c r="GP42" s="156"/>
      <c r="GQ42" s="155"/>
      <c r="GR42" s="155"/>
      <c r="GS42" s="155"/>
      <c r="GT42" s="155"/>
      <c r="GU42" s="155"/>
      <c r="GV42" s="156"/>
      <c r="GW42" s="155"/>
      <c r="GX42" s="155"/>
      <c r="GY42" s="155"/>
      <c r="GZ42" s="155"/>
      <c r="HA42" s="155"/>
      <c r="HB42" s="156"/>
      <c r="HC42" s="155"/>
      <c r="HD42" s="155"/>
      <c r="HE42" s="155"/>
      <c r="HF42" s="155"/>
      <c r="HG42" s="155"/>
      <c r="HH42" s="156"/>
      <c r="HI42" s="155"/>
      <c r="HJ42" s="155"/>
      <c r="HK42" s="155"/>
      <c r="HL42" s="155"/>
      <c r="HM42" s="155"/>
      <c r="HN42" s="156"/>
      <c r="HO42" s="155"/>
      <c r="HP42" s="155"/>
      <c r="HQ42" s="155"/>
      <c r="HR42" s="155"/>
      <c r="HS42" s="155"/>
      <c r="HT42" s="156"/>
      <c r="HU42" s="155"/>
      <c r="HV42" s="155"/>
      <c r="HW42" s="155"/>
      <c r="HX42" s="155"/>
      <c r="HY42" s="155"/>
      <c r="HZ42" s="156"/>
      <c r="IA42" s="155"/>
      <c r="IB42" s="155"/>
      <c r="IC42" s="155"/>
      <c r="ID42" s="155"/>
      <c r="IE42" s="155"/>
      <c r="IF42" s="155"/>
      <c r="IG42" s="155"/>
      <c r="IH42" s="155"/>
      <c r="II42" s="155"/>
    </row>
    <row r="43">
      <c r="A43" s="120"/>
      <c r="B43" s="120"/>
      <c r="C43" s="120"/>
      <c r="D43" s="120"/>
      <c r="E43" s="120"/>
      <c r="F43" s="157"/>
      <c r="G43" s="120"/>
      <c r="H43" s="120"/>
      <c r="I43" s="120"/>
      <c r="J43" s="120"/>
      <c r="K43" s="120"/>
      <c r="L43" s="157"/>
      <c r="M43" s="120"/>
      <c r="N43" s="120"/>
      <c r="O43" s="120"/>
      <c r="P43" s="120"/>
      <c r="Q43" s="120"/>
      <c r="R43" s="157"/>
      <c r="S43" s="120"/>
      <c r="T43" s="120"/>
      <c r="U43" s="120"/>
      <c r="V43" s="120"/>
      <c r="W43" s="120"/>
      <c r="X43" s="157"/>
      <c r="Y43" s="120"/>
      <c r="Z43" s="120"/>
      <c r="AA43" s="120"/>
      <c r="AB43" s="120"/>
      <c r="AC43" s="120"/>
      <c r="AD43" s="157"/>
      <c r="AE43" s="120"/>
      <c r="AF43" s="120"/>
      <c r="AG43" s="120"/>
      <c r="AH43" s="120"/>
      <c r="AI43" s="120"/>
      <c r="AJ43" s="157"/>
      <c r="AK43" s="120"/>
      <c r="AL43" s="120"/>
      <c r="AM43" s="120"/>
      <c r="AN43" s="120"/>
      <c r="AO43" s="120"/>
      <c r="AP43" s="157"/>
      <c r="AQ43" s="120"/>
      <c r="AR43" s="120"/>
      <c r="AS43" s="120"/>
      <c r="AT43" s="120"/>
      <c r="AU43" s="120"/>
      <c r="AV43" s="157"/>
      <c r="AW43" s="120"/>
      <c r="AX43" s="120"/>
      <c r="AY43" s="120"/>
      <c r="AZ43" s="120"/>
      <c r="BA43" s="157"/>
      <c r="BB43" s="120"/>
      <c r="BC43" s="120"/>
      <c r="BD43" s="120"/>
      <c r="BE43" s="120"/>
      <c r="BF43" s="120"/>
      <c r="BG43" s="120"/>
      <c r="BH43" s="157"/>
      <c r="BI43" s="120"/>
      <c r="BJ43" s="120"/>
      <c r="BK43" s="120"/>
      <c r="BL43" s="120"/>
      <c r="BM43" s="120"/>
      <c r="BN43" s="157"/>
      <c r="BO43" s="120"/>
      <c r="BP43" s="120"/>
      <c r="BQ43" s="120"/>
      <c r="BR43" s="120"/>
      <c r="BS43" s="120"/>
      <c r="BT43" s="157"/>
      <c r="BU43" s="120"/>
      <c r="BV43" s="120"/>
      <c r="BW43" s="120"/>
      <c r="BX43" s="120"/>
      <c r="BY43" s="120"/>
      <c r="BZ43" s="157"/>
      <c r="CA43" s="120"/>
      <c r="CB43" s="120"/>
      <c r="CC43" s="120"/>
      <c r="CD43" s="120"/>
      <c r="CE43" s="120"/>
      <c r="CF43" s="157"/>
      <c r="CG43" s="120"/>
      <c r="CH43" s="120"/>
      <c r="CI43" s="120"/>
      <c r="CJ43" s="120"/>
      <c r="CK43" s="120"/>
      <c r="CL43" s="157"/>
      <c r="CM43" s="120"/>
      <c r="CN43" s="120"/>
      <c r="CO43" s="120"/>
      <c r="CP43" s="120"/>
      <c r="CQ43" s="120"/>
      <c r="CR43" s="157"/>
      <c r="CS43" s="120"/>
      <c r="CT43" s="120"/>
      <c r="CU43" s="120"/>
      <c r="CV43" s="120"/>
      <c r="CW43" s="120"/>
      <c r="CX43" s="157"/>
      <c r="CY43" s="120"/>
      <c r="CZ43" s="120"/>
      <c r="DA43" s="120"/>
      <c r="DB43" s="120"/>
      <c r="DC43" s="120"/>
      <c r="DD43" s="157"/>
      <c r="DE43" s="120"/>
      <c r="DF43" s="120"/>
      <c r="DG43" s="120"/>
      <c r="DH43" s="120"/>
      <c r="DI43" s="120"/>
      <c r="DJ43" s="157"/>
      <c r="DK43" s="120"/>
      <c r="DL43" s="120"/>
      <c r="DM43" s="120"/>
      <c r="DN43" s="120"/>
      <c r="DO43" s="120"/>
      <c r="DP43" s="157"/>
      <c r="DQ43" s="120"/>
      <c r="DR43" s="120"/>
      <c r="DS43" s="120"/>
      <c r="DT43" s="120"/>
      <c r="DU43" s="120"/>
      <c r="DV43" s="157"/>
      <c r="DW43" s="120"/>
      <c r="DX43" s="120"/>
      <c r="DY43" s="120"/>
      <c r="DZ43" s="120"/>
      <c r="EA43" s="120"/>
      <c r="EB43" s="157"/>
      <c r="EC43" s="120"/>
      <c r="ED43" s="120"/>
      <c r="EE43" s="120"/>
      <c r="EF43" s="120"/>
      <c r="EG43" s="120"/>
      <c r="EH43" s="157"/>
      <c r="EI43" s="120"/>
      <c r="EJ43" s="120"/>
      <c r="EK43" s="120"/>
      <c r="EL43" s="120"/>
      <c r="EM43" s="120"/>
      <c r="EN43" s="157"/>
      <c r="EO43" s="120"/>
      <c r="EP43" s="120"/>
      <c r="EQ43" s="120"/>
      <c r="ER43" s="120"/>
      <c r="ES43" s="120"/>
      <c r="ET43" s="157"/>
      <c r="EU43" s="120"/>
      <c r="EV43" s="120"/>
      <c r="EW43" s="120"/>
      <c r="EX43" s="120"/>
      <c r="EY43" s="120"/>
      <c r="EZ43" s="157"/>
      <c r="FA43" s="120"/>
      <c r="FB43" s="120"/>
      <c r="FC43" s="120"/>
      <c r="FD43" s="120"/>
      <c r="FE43" s="120"/>
      <c r="FF43" s="157"/>
      <c r="FG43" s="120"/>
      <c r="FH43" s="120"/>
      <c r="FI43" s="120"/>
      <c r="FJ43" s="120"/>
      <c r="FK43" s="120"/>
      <c r="FL43" s="157"/>
      <c r="FM43" s="120"/>
      <c r="FN43" s="120"/>
      <c r="FO43" s="120"/>
      <c r="FP43" s="120"/>
      <c r="FQ43" s="120"/>
      <c r="FR43" s="157"/>
      <c r="FS43" s="120"/>
      <c r="FT43" s="120"/>
      <c r="FU43" s="120"/>
      <c r="FV43" s="120"/>
      <c r="FW43" s="120"/>
      <c r="FX43" s="157"/>
      <c r="FY43" s="120"/>
      <c r="FZ43" s="120"/>
      <c r="GA43" s="120"/>
      <c r="GB43" s="120"/>
      <c r="GC43" s="120"/>
      <c r="GD43" s="157"/>
      <c r="GE43" s="120"/>
      <c r="GF43" s="120"/>
      <c r="GG43" s="120"/>
      <c r="GH43" s="120"/>
      <c r="GI43" s="120"/>
      <c r="GJ43" s="157"/>
      <c r="GK43" s="120"/>
      <c r="GL43" s="120"/>
      <c r="GM43" s="120"/>
      <c r="GN43" s="120"/>
      <c r="GO43" s="120"/>
      <c r="GP43" s="157"/>
      <c r="GQ43" s="120"/>
      <c r="GR43" s="120"/>
      <c r="GS43" s="120"/>
      <c r="GT43" s="120"/>
      <c r="GU43" s="120"/>
      <c r="GV43" s="157"/>
      <c r="GW43" s="120"/>
      <c r="GX43" s="120"/>
      <c r="GY43" s="120"/>
      <c r="GZ43" s="120"/>
      <c r="HA43" s="120"/>
      <c r="HB43" s="157"/>
      <c r="HC43" s="120"/>
      <c r="HD43" s="120"/>
      <c r="HE43" s="120"/>
      <c r="HF43" s="120"/>
      <c r="HG43" s="120"/>
      <c r="HH43" s="157"/>
      <c r="HI43" s="120"/>
      <c r="HJ43" s="120"/>
      <c r="HK43" s="120"/>
      <c r="HL43" s="120"/>
      <c r="HM43" s="120"/>
      <c r="HN43" s="157"/>
      <c r="HO43" s="120"/>
      <c r="HP43" s="120"/>
      <c r="HQ43" s="120"/>
      <c r="HR43" s="120"/>
      <c r="HS43" s="120"/>
      <c r="HT43" s="157"/>
      <c r="HU43" s="120"/>
      <c r="HV43" s="120"/>
      <c r="HW43" s="120"/>
      <c r="HX43" s="120"/>
      <c r="HY43" s="120"/>
      <c r="HZ43" s="157"/>
      <c r="IA43" s="120"/>
      <c r="IB43" s="120"/>
      <c r="IC43" s="120"/>
      <c r="ID43" s="120"/>
      <c r="IE43" s="120"/>
      <c r="IF43" s="120"/>
      <c r="IG43" s="120"/>
      <c r="IH43" s="120"/>
      <c r="II43" s="120"/>
    </row>
    <row r="44">
      <c r="A44" s="120"/>
      <c r="B44" s="120"/>
      <c r="C44" s="120"/>
      <c r="D44" s="120"/>
      <c r="E44" s="120"/>
      <c r="F44" s="157"/>
      <c r="G44" s="120"/>
      <c r="H44" s="120"/>
      <c r="I44" s="120"/>
      <c r="J44" s="120"/>
      <c r="K44" s="120"/>
      <c r="L44" s="157"/>
      <c r="M44" s="120"/>
      <c r="N44" s="120"/>
      <c r="O44" s="120"/>
      <c r="P44" s="120"/>
      <c r="Q44" s="120"/>
      <c r="R44" s="157"/>
      <c r="S44" s="120"/>
      <c r="T44" s="120"/>
      <c r="U44" s="120"/>
      <c r="V44" s="120"/>
      <c r="W44" s="120"/>
      <c r="X44" s="157"/>
      <c r="Y44" s="120"/>
      <c r="Z44" s="120"/>
      <c r="AA44" s="120"/>
      <c r="AB44" s="120"/>
      <c r="AC44" s="120"/>
      <c r="AD44" s="157"/>
      <c r="AE44" s="120"/>
      <c r="AF44" s="120"/>
      <c r="AG44" s="120"/>
      <c r="AH44" s="120"/>
      <c r="AI44" s="120"/>
      <c r="AJ44" s="157"/>
      <c r="AK44" s="120"/>
      <c r="AL44" s="120"/>
      <c r="AM44" s="120"/>
      <c r="AN44" s="120"/>
      <c r="AO44" s="120"/>
      <c r="AP44" s="157"/>
      <c r="AQ44" s="120"/>
      <c r="AR44" s="120"/>
      <c r="AS44" s="120"/>
      <c r="AT44" s="120"/>
      <c r="AU44" s="120"/>
      <c r="AV44" s="157"/>
      <c r="AW44" s="120"/>
      <c r="AX44" s="120"/>
      <c r="AY44" s="120"/>
      <c r="AZ44" s="120"/>
      <c r="BA44" s="157"/>
      <c r="BB44" s="120"/>
      <c r="BC44" s="120"/>
      <c r="BD44" s="120"/>
      <c r="BE44" s="120"/>
      <c r="BF44" s="120"/>
      <c r="BG44" s="120"/>
      <c r="BH44" s="157"/>
      <c r="BI44" s="120"/>
      <c r="BJ44" s="120"/>
      <c r="BK44" s="120"/>
      <c r="BL44" s="120"/>
      <c r="BM44" s="120"/>
      <c r="BN44" s="157"/>
      <c r="BO44" s="120"/>
      <c r="BP44" s="120"/>
      <c r="BQ44" s="120"/>
      <c r="BR44" s="120"/>
      <c r="BS44" s="120"/>
      <c r="BT44" s="157"/>
      <c r="BU44" s="120"/>
      <c r="BV44" s="120"/>
      <c r="BW44" s="120"/>
      <c r="BX44" s="120"/>
      <c r="BY44" s="120"/>
      <c r="BZ44" s="157"/>
      <c r="CA44" s="120"/>
      <c r="CB44" s="120"/>
      <c r="CC44" s="120"/>
      <c r="CD44" s="120"/>
      <c r="CE44" s="120"/>
      <c r="CF44" s="157"/>
      <c r="CG44" s="120"/>
      <c r="CH44" s="120"/>
      <c r="CI44" s="120"/>
      <c r="CJ44" s="120"/>
      <c r="CK44" s="120"/>
      <c r="CL44" s="157"/>
      <c r="CM44" s="120"/>
      <c r="CN44" s="120"/>
      <c r="CO44" s="120"/>
      <c r="CP44" s="120"/>
      <c r="CQ44" s="120"/>
      <c r="CR44" s="157"/>
      <c r="CS44" s="120"/>
      <c r="CT44" s="120"/>
      <c r="CU44" s="120"/>
      <c r="CV44" s="120"/>
      <c r="CW44" s="120"/>
      <c r="CX44" s="157"/>
      <c r="CY44" s="120"/>
      <c r="CZ44" s="120"/>
      <c r="DA44" s="120"/>
      <c r="DB44" s="120"/>
      <c r="DC44" s="120"/>
      <c r="DD44" s="157"/>
      <c r="DE44" s="120"/>
      <c r="DF44" s="120"/>
      <c r="DG44" s="120"/>
      <c r="DH44" s="120"/>
      <c r="DI44" s="120"/>
      <c r="DJ44" s="157"/>
      <c r="DK44" s="120"/>
      <c r="DL44" s="120"/>
      <c r="DM44" s="120"/>
      <c r="DN44" s="120"/>
      <c r="DO44" s="120"/>
      <c r="DP44" s="157"/>
      <c r="DQ44" s="120"/>
      <c r="DR44" s="120"/>
      <c r="DS44" s="120"/>
      <c r="DT44" s="120"/>
      <c r="DU44" s="120"/>
      <c r="DV44" s="157"/>
      <c r="DW44" s="120"/>
      <c r="DX44" s="120"/>
      <c r="DY44" s="120"/>
      <c r="DZ44" s="120"/>
      <c r="EA44" s="120"/>
      <c r="EB44" s="157"/>
      <c r="EC44" s="120"/>
      <c r="ED44" s="120"/>
      <c r="EE44" s="120"/>
      <c r="EF44" s="120"/>
      <c r="EG44" s="120"/>
      <c r="EH44" s="157"/>
      <c r="EI44" s="120"/>
      <c r="EJ44" s="120"/>
      <c r="EK44" s="120"/>
      <c r="EL44" s="120"/>
      <c r="EM44" s="120"/>
      <c r="EN44" s="157"/>
      <c r="EO44" s="120"/>
      <c r="EP44" s="120"/>
      <c r="EQ44" s="120"/>
      <c r="ER44" s="120"/>
      <c r="ES44" s="120"/>
      <c r="ET44" s="157"/>
      <c r="EU44" s="120"/>
      <c r="EV44" s="120"/>
      <c r="EW44" s="120"/>
      <c r="EX44" s="120"/>
      <c r="EY44" s="120"/>
      <c r="EZ44" s="157"/>
      <c r="FA44" s="120"/>
      <c r="FB44" s="120"/>
      <c r="FC44" s="120"/>
      <c r="FD44" s="120"/>
      <c r="FE44" s="120"/>
      <c r="FF44" s="157"/>
      <c r="FG44" s="120"/>
      <c r="FH44" s="120"/>
      <c r="FI44" s="120"/>
      <c r="FJ44" s="120"/>
      <c r="FK44" s="120"/>
      <c r="FL44" s="157"/>
      <c r="FM44" s="120"/>
      <c r="FN44" s="120"/>
      <c r="FO44" s="120"/>
      <c r="FP44" s="120"/>
      <c r="FQ44" s="120"/>
      <c r="FR44" s="157"/>
      <c r="FS44" s="120"/>
      <c r="FT44" s="120"/>
      <c r="FU44" s="120"/>
      <c r="FV44" s="120"/>
      <c r="FW44" s="120"/>
      <c r="FX44" s="157"/>
      <c r="FY44" s="120"/>
      <c r="FZ44" s="120"/>
      <c r="GA44" s="120"/>
      <c r="GB44" s="120"/>
      <c r="GC44" s="120"/>
      <c r="GD44" s="157"/>
      <c r="GE44" s="120"/>
      <c r="GF44" s="120"/>
      <c r="GG44" s="120"/>
      <c r="GH44" s="120"/>
      <c r="GI44" s="120"/>
      <c r="GJ44" s="157"/>
      <c r="GK44" s="120"/>
      <c r="GL44" s="120"/>
      <c r="GM44" s="120"/>
      <c r="GN44" s="120"/>
      <c r="GO44" s="120"/>
      <c r="GP44" s="157"/>
      <c r="GQ44" s="120"/>
      <c r="GR44" s="120"/>
      <c r="GS44" s="120"/>
      <c r="GT44" s="120"/>
      <c r="GU44" s="120"/>
      <c r="GV44" s="157"/>
      <c r="GW44" s="120"/>
      <c r="GX44" s="120"/>
      <c r="GY44" s="120"/>
      <c r="GZ44" s="120"/>
      <c r="HA44" s="120"/>
      <c r="HB44" s="157"/>
      <c r="HC44" s="120"/>
      <c r="HD44" s="120"/>
      <c r="HE44" s="120"/>
      <c r="HF44" s="120"/>
      <c r="HG44" s="120"/>
      <c r="HH44" s="157"/>
      <c r="HI44" s="120"/>
      <c r="HJ44" s="120"/>
      <c r="HK44" s="120"/>
      <c r="HL44" s="120"/>
      <c r="HM44" s="120"/>
      <c r="HN44" s="157"/>
      <c r="HO44" s="120"/>
      <c r="HP44" s="120"/>
      <c r="HQ44" s="120"/>
      <c r="HR44" s="120"/>
      <c r="HS44" s="120"/>
      <c r="HT44" s="157"/>
      <c r="HU44" s="120"/>
      <c r="HV44" s="120"/>
      <c r="HW44" s="120"/>
      <c r="HX44" s="120"/>
      <c r="HY44" s="120"/>
      <c r="HZ44" s="157"/>
      <c r="IA44" s="120"/>
      <c r="IB44" s="120"/>
      <c r="IC44" s="120"/>
      <c r="ID44" s="120"/>
      <c r="IE44" s="120"/>
      <c r="IF44" s="120"/>
      <c r="IG44" s="120"/>
      <c r="IH44" s="120"/>
      <c r="II44" s="120"/>
    </row>
    <row r="45">
      <c r="A45" s="158"/>
      <c r="B45" s="158"/>
      <c r="C45" s="158"/>
      <c r="D45" s="158"/>
      <c r="E45" s="158"/>
      <c r="F45" s="159"/>
      <c r="G45" s="158"/>
      <c r="H45" s="158"/>
      <c r="I45" s="158"/>
      <c r="J45" s="158"/>
      <c r="K45" s="158"/>
      <c r="L45" s="159"/>
      <c r="M45" s="158"/>
      <c r="N45" s="158"/>
      <c r="O45" s="158"/>
      <c r="P45" s="158"/>
      <c r="Q45" s="158"/>
      <c r="R45" s="159"/>
      <c r="S45" s="158"/>
      <c r="T45" s="158"/>
      <c r="U45" s="158"/>
      <c r="V45" s="158"/>
      <c r="W45" s="158"/>
      <c r="X45" s="159"/>
      <c r="Y45" s="158"/>
      <c r="Z45" s="158"/>
      <c r="AA45" s="158"/>
      <c r="AB45" s="158"/>
      <c r="AC45" s="158"/>
      <c r="AD45" s="159"/>
      <c r="AE45" s="158"/>
      <c r="AF45" s="158"/>
      <c r="AG45" s="158"/>
      <c r="AH45" s="158"/>
      <c r="AI45" s="158"/>
      <c r="AJ45" s="159"/>
      <c r="AK45" s="158"/>
      <c r="AL45" s="158"/>
      <c r="AM45" s="158"/>
      <c r="AN45" s="158"/>
      <c r="AO45" s="158"/>
      <c r="AP45" s="159"/>
      <c r="AQ45" s="158"/>
      <c r="AR45" s="158"/>
      <c r="AS45" s="158"/>
      <c r="AT45" s="158"/>
      <c r="AU45" s="158"/>
      <c r="AV45" s="159"/>
      <c r="AW45" s="158"/>
      <c r="AX45" s="158"/>
      <c r="AY45" s="158"/>
      <c r="AZ45" s="158"/>
      <c r="BA45" s="159"/>
      <c r="BB45" s="158"/>
      <c r="BC45" s="158"/>
      <c r="BD45" s="158"/>
      <c r="BE45" s="158"/>
      <c r="BF45" s="158"/>
      <c r="BG45" s="158"/>
      <c r="BH45" s="159"/>
      <c r="BI45" s="158"/>
      <c r="BJ45" s="158"/>
      <c r="BK45" s="158"/>
      <c r="BL45" s="158"/>
      <c r="BM45" s="158"/>
      <c r="BN45" s="159"/>
      <c r="BO45" s="158"/>
      <c r="BP45" s="158"/>
      <c r="BQ45" s="158"/>
      <c r="BR45" s="158"/>
      <c r="BS45" s="158"/>
      <c r="BT45" s="159"/>
      <c r="BU45" s="158"/>
      <c r="BV45" s="158"/>
      <c r="BW45" s="158"/>
      <c r="BX45" s="158"/>
      <c r="BY45" s="158"/>
      <c r="BZ45" s="159"/>
      <c r="CA45" s="158"/>
      <c r="CB45" s="158"/>
      <c r="CC45" s="158"/>
      <c r="CD45" s="158"/>
      <c r="CE45" s="158"/>
      <c r="CF45" s="159"/>
      <c r="CG45" s="158"/>
      <c r="CH45" s="158"/>
      <c r="CI45" s="158"/>
      <c r="CJ45" s="158"/>
      <c r="CK45" s="158"/>
      <c r="CL45" s="159"/>
      <c r="CM45" s="158"/>
      <c r="CN45" s="158"/>
      <c r="CO45" s="158"/>
      <c r="CP45" s="158"/>
      <c r="CQ45" s="158"/>
      <c r="CR45" s="159"/>
      <c r="CS45" s="158"/>
      <c r="CT45" s="158"/>
      <c r="CU45" s="158"/>
      <c r="CV45" s="158"/>
      <c r="CW45" s="158"/>
      <c r="CX45" s="159"/>
      <c r="CY45" s="158"/>
      <c r="CZ45" s="158"/>
      <c r="DA45" s="158"/>
      <c r="DB45" s="158"/>
      <c r="DC45" s="158"/>
      <c r="DD45" s="159"/>
      <c r="DE45" s="158"/>
      <c r="DF45" s="158"/>
      <c r="DG45" s="158"/>
      <c r="DH45" s="158"/>
      <c r="DI45" s="158"/>
      <c r="DJ45" s="159"/>
      <c r="DK45" s="158"/>
      <c r="DL45" s="158"/>
      <c r="DM45" s="158"/>
      <c r="DN45" s="158"/>
      <c r="DO45" s="158"/>
      <c r="DP45" s="159"/>
      <c r="DQ45" s="158"/>
      <c r="DR45" s="158"/>
      <c r="DS45" s="158"/>
      <c r="DT45" s="158"/>
      <c r="DU45" s="158"/>
      <c r="DV45" s="159"/>
      <c r="DW45" s="158"/>
      <c r="DX45" s="158"/>
      <c r="DY45" s="158"/>
      <c r="DZ45" s="158"/>
      <c r="EA45" s="158"/>
      <c r="EB45" s="159"/>
      <c r="EC45" s="158"/>
      <c r="ED45" s="158"/>
      <c r="EE45" s="158"/>
      <c r="EF45" s="158"/>
      <c r="EG45" s="158"/>
      <c r="EH45" s="159"/>
      <c r="EI45" s="158"/>
      <c r="EJ45" s="158"/>
      <c r="EK45" s="158"/>
      <c r="EL45" s="158"/>
      <c r="EM45" s="158"/>
      <c r="EN45" s="159"/>
      <c r="EO45" s="158"/>
      <c r="EP45" s="158"/>
      <c r="EQ45" s="158"/>
      <c r="ER45" s="158"/>
      <c r="ES45" s="158"/>
      <c r="ET45" s="159"/>
      <c r="EU45" s="158"/>
      <c r="EV45" s="158"/>
      <c r="EW45" s="158"/>
      <c r="EX45" s="158"/>
      <c r="EY45" s="158"/>
      <c r="EZ45" s="159"/>
      <c r="FA45" s="158"/>
      <c r="FB45" s="158"/>
      <c r="FC45" s="158"/>
      <c r="FD45" s="158"/>
      <c r="FE45" s="158"/>
      <c r="FF45" s="159"/>
      <c r="FG45" s="158"/>
      <c r="FH45" s="158"/>
      <c r="FI45" s="158"/>
      <c r="FJ45" s="158"/>
      <c r="FK45" s="158"/>
      <c r="FL45" s="159"/>
      <c r="FM45" s="158"/>
      <c r="FN45" s="158"/>
      <c r="FO45" s="158"/>
      <c r="FP45" s="158"/>
      <c r="FQ45" s="158"/>
      <c r="FR45" s="159"/>
      <c r="FS45" s="158"/>
      <c r="FT45" s="158"/>
      <c r="FU45" s="158"/>
      <c r="FV45" s="158"/>
      <c r="FW45" s="158"/>
      <c r="FX45" s="159"/>
      <c r="FY45" s="158"/>
      <c r="FZ45" s="158"/>
      <c r="GA45" s="158"/>
      <c r="GB45" s="158"/>
      <c r="GC45" s="158"/>
      <c r="GD45" s="159"/>
      <c r="GE45" s="158"/>
      <c r="GF45" s="158"/>
      <c r="GG45" s="158"/>
      <c r="GH45" s="158"/>
      <c r="GI45" s="158"/>
      <c r="GJ45" s="159"/>
      <c r="GK45" s="158"/>
      <c r="GL45" s="158"/>
      <c r="GM45" s="158"/>
      <c r="GN45" s="158"/>
      <c r="GO45" s="158"/>
      <c r="GP45" s="159"/>
      <c r="GQ45" s="158"/>
      <c r="GR45" s="158"/>
      <c r="GS45" s="158"/>
      <c r="GT45" s="158"/>
      <c r="GU45" s="158"/>
      <c r="GV45" s="159"/>
      <c r="GW45" s="158"/>
      <c r="GX45" s="158"/>
      <c r="GY45" s="158"/>
      <c r="GZ45" s="158"/>
      <c r="HA45" s="158"/>
      <c r="HB45" s="159"/>
      <c r="HC45" s="158"/>
      <c r="HD45" s="158"/>
      <c r="HE45" s="158"/>
      <c r="HF45" s="158"/>
      <c r="HG45" s="158"/>
      <c r="HH45" s="159"/>
      <c r="HI45" s="158"/>
      <c r="HJ45" s="158"/>
      <c r="HK45" s="158"/>
      <c r="HL45" s="158"/>
      <c r="HM45" s="158"/>
      <c r="HN45" s="159"/>
      <c r="HO45" s="158"/>
      <c r="HP45" s="158"/>
      <c r="HQ45" s="158"/>
      <c r="HR45" s="158"/>
      <c r="HS45" s="158"/>
      <c r="HT45" s="159"/>
      <c r="HU45" s="158"/>
      <c r="HV45" s="158"/>
      <c r="HW45" s="158"/>
      <c r="HX45" s="158"/>
      <c r="HY45" s="158"/>
      <c r="HZ45" s="159"/>
      <c r="IA45" s="158"/>
      <c r="IB45" s="158"/>
      <c r="IC45" s="158"/>
      <c r="ID45" s="158"/>
      <c r="IE45" s="158"/>
      <c r="IF45" s="158"/>
      <c r="IG45" s="158"/>
      <c r="IH45" s="158"/>
      <c r="II45" s="158"/>
    </row>
    <row r="46">
      <c r="F46" s="142"/>
      <c r="L46" s="142"/>
      <c r="R46" s="142"/>
      <c r="X46" s="142"/>
      <c r="AD46" s="142"/>
      <c r="AJ46" s="142"/>
      <c r="AP46" s="142"/>
      <c r="AV46" s="142"/>
      <c r="BA46" s="142"/>
      <c r="BH46" s="142"/>
      <c r="BN46" s="142"/>
      <c r="BT46" s="142"/>
      <c r="BZ46" s="142"/>
      <c r="CF46" s="142"/>
      <c r="CL46" s="142"/>
      <c r="CR46" s="142"/>
      <c r="CX46" s="142"/>
      <c r="DD46" s="142"/>
      <c r="DJ46" s="142"/>
      <c r="DP46" s="142"/>
      <c r="DV46" s="142"/>
      <c r="EB46" s="142"/>
      <c r="EH46" s="142"/>
      <c r="EN46" s="142"/>
      <c r="ET46" s="142"/>
      <c r="EZ46" s="142"/>
      <c r="FF46" s="142"/>
      <c r="FL46" s="142"/>
      <c r="FR46" s="142"/>
      <c r="FX46" s="142"/>
      <c r="GD46" s="142"/>
      <c r="GJ46" s="142"/>
      <c r="GP46" s="142"/>
      <c r="GV46" s="142"/>
      <c r="HB46" s="142"/>
      <c r="HH46" s="142"/>
      <c r="HN46" s="142"/>
      <c r="HT46" s="142"/>
      <c r="HZ46" s="142"/>
    </row>
    <row r="47">
      <c r="F47" s="142"/>
      <c r="L47" s="142"/>
      <c r="R47" s="142"/>
      <c r="X47" s="142"/>
      <c r="AD47" s="142"/>
      <c r="AJ47" s="142"/>
      <c r="AP47" s="142"/>
      <c r="AV47" s="142"/>
      <c r="BA47" s="142"/>
      <c r="BH47" s="142"/>
      <c r="BN47" s="142"/>
      <c r="BT47" s="142"/>
      <c r="BZ47" s="142"/>
      <c r="CF47" s="142"/>
      <c r="CL47" s="142"/>
      <c r="CR47" s="142"/>
      <c r="CX47" s="142"/>
      <c r="DD47" s="142"/>
      <c r="DJ47" s="142"/>
      <c r="DP47" s="142"/>
      <c r="DV47" s="142"/>
      <c r="EB47" s="142"/>
      <c r="EH47" s="142"/>
      <c r="EN47" s="142"/>
      <c r="ET47" s="142"/>
      <c r="EZ47" s="142"/>
      <c r="FF47" s="142"/>
      <c r="FL47" s="142"/>
      <c r="FR47" s="142"/>
      <c r="FX47" s="142"/>
      <c r="GD47" s="142"/>
      <c r="GJ47" s="142"/>
      <c r="GP47" s="142"/>
      <c r="GV47" s="142"/>
      <c r="HB47" s="142"/>
      <c r="HH47" s="142"/>
      <c r="HN47" s="142"/>
      <c r="HT47" s="142"/>
      <c r="HZ47" s="142"/>
    </row>
    <row r="48">
      <c r="F48" s="142"/>
      <c r="L48" s="142"/>
      <c r="R48" s="142"/>
      <c r="X48" s="142"/>
      <c r="AD48" s="142"/>
      <c r="AJ48" s="142"/>
      <c r="AP48" s="142"/>
      <c r="AV48" s="142"/>
      <c r="BA48" s="142"/>
      <c r="BH48" s="142"/>
      <c r="BN48" s="142"/>
      <c r="BT48" s="142"/>
      <c r="BZ48" s="142"/>
      <c r="CF48" s="142"/>
      <c r="CL48" s="142"/>
      <c r="CR48" s="142"/>
      <c r="CX48" s="142"/>
      <c r="DD48" s="142"/>
      <c r="DJ48" s="142"/>
      <c r="DP48" s="142"/>
      <c r="DV48" s="142"/>
      <c r="EB48" s="142"/>
      <c r="EH48" s="142"/>
      <c r="EN48" s="142"/>
      <c r="ET48" s="142"/>
      <c r="EZ48" s="142"/>
      <c r="FF48" s="142"/>
      <c r="FL48" s="142"/>
      <c r="FR48" s="142"/>
      <c r="FX48" s="142"/>
      <c r="GD48" s="142"/>
      <c r="GJ48" s="142"/>
      <c r="GP48" s="142"/>
      <c r="GV48" s="142"/>
      <c r="HB48" s="142"/>
      <c r="HH48" s="142"/>
      <c r="HN48" s="142"/>
      <c r="HT48" s="142"/>
      <c r="HZ48" s="142"/>
    </row>
    <row r="49">
      <c r="F49" s="142"/>
      <c r="L49" s="142"/>
      <c r="R49" s="142"/>
      <c r="X49" s="142"/>
      <c r="AD49" s="142"/>
      <c r="AJ49" s="142"/>
      <c r="AP49" s="142"/>
      <c r="AV49" s="142"/>
      <c r="BA49" s="142"/>
      <c r="BH49" s="142"/>
      <c r="BN49" s="142"/>
      <c r="BT49" s="142"/>
      <c r="BZ49" s="142"/>
      <c r="CF49" s="142"/>
      <c r="CL49" s="142"/>
      <c r="CR49" s="142"/>
      <c r="CX49" s="142"/>
      <c r="DD49" s="142"/>
      <c r="DJ49" s="142"/>
      <c r="DP49" s="142"/>
      <c r="DV49" s="142"/>
      <c r="EB49" s="142"/>
      <c r="EH49" s="142"/>
      <c r="EN49" s="142"/>
      <c r="ET49" s="142"/>
      <c r="EZ49" s="142"/>
      <c r="FF49" s="142"/>
      <c r="FL49" s="142"/>
      <c r="FR49" s="142"/>
      <c r="FX49" s="142"/>
      <c r="GD49" s="142"/>
      <c r="GJ49" s="142"/>
      <c r="GP49" s="142"/>
      <c r="GV49" s="142"/>
      <c r="HB49" s="142"/>
      <c r="HH49" s="142"/>
      <c r="HN49" s="142"/>
      <c r="HT49" s="142"/>
      <c r="HZ49" s="142"/>
    </row>
    <row r="50">
      <c r="F50" s="142"/>
      <c r="L50" s="142"/>
      <c r="R50" s="142"/>
      <c r="X50" s="142"/>
      <c r="AD50" s="142"/>
      <c r="AJ50" s="142"/>
      <c r="AP50" s="142"/>
      <c r="AV50" s="142"/>
      <c r="BA50" s="142"/>
      <c r="BH50" s="142"/>
      <c r="BN50" s="142"/>
      <c r="BT50" s="142"/>
      <c r="BZ50" s="142"/>
      <c r="CF50" s="142"/>
      <c r="CL50" s="142"/>
      <c r="CR50" s="142"/>
      <c r="CX50" s="142"/>
      <c r="DD50" s="142"/>
      <c r="DJ50" s="142"/>
      <c r="DP50" s="142"/>
      <c r="DV50" s="142"/>
      <c r="EB50" s="142"/>
      <c r="EH50" s="142"/>
      <c r="EN50" s="142"/>
      <c r="ET50" s="142"/>
      <c r="EZ50" s="142"/>
      <c r="FF50" s="142"/>
      <c r="FL50" s="142"/>
      <c r="FR50" s="142"/>
      <c r="FX50" s="142"/>
      <c r="GD50" s="142"/>
      <c r="GJ50" s="142"/>
      <c r="GP50" s="142"/>
      <c r="GV50" s="142"/>
      <c r="HB50" s="142"/>
      <c r="HH50" s="142"/>
      <c r="HN50" s="142"/>
      <c r="HT50" s="142"/>
      <c r="HZ50" s="142"/>
    </row>
    <row r="51">
      <c r="F51" s="142"/>
      <c r="L51" s="142"/>
      <c r="R51" s="142"/>
      <c r="X51" s="142"/>
      <c r="AD51" s="142"/>
      <c r="AJ51" s="142"/>
      <c r="AP51" s="142"/>
      <c r="AV51" s="142"/>
      <c r="BA51" s="142"/>
      <c r="BH51" s="142"/>
      <c r="BN51" s="142"/>
      <c r="BT51" s="142"/>
      <c r="BZ51" s="142"/>
      <c r="CF51" s="142"/>
      <c r="CL51" s="142"/>
      <c r="CR51" s="142"/>
      <c r="CX51" s="142"/>
      <c r="DD51" s="142"/>
      <c r="DJ51" s="142"/>
      <c r="DP51" s="142"/>
      <c r="DV51" s="142"/>
      <c r="EB51" s="142"/>
      <c r="EH51" s="142"/>
      <c r="EN51" s="142"/>
      <c r="ET51" s="142"/>
      <c r="EZ51" s="142"/>
      <c r="FF51" s="142"/>
      <c r="FL51" s="142"/>
      <c r="FR51" s="142"/>
      <c r="FX51" s="142"/>
      <c r="GD51" s="142"/>
      <c r="GJ51" s="142"/>
      <c r="GP51" s="142"/>
      <c r="GV51" s="142"/>
      <c r="HB51" s="142"/>
      <c r="HH51" s="142"/>
      <c r="HN51" s="142"/>
      <c r="HT51" s="142"/>
      <c r="HZ51" s="142"/>
    </row>
    <row r="52">
      <c r="F52" s="142"/>
      <c r="L52" s="142"/>
      <c r="R52" s="142"/>
      <c r="X52" s="142"/>
      <c r="AD52" s="142"/>
      <c r="AJ52" s="142"/>
      <c r="AP52" s="142"/>
      <c r="AV52" s="142"/>
      <c r="BA52" s="142"/>
      <c r="BH52" s="142"/>
      <c r="BN52" s="142"/>
      <c r="BT52" s="142"/>
      <c r="BZ52" s="142"/>
      <c r="CF52" s="142"/>
      <c r="CL52" s="142"/>
      <c r="CR52" s="142"/>
      <c r="CX52" s="142"/>
      <c r="DD52" s="142"/>
      <c r="DJ52" s="142"/>
      <c r="DP52" s="142"/>
      <c r="DV52" s="142"/>
      <c r="EB52" s="142"/>
      <c r="EH52" s="142"/>
      <c r="EN52" s="142"/>
      <c r="ET52" s="142"/>
      <c r="EZ52" s="142"/>
      <c r="FF52" s="142"/>
      <c r="FL52" s="142"/>
      <c r="FR52" s="142"/>
      <c r="FX52" s="142"/>
      <c r="GD52" s="142"/>
      <c r="GJ52" s="142"/>
      <c r="GP52" s="142"/>
      <c r="GV52" s="142"/>
      <c r="HB52" s="142"/>
      <c r="HH52" s="142"/>
      <c r="HN52" s="142"/>
      <c r="HT52" s="142"/>
      <c r="HZ52" s="142"/>
    </row>
    <row r="53">
      <c r="F53" s="142"/>
      <c r="L53" s="142"/>
      <c r="R53" s="142"/>
      <c r="X53" s="142"/>
      <c r="AD53" s="142"/>
      <c r="AJ53" s="142"/>
      <c r="AP53" s="142"/>
      <c r="AV53" s="142"/>
      <c r="BA53" s="142"/>
      <c r="BH53" s="142"/>
      <c r="BN53" s="142"/>
      <c r="BT53" s="142"/>
      <c r="BZ53" s="142"/>
      <c r="CF53" s="142"/>
      <c r="CL53" s="142"/>
      <c r="CR53" s="142"/>
      <c r="CX53" s="142"/>
      <c r="DD53" s="142"/>
      <c r="DJ53" s="142"/>
      <c r="DP53" s="142"/>
      <c r="DV53" s="142"/>
      <c r="EB53" s="142"/>
      <c r="EH53" s="142"/>
      <c r="EN53" s="142"/>
      <c r="ET53" s="142"/>
      <c r="EZ53" s="142"/>
      <c r="FF53" s="142"/>
      <c r="FL53" s="142"/>
      <c r="FR53" s="142"/>
      <c r="FX53" s="142"/>
      <c r="GD53" s="142"/>
      <c r="GJ53" s="142"/>
      <c r="GP53" s="142"/>
      <c r="GV53" s="142"/>
      <c r="HB53" s="142"/>
      <c r="HH53" s="142"/>
      <c r="HN53" s="142"/>
      <c r="HT53" s="142"/>
      <c r="HZ53" s="142"/>
    </row>
    <row r="54">
      <c r="F54" s="142"/>
      <c r="L54" s="142"/>
      <c r="R54" s="142"/>
      <c r="X54" s="142"/>
      <c r="AD54" s="142"/>
      <c r="AJ54" s="142"/>
      <c r="AP54" s="142"/>
      <c r="AV54" s="142"/>
      <c r="BA54" s="142"/>
      <c r="BH54" s="142"/>
      <c r="BN54" s="142"/>
      <c r="BT54" s="142"/>
      <c r="BZ54" s="142"/>
      <c r="CF54" s="142"/>
      <c r="CL54" s="142"/>
      <c r="CR54" s="142"/>
      <c r="CX54" s="142"/>
      <c r="DD54" s="142"/>
      <c r="DJ54" s="142"/>
      <c r="DP54" s="142"/>
      <c r="DV54" s="142"/>
      <c r="EB54" s="142"/>
      <c r="EH54" s="142"/>
      <c r="EN54" s="142"/>
      <c r="ET54" s="142"/>
      <c r="EZ54" s="142"/>
      <c r="FF54" s="142"/>
      <c r="FL54" s="142"/>
      <c r="FR54" s="142"/>
      <c r="FX54" s="142"/>
      <c r="GD54" s="142"/>
      <c r="GJ54" s="142"/>
      <c r="GP54" s="142"/>
      <c r="GV54" s="142"/>
      <c r="HB54" s="142"/>
      <c r="HH54" s="142"/>
      <c r="HN54" s="142"/>
      <c r="HT54" s="142"/>
      <c r="HZ54" s="142"/>
    </row>
    <row r="55">
      <c r="F55" s="142"/>
      <c r="L55" s="142"/>
      <c r="R55" s="142"/>
      <c r="X55" s="142"/>
      <c r="AD55" s="142"/>
      <c r="AJ55" s="142"/>
      <c r="AP55" s="142"/>
      <c r="AV55" s="142"/>
      <c r="BA55" s="142"/>
      <c r="BH55" s="142"/>
      <c r="BN55" s="142"/>
      <c r="BT55" s="142"/>
      <c r="BZ55" s="142"/>
      <c r="CF55" s="142"/>
      <c r="CL55" s="142"/>
      <c r="CR55" s="142"/>
      <c r="CX55" s="142"/>
      <c r="DD55" s="142"/>
      <c r="DJ55" s="142"/>
      <c r="DP55" s="142"/>
      <c r="DV55" s="142"/>
      <c r="EB55" s="142"/>
      <c r="EH55" s="142"/>
      <c r="EN55" s="142"/>
      <c r="ET55" s="142"/>
      <c r="EZ55" s="142"/>
      <c r="FF55" s="142"/>
      <c r="FL55" s="142"/>
      <c r="FR55" s="142"/>
      <c r="FX55" s="142"/>
      <c r="GD55" s="142"/>
      <c r="GJ55" s="142"/>
      <c r="GP55" s="142"/>
      <c r="GV55" s="142"/>
      <c r="HB55" s="142"/>
      <c r="HH55" s="142"/>
      <c r="HN55" s="142"/>
      <c r="HT55" s="142"/>
      <c r="HZ55" s="142"/>
    </row>
    <row r="56">
      <c r="F56" s="142"/>
      <c r="L56" s="142"/>
      <c r="R56" s="142"/>
      <c r="X56" s="142"/>
      <c r="AD56" s="142"/>
      <c r="AJ56" s="142"/>
      <c r="AP56" s="142"/>
      <c r="AV56" s="142"/>
      <c r="BA56" s="142"/>
      <c r="BH56" s="142"/>
      <c r="BN56" s="142"/>
      <c r="BT56" s="142"/>
      <c r="BZ56" s="142"/>
      <c r="CF56" s="142"/>
      <c r="CL56" s="142"/>
      <c r="CR56" s="142"/>
      <c r="CX56" s="142"/>
      <c r="DD56" s="142"/>
      <c r="DJ56" s="142"/>
      <c r="DP56" s="142"/>
      <c r="DV56" s="142"/>
      <c r="EB56" s="142"/>
      <c r="EH56" s="142"/>
      <c r="EN56" s="142"/>
      <c r="ET56" s="142"/>
      <c r="EZ56" s="142"/>
      <c r="FF56" s="142"/>
      <c r="FL56" s="142"/>
      <c r="FR56" s="142"/>
      <c r="FX56" s="142"/>
      <c r="GD56" s="142"/>
      <c r="GJ56" s="142"/>
      <c r="GP56" s="142"/>
      <c r="GV56" s="142"/>
      <c r="HB56" s="142"/>
      <c r="HH56" s="142"/>
      <c r="HN56" s="142"/>
      <c r="HT56" s="142"/>
      <c r="HZ56" s="142"/>
    </row>
    <row r="57">
      <c r="F57" s="142"/>
      <c r="L57" s="142"/>
      <c r="R57" s="142"/>
      <c r="X57" s="142"/>
      <c r="AD57" s="142"/>
      <c r="AJ57" s="142"/>
      <c r="AP57" s="142"/>
      <c r="AV57" s="142"/>
      <c r="BA57" s="142"/>
      <c r="BH57" s="142"/>
      <c r="BN57" s="142"/>
      <c r="BT57" s="142"/>
      <c r="BZ57" s="142"/>
      <c r="CF57" s="142"/>
      <c r="CL57" s="142"/>
      <c r="CR57" s="142"/>
      <c r="CX57" s="142"/>
      <c r="DD57" s="142"/>
      <c r="DJ57" s="142"/>
      <c r="DP57" s="142"/>
      <c r="DV57" s="142"/>
      <c r="EB57" s="142"/>
      <c r="EH57" s="142"/>
      <c r="EN57" s="142"/>
      <c r="ET57" s="142"/>
      <c r="EZ57" s="142"/>
      <c r="FF57" s="142"/>
      <c r="FL57" s="142"/>
      <c r="FR57" s="142"/>
      <c r="FX57" s="142"/>
      <c r="GD57" s="142"/>
      <c r="GJ57" s="142"/>
      <c r="GP57" s="142"/>
      <c r="GV57" s="142"/>
      <c r="HB57" s="142"/>
      <c r="HH57" s="142"/>
      <c r="HN57" s="142"/>
      <c r="HT57" s="142"/>
      <c r="HZ57" s="142"/>
    </row>
    <row r="58">
      <c r="F58" s="142"/>
      <c r="L58" s="142"/>
      <c r="R58" s="142"/>
      <c r="X58" s="142"/>
      <c r="AD58" s="142"/>
      <c r="AJ58" s="142"/>
      <c r="AP58" s="142"/>
      <c r="AV58" s="142"/>
      <c r="BA58" s="142"/>
      <c r="BH58" s="142"/>
      <c r="BN58" s="142"/>
      <c r="BT58" s="142"/>
      <c r="BZ58" s="142"/>
      <c r="CF58" s="142"/>
      <c r="CL58" s="142"/>
      <c r="CR58" s="142"/>
      <c r="CX58" s="142"/>
      <c r="DD58" s="142"/>
      <c r="DJ58" s="142"/>
      <c r="DP58" s="142"/>
      <c r="DV58" s="142"/>
      <c r="EB58" s="142"/>
      <c r="EH58" s="142"/>
      <c r="EN58" s="142"/>
      <c r="ET58" s="142"/>
      <c r="EZ58" s="142"/>
      <c r="FF58" s="142"/>
      <c r="FL58" s="142"/>
      <c r="FR58" s="142"/>
      <c r="FX58" s="142"/>
      <c r="GD58" s="142"/>
      <c r="GJ58" s="142"/>
      <c r="GP58" s="142"/>
      <c r="GV58" s="142"/>
      <c r="HB58" s="142"/>
      <c r="HH58" s="142"/>
      <c r="HN58" s="142"/>
      <c r="HT58" s="142"/>
      <c r="HZ58" s="142"/>
    </row>
    <row r="59">
      <c r="F59" s="142"/>
      <c r="L59" s="142"/>
      <c r="R59" s="142"/>
      <c r="X59" s="142"/>
      <c r="AD59" s="142"/>
      <c r="AJ59" s="142"/>
      <c r="AP59" s="142"/>
      <c r="AV59" s="142"/>
      <c r="BA59" s="142"/>
      <c r="BH59" s="142"/>
      <c r="BN59" s="142"/>
      <c r="BT59" s="142"/>
      <c r="BZ59" s="142"/>
      <c r="CF59" s="142"/>
      <c r="CL59" s="142"/>
      <c r="CR59" s="142"/>
      <c r="CX59" s="142"/>
      <c r="DD59" s="142"/>
      <c r="DJ59" s="142"/>
      <c r="DP59" s="142"/>
      <c r="DV59" s="142"/>
      <c r="EB59" s="142"/>
      <c r="EH59" s="142"/>
      <c r="EN59" s="142"/>
      <c r="ET59" s="142"/>
      <c r="EZ59" s="142"/>
      <c r="FF59" s="142"/>
      <c r="FL59" s="142"/>
      <c r="FR59" s="142"/>
      <c r="FX59" s="142"/>
      <c r="GD59" s="142"/>
      <c r="GJ59" s="142"/>
      <c r="GP59" s="142"/>
      <c r="GV59" s="142"/>
      <c r="HB59" s="142"/>
      <c r="HH59" s="142"/>
      <c r="HN59" s="142"/>
      <c r="HT59" s="142"/>
      <c r="HZ59" s="142"/>
    </row>
    <row r="60">
      <c r="F60" s="142"/>
      <c r="L60" s="142"/>
      <c r="R60" s="142"/>
      <c r="X60" s="142"/>
      <c r="AD60" s="142"/>
      <c r="AJ60" s="142"/>
      <c r="AP60" s="142"/>
      <c r="AV60" s="142"/>
      <c r="BA60" s="142"/>
      <c r="BH60" s="142"/>
      <c r="BN60" s="142"/>
      <c r="BT60" s="142"/>
      <c r="BZ60" s="142"/>
      <c r="CF60" s="142"/>
      <c r="CL60" s="142"/>
      <c r="CR60" s="142"/>
      <c r="CX60" s="142"/>
      <c r="DD60" s="142"/>
      <c r="DJ60" s="142"/>
      <c r="DP60" s="142"/>
      <c r="DV60" s="142"/>
      <c r="EB60" s="142"/>
      <c r="EH60" s="142"/>
      <c r="EN60" s="142"/>
      <c r="ET60" s="142"/>
      <c r="EZ60" s="142"/>
      <c r="FF60" s="142"/>
      <c r="FL60" s="142"/>
      <c r="FR60" s="142"/>
      <c r="FX60" s="142"/>
      <c r="GD60" s="142"/>
      <c r="GJ60" s="142"/>
      <c r="GP60" s="142"/>
      <c r="GV60" s="142"/>
      <c r="HB60" s="142"/>
      <c r="HH60" s="142"/>
      <c r="HN60" s="142"/>
      <c r="HT60" s="142"/>
      <c r="HZ60" s="142"/>
    </row>
    <row r="61">
      <c r="F61" s="142"/>
      <c r="L61" s="142"/>
      <c r="R61" s="142"/>
      <c r="X61" s="142"/>
      <c r="AD61" s="142"/>
      <c r="AJ61" s="142"/>
      <c r="AP61" s="142"/>
      <c r="AV61" s="142"/>
      <c r="BA61" s="142"/>
      <c r="BH61" s="142"/>
      <c r="BN61" s="142"/>
      <c r="BT61" s="142"/>
      <c r="BZ61" s="142"/>
      <c r="CF61" s="142"/>
      <c r="CL61" s="142"/>
      <c r="CR61" s="142"/>
      <c r="CX61" s="142"/>
      <c r="DD61" s="142"/>
      <c r="DJ61" s="142"/>
      <c r="DP61" s="142"/>
      <c r="DV61" s="142"/>
      <c r="EB61" s="142"/>
      <c r="EH61" s="142"/>
      <c r="EN61" s="142"/>
      <c r="ET61" s="142"/>
      <c r="EZ61" s="142"/>
      <c r="FF61" s="142"/>
      <c r="FL61" s="142"/>
      <c r="FR61" s="142"/>
      <c r="FX61" s="142"/>
      <c r="GD61" s="142"/>
      <c r="GJ61" s="142"/>
      <c r="GP61" s="142"/>
      <c r="GV61" s="142"/>
      <c r="HB61" s="142"/>
      <c r="HH61" s="142"/>
      <c r="HN61" s="142"/>
      <c r="HT61" s="142"/>
      <c r="HZ61" s="142"/>
    </row>
    <row r="62">
      <c r="F62" s="142"/>
      <c r="L62" s="142"/>
      <c r="R62" s="142"/>
      <c r="X62" s="142"/>
      <c r="AD62" s="142"/>
      <c r="AJ62" s="142"/>
      <c r="AP62" s="142"/>
      <c r="AV62" s="142"/>
      <c r="BA62" s="142"/>
      <c r="BH62" s="142"/>
      <c r="BN62" s="142"/>
      <c r="BT62" s="142"/>
      <c r="BZ62" s="142"/>
      <c r="CF62" s="142"/>
      <c r="CL62" s="142"/>
      <c r="CR62" s="142"/>
      <c r="CX62" s="142"/>
      <c r="DD62" s="142"/>
      <c r="DJ62" s="142"/>
      <c r="DP62" s="142"/>
      <c r="DV62" s="142"/>
      <c r="EB62" s="142"/>
      <c r="EH62" s="142"/>
      <c r="EN62" s="142"/>
      <c r="ET62" s="142"/>
      <c r="EZ62" s="142"/>
      <c r="FF62" s="142"/>
      <c r="FL62" s="142"/>
      <c r="FR62" s="142"/>
      <c r="FX62" s="142"/>
      <c r="GD62" s="142"/>
      <c r="GJ62" s="142"/>
      <c r="GP62" s="142"/>
      <c r="GV62" s="142"/>
      <c r="HB62" s="142"/>
      <c r="HH62" s="142"/>
      <c r="HN62" s="142"/>
      <c r="HT62" s="142"/>
      <c r="HZ62" s="142"/>
    </row>
    <row r="63">
      <c r="F63" s="142"/>
      <c r="L63" s="142"/>
      <c r="R63" s="142"/>
      <c r="X63" s="142"/>
      <c r="AD63" s="142"/>
      <c r="AJ63" s="142"/>
      <c r="AP63" s="142"/>
      <c r="AV63" s="142"/>
      <c r="BA63" s="142"/>
      <c r="BH63" s="142"/>
      <c r="BN63" s="142"/>
      <c r="BT63" s="142"/>
      <c r="BZ63" s="142"/>
      <c r="CF63" s="142"/>
      <c r="CL63" s="142"/>
      <c r="CR63" s="142"/>
      <c r="CX63" s="142"/>
      <c r="DD63" s="142"/>
      <c r="DJ63" s="142"/>
      <c r="DP63" s="142"/>
      <c r="DV63" s="142"/>
      <c r="EB63" s="142"/>
      <c r="EH63" s="142"/>
      <c r="EN63" s="142"/>
      <c r="ET63" s="142"/>
      <c r="EZ63" s="142"/>
      <c r="FF63" s="142"/>
      <c r="FL63" s="142"/>
      <c r="FR63" s="142"/>
      <c r="FX63" s="142"/>
      <c r="GD63" s="142"/>
      <c r="GJ63" s="142"/>
      <c r="GP63" s="142"/>
      <c r="GV63" s="142"/>
      <c r="HB63" s="142"/>
      <c r="HH63" s="142"/>
      <c r="HN63" s="142"/>
      <c r="HT63" s="142"/>
      <c r="HZ63" s="142"/>
    </row>
    <row r="64">
      <c r="F64" s="142"/>
      <c r="L64" s="142"/>
      <c r="R64" s="142"/>
      <c r="X64" s="142"/>
      <c r="AD64" s="142"/>
      <c r="AJ64" s="142"/>
      <c r="AP64" s="142"/>
      <c r="AV64" s="142"/>
      <c r="BA64" s="142"/>
      <c r="BH64" s="142"/>
      <c r="BN64" s="142"/>
      <c r="BT64" s="142"/>
      <c r="BZ64" s="142"/>
      <c r="CF64" s="142"/>
      <c r="CL64" s="142"/>
      <c r="CR64" s="142"/>
      <c r="CX64" s="142"/>
      <c r="DD64" s="142"/>
      <c r="DJ64" s="142"/>
      <c r="DP64" s="142"/>
      <c r="DV64" s="142"/>
      <c r="EB64" s="142"/>
      <c r="EH64" s="142"/>
      <c r="EN64" s="142"/>
      <c r="ET64" s="142"/>
      <c r="EZ64" s="142"/>
      <c r="FF64" s="142"/>
      <c r="FL64" s="142"/>
      <c r="FR64" s="142"/>
      <c r="FX64" s="142"/>
      <c r="GD64" s="142"/>
      <c r="GJ64" s="142"/>
      <c r="GP64" s="142"/>
      <c r="GV64" s="142"/>
      <c r="HB64" s="142"/>
      <c r="HH64" s="142"/>
      <c r="HN64" s="142"/>
      <c r="HT64" s="142"/>
      <c r="HZ64" s="142"/>
    </row>
    <row r="65">
      <c r="F65" s="142"/>
      <c r="L65" s="142"/>
      <c r="R65" s="142"/>
      <c r="X65" s="142"/>
      <c r="AD65" s="142"/>
      <c r="AJ65" s="142"/>
      <c r="AP65" s="142"/>
      <c r="AV65" s="142"/>
      <c r="BA65" s="142"/>
      <c r="BH65" s="142"/>
      <c r="BN65" s="142"/>
      <c r="BT65" s="142"/>
      <c r="BZ65" s="142"/>
      <c r="CF65" s="142"/>
      <c r="CL65" s="142"/>
      <c r="CR65" s="142"/>
      <c r="CX65" s="142"/>
      <c r="DD65" s="142"/>
      <c r="DJ65" s="142"/>
      <c r="DP65" s="142"/>
      <c r="DV65" s="142"/>
      <c r="EB65" s="142"/>
      <c r="EH65" s="142"/>
      <c r="EN65" s="142"/>
      <c r="ET65" s="142"/>
      <c r="EZ65" s="142"/>
      <c r="FF65" s="142"/>
      <c r="FL65" s="142"/>
      <c r="FR65" s="142"/>
      <c r="FX65" s="142"/>
      <c r="GD65" s="142"/>
      <c r="GJ65" s="142"/>
      <c r="GP65" s="142"/>
      <c r="GV65" s="142"/>
      <c r="HB65" s="142"/>
      <c r="HH65" s="142"/>
      <c r="HN65" s="142"/>
      <c r="HT65" s="142"/>
      <c r="HZ65" s="142"/>
    </row>
    <row r="66">
      <c r="F66" s="142"/>
      <c r="L66" s="142"/>
      <c r="R66" s="142"/>
      <c r="X66" s="142"/>
      <c r="AD66" s="142"/>
      <c r="AJ66" s="142"/>
      <c r="AP66" s="142"/>
      <c r="AV66" s="142"/>
      <c r="BA66" s="142"/>
      <c r="BH66" s="142"/>
      <c r="BN66" s="142"/>
      <c r="BT66" s="142"/>
      <c r="BZ66" s="142"/>
      <c r="CF66" s="142"/>
      <c r="CL66" s="142"/>
      <c r="CR66" s="142"/>
      <c r="CX66" s="142"/>
      <c r="DD66" s="142"/>
      <c r="DJ66" s="142"/>
      <c r="DP66" s="142"/>
      <c r="DV66" s="142"/>
      <c r="EB66" s="142"/>
      <c r="EH66" s="142"/>
      <c r="EN66" s="142"/>
      <c r="ET66" s="142"/>
      <c r="EZ66" s="142"/>
      <c r="FF66" s="142"/>
      <c r="FL66" s="142"/>
      <c r="FR66" s="142"/>
      <c r="FX66" s="142"/>
      <c r="GD66" s="142"/>
      <c r="GJ66" s="142"/>
      <c r="GP66" s="142"/>
      <c r="GV66" s="142"/>
      <c r="HB66" s="142"/>
      <c r="HH66" s="142"/>
      <c r="HN66" s="142"/>
      <c r="HT66" s="142"/>
      <c r="HZ66" s="142"/>
    </row>
    <row r="67">
      <c r="F67" s="142"/>
      <c r="L67" s="142"/>
      <c r="R67" s="142"/>
      <c r="X67" s="142"/>
      <c r="AD67" s="142"/>
      <c r="AJ67" s="142"/>
      <c r="AP67" s="142"/>
      <c r="AV67" s="142"/>
      <c r="BA67" s="142"/>
      <c r="BH67" s="142"/>
      <c r="BN67" s="142"/>
      <c r="BT67" s="142"/>
      <c r="BZ67" s="142"/>
      <c r="CF67" s="142"/>
      <c r="CL67" s="142"/>
      <c r="CR67" s="142"/>
      <c r="CX67" s="142"/>
      <c r="DD67" s="142"/>
      <c r="DJ67" s="142"/>
      <c r="DP67" s="142"/>
      <c r="DV67" s="142"/>
      <c r="EB67" s="142"/>
      <c r="EH67" s="142"/>
      <c r="EN67" s="142"/>
      <c r="ET67" s="142"/>
      <c r="EZ67" s="142"/>
      <c r="FF67" s="142"/>
      <c r="FL67" s="142"/>
      <c r="FR67" s="142"/>
      <c r="FX67" s="142"/>
      <c r="GD67" s="142"/>
      <c r="GJ67" s="142"/>
      <c r="GP67" s="142"/>
      <c r="GV67" s="142"/>
      <c r="HB67" s="142"/>
      <c r="HH67" s="142"/>
      <c r="HN67" s="142"/>
      <c r="HT67" s="142"/>
      <c r="HZ67" s="142"/>
    </row>
    <row r="68">
      <c r="F68" s="142"/>
      <c r="L68" s="142"/>
      <c r="R68" s="142"/>
      <c r="X68" s="142"/>
      <c r="AD68" s="142"/>
      <c r="AJ68" s="142"/>
      <c r="AP68" s="142"/>
      <c r="AV68" s="142"/>
      <c r="BA68" s="142"/>
      <c r="BH68" s="142"/>
      <c r="BN68" s="142"/>
      <c r="BT68" s="142"/>
      <c r="BZ68" s="142"/>
      <c r="CF68" s="142"/>
      <c r="CL68" s="142"/>
      <c r="CR68" s="142"/>
      <c r="CX68" s="142"/>
      <c r="DD68" s="142"/>
      <c r="DJ68" s="142"/>
      <c r="DP68" s="142"/>
      <c r="DV68" s="142"/>
      <c r="EB68" s="142"/>
      <c r="EH68" s="142"/>
      <c r="EN68" s="142"/>
      <c r="ET68" s="142"/>
      <c r="EZ68" s="142"/>
      <c r="FF68" s="142"/>
      <c r="FL68" s="142"/>
      <c r="FR68" s="142"/>
      <c r="FX68" s="142"/>
      <c r="GD68" s="142"/>
      <c r="GJ68" s="142"/>
      <c r="GP68" s="142"/>
      <c r="GV68" s="142"/>
      <c r="HB68" s="142"/>
      <c r="HH68" s="142"/>
      <c r="HN68" s="142"/>
      <c r="HT68" s="142"/>
      <c r="HZ68" s="142"/>
    </row>
    <row r="69">
      <c r="F69" s="142"/>
      <c r="L69" s="142"/>
      <c r="R69" s="142"/>
      <c r="X69" s="142"/>
      <c r="AD69" s="142"/>
      <c r="AJ69" s="142"/>
      <c r="AP69" s="142"/>
      <c r="AV69" s="142"/>
      <c r="BA69" s="142"/>
      <c r="BH69" s="142"/>
      <c r="BN69" s="142"/>
      <c r="BT69" s="142"/>
      <c r="BZ69" s="142"/>
      <c r="CF69" s="142"/>
      <c r="CL69" s="142"/>
      <c r="CR69" s="142"/>
      <c r="CX69" s="142"/>
      <c r="DD69" s="142"/>
      <c r="DJ69" s="142"/>
      <c r="DP69" s="142"/>
      <c r="DV69" s="142"/>
      <c r="EB69" s="142"/>
      <c r="EH69" s="142"/>
      <c r="EN69" s="142"/>
      <c r="ET69" s="142"/>
      <c r="EZ69" s="142"/>
      <c r="FF69" s="142"/>
      <c r="FL69" s="142"/>
      <c r="FR69" s="142"/>
      <c r="FX69" s="142"/>
      <c r="GD69" s="142"/>
      <c r="GJ69" s="142"/>
      <c r="GP69" s="142"/>
      <c r="GV69" s="142"/>
      <c r="HB69" s="142"/>
      <c r="HH69" s="142"/>
      <c r="HN69" s="142"/>
      <c r="HT69" s="142"/>
      <c r="HZ69" s="142"/>
    </row>
    <row r="70">
      <c r="F70" s="142"/>
      <c r="L70" s="142"/>
      <c r="R70" s="142"/>
      <c r="X70" s="142"/>
      <c r="AD70" s="142"/>
      <c r="AJ70" s="142"/>
      <c r="AP70" s="142"/>
      <c r="AV70" s="142"/>
      <c r="BA70" s="142"/>
      <c r="BH70" s="142"/>
      <c r="BN70" s="142"/>
      <c r="BT70" s="142"/>
      <c r="BZ70" s="142"/>
      <c r="CF70" s="142"/>
      <c r="CL70" s="142"/>
      <c r="CR70" s="142"/>
      <c r="CX70" s="142"/>
      <c r="DD70" s="142"/>
      <c r="DJ70" s="142"/>
      <c r="DP70" s="142"/>
      <c r="DV70" s="142"/>
      <c r="EB70" s="142"/>
      <c r="EH70" s="142"/>
      <c r="EN70" s="142"/>
      <c r="ET70" s="142"/>
      <c r="EZ70" s="142"/>
      <c r="FF70" s="142"/>
      <c r="FL70" s="142"/>
      <c r="FR70" s="142"/>
      <c r="FX70" s="142"/>
      <c r="GD70" s="142"/>
      <c r="GJ70" s="142"/>
      <c r="GP70" s="142"/>
      <c r="GV70" s="142"/>
      <c r="HB70" s="142"/>
      <c r="HH70" s="142"/>
      <c r="HN70" s="142"/>
      <c r="HT70" s="142"/>
      <c r="HZ70" s="142"/>
    </row>
    <row r="71">
      <c r="F71" s="142"/>
      <c r="L71" s="142"/>
      <c r="R71" s="142"/>
      <c r="X71" s="142"/>
      <c r="AD71" s="142"/>
      <c r="AJ71" s="142"/>
      <c r="AP71" s="142"/>
      <c r="AV71" s="142"/>
      <c r="BA71" s="142"/>
      <c r="BH71" s="142"/>
      <c r="BN71" s="142"/>
      <c r="BT71" s="142"/>
      <c r="BZ71" s="142"/>
      <c r="CF71" s="142"/>
      <c r="CL71" s="142"/>
      <c r="CR71" s="142"/>
      <c r="CX71" s="142"/>
      <c r="DD71" s="142"/>
      <c r="DJ71" s="142"/>
      <c r="DP71" s="142"/>
      <c r="DV71" s="142"/>
      <c r="EB71" s="142"/>
      <c r="EH71" s="142"/>
      <c r="EN71" s="142"/>
      <c r="ET71" s="142"/>
      <c r="EZ71" s="142"/>
      <c r="FF71" s="142"/>
      <c r="FL71" s="142"/>
      <c r="FR71" s="142"/>
      <c r="FX71" s="142"/>
      <c r="GD71" s="142"/>
      <c r="GJ71" s="142"/>
      <c r="GP71" s="142"/>
      <c r="GV71" s="142"/>
      <c r="HB71" s="142"/>
      <c r="HH71" s="142"/>
      <c r="HN71" s="142"/>
      <c r="HT71" s="142"/>
      <c r="HZ71" s="142"/>
    </row>
    <row r="72">
      <c r="F72" s="142"/>
      <c r="L72" s="142"/>
      <c r="R72" s="142"/>
      <c r="X72" s="142"/>
      <c r="AD72" s="142"/>
      <c r="AJ72" s="142"/>
      <c r="AP72" s="142"/>
      <c r="AV72" s="142"/>
      <c r="BA72" s="142"/>
      <c r="BH72" s="142"/>
      <c r="BN72" s="142"/>
      <c r="BT72" s="142"/>
      <c r="BZ72" s="142"/>
      <c r="CF72" s="142"/>
      <c r="CL72" s="142"/>
      <c r="CR72" s="142"/>
      <c r="CX72" s="142"/>
      <c r="DD72" s="142"/>
      <c r="DJ72" s="142"/>
      <c r="DP72" s="142"/>
      <c r="DV72" s="142"/>
      <c r="EB72" s="142"/>
      <c r="EH72" s="142"/>
      <c r="EN72" s="142"/>
      <c r="ET72" s="142"/>
      <c r="EZ72" s="142"/>
      <c r="FF72" s="142"/>
      <c r="FL72" s="142"/>
      <c r="FR72" s="142"/>
      <c r="FX72" s="142"/>
      <c r="GD72" s="142"/>
      <c r="GJ72" s="142"/>
      <c r="GP72" s="142"/>
      <c r="GV72" s="142"/>
      <c r="HB72" s="142"/>
      <c r="HH72" s="142"/>
      <c r="HN72" s="142"/>
      <c r="HT72" s="142"/>
      <c r="HZ72" s="142"/>
    </row>
    <row r="73">
      <c r="F73" s="142"/>
      <c r="L73" s="142"/>
      <c r="R73" s="142"/>
      <c r="X73" s="142"/>
      <c r="AD73" s="142"/>
      <c r="AJ73" s="142"/>
      <c r="AP73" s="142"/>
      <c r="AV73" s="142"/>
      <c r="BA73" s="142"/>
      <c r="BH73" s="142"/>
      <c r="BN73" s="142"/>
      <c r="BT73" s="142"/>
      <c r="BZ73" s="142"/>
      <c r="CF73" s="142"/>
      <c r="CL73" s="142"/>
      <c r="CR73" s="142"/>
      <c r="CX73" s="142"/>
      <c r="DD73" s="142"/>
      <c r="DJ73" s="142"/>
      <c r="DP73" s="142"/>
      <c r="DV73" s="142"/>
      <c r="EB73" s="142"/>
      <c r="EH73" s="142"/>
      <c r="EN73" s="142"/>
      <c r="ET73" s="142"/>
      <c r="EZ73" s="142"/>
      <c r="FF73" s="142"/>
      <c r="FL73" s="142"/>
      <c r="FR73" s="142"/>
      <c r="FX73" s="142"/>
      <c r="GD73" s="142"/>
      <c r="GJ73" s="142"/>
      <c r="GP73" s="142"/>
      <c r="GV73" s="142"/>
      <c r="HB73" s="142"/>
      <c r="HH73" s="142"/>
      <c r="HN73" s="142"/>
      <c r="HT73" s="142"/>
      <c r="HZ73" s="142"/>
    </row>
    <row r="74">
      <c r="F74" s="142"/>
      <c r="L74" s="142"/>
      <c r="R74" s="142"/>
      <c r="X74" s="142"/>
      <c r="AD74" s="142"/>
      <c r="AJ74" s="142"/>
      <c r="AP74" s="142"/>
      <c r="AV74" s="142"/>
      <c r="BA74" s="142"/>
      <c r="BH74" s="142"/>
      <c r="BN74" s="142"/>
      <c r="BT74" s="142"/>
      <c r="BZ74" s="142"/>
      <c r="CF74" s="142"/>
      <c r="CL74" s="142"/>
      <c r="CR74" s="142"/>
      <c r="CX74" s="142"/>
      <c r="DD74" s="142"/>
      <c r="DJ74" s="142"/>
      <c r="DP74" s="142"/>
      <c r="DV74" s="142"/>
      <c r="EB74" s="142"/>
      <c r="EH74" s="142"/>
      <c r="EN74" s="142"/>
      <c r="ET74" s="142"/>
      <c r="EZ74" s="142"/>
      <c r="FF74" s="142"/>
      <c r="FL74" s="142"/>
      <c r="FR74" s="142"/>
      <c r="FX74" s="142"/>
      <c r="GD74" s="142"/>
      <c r="GJ74" s="142"/>
      <c r="GP74" s="142"/>
      <c r="GV74" s="142"/>
      <c r="HB74" s="142"/>
      <c r="HH74" s="142"/>
      <c r="HN74" s="142"/>
      <c r="HT74" s="142"/>
      <c r="HZ74" s="142"/>
    </row>
    <row r="75">
      <c r="F75" s="142"/>
      <c r="L75" s="142"/>
      <c r="R75" s="142"/>
      <c r="X75" s="142"/>
      <c r="AD75" s="142"/>
      <c r="AJ75" s="142"/>
      <c r="AP75" s="142"/>
      <c r="AV75" s="142"/>
      <c r="BA75" s="142"/>
      <c r="BH75" s="142"/>
      <c r="BN75" s="142"/>
      <c r="BT75" s="142"/>
      <c r="BZ75" s="142"/>
      <c r="CF75" s="142"/>
      <c r="CL75" s="142"/>
      <c r="CR75" s="142"/>
      <c r="CX75" s="142"/>
      <c r="DD75" s="142"/>
      <c r="DJ75" s="142"/>
      <c r="DP75" s="142"/>
      <c r="DV75" s="142"/>
      <c r="EB75" s="142"/>
      <c r="EH75" s="142"/>
      <c r="EN75" s="142"/>
      <c r="ET75" s="142"/>
      <c r="EZ75" s="142"/>
      <c r="FF75" s="142"/>
      <c r="FL75" s="142"/>
      <c r="FR75" s="142"/>
      <c r="FX75" s="142"/>
      <c r="GD75" s="142"/>
      <c r="GJ75" s="142"/>
      <c r="GP75" s="142"/>
      <c r="GV75" s="142"/>
      <c r="HB75" s="142"/>
      <c r="HH75" s="142"/>
      <c r="HN75" s="142"/>
      <c r="HT75" s="142"/>
      <c r="HZ75" s="142"/>
    </row>
    <row r="76">
      <c r="F76" s="142"/>
      <c r="L76" s="142"/>
      <c r="R76" s="142"/>
      <c r="X76" s="142"/>
      <c r="AD76" s="142"/>
      <c r="AJ76" s="142"/>
      <c r="AP76" s="142"/>
      <c r="AV76" s="142"/>
      <c r="BA76" s="142"/>
      <c r="BH76" s="142"/>
      <c r="BN76" s="142"/>
      <c r="BT76" s="142"/>
      <c r="BZ76" s="142"/>
      <c r="CF76" s="142"/>
      <c r="CL76" s="142"/>
      <c r="CR76" s="142"/>
      <c r="CX76" s="142"/>
      <c r="DD76" s="142"/>
      <c r="DJ76" s="142"/>
      <c r="DP76" s="142"/>
      <c r="DV76" s="142"/>
      <c r="EB76" s="142"/>
      <c r="EH76" s="142"/>
      <c r="EN76" s="142"/>
      <c r="ET76" s="142"/>
      <c r="EZ76" s="142"/>
      <c r="FF76" s="142"/>
      <c r="FL76" s="142"/>
      <c r="FR76" s="142"/>
      <c r="FX76" s="142"/>
      <c r="GD76" s="142"/>
      <c r="GJ76" s="142"/>
      <c r="GP76" s="142"/>
      <c r="GV76" s="142"/>
      <c r="HB76" s="142"/>
      <c r="HH76" s="142"/>
      <c r="HN76" s="142"/>
      <c r="HT76" s="142"/>
      <c r="HZ76" s="142"/>
    </row>
    <row r="77">
      <c r="F77" s="142"/>
      <c r="L77" s="142"/>
      <c r="R77" s="142"/>
      <c r="X77" s="142"/>
      <c r="AD77" s="142"/>
      <c r="AJ77" s="142"/>
      <c r="AP77" s="142"/>
      <c r="AV77" s="142"/>
      <c r="BA77" s="142"/>
      <c r="BH77" s="142"/>
      <c r="BN77" s="142"/>
      <c r="BT77" s="142"/>
      <c r="BZ77" s="142"/>
      <c r="CF77" s="142"/>
      <c r="CL77" s="142"/>
      <c r="CR77" s="142"/>
      <c r="CX77" s="142"/>
      <c r="DD77" s="142"/>
      <c r="DJ77" s="142"/>
      <c r="DP77" s="142"/>
      <c r="DV77" s="142"/>
      <c r="EB77" s="142"/>
      <c r="EH77" s="142"/>
      <c r="EN77" s="142"/>
      <c r="ET77" s="142"/>
      <c r="EZ77" s="142"/>
      <c r="FF77" s="142"/>
      <c r="FL77" s="142"/>
      <c r="FR77" s="142"/>
      <c r="FX77" s="142"/>
      <c r="GD77" s="142"/>
      <c r="GJ77" s="142"/>
      <c r="GP77" s="142"/>
      <c r="GV77" s="142"/>
      <c r="HB77" s="142"/>
      <c r="HH77" s="142"/>
      <c r="HN77" s="142"/>
      <c r="HT77" s="142"/>
      <c r="HZ77" s="142"/>
    </row>
    <row r="78">
      <c r="F78" s="142"/>
      <c r="L78" s="142"/>
      <c r="R78" s="142"/>
      <c r="X78" s="142"/>
      <c r="AD78" s="142"/>
      <c r="AJ78" s="142"/>
      <c r="AP78" s="142"/>
      <c r="AV78" s="142"/>
      <c r="BA78" s="142"/>
      <c r="BH78" s="142"/>
      <c r="BN78" s="142"/>
      <c r="BT78" s="142"/>
      <c r="BZ78" s="142"/>
      <c r="CF78" s="142"/>
      <c r="CL78" s="142"/>
      <c r="CR78" s="142"/>
      <c r="CX78" s="142"/>
      <c r="DD78" s="142"/>
      <c r="DJ78" s="142"/>
      <c r="DP78" s="142"/>
      <c r="DV78" s="142"/>
      <c r="EB78" s="142"/>
      <c r="EH78" s="142"/>
      <c r="EN78" s="142"/>
      <c r="ET78" s="142"/>
      <c r="EZ78" s="142"/>
      <c r="FF78" s="142"/>
      <c r="FL78" s="142"/>
      <c r="FR78" s="142"/>
      <c r="FX78" s="142"/>
      <c r="GD78" s="142"/>
      <c r="GJ78" s="142"/>
      <c r="GP78" s="142"/>
      <c r="GV78" s="142"/>
      <c r="HB78" s="142"/>
      <c r="HH78" s="142"/>
      <c r="HN78" s="142"/>
      <c r="HT78" s="142"/>
      <c r="HZ78" s="142"/>
    </row>
    <row r="79">
      <c r="F79" s="142"/>
      <c r="L79" s="142"/>
      <c r="R79" s="142"/>
      <c r="X79" s="142"/>
      <c r="AD79" s="142"/>
      <c r="AJ79" s="142"/>
      <c r="AP79" s="142"/>
      <c r="AV79" s="142"/>
      <c r="BA79" s="142"/>
      <c r="BH79" s="142"/>
      <c r="BN79" s="142"/>
      <c r="BT79" s="142"/>
      <c r="BZ79" s="142"/>
      <c r="CF79" s="142"/>
      <c r="CL79" s="142"/>
      <c r="CR79" s="142"/>
      <c r="CX79" s="142"/>
      <c r="DD79" s="142"/>
      <c r="DJ79" s="142"/>
      <c r="DP79" s="142"/>
      <c r="DV79" s="142"/>
      <c r="EB79" s="142"/>
      <c r="EH79" s="142"/>
      <c r="EN79" s="142"/>
      <c r="ET79" s="142"/>
      <c r="EZ79" s="142"/>
      <c r="FF79" s="142"/>
      <c r="FL79" s="142"/>
      <c r="FR79" s="142"/>
      <c r="FX79" s="142"/>
      <c r="GD79" s="142"/>
      <c r="GJ79" s="142"/>
      <c r="GP79" s="142"/>
      <c r="GV79" s="142"/>
      <c r="HB79" s="142"/>
      <c r="HH79" s="142"/>
      <c r="HN79" s="142"/>
      <c r="HT79" s="142"/>
      <c r="HZ79" s="142"/>
    </row>
    <row r="80">
      <c r="F80" s="142"/>
      <c r="L80" s="142"/>
      <c r="R80" s="142"/>
      <c r="X80" s="142"/>
      <c r="AD80" s="142"/>
      <c r="AJ80" s="142"/>
      <c r="AP80" s="142"/>
      <c r="AV80" s="142"/>
      <c r="BA80" s="142"/>
      <c r="BH80" s="142"/>
      <c r="BN80" s="142"/>
      <c r="BT80" s="142"/>
      <c r="BZ80" s="142"/>
      <c r="CF80" s="142"/>
      <c r="CL80" s="142"/>
      <c r="CR80" s="142"/>
      <c r="CX80" s="142"/>
      <c r="DD80" s="142"/>
      <c r="DJ80" s="142"/>
      <c r="DP80" s="142"/>
      <c r="DV80" s="142"/>
      <c r="EB80" s="142"/>
      <c r="EH80" s="142"/>
      <c r="EN80" s="142"/>
      <c r="ET80" s="142"/>
      <c r="EZ80" s="142"/>
      <c r="FF80" s="142"/>
      <c r="FL80" s="142"/>
      <c r="FR80" s="142"/>
      <c r="FX80" s="142"/>
      <c r="GD80" s="142"/>
      <c r="GJ80" s="142"/>
      <c r="GP80" s="142"/>
      <c r="GV80" s="142"/>
      <c r="HB80" s="142"/>
      <c r="HH80" s="142"/>
      <c r="HN80" s="142"/>
      <c r="HT80" s="142"/>
      <c r="HZ80" s="142"/>
    </row>
    <row r="81">
      <c r="F81" s="142"/>
      <c r="L81" s="142"/>
      <c r="R81" s="142"/>
      <c r="X81" s="142"/>
      <c r="AD81" s="142"/>
      <c r="AJ81" s="142"/>
      <c r="AP81" s="142"/>
      <c r="AV81" s="142"/>
      <c r="BA81" s="142"/>
      <c r="BH81" s="142"/>
      <c r="BN81" s="142"/>
      <c r="BT81" s="142"/>
      <c r="BZ81" s="142"/>
      <c r="CF81" s="142"/>
      <c r="CL81" s="142"/>
      <c r="CR81" s="142"/>
      <c r="CX81" s="142"/>
      <c r="DD81" s="142"/>
      <c r="DJ81" s="142"/>
      <c r="DP81" s="142"/>
      <c r="DV81" s="142"/>
      <c r="EB81" s="142"/>
      <c r="EH81" s="142"/>
      <c r="EN81" s="142"/>
      <c r="ET81" s="142"/>
      <c r="EZ81" s="142"/>
      <c r="FF81" s="142"/>
      <c r="FL81" s="142"/>
      <c r="FR81" s="142"/>
      <c r="FX81" s="142"/>
      <c r="GD81" s="142"/>
      <c r="GJ81" s="142"/>
      <c r="GP81" s="142"/>
      <c r="GV81" s="142"/>
      <c r="HB81" s="142"/>
      <c r="HH81" s="142"/>
      <c r="HN81" s="142"/>
      <c r="HT81" s="142"/>
      <c r="HZ81" s="142"/>
    </row>
    <row r="82">
      <c r="F82" s="142"/>
      <c r="L82" s="142"/>
      <c r="R82" s="142"/>
      <c r="X82" s="142"/>
      <c r="AD82" s="142"/>
      <c r="AJ82" s="142"/>
      <c r="AP82" s="142"/>
      <c r="AV82" s="142"/>
      <c r="BA82" s="142"/>
      <c r="BH82" s="142"/>
      <c r="BN82" s="142"/>
      <c r="BT82" s="142"/>
      <c r="BZ82" s="142"/>
      <c r="CF82" s="142"/>
      <c r="CL82" s="142"/>
      <c r="CR82" s="142"/>
      <c r="CX82" s="142"/>
      <c r="DD82" s="142"/>
      <c r="DJ82" s="142"/>
      <c r="DP82" s="142"/>
      <c r="DV82" s="142"/>
      <c r="EB82" s="142"/>
      <c r="EH82" s="142"/>
      <c r="EN82" s="142"/>
      <c r="ET82" s="142"/>
      <c r="EZ82" s="142"/>
      <c r="FF82" s="142"/>
      <c r="FL82" s="142"/>
      <c r="FR82" s="142"/>
      <c r="FX82" s="142"/>
      <c r="GD82" s="142"/>
      <c r="GJ82" s="142"/>
      <c r="GP82" s="142"/>
      <c r="GV82" s="142"/>
      <c r="HB82" s="142"/>
      <c r="HH82" s="142"/>
      <c r="HN82" s="142"/>
      <c r="HT82" s="142"/>
      <c r="HZ82" s="142"/>
    </row>
    <row r="83">
      <c r="F83" s="142"/>
      <c r="L83" s="142"/>
      <c r="R83" s="142"/>
      <c r="X83" s="142"/>
      <c r="AD83" s="142"/>
      <c r="AJ83" s="142"/>
      <c r="AP83" s="142"/>
      <c r="AV83" s="142"/>
      <c r="BA83" s="142"/>
      <c r="BH83" s="142"/>
      <c r="BN83" s="142"/>
      <c r="BT83" s="142"/>
      <c r="BZ83" s="142"/>
      <c r="CF83" s="142"/>
      <c r="CL83" s="142"/>
      <c r="CR83" s="142"/>
      <c r="CX83" s="142"/>
      <c r="DD83" s="142"/>
      <c r="DJ83" s="142"/>
      <c r="DP83" s="142"/>
      <c r="DV83" s="142"/>
      <c r="EB83" s="142"/>
      <c r="EH83" s="142"/>
      <c r="EN83" s="142"/>
      <c r="ET83" s="142"/>
      <c r="EZ83" s="142"/>
      <c r="FF83" s="142"/>
      <c r="FL83" s="142"/>
      <c r="FR83" s="142"/>
      <c r="FX83" s="142"/>
      <c r="GD83" s="142"/>
      <c r="GJ83" s="142"/>
      <c r="GP83" s="142"/>
      <c r="GV83" s="142"/>
      <c r="HB83" s="142"/>
      <c r="HH83" s="142"/>
      <c r="HN83" s="142"/>
      <c r="HT83" s="142"/>
      <c r="HZ83" s="142"/>
    </row>
    <row r="84">
      <c r="F84" s="142"/>
      <c r="L84" s="142"/>
      <c r="R84" s="142"/>
      <c r="X84" s="142"/>
      <c r="AD84" s="142"/>
      <c r="AJ84" s="142"/>
      <c r="AP84" s="142"/>
      <c r="AV84" s="142"/>
      <c r="BA84" s="142"/>
      <c r="BH84" s="142"/>
      <c r="BN84" s="142"/>
      <c r="BT84" s="142"/>
      <c r="BZ84" s="142"/>
      <c r="CF84" s="142"/>
      <c r="CL84" s="142"/>
      <c r="CR84" s="142"/>
      <c r="CX84" s="142"/>
      <c r="DD84" s="142"/>
      <c r="DJ84" s="142"/>
      <c r="DP84" s="142"/>
      <c r="DV84" s="142"/>
      <c r="EB84" s="142"/>
      <c r="EH84" s="142"/>
      <c r="EN84" s="142"/>
      <c r="ET84" s="142"/>
      <c r="EZ84" s="142"/>
      <c r="FF84" s="142"/>
      <c r="FL84" s="142"/>
      <c r="FR84" s="142"/>
      <c r="FX84" s="142"/>
      <c r="GD84" s="142"/>
      <c r="GJ84" s="142"/>
      <c r="GP84" s="142"/>
      <c r="GV84" s="142"/>
      <c r="HB84" s="142"/>
      <c r="HH84" s="142"/>
      <c r="HN84" s="142"/>
      <c r="HT84" s="142"/>
      <c r="HZ84" s="142"/>
    </row>
    <row r="85">
      <c r="F85" s="142"/>
      <c r="L85" s="142"/>
      <c r="R85" s="142"/>
      <c r="X85" s="142"/>
      <c r="AD85" s="142"/>
      <c r="AJ85" s="142"/>
      <c r="AP85" s="142"/>
      <c r="AV85" s="142"/>
      <c r="BA85" s="142"/>
      <c r="BH85" s="142"/>
      <c r="BN85" s="142"/>
      <c r="BT85" s="142"/>
      <c r="BZ85" s="142"/>
      <c r="CF85" s="142"/>
      <c r="CL85" s="142"/>
      <c r="CR85" s="142"/>
      <c r="CX85" s="142"/>
      <c r="DD85" s="142"/>
      <c r="DJ85" s="142"/>
      <c r="DP85" s="142"/>
      <c r="DV85" s="142"/>
      <c r="EB85" s="142"/>
      <c r="EH85" s="142"/>
      <c r="EN85" s="142"/>
      <c r="ET85" s="142"/>
      <c r="EZ85" s="142"/>
      <c r="FF85" s="142"/>
      <c r="FL85" s="142"/>
      <c r="FR85" s="142"/>
      <c r="FX85" s="142"/>
      <c r="GD85" s="142"/>
      <c r="GJ85" s="142"/>
      <c r="GP85" s="142"/>
      <c r="GV85" s="142"/>
      <c r="HB85" s="142"/>
      <c r="HH85" s="142"/>
      <c r="HN85" s="142"/>
      <c r="HT85" s="142"/>
      <c r="HZ85" s="142"/>
    </row>
    <row r="86">
      <c r="F86" s="142"/>
      <c r="L86" s="142"/>
      <c r="R86" s="142"/>
      <c r="X86" s="142"/>
      <c r="AD86" s="142"/>
      <c r="AJ86" s="142"/>
      <c r="AP86" s="142"/>
      <c r="AV86" s="142"/>
      <c r="BA86" s="142"/>
      <c r="BH86" s="142"/>
      <c r="BN86" s="142"/>
      <c r="BT86" s="142"/>
      <c r="BZ86" s="142"/>
      <c r="CF86" s="142"/>
      <c r="CL86" s="142"/>
      <c r="CR86" s="142"/>
      <c r="CX86" s="142"/>
      <c r="DD86" s="142"/>
      <c r="DJ86" s="142"/>
      <c r="DP86" s="142"/>
      <c r="DV86" s="142"/>
      <c r="EB86" s="142"/>
      <c r="EH86" s="142"/>
      <c r="EN86" s="142"/>
      <c r="ET86" s="142"/>
      <c r="EZ86" s="142"/>
      <c r="FF86" s="142"/>
      <c r="FL86" s="142"/>
      <c r="FR86" s="142"/>
      <c r="FX86" s="142"/>
      <c r="GD86" s="142"/>
      <c r="GJ86" s="142"/>
      <c r="GP86" s="142"/>
      <c r="GV86" s="142"/>
      <c r="HB86" s="142"/>
      <c r="HH86" s="142"/>
      <c r="HN86" s="142"/>
      <c r="HT86" s="142"/>
      <c r="HZ86" s="142"/>
    </row>
    <row r="87">
      <c r="F87" s="142"/>
      <c r="L87" s="142"/>
      <c r="R87" s="142"/>
      <c r="X87" s="142"/>
      <c r="AD87" s="142"/>
      <c r="AJ87" s="142"/>
      <c r="AP87" s="142"/>
      <c r="AV87" s="142"/>
      <c r="BA87" s="142"/>
      <c r="BH87" s="142"/>
      <c r="BN87" s="142"/>
      <c r="BT87" s="142"/>
      <c r="BZ87" s="142"/>
      <c r="CF87" s="142"/>
      <c r="CL87" s="142"/>
      <c r="CR87" s="142"/>
      <c r="CX87" s="142"/>
      <c r="DD87" s="142"/>
      <c r="DJ87" s="142"/>
      <c r="DP87" s="142"/>
      <c r="DV87" s="142"/>
      <c r="EB87" s="142"/>
      <c r="EH87" s="142"/>
      <c r="EN87" s="142"/>
      <c r="ET87" s="142"/>
      <c r="EZ87" s="142"/>
      <c r="FF87" s="142"/>
      <c r="FL87" s="142"/>
      <c r="FR87" s="142"/>
      <c r="FX87" s="142"/>
      <c r="GD87" s="142"/>
      <c r="GJ87" s="142"/>
      <c r="GP87" s="142"/>
      <c r="GV87" s="142"/>
      <c r="HB87" s="142"/>
      <c r="HH87" s="142"/>
      <c r="HN87" s="142"/>
      <c r="HT87" s="142"/>
      <c r="HZ87" s="142"/>
    </row>
    <row r="88">
      <c r="F88" s="142"/>
      <c r="L88" s="142"/>
      <c r="R88" s="142"/>
      <c r="X88" s="142"/>
      <c r="AD88" s="142"/>
      <c r="AJ88" s="142"/>
      <c r="AP88" s="142"/>
      <c r="AV88" s="142"/>
      <c r="BA88" s="142"/>
      <c r="BH88" s="142"/>
      <c r="BN88" s="142"/>
      <c r="BT88" s="142"/>
      <c r="BZ88" s="142"/>
      <c r="CF88" s="142"/>
      <c r="CL88" s="142"/>
      <c r="CR88" s="142"/>
      <c r="CX88" s="142"/>
      <c r="DD88" s="142"/>
      <c r="DJ88" s="142"/>
      <c r="DP88" s="142"/>
      <c r="DV88" s="142"/>
      <c r="EB88" s="142"/>
      <c r="EH88" s="142"/>
      <c r="EN88" s="142"/>
      <c r="ET88" s="142"/>
      <c r="EZ88" s="142"/>
      <c r="FF88" s="142"/>
      <c r="FL88" s="142"/>
      <c r="FR88" s="142"/>
      <c r="FX88" s="142"/>
      <c r="GD88" s="142"/>
      <c r="GJ88" s="142"/>
      <c r="GP88" s="142"/>
      <c r="GV88" s="142"/>
      <c r="HB88" s="142"/>
      <c r="HH88" s="142"/>
      <c r="HN88" s="142"/>
      <c r="HT88" s="142"/>
      <c r="HZ88" s="142"/>
    </row>
    <row r="89">
      <c r="F89" s="142"/>
      <c r="L89" s="142"/>
      <c r="R89" s="142"/>
      <c r="X89" s="142"/>
      <c r="AD89" s="142"/>
      <c r="AJ89" s="142"/>
      <c r="AP89" s="142"/>
      <c r="AV89" s="142"/>
      <c r="BA89" s="142"/>
      <c r="BH89" s="142"/>
      <c r="BN89" s="142"/>
      <c r="BT89" s="142"/>
      <c r="BZ89" s="142"/>
      <c r="CF89" s="142"/>
      <c r="CL89" s="142"/>
      <c r="CR89" s="142"/>
      <c r="CX89" s="142"/>
      <c r="DD89" s="142"/>
      <c r="DJ89" s="142"/>
      <c r="DP89" s="142"/>
      <c r="DV89" s="142"/>
      <c r="EB89" s="142"/>
      <c r="EH89" s="142"/>
      <c r="EN89" s="142"/>
      <c r="ET89" s="142"/>
      <c r="EZ89" s="142"/>
      <c r="FF89" s="142"/>
      <c r="FL89" s="142"/>
      <c r="FR89" s="142"/>
      <c r="FX89" s="142"/>
      <c r="GD89" s="142"/>
      <c r="GJ89" s="142"/>
      <c r="GP89" s="142"/>
      <c r="GV89" s="142"/>
      <c r="HB89" s="142"/>
      <c r="HH89" s="142"/>
      <c r="HN89" s="142"/>
      <c r="HT89" s="142"/>
      <c r="HZ89" s="142"/>
    </row>
    <row r="90">
      <c r="F90" s="142"/>
      <c r="L90" s="142"/>
      <c r="R90" s="142"/>
      <c r="X90" s="142"/>
      <c r="AD90" s="142"/>
      <c r="AJ90" s="142"/>
      <c r="AP90" s="142"/>
      <c r="AV90" s="142"/>
      <c r="BA90" s="142"/>
      <c r="BH90" s="142"/>
      <c r="BN90" s="142"/>
      <c r="BT90" s="142"/>
      <c r="BZ90" s="142"/>
      <c r="CF90" s="142"/>
      <c r="CL90" s="142"/>
      <c r="CR90" s="142"/>
      <c r="CX90" s="142"/>
      <c r="DD90" s="142"/>
      <c r="DJ90" s="142"/>
      <c r="DP90" s="142"/>
      <c r="DV90" s="142"/>
      <c r="EB90" s="142"/>
      <c r="EH90" s="142"/>
      <c r="EN90" s="142"/>
      <c r="ET90" s="142"/>
      <c r="EZ90" s="142"/>
      <c r="FF90" s="142"/>
      <c r="FL90" s="142"/>
      <c r="FR90" s="142"/>
      <c r="FX90" s="142"/>
      <c r="GD90" s="142"/>
      <c r="GJ90" s="142"/>
      <c r="GP90" s="142"/>
      <c r="GV90" s="142"/>
      <c r="HB90" s="142"/>
      <c r="HH90" s="142"/>
      <c r="HN90" s="142"/>
      <c r="HT90" s="142"/>
      <c r="HZ90" s="142"/>
    </row>
    <row r="91">
      <c r="F91" s="142"/>
      <c r="L91" s="142"/>
      <c r="R91" s="142"/>
      <c r="X91" s="142"/>
      <c r="AD91" s="142"/>
      <c r="AJ91" s="142"/>
      <c r="AP91" s="142"/>
      <c r="AV91" s="142"/>
      <c r="BA91" s="142"/>
      <c r="BH91" s="142"/>
      <c r="BN91" s="142"/>
      <c r="BT91" s="142"/>
      <c r="BZ91" s="142"/>
      <c r="CF91" s="142"/>
      <c r="CL91" s="142"/>
      <c r="CR91" s="142"/>
      <c r="CX91" s="142"/>
      <c r="DD91" s="142"/>
      <c r="DJ91" s="142"/>
      <c r="DP91" s="142"/>
      <c r="DV91" s="142"/>
      <c r="EB91" s="142"/>
      <c r="EH91" s="142"/>
      <c r="EN91" s="142"/>
      <c r="ET91" s="142"/>
      <c r="EZ91" s="142"/>
      <c r="FF91" s="142"/>
      <c r="FL91" s="142"/>
      <c r="FR91" s="142"/>
      <c r="FX91" s="142"/>
      <c r="GD91" s="142"/>
      <c r="GJ91" s="142"/>
      <c r="GP91" s="142"/>
      <c r="GV91" s="142"/>
      <c r="HB91" s="142"/>
      <c r="HH91" s="142"/>
      <c r="HN91" s="142"/>
      <c r="HT91" s="142"/>
      <c r="HZ91" s="142"/>
    </row>
    <row r="92">
      <c r="F92" s="142"/>
      <c r="L92" s="142"/>
      <c r="R92" s="142"/>
      <c r="X92" s="142"/>
      <c r="AD92" s="142"/>
      <c r="AJ92" s="142"/>
      <c r="AP92" s="142"/>
      <c r="AV92" s="142"/>
      <c r="BA92" s="142"/>
      <c r="BH92" s="142"/>
      <c r="BN92" s="142"/>
      <c r="BT92" s="142"/>
      <c r="BZ92" s="142"/>
      <c r="CF92" s="142"/>
      <c r="CL92" s="142"/>
      <c r="CR92" s="142"/>
      <c r="CX92" s="142"/>
      <c r="DD92" s="142"/>
      <c r="DJ92" s="142"/>
      <c r="DP92" s="142"/>
      <c r="DV92" s="142"/>
      <c r="EB92" s="142"/>
      <c r="EH92" s="142"/>
      <c r="EN92" s="142"/>
      <c r="ET92" s="142"/>
      <c r="EZ92" s="142"/>
      <c r="FF92" s="142"/>
      <c r="FL92" s="142"/>
      <c r="FR92" s="142"/>
      <c r="FX92" s="142"/>
      <c r="GD92" s="142"/>
      <c r="GJ92" s="142"/>
      <c r="GP92" s="142"/>
      <c r="GV92" s="142"/>
      <c r="HB92" s="142"/>
      <c r="HH92" s="142"/>
      <c r="HN92" s="142"/>
      <c r="HT92" s="142"/>
      <c r="HZ92" s="142"/>
    </row>
    <row r="93">
      <c r="F93" s="142"/>
      <c r="L93" s="142"/>
      <c r="R93" s="142"/>
      <c r="X93" s="142"/>
      <c r="AD93" s="142"/>
      <c r="AJ93" s="142"/>
      <c r="AP93" s="142"/>
      <c r="AV93" s="142"/>
      <c r="BA93" s="142"/>
      <c r="BH93" s="142"/>
      <c r="BN93" s="142"/>
      <c r="BT93" s="142"/>
      <c r="BZ93" s="142"/>
      <c r="CF93" s="142"/>
      <c r="CL93" s="142"/>
      <c r="CR93" s="142"/>
      <c r="CX93" s="142"/>
      <c r="DD93" s="142"/>
      <c r="DJ93" s="142"/>
      <c r="DP93" s="142"/>
      <c r="DV93" s="142"/>
      <c r="EB93" s="142"/>
      <c r="EH93" s="142"/>
      <c r="EN93" s="142"/>
      <c r="ET93" s="142"/>
      <c r="EZ93" s="142"/>
      <c r="FF93" s="142"/>
      <c r="FL93" s="142"/>
      <c r="FR93" s="142"/>
      <c r="FX93" s="142"/>
      <c r="GD93" s="142"/>
      <c r="GJ93" s="142"/>
      <c r="GP93" s="142"/>
      <c r="GV93" s="142"/>
      <c r="HB93" s="142"/>
      <c r="HH93" s="142"/>
      <c r="HN93" s="142"/>
      <c r="HT93" s="142"/>
      <c r="HZ93" s="142"/>
    </row>
    <row r="94">
      <c r="F94" s="142"/>
      <c r="L94" s="142"/>
      <c r="R94" s="142"/>
      <c r="X94" s="142"/>
      <c r="AD94" s="142"/>
      <c r="AJ94" s="142"/>
      <c r="AP94" s="142"/>
      <c r="AV94" s="142"/>
      <c r="BA94" s="142"/>
      <c r="BH94" s="142"/>
      <c r="BN94" s="142"/>
      <c r="BT94" s="142"/>
      <c r="BZ94" s="142"/>
      <c r="CF94" s="142"/>
      <c r="CL94" s="142"/>
      <c r="CR94" s="142"/>
      <c r="CX94" s="142"/>
      <c r="DD94" s="142"/>
      <c r="DJ94" s="142"/>
      <c r="DP94" s="142"/>
      <c r="DV94" s="142"/>
      <c r="EB94" s="142"/>
      <c r="EH94" s="142"/>
      <c r="EN94" s="142"/>
      <c r="ET94" s="142"/>
      <c r="EZ94" s="142"/>
      <c r="FF94" s="142"/>
      <c r="FL94" s="142"/>
      <c r="FR94" s="142"/>
      <c r="FX94" s="142"/>
      <c r="GD94" s="142"/>
      <c r="GJ94" s="142"/>
      <c r="GP94" s="142"/>
      <c r="GV94" s="142"/>
      <c r="HB94" s="142"/>
      <c r="HH94" s="142"/>
      <c r="HN94" s="142"/>
      <c r="HT94" s="142"/>
      <c r="HZ94" s="142"/>
    </row>
    <row r="95">
      <c r="F95" s="142"/>
      <c r="L95" s="142"/>
      <c r="R95" s="142"/>
      <c r="X95" s="142"/>
      <c r="AD95" s="142"/>
      <c r="AJ95" s="142"/>
      <c r="AP95" s="142"/>
      <c r="AV95" s="142"/>
      <c r="BA95" s="142"/>
      <c r="BH95" s="142"/>
      <c r="BN95" s="142"/>
      <c r="BT95" s="142"/>
      <c r="BZ95" s="142"/>
      <c r="CF95" s="142"/>
      <c r="CL95" s="142"/>
      <c r="CR95" s="142"/>
      <c r="CX95" s="142"/>
      <c r="DD95" s="142"/>
      <c r="DJ95" s="142"/>
      <c r="DP95" s="142"/>
      <c r="DV95" s="142"/>
      <c r="EB95" s="142"/>
      <c r="EH95" s="142"/>
      <c r="EN95" s="142"/>
      <c r="ET95" s="142"/>
      <c r="EZ95" s="142"/>
      <c r="FF95" s="142"/>
      <c r="FL95" s="142"/>
      <c r="FR95" s="142"/>
      <c r="FX95" s="142"/>
      <c r="GD95" s="142"/>
      <c r="GJ95" s="142"/>
      <c r="GP95" s="142"/>
      <c r="GV95" s="142"/>
      <c r="HB95" s="142"/>
      <c r="HH95" s="142"/>
      <c r="HN95" s="142"/>
      <c r="HT95" s="142"/>
      <c r="HZ95" s="142"/>
    </row>
    <row r="96">
      <c r="F96" s="142"/>
      <c r="L96" s="142"/>
      <c r="R96" s="142"/>
      <c r="X96" s="142"/>
      <c r="AD96" s="142"/>
      <c r="AJ96" s="142"/>
      <c r="AP96" s="142"/>
      <c r="AV96" s="142"/>
      <c r="BA96" s="142"/>
      <c r="BH96" s="142"/>
      <c r="BN96" s="142"/>
      <c r="BT96" s="142"/>
      <c r="BZ96" s="142"/>
      <c r="CF96" s="142"/>
      <c r="CL96" s="142"/>
      <c r="CR96" s="142"/>
      <c r="CX96" s="142"/>
      <c r="DD96" s="142"/>
      <c r="DJ96" s="142"/>
      <c r="DP96" s="142"/>
      <c r="DV96" s="142"/>
      <c r="EB96" s="142"/>
      <c r="EH96" s="142"/>
      <c r="EN96" s="142"/>
      <c r="ET96" s="142"/>
      <c r="EZ96" s="142"/>
      <c r="FF96" s="142"/>
      <c r="FL96" s="142"/>
      <c r="FR96" s="142"/>
      <c r="FX96" s="142"/>
      <c r="GD96" s="142"/>
      <c r="GJ96" s="142"/>
      <c r="GP96" s="142"/>
      <c r="GV96" s="142"/>
      <c r="HB96" s="142"/>
      <c r="HH96" s="142"/>
      <c r="HN96" s="142"/>
      <c r="HT96" s="142"/>
      <c r="HZ96" s="142"/>
    </row>
    <row r="97">
      <c r="F97" s="142"/>
      <c r="L97" s="142"/>
      <c r="R97" s="142"/>
      <c r="X97" s="142"/>
      <c r="AD97" s="142"/>
      <c r="AJ97" s="142"/>
      <c r="AP97" s="142"/>
      <c r="AV97" s="142"/>
      <c r="BA97" s="142"/>
      <c r="BH97" s="142"/>
      <c r="BN97" s="142"/>
      <c r="BT97" s="142"/>
      <c r="BZ97" s="142"/>
      <c r="CF97" s="142"/>
      <c r="CL97" s="142"/>
      <c r="CR97" s="142"/>
      <c r="CX97" s="142"/>
      <c r="DD97" s="142"/>
      <c r="DJ97" s="142"/>
      <c r="DP97" s="142"/>
      <c r="DV97" s="142"/>
      <c r="EB97" s="142"/>
      <c r="EH97" s="142"/>
      <c r="EN97" s="142"/>
      <c r="ET97" s="142"/>
      <c r="EZ97" s="142"/>
      <c r="FF97" s="142"/>
      <c r="FL97" s="142"/>
      <c r="FR97" s="142"/>
      <c r="FX97" s="142"/>
      <c r="GD97" s="142"/>
      <c r="GJ97" s="142"/>
      <c r="GP97" s="142"/>
      <c r="GV97" s="142"/>
      <c r="HB97" s="142"/>
      <c r="HH97" s="142"/>
      <c r="HN97" s="142"/>
      <c r="HT97" s="142"/>
      <c r="HZ97" s="142"/>
    </row>
    <row r="98">
      <c r="F98" s="142"/>
      <c r="L98" s="142"/>
      <c r="R98" s="142"/>
      <c r="X98" s="142"/>
      <c r="AD98" s="142"/>
      <c r="AJ98" s="142"/>
      <c r="AP98" s="142"/>
      <c r="AV98" s="142"/>
      <c r="BA98" s="142"/>
      <c r="BH98" s="142"/>
      <c r="BN98" s="142"/>
      <c r="BT98" s="142"/>
      <c r="BZ98" s="142"/>
      <c r="CF98" s="142"/>
      <c r="CL98" s="142"/>
      <c r="CR98" s="142"/>
      <c r="CX98" s="142"/>
      <c r="DD98" s="142"/>
      <c r="DJ98" s="142"/>
      <c r="DP98" s="142"/>
      <c r="DV98" s="142"/>
      <c r="EB98" s="142"/>
      <c r="EH98" s="142"/>
      <c r="EN98" s="142"/>
      <c r="ET98" s="142"/>
      <c r="EZ98" s="142"/>
      <c r="FF98" s="142"/>
      <c r="FL98" s="142"/>
      <c r="FR98" s="142"/>
      <c r="FX98" s="142"/>
      <c r="GD98" s="142"/>
      <c r="GJ98" s="142"/>
      <c r="GP98" s="142"/>
      <c r="GV98" s="142"/>
      <c r="HB98" s="142"/>
      <c r="HH98" s="142"/>
      <c r="HN98" s="142"/>
      <c r="HT98" s="142"/>
      <c r="HZ98" s="142"/>
    </row>
    <row r="99">
      <c r="F99" s="142"/>
      <c r="L99" s="142"/>
      <c r="R99" s="142"/>
      <c r="X99" s="142"/>
      <c r="AD99" s="142"/>
      <c r="AJ99" s="142"/>
      <c r="AP99" s="142"/>
      <c r="AV99" s="142"/>
      <c r="BA99" s="142"/>
      <c r="BH99" s="142"/>
      <c r="BN99" s="142"/>
      <c r="BT99" s="142"/>
      <c r="BZ99" s="142"/>
      <c r="CF99" s="142"/>
      <c r="CL99" s="142"/>
      <c r="CR99" s="142"/>
      <c r="CX99" s="142"/>
      <c r="DD99" s="142"/>
      <c r="DJ99" s="142"/>
      <c r="DP99" s="142"/>
      <c r="DV99" s="142"/>
      <c r="EB99" s="142"/>
      <c r="EH99" s="142"/>
      <c r="EN99" s="142"/>
      <c r="ET99" s="142"/>
      <c r="EZ99" s="142"/>
      <c r="FF99" s="142"/>
      <c r="FL99" s="142"/>
      <c r="FR99" s="142"/>
      <c r="FX99" s="142"/>
      <c r="GD99" s="142"/>
      <c r="GJ99" s="142"/>
      <c r="GP99" s="142"/>
      <c r="GV99" s="142"/>
      <c r="HB99" s="142"/>
      <c r="HH99" s="142"/>
      <c r="HN99" s="142"/>
      <c r="HT99" s="142"/>
      <c r="HZ99" s="142"/>
    </row>
    <row r="100">
      <c r="F100" s="142"/>
      <c r="L100" s="142"/>
      <c r="R100" s="142"/>
      <c r="X100" s="142"/>
      <c r="AD100" s="142"/>
      <c r="AJ100" s="142"/>
      <c r="AP100" s="142"/>
      <c r="AV100" s="142"/>
      <c r="BA100" s="142"/>
      <c r="BH100" s="142"/>
      <c r="BN100" s="142"/>
      <c r="BT100" s="142"/>
      <c r="BZ100" s="142"/>
      <c r="CF100" s="142"/>
      <c r="CL100" s="142"/>
      <c r="CR100" s="142"/>
      <c r="CX100" s="142"/>
      <c r="DD100" s="142"/>
      <c r="DJ100" s="142"/>
      <c r="DP100" s="142"/>
      <c r="DV100" s="142"/>
      <c r="EB100" s="142"/>
      <c r="EH100" s="142"/>
      <c r="EN100" s="142"/>
      <c r="ET100" s="142"/>
      <c r="EZ100" s="142"/>
      <c r="FF100" s="142"/>
      <c r="FL100" s="142"/>
      <c r="FR100" s="142"/>
      <c r="FX100" s="142"/>
      <c r="GD100" s="142"/>
      <c r="GJ100" s="142"/>
      <c r="GP100" s="142"/>
      <c r="GV100" s="142"/>
      <c r="HB100" s="142"/>
      <c r="HH100" s="142"/>
      <c r="HN100" s="142"/>
      <c r="HT100" s="142"/>
      <c r="HZ100" s="142"/>
    </row>
    <row r="101">
      <c r="F101" s="142"/>
      <c r="L101" s="142"/>
      <c r="R101" s="142"/>
      <c r="X101" s="142"/>
      <c r="AD101" s="142"/>
      <c r="AJ101" s="142"/>
      <c r="AP101" s="142"/>
      <c r="AV101" s="142"/>
      <c r="BA101" s="142"/>
      <c r="BH101" s="142"/>
      <c r="BN101" s="142"/>
      <c r="BT101" s="142"/>
      <c r="BZ101" s="142"/>
      <c r="CF101" s="142"/>
      <c r="CL101" s="142"/>
      <c r="CR101" s="142"/>
      <c r="CX101" s="142"/>
      <c r="DD101" s="142"/>
      <c r="DJ101" s="142"/>
      <c r="DP101" s="142"/>
      <c r="DV101" s="142"/>
      <c r="EB101" s="142"/>
      <c r="EH101" s="142"/>
      <c r="EN101" s="142"/>
      <c r="ET101" s="142"/>
      <c r="EZ101" s="142"/>
      <c r="FF101" s="142"/>
      <c r="FL101" s="142"/>
      <c r="FR101" s="142"/>
      <c r="FX101" s="142"/>
      <c r="GD101" s="142"/>
      <c r="GJ101" s="142"/>
      <c r="GP101" s="142"/>
      <c r="GV101" s="142"/>
      <c r="HB101" s="142"/>
      <c r="HH101" s="142"/>
      <c r="HN101" s="142"/>
      <c r="HT101" s="142"/>
      <c r="HZ101" s="142"/>
    </row>
    <row r="102">
      <c r="F102" s="142"/>
      <c r="L102" s="142"/>
      <c r="R102" s="142"/>
      <c r="X102" s="142"/>
      <c r="AD102" s="142"/>
      <c r="AJ102" s="142"/>
      <c r="AP102" s="142"/>
      <c r="AV102" s="142"/>
      <c r="BA102" s="142"/>
      <c r="BH102" s="142"/>
      <c r="BN102" s="142"/>
      <c r="BT102" s="142"/>
      <c r="BZ102" s="142"/>
      <c r="CF102" s="142"/>
      <c r="CL102" s="142"/>
      <c r="CR102" s="142"/>
      <c r="CX102" s="142"/>
      <c r="DD102" s="142"/>
      <c r="DJ102" s="142"/>
      <c r="DP102" s="142"/>
      <c r="DV102" s="142"/>
      <c r="EB102" s="142"/>
      <c r="EH102" s="142"/>
      <c r="EN102" s="142"/>
      <c r="ET102" s="142"/>
      <c r="EZ102" s="142"/>
      <c r="FF102" s="142"/>
      <c r="FL102" s="142"/>
      <c r="FR102" s="142"/>
      <c r="FX102" s="142"/>
      <c r="GD102" s="142"/>
      <c r="GJ102" s="142"/>
      <c r="GP102" s="142"/>
      <c r="GV102" s="142"/>
      <c r="HB102" s="142"/>
      <c r="HH102" s="142"/>
      <c r="HN102" s="142"/>
      <c r="HT102" s="142"/>
      <c r="HZ102" s="142"/>
    </row>
    <row r="103">
      <c r="F103" s="142"/>
      <c r="L103" s="142"/>
      <c r="R103" s="142"/>
      <c r="X103" s="142"/>
      <c r="AD103" s="142"/>
      <c r="AJ103" s="142"/>
      <c r="AP103" s="142"/>
      <c r="AV103" s="142"/>
      <c r="BA103" s="142"/>
      <c r="BH103" s="142"/>
      <c r="BN103" s="142"/>
      <c r="BT103" s="142"/>
      <c r="BZ103" s="142"/>
      <c r="CF103" s="142"/>
      <c r="CL103" s="142"/>
      <c r="CR103" s="142"/>
      <c r="CX103" s="142"/>
      <c r="DD103" s="142"/>
      <c r="DJ103" s="142"/>
      <c r="DP103" s="142"/>
      <c r="DV103" s="142"/>
      <c r="EB103" s="142"/>
      <c r="EH103" s="142"/>
      <c r="EN103" s="142"/>
      <c r="ET103" s="142"/>
      <c r="EZ103" s="142"/>
      <c r="FF103" s="142"/>
      <c r="FL103" s="142"/>
      <c r="FR103" s="142"/>
      <c r="FX103" s="142"/>
      <c r="GD103" s="142"/>
      <c r="GJ103" s="142"/>
      <c r="GP103" s="142"/>
      <c r="GV103" s="142"/>
      <c r="HB103" s="142"/>
      <c r="HH103" s="142"/>
      <c r="HN103" s="142"/>
      <c r="HT103" s="142"/>
      <c r="HZ103" s="142"/>
    </row>
    <row r="104">
      <c r="F104" s="142"/>
      <c r="L104" s="142"/>
      <c r="R104" s="142"/>
      <c r="X104" s="142"/>
      <c r="AD104" s="142"/>
      <c r="AJ104" s="142"/>
      <c r="AP104" s="142"/>
      <c r="AV104" s="142"/>
      <c r="BA104" s="142"/>
      <c r="BH104" s="142"/>
      <c r="BN104" s="142"/>
      <c r="BT104" s="142"/>
      <c r="BZ104" s="142"/>
      <c r="CF104" s="142"/>
      <c r="CL104" s="142"/>
      <c r="CR104" s="142"/>
      <c r="CX104" s="142"/>
      <c r="DD104" s="142"/>
      <c r="DJ104" s="142"/>
      <c r="DP104" s="142"/>
      <c r="DV104" s="142"/>
      <c r="EB104" s="142"/>
      <c r="EH104" s="142"/>
      <c r="EN104" s="142"/>
      <c r="ET104" s="142"/>
      <c r="EZ104" s="142"/>
      <c r="FF104" s="142"/>
      <c r="FL104" s="142"/>
      <c r="FR104" s="142"/>
      <c r="FX104" s="142"/>
      <c r="GD104" s="142"/>
      <c r="GJ104" s="142"/>
      <c r="GP104" s="142"/>
      <c r="GV104" s="142"/>
      <c r="HB104" s="142"/>
      <c r="HH104" s="142"/>
      <c r="HN104" s="142"/>
      <c r="HT104" s="142"/>
      <c r="HZ104" s="142"/>
    </row>
    <row r="105">
      <c r="F105" s="142"/>
      <c r="L105" s="142"/>
      <c r="R105" s="142"/>
      <c r="X105" s="142"/>
      <c r="AD105" s="142"/>
      <c r="AJ105" s="142"/>
      <c r="AP105" s="142"/>
      <c r="AV105" s="142"/>
      <c r="BA105" s="142"/>
      <c r="BH105" s="142"/>
      <c r="BN105" s="142"/>
      <c r="BT105" s="142"/>
      <c r="BZ105" s="142"/>
      <c r="CF105" s="142"/>
      <c r="CL105" s="142"/>
      <c r="CR105" s="142"/>
      <c r="CX105" s="142"/>
      <c r="DD105" s="142"/>
      <c r="DJ105" s="142"/>
      <c r="DP105" s="142"/>
      <c r="DV105" s="142"/>
      <c r="EB105" s="142"/>
      <c r="EH105" s="142"/>
      <c r="EN105" s="142"/>
      <c r="ET105" s="142"/>
      <c r="EZ105" s="142"/>
      <c r="FF105" s="142"/>
      <c r="FL105" s="142"/>
      <c r="FR105" s="142"/>
      <c r="FX105" s="142"/>
      <c r="GD105" s="142"/>
      <c r="GJ105" s="142"/>
      <c r="GP105" s="142"/>
      <c r="GV105" s="142"/>
      <c r="HB105" s="142"/>
      <c r="HH105" s="142"/>
      <c r="HN105" s="142"/>
      <c r="HT105" s="142"/>
      <c r="HZ105" s="142"/>
    </row>
    <row r="106">
      <c r="F106" s="142"/>
      <c r="L106" s="142"/>
      <c r="R106" s="142"/>
      <c r="X106" s="142"/>
      <c r="AD106" s="142"/>
      <c r="AJ106" s="142"/>
      <c r="AP106" s="142"/>
      <c r="AV106" s="142"/>
      <c r="BA106" s="142"/>
      <c r="BH106" s="142"/>
      <c r="BN106" s="142"/>
      <c r="BT106" s="142"/>
      <c r="BZ106" s="142"/>
      <c r="CF106" s="142"/>
      <c r="CL106" s="142"/>
      <c r="CR106" s="142"/>
      <c r="CX106" s="142"/>
      <c r="DD106" s="142"/>
      <c r="DJ106" s="142"/>
      <c r="DP106" s="142"/>
      <c r="DV106" s="142"/>
      <c r="EB106" s="142"/>
      <c r="EH106" s="142"/>
      <c r="EN106" s="142"/>
      <c r="ET106" s="142"/>
      <c r="EZ106" s="142"/>
      <c r="FF106" s="142"/>
      <c r="FL106" s="142"/>
      <c r="FR106" s="142"/>
      <c r="FX106" s="142"/>
      <c r="GD106" s="142"/>
      <c r="GJ106" s="142"/>
      <c r="GP106" s="142"/>
      <c r="GV106" s="142"/>
      <c r="HB106" s="142"/>
      <c r="HH106" s="142"/>
      <c r="HN106" s="142"/>
      <c r="HT106" s="142"/>
      <c r="HZ106" s="142"/>
    </row>
    <row r="107">
      <c r="F107" s="142"/>
      <c r="L107" s="142"/>
      <c r="R107" s="142"/>
      <c r="X107" s="142"/>
      <c r="AD107" s="142"/>
      <c r="AJ107" s="142"/>
      <c r="AP107" s="142"/>
      <c r="AV107" s="142"/>
      <c r="BA107" s="142"/>
      <c r="BH107" s="142"/>
      <c r="BN107" s="142"/>
      <c r="BT107" s="142"/>
      <c r="BZ107" s="142"/>
      <c r="CF107" s="142"/>
      <c r="CL107" s="142"/>
      <c r="CR107" s="142"/>
      <c r="CX107" s="142"/>
      <c r="DD107" s="142"/>
      <c r="DJ107" s="142"/>
      <c r="DP107" s="142"/>
      <c r="DV107" s="142"/>
      <c r="EB107" s="142"/>
      <c r="EH107" s="142"/>
      <c r="EN107" s="142"/>
      <c r="ET107" s="142"/>
      <c r="EZ107" s="142"/>
      <c r="FF107" s="142"/>
      <c r="FL107" s="142"/>
      <c r="FR107" s="142"/>
      <c r="FX107" s="142"/>
      <c r="GD107" s="142"/>
      <c r="GJ107" s="142"/>
      <c r="GP107" s="142"/>
      <c r="GV107" s="142"/>
      <c r="HB107" s="142"/>
      <c r="HH107" s="142"/>
      <c r="HN107" s="142"/>
      <c r="HT107" s="142"/>
      <c r="HZ107" s="142"/>
    </row>
    <row r="108">
      <c r="F108" s="142"/>
      <c r="L108" s="142"/>
      <c r="R108" s="142"/>
      <c r="X108" s="142"/>
      <c r="AD108" s="142"/>
      <c r="AJ108" s="142"/>
      <c r="AP108" s="142"/>
      <c r="AV108" s="142"/>
      <c r="BA108" s="142"/>
      <c r="BH108" s="142"/>
      <c r="BN108" s="142"/>
      <c r="BT108" s="142"/>
      <c r="BZ108" s="142"/>
      <c r="CF108" s="142"/>
      <c r="CL108" s="142"/>
      <c r="CR108" s="142"/>
      <c r="CX108" s="142"/>
      <c r="DD108" s="142"/>
      <c r="DJ108" s="142"/>
      <c r="DP108" s="142"/>
      <c r="DV108" s="142"/>
      <c r="EB108" s="142"/>
      <c r="EH108" s="142"/>
      <c r="EN108" s="142"/>
      <c r="ET108" s="142"/>
      <c r="EZ108" s="142"/>
      <c r="FF108" s="142"/>
      <c r="FL108" s="142"/>
      <c r="FR108" s="142"/>
      <c r="FX108" s="142"/>
      <c r="GD108" s="142"/>
      <c r="GJ108" s="142"/>
      <c r="GP108" s="142"/>
      <c r="GV108" s="142"/>
      <c r="HB108" s="142"/>
      <c r="HH108" s="142"/>
      <c r="HN108" s="142"/>
      <c r="HT108" s="142"/>
      <c r="HZ108" s="142"/>
    </row>
    <row r="109">
      <c r="F109" s="142"/>
      <c r="L109" s="142"/>
      <c r="R109" s="142"/>
      <c r="X109" s="142"/>
      <c r="AD109" s="142"/>
      <c r="AJ109" s="142"/>
      <c r="AP109" s="142"/>
      <c r="AV109" s="142"/>
      <c r="BA109" s="142"/>
      <c r="BH109" s="142"/>
      <c r="BN109" s="142"/>
      <c r="BT109" s="142"/>
      <c r="BZ109" s="142"/>
      <c r="CF109" s="142"/>
      <c r="CL109" s="142"/>
      <c r="CR109" s="142"/>
      <c r="CX109" s="142"/>
      <c r="DD109" s="142"/>
      <c r="DJ109" s="142"/>
      <c r="DP109" s="142"/>
      <c r="DV109" s="142"/>
      <c r="EB109" s="142"/>
      <c r="EH109" s="142"/>
      <c r="EN109" s="142"/>
      <c r="ET109" s="142"/>
      <c r="EZ109" s="142"/>
      <c r="FF109" s="142"/>
      <c r="FL109" s="142"/>
      <c r="FR109" s="142"/>
      <c r="FX109" s="142"/>
      <c r="GD109" s="142"/>
      <c r="GJ109" s="142"/>
      <c r="GP109" s="142"/>
      <c r="GV109" s="142"/>
      <c r="HB109" s="142"/>
      <c r="HH109" s="142"/>
      <c r="HN109" s="142"/>
      <c r="HT109" s="142"/>
      <c r="HZ109" s="142"/>
    </row>
    <row r="110">
      <c r="F110" s="142"/>
      <c r="L110" s="142"/>
      <c r="R110" s="142"/>
      <c r="X110" s="142"/>
      <c r="AD110" s="142"/>
      <c r="AJ110" s="142"/>
      <c r="AP110" s="142"/>
      <c r="AV110" s="142"/>
      <c r="BA110" s="142"/>
      <c r="BH110" s="142"/>
      <c r="BN110" s="142"/>
      <c r="BT110" s="142"/>
      <c r="BZ110" s="142"/>
      <c r="CF110" s="142"/>
      <c r="CL110" s="142"/>
      <c r="CR110" s="142"/>
      <c r="CX110" s="142"/>
      <c r="DD110" s="142"/>
      <c r="DJ110" s="142"/>
      <c r="DP110" s="142"/>
      <c r="DV110" s="142"/>
      <c r="EB110" s="142"/>
      <c r="EH110" s="142"/>
      <c r="EN110" s="142"/>
      <c r="ET110" s="142"/>
      <c r="EZ110" s="142"/>
      <c r="FF110" s="142"/>
      <c r="FL110" s="142"/>
      <c r="FR110" s="142"/>
      <c r="FX110" s="142"/>
      <c r="GD110" s="142"/>
      <c r="GJ110" s="142"/>
      <c r="GP110" s="142"/>
      <c r="GV110" s="142"/>
      <c r="HB110" s="142"/>
      <c r="HH110" s="142"/>
      <c r="HN110" s="142"/>
      <c r="HT110" s="142"/>
      <c r="HZ110" s="142"/>
    </row>
    <row r="111">
      <c r="F111" s="142"/>
      <c r="L111" s="142"/>
      <c r="R111" s="142"/>
      <c r="X111" s="142"/>
      <c r="AD111" s="142"/>
      <c r="AJ111" s="142"/>
      <c r="AP111" s="142"/>
      <c r="AV111" s="142"/>
      <c r="BA111" s="142"/>
      <c r="BH111" s="142"/>
      <c r="BN111" s="142"/>
      <c r="BT111" s="142"/>
      <c r="BZ111" s="142"/>
      <c r="CF111" s="142"/>
      <c r="CL111" s="142"/>
      <c r="CR111" s="142"/>
      <c r="CX111" s="142"/>
      <c r="DD111" s="142"/>
      <c r="DJ111" s="142"/>
      <c r="DP111" s="142"/>
      <c r="DV111" s="142"/>
      <c r="EB111" s="142"/>
      <c r="EH111" s="142"/>
      <c r="EN111" s="142"/>
      <c r="ET111" s="142"/>
      <c r="EZ111" s="142"/>
      <c r="FF111" s="142"/>
      <c r="FL111" s="142"/>
      <c r="FR111" s="142"/>
      <c r="FX111" s="142"/>
      <c r="GD111" s="142"/>
      <c r="GJ111" s="142"/>
      <c r="GP111" s="142"/>
      <c r="GV111" s="142"/>
      <c r="HB111" s="142"/>
      <c r="HH111" s="142"/>
      <c r="HN111" s="142"/>
      <c r="HT111" s="142"/>
      <c r="HZ111" s="142"/>
    </row>
    <row r="112">
      <c r="F112" s="142"/>
      <c r="L112" s="142"/>
      <c r="R112" s="142"/>
      <c r="X112" s="142"/>
      <c r="AD112" s="142"/>
      <c r="AJ112" s="142"/>
      <c r="AP112" s="142"/>
      <c r="AV112" s="142"/>
      <c r="BA112" s="142"/>
      <c r="BH112" s="142"/>
      <c r="BN112" s="142"/>
      <c r="BT112" s="142"/>
      <c r="BZ112" s="142"/>
      <c r="CF112" s="142"/>
      <c r="CL112" s="142"/>
      <c r="CR112" s="142"/>
      <c r="CX112" s="142"/>
      <c r="DD112" s="142"/>
      <c r="DJ112" s="142"/>
      <c r="DP112" s="142"/>
      <c r="DV112" s="142"/>
      <c r="EB112" s="142"/>
      <c r="EH112" s="142"/>
      <c r="EN112" s="142"/>
      <c r="ET112" s="142"/>
      <c r="EZ112" s="142"/>
      <c r="FF112" s="142"/>
      <c r="FL112" s="142"/>
      <c r="FR112" s="142"/>
      <c r="FX112" s="142"/>
      <c r="GD112" s="142"/>
      <c r="GJ112" s="142"/>
      <c r="GP112" s="142"/>
      <c r="GV112" s="142"/>
      <c r="HB112" s="142"/>
      <c r="HH112" s="142"/>
      <c r="HN112" s="142"/>
      <c r="HT112" s="142"/>
      <c r="HZ112" s="142"/>
    </row>
    <row r="113">
      <c r="F113" s="142"/>
      <c r="L113" s="142"/>
      <c r="R113" s="142"/>
      <c r="X113" s="142"/>
      <c r="AD113" s="142"/>
      <c r="AJ113" s="142"/>
      <c r="AP113" s="142"/>
      <c r="AV113" s="142"/>
      <c r="BA113" s="142"/>
      <c r="BH113" s="142"/>
      <c r="BN113" s="142"/>
      <c r="BT113" s="142"/>
      <c r="BZ113" s="142"/>
      <c r="CF113" s="142"/>
      <c r="CL113" s="142"/>
      <c r="CR113" s="142"/>
      <c r="CX113" s="142"/>
      <c r="DD113" s="142"/>
      <c r="DJ113" s="142"/>
      <c r="DP113" s="142"/>
      <c r="DV113" s="142"/>
      <c r="EB113" s="142"/>
      <c r="EH113" s="142"/>
      <c r="EN113" s="142"/>
      <c r="ET113" s="142"/>
      <c r="EZ113" s="142"/>
      <c r="FF113" s="142"/>
      <c r="FL113" s="142"/>
      <c r="FR113" s="142"/>
      <c r="FX113" s="142"/>
      <c r="GD113" s="142"/>
      <c r="GJ113" s="142"/>
      <c r="GP113" s="142"/>
      <c r="GV113" s="142"/>
      <c r="HB113" s="142"/>
      <c r="HH113" s="142"/>
      <c r="HN113" s="142"/>
      <c r="HT113" s="142"/>
      <c r="HZ113" s="142"/>
    </row>
    <row r="114">
      <c r="F114" s="142"/>
      <c r="L114" s="142"/>
      <c r="R114" s="142"/>
      <c r="X114" s="142"/>
      <c r="AD114" s="142"/>
      <c r="AJ114" s="142"/>
      <c r="AP114" s="142"/>
      <c r="AV114" s="142"/>
      <c r="BA114" s="142"/>
      <c r="BH114" s="142"/>
      <c r="BN114" s="142"/>
      <c r="BT114" s="142"/>
      <c r="BZ114" s="142"/>
      <c r="CF114" s="142"/>
      <c r="CL114" s="142"/>
      <c r="CR114" s="142"/>
      <c r="CX114" s="142"/>
      <c r="DD114" s="142"/>
      <c r="DJ114" s="142"/>
      <c r="DP114" s="142"/>
      <c r="DV114" s="142"/>
      <c r="EB114" s="142"/>
      <c r="EH114" s="142"/>
      <c r="EN114" s="142"/>
      <c r="ET114" s="142"/>
      <c r="EZ114" s="142"/>
      <c r="FF114" s="142"/>
      <c r="FL114" s="142"/>
      <c r="FR114" s="142"/>
      <c r="FX114" s="142"/>
      <c r="GD114" s="142"/>
      <c r="GJ114" s="142"/>
      <c r="GP114" s="142"/>
      <c r="GV114" s="142"/>
      <c r="HB114" s="142"/>
      <c r="HH114" s="142"/>
      <c r="HN114" s="142"/>
      <c r="HT114" s="142"/>
      <c r="HZ114" s="142"/>
    </row>
    <row r="115">
      <c r="F115" s="142"/>
      <c r="L115" s="142"/>
      <c r="R115" s="142"/>
      <c r="X115" s="142"/>
      <c r="AD115" s="142"/>
      <c r="AJ115" s="142"/>
      <c r="AP115" s="142"/>
      <c r="AV115" s="142"/>
      <c r="BA115" s="142"/>
      <c r="BH115" s="142"/>
      <c r="BN115" s="142"/>
      <c r="BT115" s="142"/>
      <c r="BZ115" s="142"/>
      <c r="CF115" s="142"/>
      <c r="CL115" s="142"/>
      <c r="CR115" s="142"/>
      <c r="CX115" s="142"/>
      <c r="DD115" s="142"/>
      <c r="DJ115" s="142"/>
      <c r="DP115" s="142"/>
      <c r="DV115" s="142"/>
      <c r="EB115" s="142"/>
      <c r="EH115" s="142"/>
      <c r="EN115" s="142"/>
      <c r="ET115" s="142"/>
      <c r="EZ115" s="142"/>
      <c r="FF115" s="142"/>
      <c r="FL115" s="142"/>
      <c r="FR115" s="142"/>
      <c r="FX115" s="142"/>
      <c r="GD115" s="142"/>
      <c r="GJ115" s="142"/>
      <c r="GP115" s="142"/>
      <c r="GV115" s="142"/>
      <c r="HB115" s="142"/>
      <c r="HH115" s="142"/>
      <c r="HN115" s="142"/>
      <c r="HT115" s="142"/>
      <c r="HZ115" s="142"/>
    </row>
    <row r="116">
      <c r="F116" s="142"/>
      <c r="L116" s="142"/>
      <c r="R116" s="142"/>
      <c r="X116" s="142"/>
      <c r="AD116" s="142"/>
      <c r="AJ116" s="142"/>
      <c r="AP116" s="142"/>
      <c r="AV116" s="142"/>
      <c r="BA116" s="142"/>
      <c r="BH116" s="142"/>
      <c r="BN116" s="142"/>
      <c r="BT116" s="142"/>
      <c r="BZ116" s="142"/>
      <c r="CF116" s="142"/>
      <c r="CL116" s="142"/>
      <c r="CR116" s="142"/>
      <c r="CX116" s="142"/>
      <c r="DD116" s="142"/>
      <c r="DJ116" s="142"/>
      <c r="DP116" s="142"/>
      <c r="DV116" s="142"/>
      <c r="EB116" s="142"/>
      <c r="EH116" s="142"/>
      <c r="EN116" s="142"/>
      <c r="ET116" s="142"/>
      <c r="EZ116" s="142"/>
      <c r="FF116" s="142"/>
      <c r="FL116" s="142"/>
      <c r="FR116" s="142"/>
      <c r="FX116" s="142"/>
      <c r="GD116" s="142"/>
      <c r="GJ116" s="142"/>
      <c r="GP116" s="142"/>
      <c r="GV116" s="142"/>
      <c r="HB116" s="142"/>
      <c r="HH116" s="142"/>
      <c r="HN116" s="142"/>
      <c r="HT116" s="142"/>
      <c r="HZ116" s="142"/>
    </row>
    <row r="117">
      <c r="F117" s="142"/>
      <c r="L117" s="142"/>
      <c r="R117" s="142"/>
      <c r="X117" s="142"/>
      <c r="AD117" s="142"/>
      <c r="AJ117" s="142"/>
      <c r="AP117" s="142"/>
      <c r="AV117" s="142"/>
      <c r="BA117" s="142"/>
      <c r="BH117" s="142"/>
      <c r="BN117" s="142"/>
      <c r="BT117" s="142"/>
      <c r="BZ117" s="142"/>
      <c r="CF117" s="142"/>
      <c r="CL117" s="142"/>
      <c r="CR117" s="142"/>
      <c r="CX117" s="142"/>
      <c r="DD117" s="142"/>
      <c r="DJ117" s="142"/>
      <c r="DP117" s="142"/>
      <c r="DV117" s="142"/>
      <c r="EB117" s="142"/>
      <c r="EH117" s="142"/>
      <c r="EN117" s="142"/>
      <c r="ET117" s="142"/>
      <c r="EZ117" s="142"/>
      <c r="FF117" s="142"/>
      <c r="FL117" s="142"/>
      <c r="FR117" s="142"/>
      <c r="FX117" s="142"/>
      <c r="GD117" s="142"/>
      <c r="GJ117" s="142"/>
      <c r="GP117" s="142"/>
      <c r="GV117" s="142"/>
      <c r="HB117" s="142"/>
      <c r="HH117" s="142"/>
      <c r="HN117" s="142"/>
      <c r="HT117" s="142"/>
      <c r="HZ117" s="142"/>
    </row>
    <row r="118">
      <c r="F118" s="142"/>
      <c r="L118" s="142"/>
      <c r="R118" s="142"/>
      <c r="X118" s="142"/>
      <c r="AD118" s="142"/>
      <c r="AJ118" s="142"/>
      <c r="AP118" s="142"/>
      <c r="AV118" s="142"/>
      <c r="BA118" s="142"/>
      <c r="BH118" s="142"/>
      <c r="BN118" s="142"/>
      <c r="BT118" s="142"/>
      <c r="BZ118" s="142"/>
      <c r="CF118" s="142"/>
      <c r="CL118" s="142"/>
      <c r="CR118" s="142"/>
      <c r="CX118" s="142"/>
      <c r="DD118" s="142"/>
      <c r="DJ118" s="142"/>
      <c r="DP118" s="142"/>
      <c r="DV118" s="142"/>
      <c r="EB118" s="142"/>
      <c r="EH118" s="142"/>
      <c r="EN118" s="142"/>
      <c r="ET118" s="142"/>
      <c r="EZ118" s="142"/>
      <c r="FF118" s="142"/>
      <c r="FL118" s="142"/>
      <c r="FR118" s="142"/>
      <c r="FX118" s="142"/>
      <c r="GD118" s="142"/>
      <c r="GJ118" s="142"/>
      <c r="GP118" s="142"/>
      <c r="GV118" s="142"/>
      <c r="HB118" s="142"/>
      <c r="HH118" s="142"/>
      <c r="HN118" s="142"/>
      <c r="HT118" s="142"/>
      <c r="HZ118" s="142"/>
    </row>
    <row r="119">
      <c r="F119" s="142"/>
      <c r="L119" s="142"/>
      <c r="R119" s="142"/>
      <c r="X119" s="142"/>
      <c r="AD119" s="142"/>
      <c r="AJ119" s="142"/>
      <c r="AP119" s="142"/>
      <c r="AV119" s="142"/>
      <c r="BA119" s="142"/>
      <c r="BH119" s="142"/>
      <c r="BN119" s="142"/>
      <c r="BT119" s="142"/>
      <c r="BZ119" s="142"/>
      <c r="CF119" s="142"/>
      <c r="CL119" s="142"/>
      <c r="CR119" s="142"/>
      <c r="CX119" s="142"/>
      <c r="DD119" s="142"/>
      <c r="DJ119" s="142"/>
      <c r="DP119" s="142"/>
      <c r="DV119" s="142"/>
      <c r="EB119" s="142"/>
      <c r="EH119" s="142"/>
      <c r="EN119" s="142"/>
      <c r="ET119" s="142"/>
      <c r="EZ119" s="142"/>
      <c r="FF119" s="142"/>
      <c r="FL119" s="142"/>
      <c r="FR119" s="142"/>
      <c r="FX119" s="142"/>
      <c r="GD119" s="142"/>
      <c r="GJ119" s="142"/>
      <c r="GP119" s="142"/>
      <c r="GV119" s="142"/>
      <c r="HB119" s="142"/>
      <c r="HH119" s="142"/>
      <c r="HN119" s="142"/>
      <c r="HT119" s="142"/>
      <c r="HZ119" s="142"/>
    </row>
    <row r="120">
      <c r="F120" s="142"/>
      <c r="L120" s="142"/>
      <c r="R120" s="142"/>
      <c r="X120" s="142"/>
      <c r="AD120" s="142"/>
      <c r="AJ120" s="142"/>
      <c r="AP120" s="142"/>
      <c r="AV120" s="142"/>
      <c r="BA120" s="142"/>
      <c r="BH120" s="142"/>
      <c r="BN120" s="142"/>
      <c r="BT120" s="142"/>
      <c r="BZ120" s="142"/>
      <c r="CF120" s="142"/>
      <c r="CL120" s="142"/>
      <c r="CR120" s="142"/>
      <c r="CX120" s="142"/>
      <c r="DD120" s="142"/>
      <c r="DJ120" s="142"/>
      <c r="DP120" s="142"/>
      <c r="DV120" s="142"/>
      <c r="EB120" s="142"/>
      <c r="EH120" s="142"/>
      <c r="EN120" s="142"/>
      <c r="ET120" s="142"/>
      <c r="EZ120" s="142"/>
      <c r="FF120" s="142"/>
      <c r="FL120" s="142"/>
      <c r="FR120" s="142"/>
      <c r="FX120" s="142"/>
      <c r="GD120" s="142"/>
      <c r="GJ120" s="142"/>
      <c r="GP120" s="142"/>
      <c r="GV120" s="142"/>
      <c r="HB120" s="142"/>
      <c r="HH120" s="142"/>
      <c r="HN120" s="142"/>
      <c r="HT120" s="142"/>
      <c r="HZ120" s="142"/>
    </row>
    <row r="121">
      <c r="F121" s="142"/>
      <c r="L121" s="142"/>
      <c r="R121" s="142"/>
      <c r="X121" s="142"/>
      <c r="AD121" s="142"/>
      <c r="AJ121" s="142"/>
      <c r="AP121" s="142"/>
      <c r="AV121" s="142"/>
      <c r="BA121" s="142"/>
      <c r="BH121" s="142"/>
      <c r="BN121" s="142"/>
      <c r="BT121" s="142"/>
      <c r="BZ121" s="142"/>
      <c r="CF121" s="142"/>
      <c r="CL121" s="142"/>
      <c r="CR121" s="142"/>
      <c r="CX121" s="142"/>
      <c r="DD121" s="142"/>
      <c r="DJ121" s="142"/>
      <c r="DP121" s="142"/>
      <c r="DV121" s="142"/>
      <c r="EB121" s="142"/>
      <c r="EH121" s="142"/>
      <c r="EN121" s="142"/>
      <c r="ET121" s="142"/>
      <c r="EZ121" s="142"/>
      <c r="FF121" s="142"/>
      <c r="FL121" s="142"/>
      <c r="FR121" s="142"/>
      <c r="FX121" s="142"/>
      <c r="GD121" s="142"/>
      <c r="GJ121" s="142"/>
      <c r="GP121" s="142"/>
      <c r="GV121" s="142"/>
      <c r="HB121" s="142"/>
      <c r="HH121" s="142"/>
      <c r="HN121" s="142"/>
      <c r="HT121" s="142"/>
      <c r="HZ121" s="142"/>
    </row>
    <row r="122">
      <c r="F122" s="142"/>
      <c r="L122" s="142"/>
      <c r="R122" s="142"/>
      <c r="X122" s="142"/>
      <c r="AD122" s="142"/>
      <c r="AJ122" s="142"/>
      <c r="AP122" s="142"/>
      <c r="AV122" s="142"/>
      <c r="BA122" s="142"/>
      <c r="BH122" s="142"/>
      <c r="BN122" s="142"/>
      <c r="BT122" s="142"/>
      <c r="BZ122" s="142"/>
      <c r="CF122" s="142"/>
      <c r="CL122" s="142"/>
      <c r="CR122" s="142"/>
      <c r="CX122" s="142"/>
      <c r="DD122" s="142"/>
      <c r="DJ122" s="142"/>
      <c r="DP122" s="142"/>
      <c r="DV122" s="142"/>
      <c r="EB122" s="142"/>
      <c r="EH122" s="142"/>
      <c r="EN122" s="142"/>
      <c r="ET122" s="142"/>
      <c r="EZ122" s="142"/>
      <c r="FF122" s="142"/>
      <c r="FL122" s="142"/>
      <c r="FR122" s="142"/>
      <c r="FX122" s="142"/>
      <c r="GD122" s="142"/>
      <c r="GJ122" s="142"/>
      <c r="GP122" s="142"/>
      <c r="GV122" s="142"/>
      <c r="HB122" s="142"/>
      <c r="HH122" s="142"/>
      <c r="HN122" s="142"/>
      <c r="HT122" s="142"/>
      <c r="HZ122" s="142"/>
    </row>
    <row r="123">
      <c r="F123" s="142"/>
      <c r="L123" s="142"/>
      <c r="R123" s="142"/>
      <c r="X123" s="142"/>
      <c r="AD123" s="142"/>
      <c r="AJ123" s="142"/>
      <c r="AP123" s="142"/>
      <c r="AV123" s="142"/>
      <c r="BA123" s="142"/>
      <c r="BH123" s="142"/>
      <c r="BN123" s="142"/>
      <c r="BT123" s="142"/>
      <c r="BZ123" s="142"/>
      <c r="CF123" s="142"/>
      <c r="CL123" s="142"/>
      <c r="CR123" s="142"/>
      <c r="CX123" s="142"/>
      <c r="DD123" s="142"/>
      <c r="DJ123" s="142"/>
      <c r="DP123" s="142"/>
      <c r="DV123" s="142"/>
      <c r="EB123" s="142"/>
      <c r="EH123" s="142"/>
      <c r="EN123" s="142"/>
      <c r="ET123" s="142"/>
      <c r="EZ123" s="142"/>
      <c r="FF123" s="142"/>
      <c r="FL123" s="142"/>
      <c r="FR123" s="142"/>
      <c r="FX123" s="142"/>
      <c r="GD123" s="142"/>
      <c r="GJ123" s="142"/>
      <c r="GP123" s="142"/>
      <c r="GV123" s="142"/>
      <c r="HB123" s="142"/>
      <c r="HH123" s="142"/>
      <c r="HN123" s="142"/>
      <c r="HT123" s="142"/>
      <c r="HZ123" s="142"/>
    </row>
    <row r="124">
      <c r="F124" s="142"/>
      <c r="L124" s="142"/>
      <c r="R124" s="142"/>
      <c r="X124" s="142"/>
      <c r="AD124" s="142"/>
      <c r="AJ124" s="142"/>
      <c r="AP124" s="142"/>
      <c r="AV124" s="142"/>
      <c r="BA124" s="142"/>
      <c r="BH124" s="142"/>
      <c r="BN124" s="142"/>
      <c r="BT124" s="142"/>
      <c r="BZ124" s="142"/>
      <c r="CF124" s="142"/>
      <c r="CL124" s="142"/>
      <c r="CR124" s="142"/>
      <c r="CX124" s="142"/>
      <c r="DD124" s="142"/>
      <c r="DJ124" s="142"/>
      <c r="DP124" s="142"/>
      <c r="DV124" s="142"/>
      <c r="EB124" s="142"/>
      <c r="EH124" s="142"/>
      <c r="EN124" s="142"/>
      <c r="ET124" s="142"/>
      <c r="EZ124" s="142"/>
      <c r="FF124" s="142"/>
      <c r="FL124" s="142"/>
      <c r="FR124" s="142"/>
      <c r="FX124" s="142"/>
      <c r="GD124" s="142"/>
      <c r="GJ124" s="142"/>
      <c r="GP124" s="142"/>
      <c r="GV124" s="142"/>
      <c r="HB124" s="142"/>
      <c r="HH124" s="142"/>
      <c r="HN124" s="142"/>
      <c r="HT124" s="142"/>
      <c r="HZ124" s="142"/>
    </row>
    <row r="125">
      <c r="F125" s="142"/>
      <c r="L125" s="142"/>
      <c r="R125" s="142"/>
      <c r="X125" s="142"/>
      <c r="AD125" s="142"/>
      <c r="AJ125" s="142"/>
      <c r="AP125" s="142"/>
      <c r="AV125" s="142"/>
      <c r="BA125" s="142"/>
      <c r="BH125" s="142"/>
      <c r="BN125" s="142"/>
      <c r="BT125" s="142"/>
      <c r="BZ125" s="142"/>
      <c r="CF125" s="142"/>
      <c r="CL125" s="142"/>
      <c r="CR125" s="142"/>
      <c r="CX125" s="142"/>
      <c r="DD125" s="142"/>
      <c r="DJ125" s="142"/>
      <c r="DP125" s="142"/>
      <c r="DV125" s="142"/>
      <c r="EB125" s="142"/>
      <c r="EH125" s="142"/>
      <c r="EN125" s="142"/>
      <c r="ET125" s="142"/>
      <c r="EZ125" s="142"/>
      <c r="FF125" s="142"/>
      <c r="FL125" s="142"/>
      <c r="FR125" s="142"/>
      <c r="FX125" s="142"/>
      <c r="GD125" s="142"/>
      <c r="GJ125" s="142"/>
      <c r="GP125" s="142"/>
      <c r="GV125" s="142"/>
      <c r="HB125" s="142"/>
      <c r="HH125" s="142"/>
      <c r="HN125" s="142"/>
      <c r="HT125" s="142"/>
      <c r="HZ125" s="142"/>
    </row>
    <row r="126">
      <c r="F126" s="142"/>
      <c r="L126" s="142"/>
      <c r="R126" s="142"/>
      <c r="X126" s="142"/>
      <c r="AD126" s="142"/>
      <c r="AJ126" s="142"/>
      <c r="AP126" s="142"/>
      <c r="AV126" s="142"/>
      <c r="BA126" s="142"/>
      <c r="BH126" s="142"/>
      <c r="BN126" s="142"/>
      <c r="BT126" s="142"/>
      <c r="BZ126" s="142"/>
      <c r="CF126" s="142"/>
      <c r="CL126" s="142"/>
      <c r="CR126" s="142"/>
      <c r="CX126" s="142"/>
      <c r="DD126" s="142"/>
      <c r="DJ126" s="142"/>
      <c r="DP126" s="142"/>
      <c r="DV126" s="142"/>
      <c r="EB126" s="142"/>
      <c r="EH126" s="142"/>
      <c r="EN126" s="142"/>
      <c r="ET126" s="142"/>
      <c r="EZ126" s="142"/>
      <c r="FF126" s="142"/>
      <c r="FL126" s="142"/>
      <c r="FR126" s="142"/>
      <c r="FX126" s="142"/>
      <c r="GD126" s="142"/>
      <c r="GJ126" s="142"/>
      <c r="GP126" s="142"/>
      <c r="GV126" s="142"/>
      <c r="HB126" s="142"/>
      <c r="HH126" s="142"/>
      <c r="HN126" s="142"/>
      <c r="HT126" s="142"/>
      <c r="HZ126" s="142"/>
    </row>
    <row r="127">
      <c r="F127" s="142"/>
      <c r="L127" s="142"/>
      <c r="R127" s="142"/>
      <c r="X127" s="142"/>
      <c r="AD127" s="142"/>
      <c r="AJ127" s="142"/>
      <c r="AP127" s="142"/>
      <c r="AV127" s="142"/>
      <c r="BA127" s="142"/>
      <c r="BH127" s="142"/>
      <c r="BN127" s="142"/>
      <c r="BT127" s="142"/>
      <c r="BZ127" s="142"/>
      <c r="CF127" s="142"/>
      <c r="CL127" s="142"/>
      <c r="CR127" s="142"/>
      <c r="CX127" s="142"/>
      <c r="DD127" s="142"/>
      <c r="DJ127" s="142"/>
      <c r="DP127" s="142"/>
      <c r="DV127" s="142"/>
      <c r="EB127" s="142"/>
      <c r="EH127" s="142"/>
      <c r="EN127" s="142"/>
      <c r="ET127" s="142"/>
      <c r="EZ127" s="142"/>
      <c r="FF127" s="142"/>
      <c r="FL127" s="142"/>
      <c r="FR127" s="142"/>
      <c r="FX127" s="142"/>
      <c r="GD127" s="142"/>
      <c r="GJ127" s="142"/>
      <c r="GP127" s="142"/>
      <c r="GV127" s="142"/>
      <c r="HB127" s="142"/>
      <c r="HH127" s="142"/>
      <c r="HN127" s="142"/>
      <c r="HT127" s="142"/>
      <c r="HZ127" s="142"/>
    </row>
    <row r="128">
      <c r="F128" s="142"/>
      <c r="L128" s="142"/>
      <c r="R128" s="142"/>
      <c r="X128" s="142"/>
      <c r="AD128" s="142"/>
      <c r="AJ128" s="142"/>
      <c r="AP128" s="142"/>
      <c r="AV128" s="142"/>
      <c r="BA128" s="142"/>
      <c r="BH128" s="142"/>
      <c r="BN128" s="142"/>
      <c r="BT128" s="142"/>
      <c r="BZ128" s="142"/>
      <c r="CF128" s="142"/>
      <c r="CL128" s="142"/>
      <c r="CR128" s="142"/>
      <c r="CX128" s="142"/>
      <c r="DD128" s="142"/>
      <c r="DJ128" s="142"/>
      <c r="DP128" s="142"/>
      <c r="DV128" s="142"/>
      <c r="EB128" s="142"/>
      <c r="EH128" s="142"/>
      <c r="EN128" s="142"/>
      <c r="ET128" s="142"/>
      <c r="EZ128" s="142"/>
      <c r="FF128" s="142"/>
      <c r="FL128" s="142"/>
      <c r="FR128" s="142"/>
      <c r="FX128" s="142"/>
      <c r="GD128" s="142"/>
      <c r="GJ128" s="142"/>
      <c r="GP128" s="142"/>
      <c r="GV128" s="142"/>
      <c r="HB128" s="142"/>
      <c r="HH128" s="142"/>
      <c r="HN128" s="142"/>
      <c r="HT128" s="142"/>
      <c r="HZ128" s="142"/>
    </row>
    <row r="129">
      <c r="F129" s="142"/>
      <c r="L129" s="142"/>
      <c r="R129" s="142"/>
      <c r="X129" s="142"/>
      <c r="AD129" s="142"/>
      <c r="AJ129" s="142"/>
      <c r="AP129" s="142"/>
      <c r="AV129" s="142"/>
      <c r="BA129" s="142"/>
      <c r="BH129" s="142"/>
      <c r="BN129" s="142"/>
      <c r="BT129" s="142"/>
      <c r="BZ129" s="142"/>
      <c r="CF129" s="142"/>
      <c r="CL129" s="142"/>
      <c r="CR129" s="142"/>
      <c r="CX129" s="142"/>
      <c r="DD129" s="142"/>
      <c r="DJ129" s="142"/>
      <c r="DP129" s="142"/>
      <c r="DV129" s="142"/>
      <c r="EB129" s="142"/>
      <c r="EH129" s="142"/>
      <c r="EN129" s="142"/>
      <c r="ET129" s="142"/>
      <c r="EZ129" s="142"/>
      <c r="FF129" s="142"/>
      <c r="FL129" s="142"/>
      <c r="FR129" s="142"/>
      <c r="FX129" s="142"/>
      <c r="GD129" s="142"/>
      <c r="GJ129" s="142"/>
      <c r="GP129" s="142"/>
      <c r="GV129" s="142"/>
      <c r="HB129" s="142"/>
      <c r="HH129" s="142"/>
      <c r="HN129" s="142"/>
      <c r="HT129" s="142"/>
      <c r="HZ129" s="142"/>
    </row>
    <row r="130">
      <c r="F130" s="142"/>
      <c r="L130" s="142"/>
      <c r="R130" s="142"/>
      <c r="X130" s="142"/>
      <c r="AD130" s="142"/>
      <c r="AJ130" s="142"/>
      <c r="AP130" s="142"/>
      <c r="AV130" s="142"/>
      <c r="BA130" s="142"/>
      <c r="BH130" s="142"/>
      <c r="BN130" s="142"/>
      <c r="BT130" s="142"/>
      <c r="BZ130" s="142"/>
      <c r="CF130" s="142"/>
      <c r="CL130" s="142"/>
      <c r="CR130" s="142"/>
      <c r="CX130" s="142"/>
      <c r="DD130" s="142"/>
      <c r="DJ130" s="142"/>
      <c r="DP130" s="142"/>
      <c r="DV130" s="142"/>
      <c r="EB130" s="142"/>
      <c r="EH130" s="142"/>
      <c r="EN130" s="142"/>
      <c r="ET130" s="142"/>
      <c r="EZ130" s="142"/>
      <c r="FF130" s="142"/>
      <c r="FL130" s="142"/>
      <c r="FR130" s="142"/>
      <c r="FX130" s="142"/>
      <c r="GD130" s="142"/>
      <c r="GJ130" s="142"/>
      <c r="GP130" s="142"/>
      <c r="GV130" s="142"/>
      <c r="HB130" s="142"/>
      <c r="HH130" s="142"/>
      <c r="HN130" s="142"/>
      <c r="HT130" s="142"/>
      <c r="HZ130" s="142"/>
    </row>
    <row r="131">
      <c r="F131" s="142"/>
      <c r="L131" s="142"/>
      <c r="R131" s="142"/>
      <c r="X131" s="142"/>
      <c r="AD131" s="142"/>
      <c r="AJ131" s="142"/>
      <c r="AP131" s="142"/>
      <c r="AV131" s="142"/>
      <c r="BA131" s="142"/>
      <c r="BH131" s="142"/>
      <c r="BN131" s="142"/>
      <c r="BT131" s="142"/>
      <c r="BZ131" s="142"/>
      <c r="CF131" s="142"/>
      <c r="CL131" s="142"/>
      <c r="CR131" s="142"/>
      <c r="CX131" s="142"/>
      <c r="DD131" s="142"/>
      <c r="DJ131" s="142"/>
      <c r="DP131" s="142"/>
      <c r="DV131" s="142"/>
      <c r="EB131" s="142"/>
      <c r="EH131" s="142"/>
      <c r="EN131" s="142"/>
      <c r="ET131" s="142"/>
      <c r="EZ131" s="142"/>
      <c r="FF131" s="142"/>
      <c r="FL131" s="142"/>
      <c r="FR131" s="142"/>
      <c r="FX131" s="142"/>
      <c r="GD131" s="142"/>
      <c r="GJ131" s="142"/>
      <c r="GP131" s="142"/>
      <c r="GV131" s="142"/>
      <c r="HB131" s="142"/>
      <c r="HH131" s="142"/>
      <c r="HN131" s="142"/>
      <c r="HT131" s="142"/>
      <c r="HZ131" s="142"/>
    </row>
    <row r="132">
      <c r="F132" s="142"/>
      <c r="L132" s="142"/>
      <c r="R132" s="142"/>
      <c r="X132" s="142"/>
      <c r="AD132" s="142"/>
      <c r="AJ132" s="142"/>
      <c r="AP132" s="142"/>
      <c r="AV132" s="142"/>
      <c r="BA132" s="142"/>
      <c r="BH132" s="142"/>
      <c r="BN132" s="142"/>
      <c r="BT132" s="142"/>
      <c r="BZ132" s="142"/>
      <c r="CF132" s="142"/>
      <c r="CL132" s="142"/>
      <c r="CR132" s="142"/>
      <c r="CX132" s="142"/>
      <c r="DD132" s="142"/>
      <c r="DJ132" s="142"/>
      <c r="DP132" s="142"/>
      <c r="DV132" s="142"/>
      <c r="EB132" s="142"/>
      <c r="EH132" s="142"/>
      <c r="EN132" s="142"/>
      <c r="ET132" s="142"/>
      <c r="EZ132" s="142"/>
      <c r="FF132" s="142"/>
      <c r="FL132" s="142"/>
      <c r="FR132" s="142"/>
      <c r="FX132" s="142"/>
      <c r="GD132" s="142"/>
      <c r="GJ132" s="142"/>
      <c r="GP132" s="142"/>
      <c r="GV132" s="142"/>
      <c r="HB132" s="142"/>
      <c r="HH132" s="142"/>
      <c r="HN132" s="142"/>
      <c r="HT132" s="142"/>
      <c r="HZ132" s="142"/>
    </row>
    <row r="133">
      <c r="F133" s="142"/>
      <c r="L133" s="142"/>
      <c r="R133" s="142"/>
      <c r="X133" s="142"/>
      <c r="AD133" s="142"/>
      <c r="AJ133" s="142"/>
      <c r="AP133" s="142"/>
      <c r="AV133" s="142"/>
      <c r="BA133" s="142"/>
      <c r="BH133" s="142"/>
      <c r="BN133" s="142"/>
      <c r="BT133" s="142"/>
      <c r="BZ133" s="142"/>
      <c r="CF133" s="142"/>
      <c r="CL133" s="142"/>
      <c r="CR133" s="142"/>
      <c r="CX133" s="142"/>
      <c r="DD133" s="142"/>
      <c r="DJ133" s="142"/>
      <c r="DP133" s="142"/>
      <c r="DV133" s="142"/>
      <c r="EB133" s="142"/>
      <c r="EH133" s="142"/>
      <c r="EN133" s="142"/>
      <c r="ET133" s="142"/>
      <c r="EZ133" s="142"/>
      <c r="FF133" s="142"/>
      <c r="FL133" s="142"/>
      <c r="FR133" s="142"/>
      <c r="FX133" s="142"/>
      <c r="GD133" s="142"/>
      <c r="GJ133" s="142"/>
      <c r="GP133" s="142"/>
      <c r="GV133" s="142"/>
      <c r="HB133" s="142"/>
      <c r="HH133" s="142"/>
      <c r="HN133" s="142"/>
      <c r="HT133" s="142"/>
      <c r="HZ133" s="142"/>
    </row>
    <row r="134">
      <c r="F134" s="142"/>
      <c r="L134" s="142"/>
      <c r="R134" s="142"/>
      <c r="X134" s="142"/>
      <c r="AD134" s="142"/>
      <c r="AJ134" s="142"/>
      <c r="AP134" s="142"/>
      <c r="AV134" s="142"/>
      <c r="BA134" s="142"/>
      <c r="BH134" s="142"/>
      <c r="BN134" s="142"/>
      <c r="BT134" s="142"/>
      <c r="BZ134" s="142"/>
      <c r="CF134" s="142"/>
      <c r="CL134" s="142"/>
      <c r="CR134" s="142"/>
      <c r="CX134" s="142"/>
      <c r="DD134" s="142"/>
      <c r="DJ134" s="142"/>
      <c r="DP134" s="142"/>
      <c r="DV134" s="142"/>
      <c r="EB134" s="142"/>
      <c r="EH134" s="142"/>
      <c r="EN134" s="142"/>
      <c r="ET134" s="142"/>
      <c r="EZ134" s="142"/>
      <c r="FF134" s="142"/>
      <c r="FL134" s="142"/>
      <c r="FR134" s="142"/>
      <c r="FX134" s="142"/>
      <c r="GD134" s="142"/>
      <c r="GJ134" s="142"/>
      <c r="GP134" s="142"/>
      <c r="GV134" s="142"/>
      <c r="HB134" s="142"/>
      <c r="HH134" s="142"/>
      <c r="HN134" s="142"/>
      <c r="HT134" s="142"/>
      <c r="HZ134" s="142"/>
    </row>
    <row r="135">
      <c r="F135" s="142"/>
      <c r="L135" s="142"/>
      <c r="R135" s="142"/>
      <c r="X135" s="142"/>
      <c r="AD135" s="142"/>
      <c r="AJ135" s="142"/>
      <c r="AP135" s="142"/>
      <c r="AV135" s="142"/>
      <c r="BA135" s="142"/>
      <c r="BH135" s="142"/>
      <c r="BN135" s="142"/>
      <c r="BT135" s="142"/>
      <c r="BZ135" s="142"/>
      <c r="CF135" s="142"/>
      <c r="CL135" s="142"/>
      <c r="CR135" s="142"/>
      <c r="CX135" s="142"/>
      <c r="DD135" s="142"/>
      <c r="DJ135" s="142"/>
      <c r="DP135" s="142"/>
      <c r="DV135" s="142"/>
      <c r="EB135" s="142"/>
      <c r="EH135" s="142"/>
      <c r="EN135" s="142"/>
      <c r="ET135" s="142"/>
      <c r="EZ135" s="142"/>
      <c r="FF135" s="142"/>
      <c r="FL135" s="142"/>
      <c r="FR135" s="142"/>
      <c r="FX135" s="142"/>
      <c r="GD135" s="142"/>
      <c r="GJ135" s="142"/>
      <c r="GP135" s="142"/>
      <c r="GV135" s="142"/>
      <c r="HB135" s="142"/>
      <c r="HH135" s="142"/>
      <c r="HN135" s="142"/>
      <c r="HT135" s="142"/>
      <c r="HZ135" s="142"/>
    </row>
    <row r="136">
      <c r="F136" s="142"/>
      <c r="L136" s="142"/>
      <c r="R136" s="142"/>
      <c r="X136" s="142"/>
      <c r="AD136" s="142"/>
      <c r="AJ136" s="142"/>
      <c r="AP136" s="142"/>
      <c r="AV136" s="142"/>
      <c r="BA136" s="142"/>
      <c r="BH136" s="142"/>
      <c r="BN136" s="142"/>
      <c r="BT136" s="142"/>
      <c r="BZ136" s="142"/>
      <c r="CF136" s="142"/>
      <c r="CL136" s="142"/>
      <c r="CR136" s="142"/>
      <c r="CX136" s="142"/>
      <c r="DD136" s="142"/>
      <c r="DJ136" s="142"/>
      <c r="DP136" s="142"/>
      <c r="DV136" s="142"/>
      <c r="EB136" s="142"/>
      <c r="EH136" s="142"/>
      <c r="EN136" s="142"/>
      <c r="ET136" s="142"/>
      <c r="EZ136" s="142"/>
      <c r="FF136" s="142"/>
      <c r="FL136" s="142"/>
      <c r="FR136" s="142"/>
      <c r="FX136" s="142"/>
      <c r="GD136" s="142"/>
      <c r="GJ136" s="142"/>
      <c r="GP136" s="142"/>
      <c r="GV136" s="142"/>
      <c r="HB136" s="142"/>
      <c r="HH136" s="142"/>
      <c r="HN136" s="142"/>
      <c r="HT136" s="142"/>
      <c r="HZ136" s="142"/>
    </row>
    <row r="137">
      <c r="F137" s="142"/>
      <c r="L137" s="142"/>
      <c r="R137" s="142"/>
      <c r="X137" s="142"/>
      <c r="AD137" s="142"/>
      <c r="AJ137" s="142"/>
      <c r="AP137" s="142"/>
      <c r="AV137" s="142"/>
      <c r="BA137" s="142"/>
      <c r="BH137" s="142"/>
      <c r="BN137" s="142"/>
      <c r="BT137" s="142"/>
      <c r="BZ137" s="142"/>
      <c r="CF137" s="142"/>
      <c r="CL137" s="142"/>
      <c r="CR137" s="142"/>
      <c r="CX137" s="142"/>
      <c r="DD137" s="142"/>
      <c r="DJ137" s="142"/>
      <c r="DP137" s="142"/>
      <c r="DV137" s="142"/>
      <c r="EB137" s="142"/>
      <c r="EH137" s="142"/>
      <c r="EN137" s="142"/>
      <c r="ET137" s="142"/>
      <c r="EZ137" s="142"/>
      <c r="FF137" s="142"/>
      <c r="FL137" s="142"/>
      <c r="FR137" s="142"/>
      <c r="FX137" s="142"/>
      <c r="GD137" s="142"/>
      <c r="GJ137" s="142"/>
      <c r="GP137" s="142"/>
      <c r="GV137" s="142"/>
      <c r="HB137" s="142"/>
      <c r="HH137" s="142"/>
      <c r="HN137" s="142"/>
      <c r="HT137" s="142"/>
      <c r="HZ137" s="142"/>
    </row>
    <row r="138">
      <c r="F138" s="142"/>
      <c r="L138" s="142"/>
      <c r="R138" s="142"/>
      <c r="X138" s="142"/>
      <c r="AD138" s="142"/>
      <c r="AJ138" s="142"/>
      <c r="AP138" s="142"/>
      <c r="AV138" s="142"/>
      <c r="BA138" s="142"/>
      <c r="BH138" s="142"/>
      <c r="BN138" s="142"/>
      <c r="BT138" s="142"/>
      <c r="BZ138" s="142"/>
      <c r="CF138" s="142"/>
      <c r="CL138" s="142"/>
      <c r="CR138" s="142"/>
      <c r="CX138" s="142"/>
      <c r="DD138" s="142"/>
      <c r="DJ138" s="142"/>
      <c r="DP138" s="142"/>
      <c r="DV138" s="142"/>
      <c r="EB138" s="142"/>
      <c r="EH138" s="142"/>
      <c r="EN138" s="142"/>
      <c r="ET138" s="142"/>
      <c r="EZ138" s="142"/>
      <c r="FF138" s="142"/>
      <c r="FL138" s="142"/>
      <c r="FR138" s="142"/>
      <c r="FX138" s="142"/>
      <c r="GD138" s="142"/>
      <c r="GJ138" s="142"/>
      <c r="GP138" s="142"/>
      <c r="GV138" s="142"/>
      <c r="HB138" s="142"/>
      <c r="HH138" s="142"/>
      <c r="HN138" s="142"/>
      <c r="HT138" s="142"/>
      <c r="HZ138" s="142"/>
    </row>
    <row r="139">
      <c r="F139" s="142"/>
      <c r="L139" s="142"/>
      <c r="R139" s="142"/>
      <c r="X139" s="142"/>
      <c r="AD139" s="142"/>
      <c r="AJ139" s="142"/>
      <c r="AP139" s="142"/>
      <c r="AV139" s="142"/>
      <c r="BA139" s="142"/>
      <c r="BH139" s="142"/>
      <c r="BN139" s="142"/>
      <c r="BT139" s="142"/>
      <c r="BZ139" s="142"/>
      <c r="CF139" s="142"/>
      <c r="CL139" s="142"/>
      <c r="CR139" s="142"/>
      <c r="CX139" s="142"/>
      <c r="DD139" s="142"/>
      <c r="DJ139" s="142"/>
      <c r="DP139" s="142"/>
      <c r="DV139" s="142"/>
      <c r="EB139" s="142"/>
      <c r="EH139" s="142"/>
      <c r="EN139" s="142"/>
      <c r="ET139" s="142"/>
      <c r="EZ139" s="142"/>
      <c r="FF139" s="142"/>
      <c r="FL139" s="142"/>
      <c r="FR139" s="142"/>
      <c r="FX139" s="142"/>
      <c r="GD139" s="142"/>
      <c r="GJ139" s="142"/>
      <c r="GP139" s="142"/>
      <c r="GV139" s="142"/>
      <c r="HB139" s="142"/>
      <c r="HH139" s="142"/>
      <c r="HN139" s="142"/>
      <c r="HT139" s="142"/>
      <c r="HZ139" s="142"/>
    </row>
    <row r="140">
      <c r="F140" s="142"/>
      <c r="L140" s="142"/>
      <c r="R140" s="142"/>
      <c r="X140" s="142"/>
      <c r="AD140" s="142"/>
      <c r="AJ140" s="142"/>
      <c r="AP140" s="142"/>
      <c r="AV140" s="142"/>
      <c r="BA140" s="142"/>
      <c r="BH140" s="142"/>
      <c r="BN140" s="142"/>
      <c r="BT140" s="142"/>
      <c r="BZ140" s="142"/>
      <c r="CF140" s="142"/>
      <c r="CL140" s="142"/>
      <c r="CR140" s="142"/>
      <c r="CX140" s="142"/>
      <c r="DD140" s="142"/>
      <c r="DJ140" s="142"/>
      <c r="DP140" s="142"/>
      <c r="DV140" s="142"/>
      <c r="EB140" s="142"/>
      <c r="EH140" s="142"/>
      <c r="EN140" s="142"/>
      <c r="ET140" s="142"/>
      <c r="EZ140" s="142"/>
      <c r="FF140" s="142"/>
      <c r="FL140" s="142"/>
      <c r="FR140" s="142"/>
      <c r="FX140" s="142"/>
      <c r="GD140" s="142"/>
      <c r="GJ140" s="142"/>
      <c r="GP140" s="142"/>
      <c r="GV140" s="142"/>
      <c r="HB140" s="142"/>
      <c r="HH140" s="142"/>
      <c r="HN140" s="142"/>
      <c r="HT140" s="142"/>
      <c r="HZ140" s="142"/>
    </row>
    <row r="141">
      <c r="F141" s="142"/>
      <c r="L141" s="142"/>
      <c r="R141" s="142"/>
      <c r="X141" s="142"/>
      <c r="AD141" s="142"/>
      <c r="AJ141" s="142"/>
      <c r="AP141" s="142"/>
      <c r="AV141" s="142"/>
      <c r="BA141" s="142"/>
      <c r="BH141" s="142"/>
      <c r="BN141" s="142"/>
      <c r="BT141" s="142"/>
      <c r="BZ141" s="142"/>
      <c r="CF141" s="142"/>
      <c r="CL141" s="142"/>
      <c r="CR141" s="142"/>
      <c r="CX141" s="142"/>
      <c r="DD141" s="142"/>
      <c r="DJ141" s="142"/>
      <c r="DP141" s="142"/>
      <c r="DV141" s="142"/>
      <c r="EB141" s="142"/>
      <c r="EH141" s="142"/>
      <c r="EN141" s="142"/>
      <c r="ET141" s="142"/>
      <c r="EZ141" s="142"/>
      <c r="FF141" s="142"/>
      <c r="FL141" s="142"/>
      <c r="FR141" s="142"/>
      <c r="FX141" s="142"/>
      <c r="GD141" s="142"/>
      <c r="GJ141" s="142"/>
      <c r="GP141" s="142"/>
      <c r="GV141" s="142"/>
      <c r="HB141" s="142"/>
      <c r="HH141" s="142"/>
      <c r="HN141" s="142"/>
      <c r="HT141" s="142"/>
      <c r="HZ141" s="142"/>
    </row>
    <row r="142">
      <c r="F142" s="142"/>
      <c r="L142" s="142"/>
      <c r="R142" s="142"/>
      <c r="X142" s="142"/>
      <c r="AD142" s="142"/>
      <c r="AJ142" s="142"/>
      <c r="AP142" s="142"/>
      <c r="AV142" s="142"/>
      <c r="BA142" s="142"/>
      <c r="BH142" s="142"/>
      <c r="BN142" s="142"/>
      <c r="BT142" s="142"/>
      <c r="BZ142" s="142"/>
      <c r="CF142" s="142"/>
      <c r="CL142" s="142"/>
      <c r="CR142" s="142"/>
      <c r="CX142" s="142"/>
      <c r="DD142" s="142"/>
      <c r="DJ142" s="142"/>
      <c r="DP142" s="142"/>
      <c r="DV142" s="142"/>
      <c r="EB142" s="142"/>
      <c r="EH142" s="142"/>
      <c r="EN142" s="142"/>
      <c r="ET142" s="142"/>
      <c r="EZ142" s="142"/>
      <c r="FF142" s="142"/>
      <c r="FL142" s="142"/>
      <c r="FR142" s="142"/>
      <c r="FX142" s="142"/>
      <c r="GD142" s="142"/>
      <c r="GJ142" s="142"/>
      <c r="GP142" s="142"/>
      <c r="GV142" s="142"/>
      <c r="HB142" s="142"/>
      <c r="HH142" s="142"/>
      <c r="HN142" s="142"/>
      <c r="HT142" s="142"/>
      <c r="HZ142" s="142"/>
    </row>
    <row r="143">
      <c r="F143" s="142"/>
      <c r="L143" s="142"/>
      <c r="R143" s="142"/>
      <c r="X143" s="142"/>
      <c r="AD143" s="142"/>
      <c r="AJ143" s="142"/>
      <c r="AP143" s="142"/>
      <c r="AV143" s="142"/>
      <c r="BA143" s="142"/>
      <c r="BH143" s="142"/>
      <c r="BN143" s="142"/>
      <c r="BT143" s="142"/>
      <c r="BZ143" s="142"/>
      <c r="CF143" s="142"/>
      <c r="CL143" s="142"/>
      <c r="CR143" s="142"/>
      <c r="CX143" s="142"/>
      <c r="DD143" s="142"/>
      <c r="DJ143" s="142"/>
      <c r="DP143" s="142"/>
      <c r="DV143" s="142"/>
      <c r="EB143" s="142"/>
      <c r="EH143" s="142"/>
      <c r="EN143" s="142"/>
      <c r="ET143" s="142"/>
      <c r="EZ143" s="142"/>
      <c r="FF143" s="142"/>
      <c r="FL143" s="142"/>
      <c r="FR143" s="142"/>
      <c r="FX143" s="142"/>
      <c r="GD143" s="142"/>
      <c r="GJ143" s="142"/>
      <c r="GP143" s="142"/>
      <c r="GV143" s="142"/>
      <c r="HB143" s="142"/>
      <c r="HH143" s="142"/>
      <c r="HN143" s="142"/>
      <c r="HT143" s="142"/>
      <c r="HZ143" s="142"/>
    </row>
    <row r="144">
      <c r="F144" s="142"/>
      <c r="L144" s="142"/>
      <c r="R144" s="142"/>
      <c r="X144" s="142"/>
      <c r="AD144" s="142"/>
      <c r="AJ144" s="142"/>
      <c r="AP144" s="142"/>
      <c r="AV144" s="142"/>
      <c r="BA144" s="142"/>
      <c r="BH144" s="142"/>
      <c r="BN144" s="142"/>
      <c r="BT144" s="142"/>
      <c r="BZ144" s="142"/>
      <c r="CF144" s="142"/>
      <c r="CL144" s="142"/>
      <c r="CR144" s="142"/>
      <c r="CX144" s="142"/>
      <c r="DD144" s="142"/>
      <c r="DJ144" s="142"/>
      <c r="DP144" s="142"/>
      <c r="DV144" s="142"/>
      <c r="EB144" s="142"/>
      <c r="EH144" s="142"/>
      <c r="EN144" s="142"/>
      <c r="ET144" s="142"/>
      <c r="EZ144" s="142"/>
      <c r="FF144" s="142"/>
      <c r="FL144" s="142"/>
      <c r="FR144" s="142"/>
      <c r="FX144" s="142"/>
      <c r="GD144" s="142"/>
      <c r="GJ144" s="142"/>
      <c r="GP144" s="142"/>
      <c r="GV144" s="142"/>
      <c r="HB144" s="142"/>
      <c r="HH144" s="142"/>
      <c r="HN144" s="142"/>
      <c r="HT144" s="142"/>
      <c r="HZ144" s="142"/>
    </row>
    <row r="145">
      <c r="F145" s="142"/>
      <c r="L145" s="142"/>
      <c r="R145" s="142"/>
      <c r="X145" s="142"/>
      <c r="AD145" s="142"/>
      <c r="AJ145" s="142"/>
      <c r="AP145" s="142"/>
      <c r="AV145" s="142"/>
      <c r="BA145" s="142"/>
      <c r="BH145" s="142"/>
      <c r="BN145" s="142"/>
      <c r="BT145" s="142"/>
      <c r="BZ145" s="142"/>
      <c r="CF145" s="142"/>
      <c r="CL145" s="142"/>
      <c r="CR145" s="142"/>
      <c r="CX145" s="142"/>
      <c r="DD145" s="142"/>
      <c r="DJ145" s="142"/>
      <c r="DP145" s="142"/>
      <c r="DV145" s="142"/>
      <c r="EB145" s="142"/>
      <c r="EH145" s="142"/>
      <c r="EN145" s="142"/>
      <c r="ET145" s="142"/>
      <c r="EZ145" s="142"/>
      <c r="FF145" s="142"/>
      <c r="FL145" s="142"/>
      <c r="FR145" s="142"/>
      <c r="FX145" s="142"/>
      <c r="GD145" s="142"/>
      <c r="GJ145" s="142"/>
      <c r="GP145" s="142"/>
      <c r="GV145" s="142"/>
      <c r="HB145" s="142"/>
      <c r="HH145" s="142"/>
      <c r="HN145" s="142"/>
      <c r="HT145" s="142"/>
      <c r="HZ145" s="142"/>
    </row>
    <row r="146">
      <c r="F146" s="142"/>
      <c r="L146" s="142"/>
      <c r="R146" s="142"/>
      <c r="X146" s="142"/>
      <c r="AD146" s="142"/>
      <c r="AJ146" s="142"/>
      <c r="AP146" s="142"/>
      <c r="AV146" s="142"/>
      <c r="BA146" s="142"/>
      <c r="BH146" s="142"/>
      <c r="BN146" s="142"/>
      <c r="BT146" s="142"/>
      <c r="BZ146" s="142"/>
      <c r="CF146" s="142"/>
      <c r="CL146" s="142"/>
      <c r="CR146" s="142"/>
      <c r="CX146" s="142"/>
      <c r="DD146" s="142"/>
      <c r="DJ146" s="142"/>
      <c r="DP146" s="142"/>
      <c r="DV146" s="142"/>
      <c r="EB146" s="142"/>
      <c r="EH146" s="142"/>
      <c r="EN146" s="142"/>
      <c r="ET146" s="142"/>
      <c r="EZ146" s="142"/>
      <c r="FF146" s="142"/>
      <c r="FL146" s="142"/>
      <c r="FR146" s="142"/>
      <c r="FX146" s="142"/>
      <c r="GD146" s="142"/>
      <c r="GJ146" s="142"/>
      <c r="GP146" s="142"/>
      <c r="GV146" s="142"/>
      <c r="HB146" s="142"/>
      <c r="HH146" s="142"/>
      <c r="HN146" s="142"/>
      <c r="HT146" s="142"/>
      <c r="HZ146" s="142"/>
    </row>
    <row r="147">
      <c r="F147" s="142"/>
      <c r="L147" s="142"/>
      <c r="R147" s="142"/>
      <c r="X147" s="142"/>
      <c r="AD147" s="142"/>
      <c r="AJ147" s="142"/>
      <c r="AP147" s="142"/>
      <c r="AV147" s="142"/>
      <c r="BA147" s="142"/>
      <c r="BH147" s="142"/>
      <c r="BN147" s="142"/>
      <c r="BT147" s="142"/>
      <c r="BZ147" s="142"/>
      <c r="CF147" s="142"/>
      <c r="CL147" s="142"/>
      <c r="CR147" s="142"/>
      <c r="CX147" s="142"/>
      <c r="DD147" s="142"/>
      <c r="DJ147" s="142"/>
      <c r="DP147" s="142"/>
      <c r="DV147" s="142"/>
      <c r="EB147" s="142"/>
      <c r="EH147" s="142"/>
      <c r="EN147" s="142"/>
      <c r="ET147" s="142"/>
      <c r="EZ147" s="142"/>
      <c r="FF147" s="142"/>
      <c r="FL147" s="142"/>
      <c r="FR147" s="142"/>
      <c r="FX147" s="142"/>
      <c r="GD147" s="142"/>
      <c r="GJ147" s="142"/>
      <c r="GP147" s="142"/>
      <c r="GV147" s="142"/>
      <c r="HB147" s="142"/>
      <c r="HH147" s="142"/>
      <c r="HN147" s="142"/>
      <c r="HT147" s="142"/>
      <c r="HZ147" s="142"/>
    </row>
    <row r="148">
      <c r="F148" s="142"/>
      <c r="L148" s="142"/>
      <c r="R148" s="142"/>
      <c r="X148" s="142"/>
      <c r="AD148" s="142"/>
      <c r="AJ148" s="142"/>
      <c r="AP148" s="142"/>
      <c r="AV148" s="142"/>
      <c r="BA148" s="142"/>
      <c r="BH148" s="142"/>
      <c r="BN148" s="142"/>
      <c r="BT148" s="142"/>
      <c r="BZ148" s="142"/>
      <c r="CF148" s="142"/>
      <c r="CL148" s="142"/>
      <c r="CR148" s="142"/>
      <c r="CX148" s="142"/>
      <c r="DD148" s="142"/>
      <c r="DJ148" s="142"/>
      <c r="DP148" s="142"/>
      <c r="DV148" s="142"/>
      <c r="EB148" s="142"/>
      <c r="EH148" s="142"/>
      <c r="EN148" s="142"/>
      <c r="ET148" s="142"/>
      <c r="EZ148" s="142"/>
      <c r="FF148" s="142"/>
      <c r="FL148" s="142"/>
      <c r="FR148" s="142"/>
      <c r="FX148" s="142"/>
      <c r="GD148" s="142"/>
      <c r="GJ148" s="142"/>
      <c r="GP148" s="142"/>
      <c r="GV148" s="142"/>
      <c r="HB148" s="142"/>
      <c r="HH148" s="142"/>
      <c r="HN148" s="142"/>
      <c r="HT148" s="142"/>
      <c r="HZ148" s="142"/>
    </row>
    <row r="149">
      <c r="F149" s="142"/>
      <c r="L149" s="142"/>
      <c r="R149" s="142"/>
      <c r="X149" s="142"/>
      <c r="AD149" s="142"/>
      <c r="AJ149" s="142"/>
      <c r="AP149" s="142"/>
      <c r="AV149" s="142"/>
      <c r="BA149" s="142"/>
      <c r="BH149" s="142"/>
      <c r="BN149" s="142"/>
      <c r="BT149" s="142"/>
      <c r="BZ149" s="142"/>
      <c r="CF149" s="142"/>
      <c r="CL149" s="142"/>
      <c r="CR149" s="142"/>
      <c r="CX149" s="142"/>
      <c r="DD149" s="142"/>
      <c r="DJ149" s="142"/>
      <c r="DP149" s="142"/>
      <c r="DV149" s="142"/>
      <c r="EB149" s="142"/>
      <c r="EH149" s="142"/>
      <c r="EN149" s="142"/>
      <c r="ET149" s="142"/>
      <c r="EZ149" s="142"/>
      <c r="FF149" s="142"/>
      <c r="FL149" s="142"/>
      <c r="FR149" s="142"/>
      <c r="FX149" s="142"/>
      <c r="GD149" s="142"/>
      <c r="GJ149" s="142"/>
      <c r="GP149" s="142"/>
      <c r="GV149" s="142"/>
      <c r="HB149" s="142"/>
      <c r="HH149" s="142"/>
      <c r="HN149" s="142"/>
      <c r="HT149" s="142"/>
      <c r="HZ149" s="142"/>
    </row>
    <row r="150">
      <c r="F150" s="142"/>
      <c r="L150" s="142"/>
      <c r="R150" s="142"/>
      <c r="X150" s="142"/>
      <c r="AD150" s="142"/>
      <c r="AJ150" s="142"/>
      <c r="AP150" s="142"/>
      <c r="AV150" s="142"/>
      <c r="BA150" s="142"/>
      <c r="BH150" s="142"/>
      <c r="BN150" s="142"/>
      <c r="BT150" s="142"/>
      <c r="BZ150" s="142"/>
      <c r="CF150" s="142"/>
      <c r="CL150" s="142"/>
      <c r="CR150" s="142"/>
      <c r="CX150" s="142"/>
      <c r="DD150" s="142"/>
      <c r="DJ150" s="142"/>
      <c r="DP150" s="142"/>
      <c r="DV150" s="142"/>
      <c r="EB150" s="142"/>
      <c r="EH150" s="142"/>
      <c r="EN150" s="142"/>
      <c r="ET150" s="142"/>
      <c r="EZ150" s="142"/>
      <c r="FF150" s="142"/>
      <c r="FL150" s="142"/>
      <c r="FR150" s="142"/>
      <c r="FX150" s="142"/>
      <c r="GD150" s="142"/>
      <c r="GJ150" s="142"/>
      <c r="GP150" s="142"/>
      <c r="GV150" s="142"/>
      <c r="HB150" s="142"/>
      <c r="HH150" s="142"/>
      <c r="HN150" s="142"/>
      <c r="HT150" s="142"/>
      <c r="HZ150" s="142"/>
    </row>
    <row r="151">
      <c r="F151" s="142"/>
      <c r="L151" s="142"/>
      <c r="R151" s="142"/>
      <c r="X151" s="142"/>
      <c r="AD151" s="142"/>
      <c r="AJ151" s="142"/>
      <c r="AP151" s="142"/>
      <c r="AV151" s="142"/>
      <c r="BA151" s="142"/>
      <c r="BH151" s="142"/>
      <c r="BN151" s="142"/>
      <c r="BT151" s="142"/>
      <c r="BZ151" s="142"/>
      <c r="CF151" s="142"/>
      <c r="CL151" s="142"/>
      <c r="CR151" s="142"/>
      <c r="CX151" s="142"/>
      <c r="DD151" s="142"/>
      <c r="DJ151" s="142"/>
      <c r="DP151" s="142"/>
      <c r="DV151" s="142"/>
      <c r="EB151" s="142"/>
      <c r="EH151" s="142"/>
      <c r="EN151" s="142"/>
      <c r="ET151" s="142"/>
      <c r="EZ151" s="142"/>
      <c r="FF151" s="142"/>
      <c r="FL151" s="142"/>
      <c r="FR151" s="142"/>
      <c r="FX151" s="142"/>
      <c r="GD151" s="142"/>
      <c r="GJ151" s="142"/>
      <c r="GP151" s="142"/>
      <c r="GV151" s="142"/>
      <c r="HB151" s="142"/>
      <c r="HH151" s="142"/>
      <c r="HN151" s="142"/>
      <c r="HT151" s="142"/>
      <c r="HZ151" s="142"/>
    </row>
    <row r="152">
      <c r="F152" s="142"/>
      <c r="L152" s="142"/>
      <c r="R152" s="142"/>
      <c r="X152" s="142"/>
      <c r="AD152" s="142"/>
      <c r="AJ152" s="142"/>
      <c r="AP152" s="142"/>
      <c r="AV152" s="142"/>
      <c r="BA152" s="142"/>
      <c r="BH152" s="142"/>
      <c r="BN152" s="142"/>
      <c r="BT152" s="142"/>
      <c r="BZ152" s="142"/>
      <c r="CF152" s="142"/>
      <c r="CL152" s="142"/>
      <c r="CR152" s="142"/>
      <c r="CX152" s="142"/>
      <c r="DD152" s="142"/>
      <c r="DJ152" s="142"/>
      <c r="DP152" s="142"/>
      <c r="DV152" s="142"/>
      <c r="EB152" s="142"/>
      <c r="EH152" s="142"/>
      <c r="EN152" s="142"/>
      <c r="ET152" s="142"/>
      <c r="EZ152" s="142"/>
      <c r="FF152" s="142"/>
      <c r="FL152" s="142"/>
      <c r="FR152" s="142"/>
      <c r="FX152" s="142"/>
      <c r="GD152" s="142"/>
      <c r="GJ152" s="142"/>
      <c r="GP152" s="142"/>
      <c r="GV152" s="142"/>
      <c r="HB152" s="142"/>
      <c r="HH152" s="142"/>
      <c r="HN152" s="142"/>
      <c r="HT152" s="142"/>
      <c r="HZ152" s="142"/>
    </row>
    <row r="153">
      <c r="F153" s="142"/>
      <c r="L153" s="142"/>
      <c r="R153" s="142"/>
      <c r="X153" s="142"/>
      <c r="AD153" s="142"/>
      <c r="AJ153" s="142"/>
      <c r="AP153" s="142"/>
      <c r="AV153" s="142"/>
      <c r="BA153" s="142"/>
      <c r="BH153" s="142"/>
      <c r="BN153" s="142"/>
      <c r="BT153" s="142"/>
      <c r="BZ153" s="142"/>
      <c r="CF153" s="142"/>
      <c r="CL153" s="142"/>
      <c r="CR153" s="142"/>
      <c r="CX153" s="142"/>
      <c r="DD153" s="142"/>
      <c r="DJ153" s="142"/>
      <c r="DP153" s="142"/>
      <c r="DV153" s="142"/>
      <c r="EB153" s="142"/>
      <c r="EH153" s="142"/>
      <c r="EN153" s="142"/>
      <c r="ET153" s="142"/>
      <c r="EZ153" s="142"/>
      <c r="FF153" s="142"/>
      <c r="FL153" s="142"/>
      <c r="FR153" s="142"/>
      <c r="FX153" s="142"/>
      <c r="GD153" s="142"/>
      <c r="GJ153" s="142"/>
      <c r="GP153" s="142"/>
      <c r="GV153" s="142"/>
      <c r="HB153" s="142"/>
      <c r="HH153" s="142"/>
      <c r="HN153" s="142"/>
      <c r="HT153" s="142"/>
      <c r="HZ153" s="142"/>
    </row>
    <row r="154">
      <c r="F154" s="142"/>
      <c r="L154" s="142"/>
      <c r="R154" s="142"/>
      <c r="X154" s="142"/>
      <c r="AD154" s="142"/>
      <c r="AJ154" s="142"/>
      <c r="AP154" s="142"/>
      <c r="AV154" s="142"/>
      <c r="BA154" s="142"/>
      <c r="BH154" s="142"/>
      <c r="BN154" s="142"/>
      <c r="BT154" s="142"/>
      <c r="BZ154" s="142"/>
      <c r="CF154" s="142"/>
      <c r="CL154" s="142"/>
      <c r="CR154" s="142"/>
      <c r="CX154" s="142"/>
      <c r="DD154" s="142"/>
      <c r="DJ154" s="142"/>
      <c r="DP154" s="142"/>
      <c r="DV154" s="142"/>
      <c r="EB154" s="142"/>
      <c r="EH154" s="142"/>
      <c r="EN154" s="142"/>
      <c r="ET154" s="142"/>
      <c r="EZ154" s="142"/>
      <c r="FF154" s="142"/>
      <c r="FL154" s="142"/>
      <c r="FR154" s="142"/>
      <c r="FX154" s="142"/>
      <c r="GD154" s="142"/>
      <c r="GJ154" s="142"/>
      <c r="GP154" s="142"/>
      <c r="GV154" s="142"/>
      <c r="HB154" s="142"/>
      <c r="HH154" s="142"/>
      <c r="HN154" s="142"/>
      <c r="HT154" s="142"/>
      <c r="HZ154" s="142"/>
    </row>
    <row r="155">
      <c r="F155" s="142"/>
      <c r="L155" s="142"/>
      <c r="R155" s="142"/>
      <c r="X155" s="142"/>
      <c r="AD155" s="142"/>
      <c r="AJ155" s="142"/>
      <c r="AP155" s="142"/>
      <c r="AV155" s="142"/>
      <c r="BA155" s="142"/>
      <c r="BH155" s="142"/>
      <c r="BN155" s="142"/>
      <c r="BT155" s="142"/>
      <c r="BZ155" s="142"/>
      <c r="CF155" s="142"/>
      <c r="CL155" s="142"/>
      <c r="CR155" s="142"/>
      <c r="CX155" s="142"/>
      <c r="DD155" s="142"/>
      <c r="DJ155" s="142"/>
      <c r="DP155" s="142"/>
      <c r="DV155" s="142"/>
      <c r="EB155" s="142"/>
      <c r="EH155" s="142"/>
      <c r="EN155" s="142"/>
      <c r="ET155" s="142"/>
      <c r="EZ155" s="142"/>
      <c r="FF155" s="142"/>
      <c r="FL155" s="142"/>
      <c r="FR155" s="142"/>
      <c r="FX155" s="142"/>
      <c r="GD155" s="142"/>
      <c r="GJ155" s="142"/>
      <c r="GP155" s="142"/>
      <c r="GV155" s="142"/>
      <c r="HB155" s="142"/>
      <c r="HH155" s="142"/>
      <c r="HN155" s="142"/>
      <c r="HT155" s="142"/>
      <c r="HZ155" s="142"/>
    </row>
    <row r="156">
      <c r="F156" s="142"/>
      <c r="L156" s="142"/>
      <c r="R156" s="142"/>
      <c r="X156" s="142"/>
      <c r="AD156" s="142"/>
      <c r="AJ156" s="142"/>
      <c r="AP156" s="142"/>
      <c r="AV156" s="142"/>
      <c r="BA156" s="142"/>
      <c r="BH156" s="142"/>
      <c r="BN156" s="142"/>
      <c r="BT156" s="142"/>
      <c r="BZ156" s="142"/>
      <c r="CF156" s="142"/>
      <c r="CL156" s="142"/>
      <c r="CR156" s="142"/>
      <c r="CX156" s="142"/>
      <c r="DD156" s="142"/>
      <c r="DJ156" s="142"/>
      <c r="DP156" s="142"/>
      <c r="DV156" s="142"/>
      <c r="EB156" s="142"/>
      <c r="EH156" s="142"/>
      <c r="EN156" s="142"/>
      <c r="ET156" s="142"/>
      <c r="EZ156" s="142"/>
      <c r="FF156" s="142"/>
      <c r="FL156" s="142"/>
      <c r="FR156" s="142"/>
      <c r="FX156" s="142"/>
      <c r="GD156" s="142"/>
      <c r="GJ156" s="142"/>
      <c r="GP156" s="142"/>
      <c r="GV156" s="142"/>
      <c r="HB156" s="142"/>
      <c r="HH156" s="142"/>
      <c r="HN156" s="142"/>
      <c r="HT156" s="142"/>
      <c r="HZ156" s="142"/>
    </row>
    <row r="157">
      <c r="F157" s="142"/>
      <c r="L157" s="142"/>
      <c r="R157" s="142"/>
      <c r="X157" s="142"/>
      <c r="AD157" s="142"/>
      <c r="AJ157" s="142"/>
      <c r="AP157" s="142"/>
      <c r="AV157" s="142"/>
      <c r="BA157" s="142"/>
      <c r="BH157" s="142"/>
      <c r="BN157" s="142"/>
      <c r="BT157" s="142"/>
      <c r="BZ157" s="142"/>
      <c r="CF157" s="142"/>
      <c r="CL157" s="142"/>
      <c r="CR157" s="142"/>
      <c r="CX157" s="142"/>
      <c r="DD157" s="142"/>
      <c r="DJ157" s="142"/>
      <c r="DP157" s="142"/>
      <c r="DV157" s="142"/>
      <c r="EB157" s="142"/>
      <c r="EH157" s="142"/>
      <c r="EN157" s="142"/>
      <c r="ET157" s="142"/>
      <c r="EZ157" s="142"/>
      <c r="FF157" s="142"/>
      <c r="FL157" s="142"/>
      <c r="FR157" s="142"/>
      <c r="FX157" s="142"/>
      <c r="GD157" s="142"/>
      <c r="GJ157" s="142"/>
      <c r="GP157" s="142"/>
      <c r="GV157" s="142"/>
      <c r="HB157" s="142"/>
      <c r="HH157" s="142"/>
      <c r="HN157" s="142"/>
      <c r="HT157" s="142"/>
      <c r="HZ157" s="142"/>
    </row>
    <row r="158">
      <c r="F158" s="142"/>
      <c r="L158" s="142"/>
      <c r="R158" s="142"/>
      <c r="X158" s="142"/>
      <c r="AD158" s="142"/>
      <c r="AJ158" s="142"/>
      <c r="AP158" s="142"/>
      <c r="AV158" s="142"/>
      <c r="BA158" s="142"/>
      <c r="BH158" s="142"/>
      <c r="BN158" s="142"/>
      <c r="BT158" s="142"/>
      <c r="BZ158" s="142"/>
      <c r="CF158" s="142"/>
      <c r="CL158" s="142"/>
      <c r="CR158" s="142"/>
      <c r="CX158" s="142"/>
      <c r="DD158" s="142"/>
      <c r="DJ158" s="142"/>
      <c r="DP158" s="142"/>
      <c r="DV158" s="142"/>
      <c r="EB158" s="142"/>
      <c r="EH158" s="142"/>
      <c r="EN158" s="142"/>
      <c r="ET158" s="142"/>
      <c r="EZ158" s="142"/>
      <c r="FF158" s="142"/>
      <c r="FL158" s="142"/>
      <c r="FR158" s="142"/>
      <c r="FX158" s="142"/>
      <c r="GD158" s="142"/>
      <c r="GJ158" s="142"/>
      <c r="GP158" s="142"/>
      <c r="GV158" s="142"/>
      <c r="HB158" s="142"/>
      <c r="HH158" s="142"/>
      <c r="HN158" s="142"/>
      <c r="HT158" s="142"/>
      <c r="HZ158" s="142"/>
    </row>
    <row r="159">
      <c r="F159" s="142"/>
      <c r="L159" s="142"/>
      <c r="R159" s="142"/>
      <c r="X159" s="142"/>
      <c r="AD159" s="142"/>
      <c r="AJ159" s="142"/>
      <c r="AP159" s="142"/>
      <c r="AV159" s="142"/>
      <c r="BA159" s="142"/>
      <c r="BH159" s="142"/>
      <c r="BN159" s="142"/>
      <c r="BT159" s="142"/>
      <c r="BZ159" s="142"/>
      <c r="CF159" s="142"/>
      <c r="CL159" s="142"/>
      <c r="CR159" s="142"/>
      <c r="CX159" s="142"/>
      <c r="DD159" s="142"/>
      <c r="DJ159" s="142"/>
      <c r="DP159" s="142"/>
      <c r="DV159" s="142"/>
      <c r="EB159" s="142"/>
      <c r="EH159" s="142"/>
      <c r="EN159" s="142"/>
      <c r="ET159" s="142"/>
      <c r="EZ159" s="142"/>
      <c r="FF159" s="142"/>
      <c r="FL159" s="142"/>
      <c r="FR159" s="142"/>
      <c r="FX159" s="142"/>
      <c r="GD159" s="142"/>
      <c r="GJ159" s="142"/>
      <c r="GP159" s="142"/>
      <c r="GV159" s="142"/>
      <c r="HB159" s="142"/>
      <c r="HH159" s="142"/>
      <c r="HN159" s="142"/>
      <c r="HT159" s="142"/>
      <c r="HZ159" s="142"/>
    </row>
    <row r="160">
      <c r="F160" s="142"/>
      <c r="L160" s="142"/>
      <c r="R160" s="142"/>
      <c r="X160" s="142"/>
      <c r="AD160" s="142"/>
      <c r="AJ160" s="142"/>
      <c r="AP160" s="142"/>
      <c r="AV160" s="142"/>
      <c r="BA160" s="142"/>
      <c r="BH160" s="142"/>
      <c r="BN160" s="142"/>
      <c r="BT160" s="142"/>
      <c r="BZ160" s="142"/>
      <c r="CF160" s="142"/>
      <c r="CL160" s="142"/>
      <c r="CR160" s="142"/>
      <c r="CX160" s="142"/>
      <c r="DD160" s="142"/>
      <c r="DJ160" s="142"/>
      <c r="DP160" s="142"/>
      <c r="DV160" s="142"/>
      <c r="EB160" s="142"/>
      <c r="EH160" s="142"/>
      <c r="EN160" s="142"/>
      <c r="ET160" s="142"/>
      <c r="EZ160" s="142"/>
      <c r="FF160" s="142"/>
      <c r="FL160" s="142"/>
      <c r="FR160" s="142"/>
      <c r="FX160" s="142"/>
      <c r="GD160" s="142"/>
      <c r="GJ160" s="142"/>
      <c r="GP160" s="142"/>
      <c r="GV160" s="142"/>
      <c r="HB160" s="142"/>
      <c r="HH160" s="142"/>
      <c r="HN160" s="142"/>
      <c r="HT160" s="142"/>
      <c r="HZ160" s="142"/>
    </row>
    <row r="161">
      <c r="F161" s="142"/>
      <c r="L161" s="142"/>
      <c r="R161" s="142"/>
      <c r="X161" s="142"/>
      <c r="AD161" s="142"/>
      <c r="AJ161" s="142"/>
      <c r="AP161" s="142"/>
      <c r="AV161" s="142"/>
      <c r="BA161" s="142"/>
      <c r="BH161" s="142"/>
      <c r="BN161" s="142"/>
      <c r="BT161" s="142"/>
      <c r="BZ161" s="142"/>
      <c r="CF161" s="142"/>
      <c r="CL161" s="142"/>
      <c r="CR161" s="142"/>
      <c r="CX161" s="142"/>
      <c r="DD161" s="142"/>
      <c r="DJ161" s="142"/>
      <c r="DP161" s="142"/>
      <c r="DV161" s="142"/>
      <c r="EB161" s="142"/>
      <c r="EH161" s="142"/>
      <c r="EN161" s="142"/>
      <c r="ET161" s="142"/>
      <c r="EZ161" s="142"/>
      <c r="FF161" s="142"/>
      <c r="FL161" s="142"/>
      <c r="FR161" s="142"/>
      <c r="FX161" s="142"/>
      <c r="GD161" s="142"/>
      <c r="GJ161" s="142"/>
      <c r="GP161" s="142"/>
      <c r="GV161" s="142"/>
      <c r="HB161" s="142"/>
      <c r="HH161" s="142"/>
      <c r="HN161" s="142"/>
      <c r="HT161" s="142"/>
      <c r="HZ161" s="142"/>
    </row>
    <row r="162">
      <c r="F162" s="142"/>
      <c r="L162" s="142"/>
      <c r="R162" s="142"/>
      <c r="X162" s="142"/>
      <c r="AD162" s="142"/>
      <c r="AJ162" s="142"/>
      <c r="AP162" s="142"/>
      <c r="AV162" s="142"/>
      <c r="BA162" s="142"/>
      <c r="BH162" s="142"/>
      <c r="BN162" s="142"/>
      <c r="BT162" s="142"/>
      <c r="BZ162" s="142"/>
      <c r="CF162" s="142"/>
      <c r="CL162" s="142"/>
      <c r="CR162" s="142"/>
      <c r="CX162" s="142"/>
      <c r="DD162" s="142"/>
      <c r="DJ162" s="142"/>
      <c r="DP162" s="142"/>
      <c r="DV162" s="142"/>
      <c r="EB162" s="142"/>
      <c r="EH162" s="142"/>
      <c r="EN162" s="142"/>
      <c r="ET162" s="142"/>
      <c r="EZ162" s="142"/>
      <c r="FF162" s="142"/>
      <c r="FL162" s="142"/>
      <c r="FR162" s="142"/>
      <c r="FX162" s="142"/>
      <c r="GD162" s="142"/>
      <c r="GJ162" s="142"/>
      <c r="GP162" s="142"/>
      <c r="GV162" s="142"/>
      <c r="HB162" s="142"/>
      <c r="HH162" s="142"/>
      <c r="HN162" s="142"/>
      <c r="HT162" s="142"/>
      <c r="HZ162" s="142"/>
    </row>
    <row r="163">
      <c r="F163" s="142"/>
      <c r="L163" s="142"/>
      <c r="R163" s="142"/>
      <c r="X163" s="142"/>
      <c r="AD163" s="142"/>
      <c r="AJ163" s="142"/>
      <c r="AP163" s="142"/>
      <c r="AV163" s="142"/>
      <c r="BA163" s="142"/>
      <c r="BH163" s="142"/>
      <c r="BN163" s="142"/>
      <c r="BT163" s="142"/>
      <c r="BZ163" s="142"/>
      <c r="CF163" s="142"/>
      <c r="CL163" s="142"/>
      <c r="CR163" s="142"/>
      <c r="CX163" s="142"/>
      <c r="DD163" s="142"/>
      <c r="DJ163" s="142"/>
      <c r="DP163" s="142"/>
      <c r="DV163" s="142"/>
      <c r="EB163" s="142"/>
      <c r="EH163" s="142"/>
      <c r="EN163" s="142"/>
      <c r="ET163" s="142"/>
      <c r="EZ163" s="142"/>
      <c r="FF163" s="142"/>
      <c r="FL163" s="142"/>
      <c r="FR163" s="142"/>
      <c r="FX163" s="142"/>
      <c r="GD163" s="142"/>
      <c r="GJ163" s="142"/>
      <c r="GP163" s="142"/>
      <c r="GV163" s="142"/>
      <c r="HB163" s="142"/>
      <c r="HH163" s="142"/>
      <c r="HN163" s="142"/>
      <c r="HT163" s="142"/>
      <c r="HZ163" s="142"/>
    </row>
    <row r="164">
      <c r="F164" s="142"/>
      <c r="L164" s="142"/>
      <c r="R164" s="142"/>
      <c r="X164" s="142"/>
      <c r="AD164" s="142"/>
      <c r="AJ164" s="142"/>
      <c r="AP164" s="142"/>
      <c r="AV164" s="142"/>
      <c r="BA164" s="142"/>
      <c r="BH164" s="142"/>
      <c r="BN164" s="142"/>
      <c r="BT164" s="142"/>
      <c r="BZ164" s="142"/>
      <c r="CF164" s="142"/>
      <c r="CL164" s="142"/>
      <c r="CR164" s="142"/>
      <c r="CX164" s="142"/>
      <c r="DD164" s="142"/>
      <c r="DJ164" s="142"/>
      <c r="DP164" s="142"/>
      <c r="DV164" s="142"/>
      <c r="EB164" s="142"/>
      <c r="EH164" s="142"/>
      <c r="EN164" s="142"/>
      <c r="ET164" s="142"/>
      <c r="EZ164" s="142"/>
      <c r="FF164" s="142"/>
      <c r="FL164" s="142"/>
      <c r="FR164" s="142"/>
      <c r="FX164" s="142"/>
      <c r="GD164" s="142"/>
      <c r="GJ164" s="142"/>
      <c r="GP164" s="142"/>
      <c r="GV164" s="142"/>
      <c r="HB164" s="142"/>
      <c r="HH164" s="142"/>
      <c r="HN164" s="142"/>
      <c r="HT164" s="142"/>
      <c r="HZ164" s="142"/>
    </row>
    <row r="165">
      <c r="F165" s="142"/>
      <c r="L165" s="142"/>
      <c r="R165" s="142"/>
      <c r="X165" s="142"/>
      <c r="AD165" s="142"/>
      <c r="AJ165" s="142"/>
      <c r="AP165" s="142"/>
      <c r="AV165" s="142"/>
      <c r="BA165" s="142"/>
      <c r="BH165" s="142"/>
      <c r="BN165" s="142"/>
      <c r="BT165" s="142"/>
      <c r="BZ165" s="142"/>
      <c r="CF165" s="142"/>
      <c r="CL165" s="142"/>
      <c r="CR165" s="142"/>
      <c r="CX165" s="142"/>
      <c r="DD165" s="142"/>
      <c r="DJ165" s="142"/>
      <c r="DP165" s="142"/>
      <c r="DV165" s="142"/>
      <c r="EB165" s="142"/>
      <c r="EH165" s="142"/>
      <c r="EN165" s="142"/>
      <c r="ET165" s="142"/>
      <c r="EZ165" s="142"/>
      <c r="FF165" s="142"/>
      <c r="FL165" s="142"/>
      <c r="FR165" s="142"/>
      <c r="FX165" s="142"/>
      <c r="GD165" s="142"/>
      <c r="GJ165" s="142"/>
      <c r="GP165" s="142"/>
      <c r="GV165" s="142"/>
      <c r="HB165" s="142"/>
      <c r="HH165" s="142"/>
      <c r="HN165" s="142"/>
      <c r="HT165" s="142"/>
      <c r="HZ165" s="142"/>
    </row>
    <row r="166">
      <c r="F166" s="142"/>
      <c r="L166" s="142"/>
      <c r="R166" s="142"/>
      <c r="X166" s="142"/>
      <c r="AD166" s="142"/>
      <c r="AJ166" s="142"/>
      <c r="AP166" s="142"/>
      <c r="AV166" s="142"/>
      <c r="BA166" s="142"/>
      <c r="BH166" s="142"/>
      <c r="BN166" s="142"/>
      <c r="BT166" s="142"/>
      <c r="BZ166" s="142"/>
      <c r="CF166" s="142"/>
      <c r="CL166" s="142"/>
      <c r="CR166" s="142"/>
      <c r="CX166" s="142"/>
      <c r="DD166" s="142"/>
      <c r="DJ166" s="142"/>
      <c r="DP166" s="142"/>
      <c r="DV166" s="142"/>
      <c r="EB166" s="142"/>
      <c r="EH166" s="142"/>
      <c r="EN166" s="142"/>
      <c r="ET166" s="142"/>
      <c r="EZ166" s="142"/>
      <c r="FF166" s="142"/>
      <c r="FL166" s="142"/>
      <c r="FR166" s="142"/>
      <c r="FX166" s="142"/>
      <c r="GD166" s="142"/>
      <c r="GJ166" s="142"/>
      <c r="GP166" s="142"/>
      <c r="GV166" s="142"/>
      <c r="HB166" s="142"/>
      <c r="HH166" s="142"/>
      <c r="HN166" s="142"/>
      <c r="HT166" s="142"/>
      <c r="HZ166" s="142"/>
    </row>
    <row r="167">
      <c r="F167" s="142"/>
      <c r="L167" s="142"/>
      <c r="R167" s="142"/>
      <c r="X167" s="142"/>
      <c r="AD167" s="142"/>
      <c r="AJ167" s="142"/>
      <c r="AP167" s="142"/>
      <c r="AV167" s="142"/>
      <c r="BA167" s="142"/>
      <c r="BH167" s="142"/>
      <c r="BN167" s="142"/>
      <c r="BT167" s="142"/>
      <c r="BZ167" s="142"/>
      <c r="CF167" s="142"/>
      <c r="CL167" s="142"/>
      <c r="CR167" s="142"/>
      <c r="CX167" s="142"/>
      <c r="DD167" s="142"/>
      <c r="DJ167" s="142"/>
      <c r="DP167" s="142"/>
      <c r="DV167" s="142"/>
      <c r="EB167" s="142"/>
      <c r="EH167" s="142"/>
      <c r="EN167" s="142"/>
      <c r="ET167" s="142"/>
      <c r="EZ167" s="142"/>
      <c r="FF167" s="142"/>
      <c r="FL167" s="142"/>
      <c r="FR167" s="142"/>
      <c r="FX167" s="142"/>
      <c r="GD167" s="142"/>
      <c r="GJ167" s="142"/>
      <c r="GP167" s="142"/>
      <c r="GV167" s="142"/>
      <c r="HB167" s="142"/>
      <c r="HH167" s="142"/>
      <c r="HN167" s="142"/>
      <c r="HT167" s="142"/>
      <c r="HZ167" s="142"/>
    </row>
    <row r="168">
      <c r="F168" s="142"/>
      <c r="L168" s="142"/>
      <c r="R168" s="142"/>
      <c r="X168" s="142"/>
      <c r="AD168" s="142"/>
      <c r="AJ168" s="142"/>
      <c r="AP168" s="142"/>
      <c r="AV168" s="142"/>
      <c r="BA168" s="142"/>
      <c r="BH168" s="142"/>
      <c r="BN168" s="142"/>
      <c r="BT168" s="142"/>
      <c r="BZ168" s="142"/>
      <c r="CF168" s="142"/>
      <c r="CL168" s="142"/>
      <c r="CR168" s="142"/>
      <c r="CX168" s="142"/>
      <c r="DD168" s="142"/>
      <c r="DJ168" s="142"/>
      <c r="DP168" s="142"/>
      <c r="DV168" s="142"/>
      <c r="EB168" s="142"/>
      <c r="EH168" s="142"/>
      <c r="EN168" s="142"/>
      <c r="ET168" s="142"/>
      <c r="EZ168" s="142"/>
      <c r="FF168" s="142"/>
      <c r="FL168" s="142"/>
      <c r="FR168" s="142"/>
      <c r="FX168" s="142"/>
      <c r="GD168" s="142"/>
      <c r="GJ168" s="142"/>
      <c r="GP168" s="142"/>
      <c r="GV168" s="142"/>
      <c r="HB168" s="142"/>
      <c r="HH168" s="142"/>
      <c r="HN168" s="142"/>
      <c r="HT168" s="142"/>
      <c r="HZ168" s="142"/>
    </row>
    <row r="169">
      <c r="F169" s="142"/>
      <c r="L169" s="142"/>
      <c r="R169" s="142"/>
      <c r="X169" s="142"/>
      <c r="AD169" s="142"/>
      <c r="AJ169" s="142"/>
      <c r="AP169" s="142"/>
      <c r="AV169" s="142"/>
      <c r="BA169" s="142"/>
      <c r="BH169" s="142"/>
      <c r="BN169" s="142"/>
      <c r="BT169" s="142"/>
      <c r="BZ169" s="142"/>
      <c r="CF169" s="142"/>
      <c r="CL169" s="142"/>
      <c r="CR169" s="142"/>
      <c r="CX169" s="142"/>
      <c r="DD169" s="142"/>
      <c r="DJ169" s="142"/>
      <c r="DP169" s="142"/>
      <c r="DV169" s="142"/>
      <c r="EB169" s="142"/>
      <c r="EH169" s="142"/>
      <c r="EN169" s="142"/>
      <c r="ET169" s="142"/>
      <c r="EZ169" s="142"/>
      <c r="FF169" s="142"/>
      <c r="FL169" s="142"/>
      <c r="FR169" s="142"/>
      <c r="FX169" s="142"/>
      <c r="GD169" s="142"/>
      <c r="GJ169" s="142"/>
      <c r="GP169" s="142"/>
      <c r="GV169" s="142"/>
      <c r="HB169" s="142"/>
      <c r="HH169" s="142"/>
      <c r="HN169" s="142"/>
      <c r="HT169" s="142"/>
      <c r="HZ169" s="142"/>
    </row>
    <row r="170">
      <c r="F170" s="142"/>
      <c r="L170" s="142"/>
      <c r="R170" s="142"/>
      <c r="X170" s="142"/>
      <c r="AD170" s="142"/>
      <c r="AJ170" s="142"/>
      <c r="AP170" s="142"/>
      <c r="AV170" s="142"/>
      <c r="BA170" s="142"/>
      <c r="BH170" s="142"/>
      <c r="BN170" s="142"/>
      <c r="BT170" s="142"/>
      <c r="BZ170" s="142"/>
      <c r="CF170" s="142"/>
      <c r="CL170" s="142"/>
      <c r="CR170" s="142"/>
      <c r="CX170" s="142"/>
      <c r="DD170" s="142"/>
      <c r="DJ170" s="142"/>
      <c r="DP170" s="142"/>
      <c r="DV170" s="142"/>
      <c r="EB170" s="142"/>
      <c r="EH170" s="142"/>
      <c r="EN170" s="142"/>
      <c r="ET170" s="142"/>
      <c r="EZ170" s="142"/>
      <c r="FF170" s="142"/>
      <c r="FL170" s="142"/>
      <c r="FR170" s="142"/>
      <c r="FX170" s="142"/>
      <c r="GD170" s="142"/>
      <c r="GJ170" s="142"/>
      <c r="GP170" s="142"/>
      <c r="GV170" s="142"/>
      <c r="HB170" s="142"/>
      <c r="HH170" s="142"/>
      <c r="HN170" s="142"/>
      <c r="HT170" s="142"/>
      <c r="HZ170" s="142"/>
    </row>
    <row r="171">
      <c r="F171" s="142"/>
      <c r="L171" s="142"/>
      <c r="R171" s="142"/>
      <c r="X171" s="142"/>
      <c r="AD171" s="142"/>
      <c r="AJ171" s="142"/>
      <c r="AP171" s="142"/>
      <c r="AV171" s="142"/>
      <c r="BA171" s="142"/>
      <c r="BH171" s="142"/>
      <c r="BN171" s="142"/>
      <c r="BT171" s="142"/>
      <c r="BZ171" s="142"/>
      <c r="CF171" s="142"/>
      <c r="CL171" s="142"/>
      <c r="CR171" s="142"/>
      <c r="CX171" s="142"/>
      <c r="DD171" s="142"/>
      <c r="DJ171" s="142"/>
      <c r="DP171" s="142"/>
      <c r="DV171" s="142"/>
      <c r="EB171" s="142"/>
      <c r="EH171" s="142"/>
      <c r="EN171" s="142"/>
      <c r="ET171" s="142"/>
      <c r="EZ171" s="142"/>
      <c r="FF171" s="142"/>
      <c r="FL171" s="142"/>
      <c r="FR171" s="142"/>
      <c r="FX171" s="142"/>
      <c r="GD171" s="142"/>
      <c r="GJ171" s="142"/>
      <c r="GP171" s="142"/>
      <c r="GV171" s="142"/>
      <c r="HB171" s="142"/>
      <c r="HH171" s="142"/>
      <c r="HN171" s="142"/>
      <c r="HT171" s="142"/>
      <c r="HZ171" s="142"/>
    </row>
    <row r="172">
      <c r="F172" s="142"/>
      <c r="L172" s="142"/>
      <c r="R172" s="142"/>
      <c r="X172" s="142"/>
      <c r="AD172" s="142"/>
      <c r="AJ172" s="142"/>
      <c r="AP172" s="142"/>
      <c r="AV172" s="142"/>
      <c r="BA172" s="142"/>
      <c r="BH172" s="142"/>
      <c r="BN172" s="142"/>
      <c r="BT172" s="142"/>
      <c r="BZ172" s="142"/>
      <c r="CF172" s="142"/>
      <c r="CL172" s="142"/>
      <c r="CR172" s="142"/>
      <c r="CX172" s="142"/>
      <c r="DD172" s="142"/>
      <c r="DJ172" s="142"/>
      <c r="DP172" s="142"/>
      <c r="DV172" s="142"/>
      <c r="EB172" s="142"/>
      <c r="EH172" s="142"/>
      <c r="EN172" s="142"/>
      <c r="ET172" s="142"/>
      <c r="EZ172" s="142"/>
      <c r="FF172" s="142"/>
      <c r="FL172" s="142"/>
      <c r="FR172" s="142"/>
      <c r="FX172" s="142"/>
      <c r="GD172" s="142"/>
      <c r="GJ172" s="142"/>
      <c r="GP172" s="142"/>
      <c r="GV172" s="142"/>
      <c r="HB172" s="142"/>
      <c r="HH172" s="142"/>
      <c r="HN172" s="142"/>
      <c r="HT172" s="142"/>
      <c r="HZ172" s="142"/>
    </row>
    <row r="173">
      <c r="F173" s="142"/>
      <c r="L173" s="142"/>
      <c r="R173" s="142"/>
      <c r="X173" s="142"/>
      <c r="AD173" s="142"/>
      <c r="AJ173" s="142"/>
      <c r="AP173" s="142"/>
      <c r="AV173" s="142"/>
      <c r="BA173" s="142"/>
      <c r="BH173" s="142"/>
      <c r="BN173" s="142"/>
      <c r="BT173" s="142"/>
      <c r="BZ173" s="142"/>
      <c r="CF173" s="142"/>
      <c r="CL173" s="142"/>
      <c r="CR173" s="142"/>
      <c r="CX173" s="142"/>
      <c r="DD173" s="142"/>
      <c r="DJ173" s="142"/>
      <c r="DP173" s="142"/>
      <c r="DV173" s="142"/>
      <c r="EB173" s="142"/>
      <c r="EH173" s="142"/>
      <c r="EN173" s="142"/>
      <c r="ET173" s="142"/>
      <c r="EZ173" s="142"/>
      <c r="FF173" s="142"/>
      <c r="FL173" s="142"/>
      <c r="FR173" s="142"/>
      <c r="FX173" s="142"/>
      <c r="GD173" s="142"/>
      <c r="GJ173" s="142"/>
      <c r="GP173" s="142"/>
      <c r="GV173" s="142"/>
      <c r="HB173" s="142"/>
      <c r="HH173" s="142"/>
      <c r="HN173" s="142"/>
      <c r="HT173" s="142"/>
      <c r="HZ173" s="142"/>
    </row>
    <row r="174">
      <c r="F174" s="142"/>
      <c r="L174" s="142"/>
      <c r="R174" s="142"/>
      <c r="X174" s="142"/>
      <c r="AD174" s="142"/>
      <c r="AJ174" s="142"/>
      <c r="AP174" s="142"/>
      <c r="AV174" s="142"/>
      <c r="BA174" s="142"/>
      <c r="BH174" s="142"/>
      <c r="BN174" s="142"/>
      <c r="BT174" s="142"/>
      <c r="BZ174" s="142"/>
      <c r="CF174" s="142"/>
      <c r="CL174" s="142"/>
      <c r="CR174" s="142"/>
      <c r="CX174" s="142"/>
      <c r="DD174" s="142"/>
      <c r="DJ174" s="142"/>
      <c r="DP174" s="142"/>
      <c r="DV174" s="142"/>
      <c r="EB174" s="142"/>
      <c r="EH174" s="142"/>
      <c r="EN174" s="142"/>
      <c r="ET174" s="142"/>
      <c r="EZ174" s="142"/>
      <c r="FF174" s="142"/>
      <c r="FL174" s="142"/>
      <c r="FR174" s="142"/>
      <c r="FX174" s="142"/>
      <c r="GD174" s="142"/>
      <c r="GJ174" s="142"/>
      <c r="GP174" s="142"/>
      <c r="GV174" s="142"/>
      <c r="HB174" s="142"/>
      <c r="HH174" s="142"/>
      <c r="HN174" s="142"/>
      <c r="HT174" s="142"/>
      <c r="HZ174" s="142"/>
    </row>
    <row r="175">
      <c r="F175" s="142"/>
      <c r="L175" s="142"/>
      <c r="R175" s="142"/>
      <c r="X175" s="142"/>
      <c r="AD175" s="142"/>
      <c r="AJ175" s="142"/>
      <c r="AP175" s="142"/>
      <c r="AV175" s="142"/>
      <c r="BA175" s="142"/>
      <c r="BH175" s="142"/>
      <c r="BN175" s="142"/>
      <c r="BT175" s="142"/>
      <c r="BZ175" s="142"/>
      <c r="CF175" s="142"/>
      <c r="CL175" s="142"/>
      <c r="CR175" s="142"/>
      <c r="CX175" s="142"/>
      <c r="DD175" s="142"/>
      <c r="DJ175" s="142"/>
      <c r="DP175" s="142"/>
      <c r="DV175" s="142"/>
      <c r="EB175" s="142"/>
      <c r="EH175" s="142"/>
      <c r="EN175" s="142"/>
      <c r="ET175" s="142"/>
      <c r="EZ175" s="142"/>
      <c r="FF175" s="142"/>
      <c r="FL175" s="142"/>
      <c r="FR175" s="142"/>
      <c r="FX175" s="142"/>
      <c r="GD175" s="142"/>
      <c r="GJ175" s="142"/>
      <c r="GP175" s="142"/>
      <c r="GV175" s="142"/>
      <c r="HB175" s="142"/>
      <c r="HH175" s="142"/>
      <c r="HN175" s="142"/>
      <c r="HT175" s="142"/>
      <c r="HZ175" s="142"/>
    </row>
    <row r="176">
      <c r="F176" s="142"/>
      <c r="L176" s="142"/>
      <c r="R176" s="142"/>
      <c r="X176" s="142"/>
      <c r="AD176" s="142"/>
      <c r="AJ176" s="142"/>
      <c r="AP176" s="142"/>
      <c r="AV176" s="142"/>
      <c r="BA176" s="142"/>
      <c r="BH176" s="142"/>
      <c r="BN176" s="142"/>
      <c r="BT176" s="142"/>
      <c r="BZ176" s="142"/>
      <c r="CF176" s="142"/>
      <c r="CL176" s="142"/>
      <c r="CR176" s="142"/>
      <c r="CX176" s="142"/>
      <c r="DD176" s="142"/>
      <c r="DJ176" s="142"/>
      <c r="DP176" s="142"/>
      <c r="DV176" s="142"/>
      <c r="EB176" s="142"/>
      <c r="EH176" s="142"/>
      <c r="EN176" s="142"/>
      <c r="ET176" s="142"/>
      <c r="EZ176" s="142"/>
      <c r="FF176" s="142"/>
      <c r="FL176" s="142"/>
      <c r="FR176" s="142"/>
      <c r="FX176" s="142"/>
      <c r="GD176" s="142"/>
      <c r="GJ176" s="142"/>
      <c r="GP176" s="142"/>
      <c r="GV176" s="142"/>
      <c r="HB176" s="142"/>
      <c r="HH176" s="142"/>
      <c r="HN176" s="142"/>
      <c r="HT176" s="142"/>
      <c r="HZ176" s="142"/>
    </row>
    <row r="177">
      <c r="F177" s="142"/>
      <c r="L177" s="142"/>
      <c r="R177" s="142"/>
      <c r="X177" s="142"/>
      <c r="AD177" s="142"/>
      <c r="AJ177" s="142"/>
      <c r="AP177" s="142"/>
      <c r="AV177" s="142"/>
      <c r="BA177" s="142"/>
      <c r="BH177" s="142"/>
      <c r="BN177" s="142"/>
      <c r="BT177" s="142"/>
      <c r="BZ177" s="142"/>
      <c r="CF177" s="142"/>
      <c r="CL177" s="142"/>
      <c r="CR177" s="142"/>
      <c r="CX177" s="142"/>
      <c r="DD177" s="142"/>
      <c r="DJ177" s="142"/>
      <c r="DP177" s="142"/>
      <c r="DV177" s="142"/>
      <c r="EB177" s="142"/>
      <c r="EH177" s="142"/>
      <c r="EN177" s="142"/>
      <c r="ET177" s="142"/>
      <c r="EZ177" s="142"/>
      <c r="FF177" s="142"/>
      <c r="FL177" s="142"/>
      <c r="FR177" s="142"/>
      <c r="FX177" s="142"/>
      <c r="GD177" s="142"/>
      <c r="GJ177" s="142"/>
      <c r="GP177" s="142"/>
      <c r="GV177" s="142"/>
      <c r="HB177" s="142"/>
      <c r="HH177" s="142"/>
      <c r="HN177" s="142"/>
      <c r="HT177" s="142"/>
      <c r="HZ177" s="142"/>
    </row>
    <row r="178">
      <c r="F178" s="142"/>
      <c r="L178" s="142"/>
      <c r="R178" s="142"/>
      <c r="X178" s="142"/>
      <c r="AD178" s="142"/>
      <c r="AJ178" s="142"/>
      <c r="AP178" s="142"/>
      <c r="AV178" s="142"/>
      <c r="BA178" s="142"/>
      <c r="BH178" s="142"/>
      <c r="BN178" s="142"/>
      <c r="BT178" s="142"/>
      <c r="BZ178" s="142"/>
      <c r="CF178" s="142"/>
      <c r="CL178" s="142"/>
      <c r="CR178" s="142"/>
      <c r="CX178" s="142"/>
      <c r="DD178" s="142"/>
      <c r="DJ178" s="142"/>
      <c r="DP178" s="142"/>
      <c r="DV178" s="142"/>
      <c r="EB178" s="142"/>
      <c r="EH178" s="142"/>
      <c r="EN178" s="142"/>
      <c r="ET178" s="142"/>
      <c r="EZ178" s="142"/>
      <c r="FF178" s="142"/>
      <c r="FL178" s="142"/>
      <c r="FR178" s="142"/>
      <c r="FX178" s="142"/>
      <c r="GD178" s="142"/>
      <c r="GJ178" s="142"/>
      <c r="GP178" s="142"/>
      <c r="GV178" s="142"/>
      <c r="HB178" s="142"/>
      <c r="HH178" s="142"/>
      <c r="HN178" s="142"/>
      <c r="HT178" s="142"/>
      <c r="HZ178" s="142"/>
    </row>
    <row r="179">
      <c r="F179" s="142"/>
      <c r="L179" s="142"/>
      <c r="R179" s="142"/>
      <c r="X179" s="142"/>
      <c r="AD179" s="142"/>
      <c r="AJ179" s="142"/>
      <c r="AP179" s="142"/>
      <c r="AV179" s="142"/>
      <c r="BA179" s="142"/>
      <c r="BH179" s="142"/>
      <c r="BN179" s="142"/>
      <c r="BT179" s="142"/>
      <c r="BZ179" s="142"/>
      <c r="CF179" s="142"/>
      <c r="CL179" s="142"/>
      <c r="CR179" s="142"/>
      <c r="CX179" s="142"/>
      <c r="DD179" s="142"/>
      <c r="DJ179" s="142"/>
      <c r="DP179" s="142"/>
      <c r="DV179" s="142"/>
      <c r="EB179" s="142"/>
      <c r="EH179" s="142"/>
      <c r="EN179" s="142"/>
      <c r="ET179" s="142"/>
      <c r="EZ179" s="142"/>
      <c r="FF179" s="142"/>
      <c r="FL179" s="142"/>
      <c r="FR179" s="142"/>
      <c r="FX179" s="142"/>
      <c r="GD179" s="142"/>
      <c r="GJ179" s="142"/>
      <c r="GP179" s="142"/>
      <c r="GV179" s="142"/>
      <c r="HB179" s="142"/>
      <c r="HH179" s="142"/>
      <c r="HN179" s="142"/>
      <c r="HT179" s="142"/>
      <c r="HZ179" s="142"/>
    </row>
    <row r="180">
      <c r="F180" s="142"/>
      <c r="L180" s="142"/>
      <c r="R180" s="142"/>
      <c r="X180" s="142"/>
      <c r="AD180" s="142"/>
      <c r="AJ180" s="142"/>
      <c r="AP180" s="142"/>
      <c r="AV180" s="142"/>
      <c r="BA180" s="142"/>
      <c r="BH180" s="142"/>
      <c r="BN180" s="142"/>
      <c r="BT180" s="142"/>
      <c r="BZ180" s="142"/>
      <c r="CF180" s="142"/>
      <c r="CL180" s="142"/>
      <c r="CR180" s="142"/>
      <c r="CX180" s="142"/>
      <c r="DD180" s="142"/>
      <c r="DJ180" s="142"/>
      <c r="DP180" s="142"/>
      <c r="DV180" s="142"/>
      <c r="EB180" s="142"/>
      <c r="EH180" s="142"/>
      <c r="EN180" s="142"/>
      <c r="ET180" s="142"/>
      <c r="EZ180" s="142"/>
      <c r="FF180" s="142"/>
      <c r="FL180" s="142"/>
      <c r="FR180" s="142"/>
      <c r="FX180" s="142"/>
      <c r="GD180" s="142"/>
      <c r="GJ180" s="142"/>
      <c r="GP180" s="142"/>
      <c r="GV180" s="142"/>
      <c r="HB180" s="142"/>
      <c r="HH180" s="142"/>
      <c r="HN180" s="142"/>
      <c r="HT180" s="142"/>
      <c r="HZ180" s="142"/>
    </row>
    <row r="181">
      <c r="F181" s="142"/>
      <c r="L181" s="142"/>
      <c r="R181" s="142"/>
      <c r="X181" s="142"/>
      <c r="AD181" s="142"/>
      <c r="AJ181" s="142"/>
      <c r="AP181" s="142"/>
      <c r="AV181" s="142"/>
      <c r="BA181" s="142"/>
      <c r="BH181" s="142"/>
      <c r="BN181" s="142"/>
      <c r="BT181" s="142"/>
      <c r="BZ181" s="142"/>
      <c r="CF181" s="142"/>
      <c r="CL181" s="142"/>
      <c r="CR181" s="142"/>
      <c r="CX181" s="142"/>
      <c r="DD181" s="142"/>
      <c r="DJ181" s="142"/>
      <c r="DP181" s="142"/>
      <c r="DV181" s="142"/>
      <c r="EB181" s="142"/>
      <c r="EH181" s="142"/>
      <c r="EN181" s="142"/>
      <c r="ET181" s="142"/>
      <c r="EZ181" s="142"/>
      <c r="FF181" s="142"/>
      <c r="FL181" s="142"/>
      <c r="FR181" s="142"/>
      <c r="FX181" s="142"/>
      <c r="GD181" s="142"/>
      <c r="GJ181" s="142"/>
      <c r="GP181" s="142"/>
      <c r="GV181" s="142"/>
      <c r="HB181" s="142"/>
      <c r="HH181" s="142"/>
      <c r="HN181" s="142"/>
      <c r="HT181" s="142"/>
      <c r="HZ181" s="142"/>
    </row>
    <row r="182">
      <c r="F182" s="142"/>
      <c r="L182" s="142"/>
      <c r="R182" s="142"/>
      <c r="X182" s="142"/>
      <c r="AD182" s="142"/>
      <c r="AJ182" s="142"/>
      <c r="AP182" s="142"/>
      <c r="AV182" s="142"/>
      <c r="BA182" s="142"/>
      <c r="BH182" s="142"/>
      <c r="BN182" s="142"/>
      <c r="BT182" s="142"/>
      <c r="BZ182" s="142"/>
      <c r="CF182" s="142"/>
      <c r="CL182" s="142"/>
      <c r="CR182" s="142"/>
      <c r="CX182" s="142"/>
      <c r="DD182" s="142"/>
      <c r="DJ182" s="142"/>
      <c r="DP182" s="142"/>
      <c r="DV182" s="142"/>
      <c r="EB182" s="142"/>
      <c r="EH182" s="142"/>
      <c r="EN182" s="142"/>
      <c r="ET182" s="142"/>
      <c r="EZ182" s="142"/>
      <c r="FF182" s="142"/>
      <c r="FL182" s="142"/>
      <c r="FR182" s="142"/>
      <c r="FX182" s="142"/>
      <c r="GD182" s="142"/>
      <c r="GJ182" s="142"/>
      <c r="GP182" s="142"/>
      <c r="GV182" s="142"/>
      <c r="HB182" s="142"/>
      <c r="HH182" s="142"/>
      <c r="HN182" s="142"/>
      <c r="HT182" s="142"/>
      <c r="HZ182" s="142"/>
    </row>
    <row r="183">
      <c r="F183" s="142"/>
      <c r="L183" s="142"/>
      <c r="R183" s="142"/>
      <c r="X183" s="142"/>
      <c r="AD183" s="142"/>
      <c r="AJ183" s="142"/>
      <c r="AP183" s="142"/>
      <c r="AV183" s="142"/>
      <c r="BA183" s="142"/>
      <c r="BH183" s="142"/>
      <c r="BN183" s="142"/>
      <c r="BT183" s="142"/>
      <c r="BZ183" s="142"/>
      <c r="CF183" s="142"/>
      <c r="CL183" s="142"/>
      <c r="CR183" s="142"/>
      <c r="CX183" s="142"/>
      <c r="DD183" s="142"/>
      <c r="DJ183" s="142"/>
      <c r="DP183" s="142"/>
      <c r="DV183" s="142"/>
      <c r="EB183" s="142"/>
      <c r="EH183" s="142"/>
      <c r="EN183" s="142"/>
      <c r="ET183" s="142"/>
      <c r="EZ183" s="142"/>
      <c r="FF183" s="142"/>
      <c r="FL183" s="142"/>
      <c r="FR183" s="142"/>
      <c r="FX183" s="142"/>
      <c r="GD183" s="142"/>
      <c r="GJ183" s="142"/>
      <c r="GP183" s="142"/>
      <c r="GV183" s="142"/>
      <c r="HB183" s="142"/>
      <c r="HH183" s="142"/>
      <c r="HN183" s="142"/>
      <c r="HT183" s="142"/>
      <c r="HZ183" s="142"/>
    </row>
    <row r="184">
      <c r="F184" s="142"/>
      <c r="L184" s="142"/>
      <c r="R184" s="142"/>
      <c r="X184" s="142"/>
      <c r="AD184" s="142"/>
      <c r="AJ184" s="142"/>
      <c r="AP184" s="142"/>
      <c r="AV184" s="142"/>
      <c r="BA184" s="142"/>
      <c r="BH184" s="142"/>
      <c r="BN184" s="142"/>
      <c r="BT184" s="142"/>
      <c r="BZ184" s="142"/>
      <c r="CF184" s="142"/>
      <c r="CL184" s="142"/>
      <c r="CR184" s="142"/>
      <c r="CX184" s="142"/>
      <c r="DD184" s="142"/>
      <c r="DJ184" s="142"/>
      <c r="DP184" s="142"/>
      <c r="DV184" s="142"/>
      <c r="EB184" s="142"/>
      <c r="EH184" s="142"/>
      <c r="EN184" s="142"/>
      <c r="ET184" s="142"/>
      <c r="EZ184" s="142"/>
      <c r="FF184" s="142"/>
      <c r="FL184" s="142"/>
      <c r="FR184" s="142"/>
      <c r="FX184" s="142"/>
      <c r="GD184" s="142"/>
      <c r="GJ184" s="142"/>
      <c r="GP184" s="142"/>
      <c r="GV184" s="142"/>
      <c r="HB184" s="142"/>
      <c r="HH184" s="142"/>
      <c r="HN184" s="142"/>
      <c r="HT184" s="142"/>
      <c r="HZ184" s="142"/>
    </row>
    <row r="185">
      <c r="F185" s="142"/>
      <c r="L185" s="142"/>
      <c r="R185" s="142"/>
      <c r="X185" s="142"/>
      <c r="AD185" s="142"/>
      <c r="AJ185" s="142"/>
      <c r="AP185" s="142"/>
      <c r="AV185" s="142"/>
      <c r="BA185" s="142"/>
      <c r="BH185" s="142"/>
      <c r="BN185" s="142"/>
      <c r="BT185" s="142"/>
      <c r="BZ185" s="142"/>
      <c r="CF185" s="142"/>
      <c r="CL185" s="142"/>
      <c r="CR185" s="142"/>
      <c r="CX185" s="142"/>
      <c r="DD185" s="142"/>
      <c r="DJ185" s="142"/>
      <c r="DP185" s="142"/>
      <c r="DV185" s="142"/>
      <c r="EB185" s="142"/>
      <c r="EH185" s="142"/>
      <c r="EN185" s="142"/>
      <c r="ET185" s="142"/>
      <c r="EZ185" s="142"/>
      <c r="FF185" s="142"/>
      <c r="FL185" s="142"/>
      <c r="FR185" s="142"/>
      <c r="FX185" s="142"/>
      <c r="GD185" s="142"/>
      <c r="GJ185" s="142"/>
      <c r="GP185" s="142"/>
      <c r="GV185" s="142"/>
      <c r="HB185" s="142"/>
      <c r="HH185" s="142"/>
      <c r="HN185" s="142"/>
      <c r="HT185" s="142"/>
      <c r="HZ185" s="142"/>
    </row>
    <row r="186">
      <c r="F186" s="142"/>
      <c r="L186" s="142"/>
      <c r="R186" s="142"/>
      <c r="X186" s="142"/>
      <c r="AD186" s="142"/>
      <c r="AJ186" s="142"/>
      <c r="AP186" s="142"/>
      <c r="AV186" s="142"/>
      <c r="BA186" s="142"/>
      <c r="BH186" s="142"/>
      <c r="BN186" s="142"/>
      <c r="BT186" s="142"/>
      <c r="BZ186" s="142"/>
      <c r="CF186" s="142"/>
      <c r="CL186" s="142"/>
      <c r="CR186" s="142"/>
      <c r="CX186" s="142"/>
      <c r="DD186" s="142"/>
      <c r="DJ186" s="142"/>
      <c r="DP186" s="142"/>
      <c r="DV186" s="142"/>
      <c r="EB186" s="142"/>
      <c r="EH186" s="142"/>
      <c r="EN186" s="142"/>
      <c r="ET186" s="142"/>
      <c r="EZ186" s="142"/>
      <c r="FF186" s="142"/>
      <c r="FL186" s="142"/>
      <c r="FR186" s="142"/>
      <c r="FX186" s="142"/>
      <c r="GD186" s="142"/>
      <c r="GJ186" s="142"/>
      <c r="GP186" s="142"/>
      <c r="GV186" s="142"/>
      <c r="HB186" s="142"/>
      <c r="HH186" s="142"/>
      <c r="HN186" s="142"/>
      <c r="HT186" s="142"/>
      <c r="HZ186" s="142"/>
    </row>
    <row r="187">
      <c r="F187" s="142"/>
      <c r="L187" s="142"/>
      <c r="R187" s="142"/>
      <c r="X187" s="142"/>
      <c r="AD187" s="142"/>
      <c r="AJ187" s="142"/>
      <c r="AP187" s="142"/>
      <c r="AV187" s="142"/>
      <c r="BA187" s="142"/>
      <c r="BH187" s="142"/>
      <c r="BN187" s="142"/>
      <c r="BT187" s="142"/>
      <c r="BZ187" s="142"/>
      <c r="CF187" s="142"/>
      <c r="CL187" s="142"/>
      <c r="CR187" s="142"/>
      <c r="CX187" s="142"/>
      <c r="DD187" s="142"/>
      <c r="DJ187" s="142"/>
      <c r="DP187" s="142"/>
      <c r="DV187" s="142"/>
      <c r="EB187" s="142"/>
      <c r="EH187" s="142"/>
      <c r="EN187" s="142"/>
      <c r="ET187" s="142"/>
      <c r="EZ187" s="142"/>
      <c r="FF187" s="142"/>
      <c r="FL187" s="142"/>
      <c r="FR187" s="142"/>
      <c r="FX187" s="142"/>
      <c r="GD187" s="142"/>
      <c r="GJ187" s="142"/>
      <c r="GP187" s="142"/>
      <c r="GV187" s="142"/>
      <c r="HB187" s="142"/>
      <c r="HH187" s="142"/>
      <c r="HN187" s="142"/>
      <c r="HT187" s="142"/>
      <c r="HZ187" s="142"/>
    </row>
    <row r="188">
      <c r="F188" s="142"/>
      <c r="L188" s="142"/>
      <c r="R188" s="142"/>
      <c r="X188" s="142"/>
      <c r="AD188" s="142"/>
      <c r="AJ188" s="142"/>
      <c r="AP188" s="142"/>
      <c r="AV188" s="142"/>
      <c r="BA188" s="142"/>
      <c r="BH188" s="142"/>
      <c r="BN188" s="142"/>
      <c r="BT188" s="142"/>
      <c r="BZ188" s="142"/>
      <c r="CF188" s="142"/>
      <c r="CL188" s="142"/>
      <c r="CR188" s="142"/>
      <c r="CX188" s="142"/>
      <c r="DD188" s="142"/>
      <c r="DJ188" s="142"/>
      <c r="DP188" s="142"/>
      <c r="DV188" s="142"/>
      <c r="EB188" s="142"/>
      <c r="EH188" s="142"/>
      <c r="EN188" s="142"/>
      <c r="ET188" s="142"/>
      <c r="EZ188" s="142"/>
      <c r="FF188" s="142"/>
      <c r="FL188" s="142"/>
      <c r="FR188" s="142"/>
      <c r="FX188" s="142"/>
      <c r="GD188" s="142"/>
      <c r="GJ188" s="142"/>
      <c r="GP188" s="142"/>
      <c r="GV188" s="142"/>
      <c r="HB188" s="142"/>
      <c r="HH188" s="142"/>
      <c r="HN188" s="142"/>
      <c r="HT188" s="142"/>
      <c r="HZ188" s="142"/>
    </row>
    <row r="189">
      <c r="F189" s="142"/>
      <c r="L189" s="142"/>
      <c r="R189" s="142"/>
      <c r="X189" s="142"/>
      <c r="AD189" s="142"/>
      <c r="AJ189" s="142"/>
      <c r="AP189" s="142"/>
      <c r="AV189" s="142"/>
      <c r="BA189" s="142"/>
      <c r="BH189" s="142"/>
      <c r="BN189" s="142"/>
      <c r="BT189" s="142"/>
      <c r="BZ189" s="142"/>
      <c r="CF189" s="142"/>
      <c r="CL189" s="142"/>
      <c r="CR189" s="142"/>
      <c r="CX189" s="142"/>
      <c r="DD189" s="142"/>
      <c r="DJ189" s="142"/>
      <c r="DP189" s="142"/>
      <c r="DV189" s="142"/>
      <c r="EB189" s="142"/>
      <c r="EH189" s="142"/>
      <c r="EN189" s="142"/>
      <c r="ET189" s="142"/>
      <c r="EZ189" s="142"/>
      <c r="FF189" s="142"/>
      <c r="FL189" s="142"/>
      <c r="FR189" s="142"/>
      <c r="FX189" s="142"/>
      <c r="GD189" s="142"/>
      <c r="GJ189" s="142"/>
      <c r="GP189" s="142"/>
      <c r="GV189" s="142"/>
      <c r="HB189" s="142"/>
      <c r="HH189" s="142"/>
      <c r="HN189" s="142"/>
      <c r="HT189" s="142"/>
      <c r="HZ189" s="142"/>
    </row>
    <row r="190">
      <c r="F190" s="142"/>
      <c r="L190" s="142"/>
      <c r="R190" s="142"/>
      <c r="X190" s="142"/>
      <c r="AD190" s="142"/>
      <c r="AJ190" s="142"/>
      <c r="AP190" s="142"/>
      <c r="AV190" s="142"/>
      <c r="BA190" s="142"/>
      <c r="BH190" s="142"/>
      <c r="BN190" s="142"/>
      <c r="BT190" s="142"/>
      <c r="BZ190" s="142"/>
      <c r="CF190" s="142"/>
      <c r="CL190" s="142"/>
      <c r="CR190" s="142"/>
      <c r="CX190" s="142"/>
      <c r="DD190" s="142"/>
      <c r="DJ190" s="142"/>
      <c r="DP190" s="142"/>
      <c r="DV190" s="142"/>
      <c r="EB190" s="142"/>
      <c r="EH190" s="142"/>
      <c r="EN190" s="142"/>
      <c r="ET190" s="142"/>
      <c r="EZ190" s="142"/>
      <c r="FF190" s="142"/>
      <c r="FL190" s="142"/>
      <c r="FR190" s="142"/>
      <c r="FX190" s="142"/>
      <c r="GD190" s="142"/>
      <c r="GJ190" s="142"/>
      <c r="GP190" s="142"/>
      <c r="GV190" s="142"/>
      <c r="HB190" s="142"/>
      <c r="HH190" s="142"/>
      <c r="HN190" s="142"/>
      <c r="HT190" s="142"/>
      <c r="HZ190" s="142"/>
    </row>
    <row r="191">
      <c r="F191" s="142"/>
      <c r="L191" s="142"/>
      <c r="R191" s="142"/>
      <c r="X191" s="142"/>
      <c r="AD191" s="142"/>
      <c r="AJ191" s="142"/>
      <c r="AP191" s="142"/>
      <c r="AV191" s="142"/>
      <c r="BA191" s="142"/>
      <c r="BH191" s="142"/>
      <c r="BN191" s="142"/>
      <c r="BT191" s="142"/>
      <c r="BZ191" s="142"/>
      <c r="CF191" s="142"/>
      <c r="CL191" s="142"/>
      <c r="CR191" s="142"/>
      <c r="CX191" s="142"/>
      <c r="DD191" s="142"/>
      <c r="DJ191" s="142"/>
      <c r="DP191" s="142"/>
      <c r="DV191" s="142"/>
      <c r="EB191" s="142"/>
      <c r="EH191" s="142"/>
      <c r="EN191" s="142"/>
      <c r="ET191" s="142"/>
      <c r="EZ191" s="142"/>
      <c r="FF191" s="142"/>
      <c r="FL191" s="142"/>
      <c r="FR191" s="142"/>
      <c r="FX191" s="142"/>
      <c r="GD191" s="142"/>
      <c r="GJ191" s="142"/>
      <c r="GP191" s="142"/>
      <c r="GV191" s="142"/>
      <c r="HB191" s="142"/>
      <c r="HH191" s="142"/>
      <c r="HN191" s="142"/>
      <c r="HT191" s="142"/>
      <c r="HZ191" s="142"/>
    </row>
    <row r="192">
      <c r="F192" s="142"/>
      <c r="L192" s="142"/>
      <c r="R192" s="142"/>
      <c r="X192" s="142"/>
      <c r="AD192" s="142"/>
      <c r="AJ192" s="142"/>
      <c r="AP192" s="142"/>
      <c r="AV192" s="142"/>
      <c r="BA192" s="142"/>
      <c r="BH192" s="142"/>
      <c r="BN192" s="142"/>
      <c r="BT192" s="142"/>
      <c r="BZ192" s="142"/>
      <c r="CF192" s="142"/>
      <c r="CL192" s="142"/>
      <c r="CR192" s="142"/>
      <c r="CX192" s="142"/>
      <c r="DD192" s="142"/>
      <c r="DJ192" s="142"/>
      <c r="DP192" s="142"/>
      <c r="DV192" s="142"/>
      <c r="EB192" s="142"/>
      <c r="EH192" s="142"/>
      <c r="EN192" s="142"/>
      <c r="ET192" s="142"/>
      <c r="EZ192" s="142"/>
      <c r="FF192" s="142"/>
      <c r="FL192" s="142"/>
      <c r="FR192" s="142"/>
      <c r="FX192" s="142"/>
      <c r="GD192" s="142"/>
      <c r="GJ192" s="142"/>
      <c r="GP192" s="142"/>
      <c r="GV192" s="142"/>
      <c r="HB192" s="142"/>
      <c r="HH192" s="142"/>
      <c r="HN192" s="142"/>
      <c r="HT192" s="142"/>
      <c r="HZ192" s="142"/>
    </row>
    <row r="193">
      <c r="F193" s="142"/>
      <c r="L193" s="142"/>
      <c r="R193" s="142"/>
      <c r="X193" s="142"/>
      <c r="AD193" s="142"/>
      <c r="AJ193" s="142"/>
      <c r="AP193" s="142"/>
      <c r="AV193" s="142"/>
      <c r="BA193" s="142"/>
      <c r="BH193" s="142"/>
      <c r="BN193" s="142"/>
      <c r="BT193" s="142"/>
      <c r="BZ193" s="142"/>
      <c r="CF193" s="142"/>
      <c r="CL193" s="142"/>
      <c r="CR193" s="142"/>
      <c r="CX193" s="142"/>
      <c r="DD193" s="142"/>
      <c r="DJ193" s="142"/>
      <c r="DP193" s="142"/>
      <c r="DV193" s="142"/>
      <c r="EB193" s="142"/>
      <c r="EH193" s="142"/>
      <c r="EN193" s="142"/>
      <c r="ET193" s="142"/>
      <c r="EZ193" s="142"/>
      <c r="FF193" s="142"/>
      <c r="FL193" s="142"/>
      <c r="FR193" s="142"/>
      <c r="FX193" s="142"/>
      <c r="GD193" s="142"/>
      <c r="GJ193" s="142"/>
      <c r="GP193" s="142"/>
      <c r="GV193" s="142"/>
      <c r="HB193" s="142"/>
      <c r="HH193" s="142"/>
      <c r="HN193" s="142"/>
      <c r="HT193" s="142"/>
      <c r="HZ193" s="142"/>
    </row>
    <row r="194">
      <c r="F194" s="142"/>
      <c r="L194" s="142"/>
      <c r="R194" s="142"/>
      <c r="X194" s="142"/>
      <c r="AD194" s="142"/>
      <c r="AJ194" s="142"/>
      <c r="AP194" s="142"/>
      <c r="AV194" s="142"/>
      <c r="BA194" s="142"/>
      <c r="BH194" s="142"/>
      <c r="BN194" s="142"/>
      <c r="BT194" s="142"/>
      <c r="BZ194" s="142"/>
      <c r="CF194" s="142"/>
      <c r="CL194" s="142"/>
      <c r="CR194" s="142"/>
      <c r="CX194" s="142"/>
      <c r="DD194" s="142"/>
      <c r="DJ194" s="142"/>
      <c r="DP194" s="142"/>
      <c r="DV194" s="142"/>
      <c r="EB194" s="142"/>
      <c r="EH194" s="142"/>
      <c r="EN194" s="142"/>
      <c r="ET194" s="142"/>
      <c r="EZ194" s="142"/>
      <c r="FF194" s="142"/>
      <c r="FL194" s="142"/>
      <c r="FR194" s="142"/>
      <c r="FX194" s="142"/>
      <c r="GD194" s="142"/>
      <c r="GJ194" s="142"/>
      <c r="GP194" s="142"/>
      <c r="GV194" s="142"/>
      <c r="HB194" s="142"/>
      <c r="HH194" s="142"/>
      <c r="HN194" s="142"/>
      <c r="HT194" s="142"/>
      <c r="HZ194" s="142"/>
    </row>
    <row r="195">
      <c r="F195" s="142"/>
      <c r="L195" s="142"/>
      <c r="R195" s="142"/>
      <c r="X195" s="142"/>
      <c r="AD195" s="142"/>
      <c r="AJ195" s="142"/>
      <c r="AP195" s="142"/>
      <c r="AV195" s="142"/>
      <c r="BA195" s="142"/>
      <c r="BH195" s="142"/>
      <c r="BN195" s="142"/>
      <c r="BT195" s="142"/>
      <c r="BZ195" s="142"/>
      <c r="CF195" s="142"/>
      <c r="CL195" s="142"/>
      <c r="CR195" s="142"/>
      <c r="CX195" s="142"/>
      <c r="DD195" s="142"/>
      <c r="DJ195" s="142"/>
      <c r="DP195" s="142"/>
      <c r="DV195" s="142"/>
      <c r="EB195" s="142"/>
      <c r="EH195" s="142"/>
      <c r="EN195" s="142"/>
      <c r="ET195" s="142"/>
      <c r="EZ195" s="142"/>
      <c r="FF195" s="142"/>
      <c r="FL195" s="142"/>
      <c r="FR195" s="142"/>
      <c r="FX195" s="142"/>
      <c r="GD195" s="142"/>
      <c r="GJ195" s="142"/>
      <c r="GP195" s="142"/>
      <c r="GV195" s="142"/>
      <c r="HB195" s="142"/>
      <c r="HH195" s="142"/>
      <c r="HN195" s="142"/>
      <c r="HT195" s="142"/>
      <c r="HZ195" s="142"/>
    </row>
    <row r="196">
      <c r="F196" s="142"/>
      <c r="L196" s="142"/>
      <c r="R196" s="142"/>
      <c r="X196" s="142"/>
      <c r="AD196" s="142"/>
      <c r="AJ196" s="142"/>
      <c r="AP196" s="142"/>
      <c r="AV196" s="142"/>
      <c r="BA196" s="142"/>
      <c r="BH196" s="142"/>
      <c r="BN196" s="142"/>
      <c r="BT196" s="142"/>
      <c r="BZ196" s="142"/>
      <c r="CF196" s="142"/>
      <c r="CL196" s="142"/>
      <c r="CR196" s="142"/>
      <c r="CX196" s="142"/>
      <c r="DD196" s="142"/>
      <c r="DJ196" s="142"/>
      <c r="DP196" s="142"/>
      <c r="DV196" s="142"/>
      <c r="EB196" s="142"/>
      <c r="EH196" s="142"/>
      <c r="EN196" s="142"/>
      <c r="ET196" s="142"/>
      <c r="EZ196" s="142"/>
      <c r="FF196" s="142"/>
      <c r="FL196" s="142"/>
      <c r="FR196" s="142"/>
      <c r="FX196" s="142"/>
      <c r="GD196" s="142"/>
      <c r="GJ196" s="142"/>
      <c r="GP196" s="142"/>
      <c r="GV196" s="142"/>
      <c r="HB196" s="142"/>
      <c r="HH196" s="142"/>
      <c r="HN196" s="142"/>
      <c r="HT196" s="142"/>
      <c r="HZ196" s="142"/>
    </row>
    <row r="197">
      <c r="F197" s="142"/>
      <c r="L197" s="142"/>
      <c r="R197" s="142"/>
      <c r="X197" s="142"/>
      <c r="AD197" s="142"/>
      <c r="AJ197" s="142"/>
      <c r="AP197" s="142"/>
      <c r="AV197" s="142"/>
      <c r="BA197" s="142"/>
      <c r="BH197" s="142"/>
      <c r="BN197" s="142"/>
      <c r="BT197" s="142"/>
      <c r="BZ197" s="142"/>
      <c r="CF197" s="142"/>
      <c r="CL197" s="142"/>
      <c r="CR197" s="142"/>
      <c r="CX197" s="142"/>
      <c r="DD197" s="142"/>
      <c r="DJ197" s="142"/>
      <c r="DP197" s="142"/>
      <c r="DV197" s="142"/>
      <c r="EB197" s="142"/>
      <c r="EH197" s="142"/>
      <c r="EN197" s="142"/>
      <c r="ET197" s="142"/>
      <c r="EZ197" s="142"/>
      <c r="FF197" s="142"/>
      <c r="FL197" s="142"/>
      <c r="FR197" s="142"/>
      <c r="FX197" s="142"/>
      <c r="GD197" s="142"/>
      <c r="GJ197" s="142"/>
      <c r="GP197" s="142"/>
      <c r="GV197" s="142"/>
      <c r="HB197" s="142"/>
      <c r="HH197" s="142"/>
      <c r="HN197" s="142"/>
      <c r="HT197" s="142"/>
      <c r="HZ197" s="142"/>
    </row>
    <row r="198">
      <c r="F198" s="142"/>
      <c r="L198" s="142"/>
      <c r="R198" s="142"/>
      <c r="X198" s="142"/>
      <c r="AD198" s="142"/>
      <c r="AJ198" s="142"/>
      <c r="AP198" s="142"/>
      <c r="AV198" s="142"/>
      <c r="BA198" s="142"/>
      <c r="BH198" s="142"/>
      <c r="BN198" s="142"/>
      <c r="BT198" s="142"/>
      <c r="BZ198" s="142"/>
      <c r="CF198" s="142"/>
      <c r="CL198" s="142"/>
      <c r="CR198" s="142"/>
      <c r="CX198" s="142"/>
      <c r="DD198" s="142"/>
      <c r="DJ198" s="142"/>
      <c r="DP198" s="142"/>
      <c r="DV198" s="142"/>
      <c r="EB198" s="142"/>
      <c r="EH198" s="142"/>
      <c r="EN198" s="142"/>
      <c r="ET198" s="142"/>
      <c r="EZ198" s="142"/>
      <c r="FF198" s="142"/>
      <c r="FL198" s="142"/>
      <c r="FR198" s="142"/>
      <c r="FX198" s="142"/>
      <c r="GD198" s="142"/>
      <c r="GJ198" s="142"/>
      <c r="GP198" s="142"/>
      <c r="GV198" s="142"/>
      <c r="HB198" s="142"/>
      <c r="HH198" s="142"/>
      <c r="HN198" s="142"/>
      <c r="HT198" s="142"/>
      <c r="HZ198" s="142"/>
    </row>
    <row r="199">
      <c r="F199" s="142"/>
      <c r="L199" s="142"/>
      <c r="R199" s="142"/>
      <c r="X199" s="142"/>
      <c r="AD199" s="142"/>
      <c r="AJ199" s="142"/>
      <c r="AP199" s="142"/>
      <c r="AV199" s="142"/>
      <c r="BA199" s="142"/>
      <c r="BH199" s="142"/>
      <c r="BN199" s="142"/>
      <c r="BT199" s="142"/>
      <c r="BZ199" s="142"/>
      <c r="CF199" s="142"/>
      <c r="CL199" s="142"/>
      <c r="CR199" s="142"/>
      <c r="CX199" s="142"/>
      <c r="DD199" s="142"/>
      <c r="DJ199" s="142"/>
      <c r="DP199" s="142"/>
      <c r="DV199" s="142"/>
      <c r="EB199" s="142"/>
      <c r="EH199" s="142"/>
      <c r="EN199" s="142"/>
      <c r="ET199" s="142"/>
      <c r="EZ199" s="142"/>
      <c r="FF199" s="142"/>
      <c r="FL199" s="142"/>
      <c r="FR199" s="142"/>
      <c r="FX199" s="142"/>
      <c r="GD199" s="142"/>
      <c r="GJ199" s="142"/>
      <c r="GP199" s="142"/>
      <c r="GV199" s="142"/>
      <c r="HB199" s="142"/>
      <c r="HH199" s="142"/>
      <c r="HN199" s="142"/>
      <c r="HT199" s="142"/>
      <c r="HZ199" s="142"/>
    </row>
    <row r="200">
      <c r="F200" s="142"/>
      <c r="L200" s="142"/>
      <c r="R200" s="142"/>
      <c r="X200" s="142"/>
      <c r="AD200" s="142"/>
      <c r="AJ200" s="142"/>
      <c r="AP200" s="142"/>
      <c r="AV200" s="142"/>
      <c r="BA200" s="142"/>
      <c r="BH200" s="142"/>
      <c r="BN200" s="142"/>
      <c r="BT200" s="142"/>
      <c r="BZ200" s="142"/>
      <c r="CF200" s="142"/>
      <c r="CL200" s="142"/>
      <c r="CR200" s="142"/>
      <c r="CX200" s="142"/>
      <c r="DD200" s="142"/>
      <c r="DJ200" s="142"/>
      <c r="DP200" s="142"/>
      <c r="DV200" s="142"/>
      <c r="EB200" s="142"/>
      <c r="EH200" s="142"/>
      <c r="EN200" s="142"/>
      <c r="ET200" s="142"/>
      <c r="EZ200" s="142"/>
      <c r="FF200" s="142"/>
      <c r="FL200" s="142"/>
      <c r="FR200" s="142"/>
      <c r="FX200" s="142"/>
      <c r="GD200" s="142"/>
      <c r="GJ200" s="142"/>
      <c r="GP200" s="142"/>
      <c r="GV200" s="142"/>
      <c r="HB200" s="142"/>
      <c r="HH200" s="142"/>
      <c r="HN200" s="142"/>
      <c r="HT200" s="142"/>
      <c r="HZ200" s="142"/>
    </row>
    <row r="201">
      <c r="F201" s="142"/>
      <c r="L201" s="142"/>
      <c r="R201" s="142"/>
      <c r="X201" s="142"/>
      <c r="AD201" s="142"/>
      <c r="AJ201" s="142"/>
      <c r="AP201" s="142"/>
      <c r="AV201" s="142"/>
      <c r="BA201" s="142"/>
      <c r="BH201" s="142"/>
      <c r="BN201" s="142"/>
      <c r="BT201" s="142"/>
      <c r="BZ201" s="142"/>
      <c r="CF201" s="142"/>
      <c r="CL201" s="142"/>
      <c r="CR201" s="142"/>
      <c r="CX201" s="142"/>
      <c r="DD201" s="142"/>
      <c r="DJ201" s="142"/>
      <c r="DP201" s="142"/>
      <c r="DV201" s="142"/>
      <c r="EB201" s="142"/>
      <c r="EH201" s="142"/>
      <c r="EN201" s="142"/>
      <c r="ET201" s="142"/>
      <c r="EZ201" s="142"/>
      <c r="FF201" s="142"/>
      <c r="FL201" s="142"/>
      <c r="FR201" s="142"/>
      <c r="FX201" s="142"/>
      <c r="GD201" s="142"/>
      <c r="GJ201" s="142"/>
      <c r="GP201" s="142"/>
      <c r="GV201" s="142"/>
      <c r="HB201" s="142"/>
      <c r="HH201" s="142"/>
      <c r="HN201" s="142"/>
      <c r="HT201" s="142"/>
      <c r="HZ201" s="142"/>
    </row>
    <row r="202">
      <c r="F202" s="142"/>
      <c r="L202" s="142"/>
      <c r="R202" s="142"/>
      <c r="X202" s="142"/>
      <c r="AD202" s="142"/>
      <c r="AJ202" s="142"/>
      <c r="AP202" s="142"/>
      <c r="AV202" s="142"/>
      <c r="BA202" s="142"/>
      <c r="BH202" s="142"/>
      <c r="BN202" s="142"/>
      <c r="BT202" s="142"/>
      <c r="BZ202" s="142"/>
      <c r="CF202" s="142"/>
      <c r="CL202" s="142"/>
      <c r="CR202" s="142"/>
      <c r="CX202" s="142"/>
      <c r="DD202" s="142"/>
      <c r="DJ202" s="142"/>
      <c r="DP202" s="142"/>
      <c r="DV202" s="142"/>
      <c r="EB202" s="142"/>
      <c r="EH202" s="142"/>
      <c r="EN202" s="142"/>
      <c r="ET202" s="142"/>
      <c r="EZ202" s="142"/>
      <c r="FF202" s="142"/>
      <c r="FL202" s="142"/>
      <c r="FR202" s="142"/>
      <c r="FX202" s="142"/>
      <c r="GD202" s="142"/>
      <c r="GJ202" s="142"/>
      <c r="GP202" s="142"/>
      <c r="GV202" s="142"/>
      <c r="HB202" s="142"/>
      <c r="HH202" s="142"/>
      <c r="HN202" s="142"/>
      <c r="HT202" s="142"/>
      <c r="HZ202" s="142"/>
    </row>
    <row r="203">
      <c r="F203" s="142"/>
      <c r="L203" s="142"/>
      <c r="R203" s="142"/>
      <c r="X203" s="142"/>
      <c r="AD203" s="142"/>
      <c r="AJ203" s="142"/>
      <c r="AP203" s="142"/>
      <c r="AV203" s="142"/>
      <c r="BA203" s="142"/>
      <c r="BH203" s="142"/>
      <c r="BN203" s="142"/>
      <c r="BT203" s="142"/>
      <c r="BZ203" s="142"/>
      <c r="CF203" s="142"/>
      <c r="CL203" s="142"/>
      <c r="CR203" s="142"/>
      <c r="CX203" s="142"/>
      <c r="DD203" s="142"/>
      <c r="DJ203" s="142"/>
      <c r="DP203" s="142"/>
      <c r="DV203" s="142"/>
      <c r="EB203" s="142"/>
      <c r="EH203" s="142"/>
      <c r="EN203" s="142"/>
      <c r="ET203" s="142"/>
      <c r="EZ203" s="142"/>
      <c r="FF203" s="142"/>
      <c r="FL203" s="142"/>
      <c r="FR203" s="142"/>
      <c r="FX203" s="142"/>
      <c r="GD203" s="142"/>
      <c r="GJ203" s="142"/>
      <c r="GP203" s="142"/>
      <c r="GV203" s="142"/>
      <c r="HB203" s="142"/>
      <c r="HH203" s="142"/>
      <c r="HN203" s="142"/>
      <c r="HT203" s="142"/>
      <c r="HZ203" s="142"/>
    </row>
    <row r="204">
      <c r="F204" s="142"/>
      <c r="L204" s="142"/>
      <c r="R204" s="142"/>
      <c r="X204" s="142"/>
      <c r="AD204" s="142"/>
      <c r="AJ204" s="142"/>
      <c r="AP204" s="142"/>
      <c r="AV204" s="142"/>
      <c r="BA204" s="142"/>
      <c r="BH204" s="142"/>
      <c r="BN204" s="142"/>
      <c r="BT204" s="142"/>
      <c r="BZ204" s="142"/>
      <c r="CF204" s="142"/>
      <c r="CL204" s="142"/>
      <c r="CR204" s="142"/>
      <c r="CX204" s="142"/>
      <c r="DD204" s="142"/>
      <c r="DJ204" s="142"/>
      <c r="DP204" s="142"/>
      <c r="DV204" s="142"/>
      <c r="EB204" s="142"/>
      <c r="EH204" s="142"/>
      <c r="EN204" s="142"/>
      <c r="ET204" s="142"/>
      <c r="EZ204" s="142"/>
      <c r="FF204" s="142"/>
      <c r="FL204" s="142"/>
      <c r="FR204" s="142"/>
      <c r="FX204" s="142"/>
      <c r="GD204" s="142"/>
      <c r="GJ204" s="142"/>
      <c r="GP204" s="142"/>
      <c r="GV204" s="142"/>
      <c r="HB204" s="142"/>
      <c r="HH204" s="142"/>
      <c r="HN204" s="142"/>
      <c r="HT204" s="142"/>
      <c r="HZ204" s="142"/>
    </row>
    <row r="205">
      <c r="F205" s="142"/>
      <c r="L205" s="142"/>
      <c r="R205" s="142"/>
      <c r="X205" s="142"/>
      <c r="AD205" s="142"/>
      <c r="AJ205" s="142"/>
      <c r="AP205" s="142"/>
      <c r="AV205" s="142"/>
      <c r="BA205" s="142"/>
      <c r="BH205" s="142"/>
      <c r="BN205" s="142"/>
      <c r="BT205" s="142"/>
      <c r="BZ205" s="142"/>
      <c r="CF205" s="142"/>
      <c r="CL205" s="142"/>
      <c r="CR205" s="142"/>
      <c r="CX205" s="142"/>
      <c r="DD205" s="142"/>
      <c r="DJ205" s="142"/>
      <c r="DP205" s="142"/>
      <c r="DV205" s="142"/>
      <c r="EB205" s="142"/>
      <c r="EH205" s="142"/>
      <c r="EN205" s="142"/>
      <c r="ET205" s="142"/>
      <c r="EZ205" s="142"/>
      <c r="FF205" s="142"/>
      <c r="FL205" s="142"/>
      <c r="FR205" s="142"/>
      <c r="FX205" s="142"/>
      <c r="GD205" s="142"/>
      <c r="GJ205" s="142"/>
      <c r="GP205" s="142"/>
      <c r="GV205" s="142"/>
      <c r="HB205" s="142"/>
      <c r="HH205" s="142"/>
      <c r="HN205" s="142"/>
      <c r="HT205" s="142"/>
      <c r="HZ205" s="142"/>
    </row>
    <row r="206">
      <c r="F206" s="142"/>
      <c r="L206" s="142"/>
      <c r="R206" s="142"/>
      <c r="X206" s="142"/>
      <c r="AD206" s="142"/>
      <c r="AJ206" s="142"/>
      <c r="AP206" s="142"/>
      <c r="AV206" s="142"/>
      <c r="BA206" s="142"/>
      <c r="BH206" s="142"/>
      <c r="BN206" s="142"/>
      <c r="BT206" s="142"/>
      <c r="BZ206" s="142"/>
      <c r="CF206" s="142"/>
      <c r="CL206" s="142"/>
      <c r="CR206" s="142"/>
      <c r="CX206" s="142"/>
      <c r="DD206" s="142"/>
      <c r="DJ206" s="142"/>
      <c r="DP206" s="142"/>
      <c r="DV206" s="142"/>
      <c r="EB206" s="142"/>
      <c r="EH206" s="142"/>
      <c r="EN206" s="142"/>
      <c r="ET206" s="142"/>
      <c r="EZ206" s="142"/>
      <c r="FF206" s="142"/>
      <c r="FL206" s="142"/>
      <c r="FR206" s="142"/>
      <c r="FX206" s="142"/>
      <c r="GD206" s="142"/>
      <c r="GJ206" s="142"/>
      <c r="GP206" s="142"/>
      <c r="GV206" s="142"/>
      <c r="HB206" s="142"/>
      <c r="HH206" s="142"/>
      <c r="HN206" s="142"/>
      <c r="HT206" s="142"/>
      <c r="HZ206" s="142"/>
    </row>
    <row r="207">
      <c r="F207" s="142"/>
      <c r="L207" s="142"/>
      <c r="R207" s="142"/>
      <c r="X207" s="142"/>
      <c r="AD207" s="142"/>
      <c r="AJ207" s="142"/>
      <c r="AP207" s="142"/>
      <c r="AV207" s="142"/>
      <c r="BA207" s="142"/>
      <c r="BH207" s="142"/>
      <c r="BN207" s="142"/>
      <c r="BT207" s="142"/>
      <c r="BZ207" s="142"/>
      <c r="CF207" s="142"/>
      <c r="CL207" s="142"/>
      <c r="CR207" s="142"/>
      <c r="CX207" s="142"/>
      <c r="DD207" s="142"/>
      <c r="DJ207" s="142"/>
      <c r="DP207" s="142"/>
      <c r="DV207" s="142"/>
      <c r="EB207" s="142"/>
      <c r="EH207" s="142"/>
      <c r="EN207" s="142"/>
      <c r="ET207" s="142"/>
      <c r="EZ207" s="142"/>
      <c r="FF207" s="142"/>
      <c r="FL207" s="142"/>
      <c r="FR207" s="142"/>
      <c r="FX207" s="142"/>
      <c r="GD207" s="142"/>
      <c r="GJ207" s="142"/>
      <c r="GP207" s="142"/>
      <c r="GV207" s="142"/>
      <c r="HB207" s="142"/>
      <c r="HH207" s="142"/>
      <c r="HN207" s="142"/>
      <c r="HT207" s="142"/>
      <c r="HZ207" s="142"/>
    </row>
    <row r="208">
      <c r="F208" s="142"/>
      <c r="L208" s="142"/>
      <c r="R208" s="142"/>
      <c r="X208" s="142"/>
      <c r="AD208" s="142"/>
      <c r="AJ208" s="142"/>
      <c r="AP208" s="142"/>
      <c r="AV208" s="142"/>
      <c r="BA208" s="142"/>
      <c r="BH208" s="142"/>
      <c r="BN208" s="142"/>
      <c r="BT208" s="142"/>
      <c r="BZ208" s="142"/>
      <c r="CF208" s="142"/>
      <c r="CL208" s="142"/>
      <c r="CR208" s="142"/>
      <c r="CX208" s="142"/>
      <c r="DD208" s="142"/>
      <c r="DJ208" s="142"/>
      <c r="DP208" s="142"/>
      <c r="DV208" s="142"/>
      <c r="EB208" s="142"/>
      <c r="EH208" s="142"/>
      <c r="EN208" s="142"/>
      <c r="ET208" s="142"/>
      <c r="EZ208" s="142"/>
      <c r="FF208" s="142"/>
      <c r="FL208" s="142"/>
      <c r="FR208" s="142"/>
      <c r="FX208" s="142"/>
      <c r="GD208" s="142"/>
      <c r="GJ208" s="142"/>
      <c r="GP208" s="142"/>
      <c r="GV208" s="142"/>
      <c r="HB208" s="142"/>
      <c r="HH208" s="142"/>
      <c r="HN208" s="142"/>
      <c r="HT208" s="142"/>
      <c r="HZ208" s="142"/>
    </row>
    <row r="209">
      <c r="F209" s="142"/>
      <c r="L209" s="142"/>
      <c r="R209" s="142"/>
      <c r="X209" s="142"/>
      <c r="AD209" s="142"/>
      <c r="AJ209" s="142"/>
      <c r="AP209" s="142"/>
      <c r="AV209" s="142"/>
      <c r="BA209" s="142"/>
      <c r="BH209" s="142"/>
      <c r="BN209" s="142"/>
      <c r="BT209" s="142"/>
      <c r="BZ209" s="142"/>
      <c r="CF209" s="142"/>
      <c r="CL209" s="142"/>
      <c r="CR209" s="142"/>
      <c r="CX209" s="142"/>
      <c r="DD209" s="142"/>
      <c r="DJ209" s="142"/>
      <c r="DP209" s="142"/>
      <c r="DV209" s="142"/>
      <c r="EB209" s="142"/>
      <c r="EH209" s="142"/>
      <c r="EN209" s="142"/>
      <c r="ET209" s="142"/>
      <c r="EZ209" s="142"/>
      <c r="FF209" s="142"/>
      <c r="FL209" s="142"/>
      <c r="FR209" s="142"/>
      <c r="FX209" s="142"/>
      <c r="GD209" s="142"/>
      <c r="GJ209" s="142"/>
      <c r="GP209" s="142"/>
      <c r="GV209" s="142"/>
      <c r="HB209" s="142"/>
      <c r="HH209" s="142"/>
      <c r="HN209" s="142"/>
      <c r="HT209" s="142"/>
      <c r="HZ209" s="142"/>
    </row>
    <row r="210">
      <c r="F210" s="142"/>
      <c r="L210" s="142"/>
      <c r="R210" s="142"/>
      <c r="X210" s="142"/>
      <c r="AD210" s="142"/>
      <c r="AJ210" s="142"/>
      <c r="AP210" s="142"/>
      <c r="AV210" s="142"/>
      <c r="BA210" s="142"/>
      <c r="BH210" s="142"/>
      <c r="BN210" s="142"/>
      <c r="BT210" s="142"/>
      <c r="BZ210" s="142"/>
      <c r="CF210" s="142"/>
      <c r="CL210" s="142"/>
      <c r="CR210" s="142"/>
      <c r="CX210" s="142"/>
      <c r="DD210" s="142"/>
      <c r="DJ210" s="142"/>
      <c r="DP210" s="142"/>
      <c r="DV210" s="142"/>
      <c r="EB210" s="142"/>
      <c r="EH210" s="142"/>
      <c r="EN210" s="142"/>
      <c r="ET210" s="142"/>
      <c r="EZ210" s="142"/>
      <c r="FF210" s="142"/>
      <c r="FL210" s="142"/>
      <c r="FR210" s="142"/>
      <c r="FX210" s="142"/>
      <c r="GD210" s="142"/>
      <c r="GJ210" s="142"/>
      <c r="GP210" s="142"/>
      <c r="GV210" s="142"/>
      <c r="HB210" s="142"/>
      <c r="HH210" s="142"/>
      <c r="HN210" s="142"/>
      <c r="HT210" s="142"/>
      <c r="HZ210" s="142"/>
    </row>
    <row r="211">
      <c r="F211" s="142"/>
      <c r="L211" s="142"/>
      <c r="R211" s="142"/>
      <c r="X211" s="142"/>
      <c r="AD211" s="142"/>
      <c r="AJ211" s="142"/>
      <c r="AP211" s="142"/>
      <c r="AV211" s="142"/>
      <c r="BA211" s="142"/>
      <c r="BH211" s="142"/>
      <c r="BN211" s="142"/>
      <c r="BT211" s="142"/>
      <c r="BZ211" s="142"/>
      <c r="CF211" s="142"/>
      <c r="CL211" s="142"/>
      <c r="CR211" s="142"/>
      <c r="CX211" s="142"/>
      <c r="DD211" s="142"/>
      <c r="DJ211" s="142"/>
      <c r="DP211" s="142"/>
      <c r="DV211" s="142"/>
      <c r="EB211" s="142"/>
      <c r="EH211" s="142"/>
      <c r="EN211" s="142"/>
      <c r="ET211" s="142"/>
      <c r="EZ211" s="142"/>
      <c r="FF211" s="142"/>
      <c r="FL211" s="142"/>
      <c r="FR211" s="142"/>
      <c r="FX211" s="142"/>
      <c r="GD211" s="142"/>
      <c r="GJ211" s="142"/>
      <c r="GP211" s="142"/>
      <c r="GV211" s="142"/>
      <c r="HB211" s="142"/>
      <c r="HH211" s="142"/>
      <c r="HN211" s="142"/>
      <c r="HT211" s="142"/>
      <c r="HZ211" s="142"/>
    </row>
    <row r="212">
      <c r="F212" s="142"/>
      <c r="L212" s="142"/>
      <c r="R212" s="142"/>
      <c r="X212" s="142"/>
      <c r="AD212" s="142"/>
      <c r="AJ212" s="142"/>
      <c r="AP212" s="142"/>
      <c r="AV212" s="142"/>
      <c r="BA212" s="142"/>
      <c r="BH212" s="142"/>
      <c r="BN212" s="142"/>
      <c r="BT212" s="142"/>
      <c r="BZ212" s="142"/>
      <c r="CF212" s="142"/>
      <c r="CL212" s="142"/>
      <c r="CR212" s="142"/>
      <c r="CX212" s="142"/>
      <c r="DD212" s="142"/>
      <c r="DJ212" s="142"/>
      <c r="DP212" s="142"/>
      <c r="DV212" s="142"/>
      <c r="EB212" s="142"/>
      <c r="EH212" s="142"/>
      <c r="EN212" s="142"/>
      <c r="ET212" s="142"/>
      <c r="EZ212" s="142"/>
      <c r="FF212" s="142"/>
      <c r="FL212" s="142"/>
      <c r="FR212" s="142"/>
      <c r="FX212" s="142"/>
      <c r="GD212" s="142"/>
      <c r="GJ212" s="142"/>
      <c r="GP212" s="142"/>
      <c r="GV212" s="142"/>
      <c r="HB212" s="142"/>
      <c r="HH212" s="142"/>
      <c r="HN212" s="142"/>
      <c r="HT212" s="142"/>
      <c r="HZ212" s="142"/>
    </row>
    <row r="213">
      <c r="F213" s="142"/>
      <c r="L213" s="142"/>
      <c r="R213" s="142"/>
      <c r="X213" s="142"/>
      <c r="AD213" s="142"/>
      <c r="AJ213" s="142"/>
      <c r="AP213" s="142"/>
      <c r="AV213" s="142"/>
      <c r="BA213" s="142"/>
      <c r="BH213" s="142"/>
      <c r="BN213" s="142"/>
      <c r="BT213" s="142"/>
      <c r="BZ213" s="142"/>
      <c r="CF213" s="142"/>
      <c r="CL213" s="142"/>
      <c r="CR213" s="142"/>
      <c r="CX213" s="142"/>
      <c r="DD213" s="142"/>
      <c r="DJ213" s="142"/>
      <c r="DP213" s="142"/>
      <c r="DV213" s="142"/>
      <c r="EB213" s="142"/>
      <c r="EH213" s="142"/>
      <c r="EN213" s="142"/>
      <c r="ET213" s="142"/>
      <c r="EZ213" s="142"/>
      <c r="FF213" s="142"/>
      <c r="FL213" s="142"/>
      <c r="FR213" s="142"/>
      <c r="FX213" s="142"/>
      <c r="GD213" s="142"/>
      <c r="GJ213" s="142"/>
      <c r="GP213" s="142"/>
      <c r="GV213" s="142"/>
      <c r="HB213" s="142"/>
      <c r="HH213" s="142"/>
      <c r="HN213" s="142"/>
      <c r="HT213" s="142"/>
      <c r="HZ213" s="142"/>
    </row>
    <row r="214">
      <c r="F214" s="142"/>
      <c r="L214" s="142"/>
      <c r="R214" s="142"/>
      <c r="X214" s="142"/>
      <c r="AD214" s="142"/>
      <c r="AJ214" s="142"/>
      <c r="AP214" s="142"/>
      <c r="AV214" s="142"/>
      <c r="BA214" s="142"/>
      <c r="BH214" s="142"/>
      <c r="BN214" s="142"/>
      <c r="BT214" s="142"/>
      <c r="BZ214" s="142"/>
      <c r="CF214" s="142"/>
      <c r="CL214" s="142"/>
      <c r="CR214" s="142"/>
      <c r="CX214" s="142"/>
      <c r="DD214" s="142"/>
      <c r="DJ214" s="142"/>
      <c r="DP214" s="142"/>
      <c r="DV214" s="142"/>
      <c r="EB214" s="142"/>
      <c r="EH214" s="142"/>
      <c r="EN214" s="142"/>
      <c r="ET214" s="142"/>
      <c r="EZ214" s="142"/>
      <c r="FF214" s="142"/>
      <c r="FL214" s="142"/>
      <c r="FR214" s="142"/>
      <c r="FX214" s="142"/>
      <c r="GD214" s="142"/>
      <c r="GJ214" s="142"/>
      <c r="GP214" s="142"/>
      <c r="GV214" s="142"/>
      <c r="HB214" s="142"/>
      <c r="HH214" s="142"/>
      <c r="HN214" s="142"/>
      <c r="HT214" s="142"/>
      <c r="HZ214" s="142"/>
    </row>
    <row r="215">
      <c r="F215" s="142"/>
      <c r="L215" s="142"/>
      <c r="R215" s="142"/>
      <c r="X215" s="142"/>
      <c r="AD215" s="142"/>
      <c r="AJ215" s="142"/>
      <c r="AP215" s="142"/>
      <c r="AV215" s="142"/>
      <c r="BA215" s="142"/>
      <c r="BH215" s="142"/>
      <c r="BN215" s="142"/>
      <c r="BT215" s="142"/>
      <c r="BZ215" s="142"/>
      <c r="CF215" s="142"/>
      <c r="CL215" s="142"/>
      <c r="CR215" s="142"/>
      <c r="CX215" s="142"/>
      <c r="DD215" s="142"/>
      <c r="DJ215" s="142"/>
      <c r="DP215" s="142"/>
      <c r="DV215" s="142"/>
      <c r="EB215" s="142"/>
      <c r="EH215" s="142"/>
      <c r="EN215" s="142"/>
      <c r="ET215" s="142"/>
      <c r="EZ215" s="142"/>
      <c r="FF215" s="142"/>
      <c r="FL215" s="142"/>
      <c r="FR215" s="142"/>
      <c r="FX215" s="142"/>
      <c r="GD215" s="142"/>
      <c r="GJ215" s="142"/>
      <c r="GP215" s="142"/>
      <c r="GV215" s="142"/>
      <c r="HB215" s="142"/>
      <c r="HH215" s="142"/>
      <c r="HN215" s="142"/>
      <c r="HT215" s="142"/>
      <c r="HZ215" s="142"/>
    </row>
    <row r="216">
      <c r="F216" s="142"/>
      <c r="L216" s="142"/>
      <c r="R216" s="142"/>
      <c r="X216" s="142"/>
      <c r="AD216" s="142"/>
      <c r="AJ216" s="142"/>
      <c r="AP216" s="142"/>
      <c r="AV216" s="142"/>
      <c r="BA216" s="142"/>
      <c r="BH216" s="142"/>
      <c r="BN216" s="142"/>
      <c r="BT216" s="142"/>
      <c r="BZ216" s="142"/>
      <c r="CF216" s="142"/>
      <c r="CL216" s="142"/>
      <c r="CR216" s="142"/>
      <c r="CX216" s="142"/>
      <c r="DD216" s="142"/>
      <c r="DJ216" s="142"/>
      <c r="DP216" s="142"/>
      <c r="DV216" s="142"/>
      <c r="EB216" s="142"/>
      <c r="EH216" s="142"/>
      <c r="EN216" s="142"/>
      <c r="ET216" s="142"/>
      <c r="EZ216" s="142"/>
      <c r="FF216" s="142"/>
      <c r="FL216" s="142"/>
      <c r="FR216" s="142"/>
      <c r="FX216" s="142"/>
      <c r="GD216" s="142"/>
      <c r="GJ216" s="142"/>
      <c r="GP216" s="142"/>
      <c r="GV216" s="142"/>
      <c r="HB216" s="142"/>
      <c r="HH216" s="142"/>
      <c r="HN216" s="142"/>
      <c r="HT216" s="142"/>
      <c r="HZ216" s="142"/>
    </row>
    <row r="217">
      <c r="F217" s="142"/>
      <c r="L217" s="142"/>
      <c r="R217" s="142"/>
      <c r="X217" s="142"/>
      <c r="AD217" s="142"/>
      <c r="AJ217" s="142"/>
      <c r="AP217" s="142"/>
      <c r="AV217" s="142"/>
      <c r="BA217" s="142"/>
      <c r="BH217" s="142"/>
      <c r="BN217" s="142"/>
      <c r="BT217" s="142"/>
      <c r="BZ217" s="142"/>
      <c r="CF217" s="142"/>
      <c r="CL217" s="142"/>
      <c r="CR217" s="142"/>
      <c r="CX217" s="142"/>
      <c r="DD217" s="142"/>
      <c r="DJ217" s="142"/>
      <c r="DP217" s="142"/>
      <c r="DV217" s="142"/>
      <c r="EB217" s="142"/>
      <c r="EH217" s="142"/>
      <c r="EN217" s="142"/>
      <c r="ET217" s="142"/>
      <c r="EZ217" s="142"/>
      <c r="FF217" s="142"/>
      <c r="FL217" s="142"/>
      <c r="FR217" s="142"/>
      <c r="FX217" s="142"/>
      <c r="GD217" s="142"/>
      <c r="GJ217" s="142"/>
      <c r="GP217" s="142"/>
      <c r="GV217" s="142"/>
      <c r="HB217" s="142"/>
      <c r="HH217" s="142"/>
      <c r="HN217" s="142"/>
      <c r="HT217" s="142"/>
      <c r="HZ217" s="142"/>
    </row>
    <row r="218">
      <c r="F218" s="142"/>
      <c r="L218" s="142"/>
      <c r="R218" s="142"/>
      <c r="X218" s="142"/>
      <c r="AD218" s="142"/>
      <c r="AJ218" s="142"/>
      <c r="AP218" s="142"/>
      <c r="AV218" s="142"/>
      <c r="BA218" s="142"/>
      <c r="BH218" s="142"/>
      <c r="BN218" s="142"/>
      <c r="BT218" s="142"/>
      <c r="BZ218" s="142"/>
      <c r="CF218" s="142"/>
      <c r="CL218" s="142"/>
      <c r="CR218" s="142"/>
      <c r="CX218" s="142"/>
      <c r="DD218" s="142"/>
      <c r="DJ218" s="142"/>
      <c r="DP218" s="142"/>
      <c r="DV218" s="142"/>
      <c r="EB218" s="142"/>
      <c r="EH218" s="142"/>
      <c r="EN218" s="142"/>
      <c r="ET218" s="142"/>
      <c r="EZ218" s="142"/>
      <c r="FF218" s="142"/>
      <c r="FL218" s="142"/>
      <c r="FR218" s="142"/>
      <c r="FX218" s="142"/>
      <c r="GD218" s="142"/>
      <c r="GJ218" s="142"/>
      <c r="GP218" s="142"/>
      <c r="GV218" s="142"/>
      <c r="HB218" s="142"/>
      <c r="HH218" s="142"/>
      <c r="HN218" s="142"/>
      <c r="HT218" s="142"/>
      <c r="HZ218" s="142"/>
    </row>
    <row r="219">
      <c r="F219" s="142"/>
      <c r="L219" s="142"/>
      <c r="R219" s="142"/>
      <c r="X219" s="142"/>
      <c r="AD219" s="142"/>
      <c r="AJ219" s="142"/>
      <c r="AP219" s="142"/>
      <c r="AV219" s="142"/>
      <c r="BA219" s="142"/>
      <c r="BH219" s="142"/>
      <c r="BN219" s="142"/>
      <c r="BT219" s="142"/>
      <c r="BZ219" s="142"/>
      <c r="CF219" s="142"/>
      <c r="CL219" s="142"/>
      <c r="CR219" s="142"/>
      <c r="CX219" s="142"/>
      <c r="DD219" s="142"/>
      <c r="DJ219" s="142"/>
      <c r="DP219" s="142"/>
      <c r="DV219" s="142"/>
      <c r="EB219" s="142"/>
      <c r="EH219" s="142"/>
      <c r="EN219" s="142"/>
      <c r="ET219" s="142"/>
      <c r="EZ219" s="142"/>
      <c r="FF219" s="142"/>
      <c r="FL219" s="142"/>
      <c r="FR219" s="142"/>
      <c r="FX219" s="142"/>
      <c r="GD219" s="142"/>
      <c r="GJ219" s="142"/>
      <c r="GP219" s="142"/>
      <c r="GV219" s="142"/>
      <c r="HB219" s="142"/>
      <c r="HH219" s="142"/>
      <c r="HN219" s="142"/>
      <c r="HT219" s="142"/>
      <c r="HZ219" s="142"/>
    </row>
    <row r="220">
      <c r="F220" s="142"/>
      <c r="L220" s="142"/>
      <c r="R220" s="142"/>
      <c r="X220" s="142"/>
      <c r="AD220" s="142"/>
      <c r="AJ220" s="142"/>
      <c r="AP220" s="142"/>
      <c r="AV220" s="142"/>
      <c r="BA220" s="142"/>
      <c r="BH220" s="142"/>
      <c r="BN220" s="142"/>
      <c r="BT220" s="142"/>
      <c r="BZ220" s="142"/>
      <c r="CF220" s="142"/>
      <c r="CL220" s="142"/>
      <c r="CR220" s="142"/>
      <c r="CX220" s="142"/>
      <c r="DD220" s="142"/>
      <c r="DJ220" s="142"/>
      <c r="DP220" s="142"/>
      <c r="DV220" s="142"/>
      <c r="EB220" s="142"/>
      <c r="EH220" s="142"/>
      <c r="EN220" s="142"/>
      <c r="ET220" s="142"/>
      <c r="EZ220" s="142"/>
      <c r="FF220" s="142"/>
      <c r="FL220" s="142"/>
      <c r="FR220" s="142"/>
      <c r="FX220" s="142"/>
      <c r="GD220" s="142"/>
      <c r="GJ220" s="142"/>
      <c r="GP220" s="142"/>
      <c r="GV220" s="142"/>
      <c r="HB220" s="142"/>
      <c r="HH220" s="142"/>
      <c r="HN220" s="142"/>
      <c r="HT220" s="142"/>
      <c r="HZ220" s="142"/>
    </row>
    <row r="221">
      <c r="F221" s="142"/>
      <c r="L221" s="142"/>
      <c r="R221" s="142"/>
      <c r="X221" s="142"/>
      <c r="AD221" s="142"/>
      <c r="AJ221" s="142"/>
      <c r="AP221" s="142"/>
      <c r="AV221" s="142"/>
      <c r="BA221" s="142"/>
      <c r="BH221" s="142"/>
      <c r="BN221" s="142"/>
      <c r="BT221" s="142"/>
      <c r="BZ221" s="142"/>
      <c r="CF221" s="142"/>
      <c r="CL221" s="142"/>
      <c r="CR221" s="142"/>
      <c r="CX221" s="142"/>
      <c r="DD221" s="142"/>
      <c r="DJ221" s="142"/>
      <c r="DP221" s="142"/>
      <c r="DV221" s="142"/>
      <c r="EB221" s="142"/>
      <c r="EH221" s="142"/>
      <c r="EN221" s="142"/>
      <c r="ET221" s="142"/>
      <c r="EZ221" s="142"/>
      <c r="FF221" s="142"/>
      <c r="FL221" s="142"/>
      <c r="FR221" s="142"/>
      <c r="FX221" s="142"/>
      <c r="GD221" s="142"/>
      <c r="GJ221" s="142"/>
      <c r="GP221" s="142"/>
      <c r="GV221" s="142"/>
      <c r="HB221" s="142"/>
      <c r="HH221" s="142"/>
      <c r="HN221" s="142"/>
      <c r="HT221" s="142"/>
      <c r="HZ221" s="142"/>
    </row>
    <row r="222">
      <c r="F222" s="142"/>
      <c r="L222" s="142"/>
      <c r="R222" s="142"/>
      <c r="X222" s="142"/>
      <c r="AD222" s="142"/>
      <c r="AJ222" s="142"/>
      <c r="AP222" s="142"/>
      <c r="AV222" s="142"/>
      <c r="BA222" s="142"/>
      <c r="BH222" s="142"/>
      <c r="BN222" s="142"/>
      <c r="BT222" s="142"/>
      <c r="BZ222" s="142"/>
      <c r="CF222" s="142"/>
      <c r="CL222" s="142"/>
      <c r="CR222" s="142"/>
      <c r="CX222" s="142"/>
      <c r="DD222" s="142"/>
      <c r="DJ222" s="142"/>
      <c r="DP222" s="142"/>
      <c r="DV222" s="142"/>
      <c r="EB222" s="142"/>
      <c r="EH222" s="142"/>
      <c r="EN222" s="142"/>
      <c r="ET222" s="142"/>
      <c r="EZ222" s="142"/>
      <c r="FF222" s="142"/>
      <c r="FL222" s="142"/>
      <c r="FR222" s="142"/>
      <c r="FX222" s="142"/>
      <c r="GD222" s="142"/>
      <c r="GJ222" s="142"/>
      <c r="GP222" s="142"/>
      <c r="GV222" s="142"/>
      <c r="HB222" s="142"/>
      <c r="HH222" s="142"/>
      <c r="HN222" s="142"/>
      <c r="HT222" s="142"/>
      <c r="HZ222" s="142"/>
    </row>
    <row r="223">
      <c r="F223" s="142"/>
      <c r="L223" s="142"/>
      <c r="R223" s="142"/>
      <c r="X223" s="142"/>
      <c r="AD223" s="142"/>
      <c r="AJ223" s="142"/>
      <c r="AP223" s="142"/>
      <c r="AV223" s="142"/>
      <c r="BA223" s="142"/>
      <c r="BH223" s="142"/>
      <c r="BN223" s="142"/>
      <c r="BT223" s="142"/>
      <c r="BZ223" s="142"/>
      <c r="CF223" s="142"/>
      <c r="CL223" s="142"/>
      <c r="CR223" s="142"/>
      <c r="CX223" s="142"/>
      <c r="DD223" s="142"/>
      <c r="DJ223" s="142"/>
      <c r="DP223" s="142"/>
      <c r="DV223" s="142"/>
      <c r="EB223" s="142"/>
      <c r="EH223" s="142"/>
      <c r="EN223" s="142"/>
      <c r="ET223" s="142"/>
      <c r="EZ223" s="142"/>
      <c r="FF223" s="142"/>
      <c r="FL223" s="142"/>
      <c r="FR223" s="142"/>
      <c r="FX223" s="142"/>
      <c r="GD223" s="142"/>
      <c r="GJ223" s="142"/>
      <c r="GP223" s="142"/>
      <c r="GV223" s="142"/>
      <c r="HB223" s="142"/>
      <c r="HH223" s="142"/>
      <c r="HN223" s="142"/>
      <c r="HT223" s="142"/>
      <c r="HZ223" s="142"/>
    </row>
    <row r="224">
      <c r="F224" s="142"/>
      <c r="L224" s="142"/>
      <c r="R224" s="142"/>
      <c r="X224" s="142"/>
      <c r="AD224" s="142"/>
      <c r="AJ224" s="142"/>
      <c r="AP224" s="142"/>
      <c r="AV224" s="142"/>
      <c r="BA224" s="142"/>
      <c r="BH224" s="142"/>
      <c r="BN224" s="142"/>
      <c r="BT224" s="142"/>
      <c r="BZ224" s="142"/>
      <c r="CF224" s="142"/>
      <c r="CL224" s="142"/>
      <c r="CR224" s="142"/>
      <c r="CX224" s="142"/>
      <c r="DD224" s="142"/>
      <c r="DJ224" s="142"/>
      <c r="DP224" s="142"/>
      <c r="DV224" s="142"/>
      <c r="EB224" s="142"/>
      <c r="EH224" s="142"/>
      <c r="EN224" s="142"/>
      <c r="ET224" s="142"/>
      <c r="EZ224" s="142"/>
      <c r="FF224" s="142"/>
      <c r="FL224" s="142"/>
      <c r="FR224" s="142"/>
      <c r="FX224" s="142"/>
      <c r="GD224" s="142"/>
      <c r="GJ224" s="142"/>
      <c r="GP224" s="142"/>
      <c r="GV224" s="142"/>
      <c r="HB224" s="142"/>
      <c r="HH224" s="142"/>
      <c r="HN224" s="142"/>
      <c r="HT224" s="142"/>
      <c r="HZ224" s="142"/>
    </row>
    <row r="225">
      <c r="F225" s="142"/>
      <c r="L225" s="142"/>
      <c r="R225" s="142"/>
      <c r="X225" s="142"/>
      <c r="AD225" s="142"/>
      <c r="AJ225" s="142"/>
      <c r="AP225" s="142"/>
      <c r="AV225" s="142"/>
      <c r="BA225" s="142"/>
      <c r="BH225" s="142"/>
      <c r="BN225" s="142"/>
      <c r="BT225" s="142"/>
      <c r="BZ225" s="142"/>
      <c r="CF225" s="142"/>
      <c r="CL225" s="142"/>
      <c r="CR225" s="142"/>
      <c r="CX225" s="142"/>
      <c r="DD225" s="142"/>
      <c r="DJ225" s="142"/>
      <c r="DP225" s="142"/>
      <c r="DV225" s="142"/>
      <c r="EB225" s="142"/>
      <c r="EH225" s="142"/>
      <c r="EN225" s="142"/>
      <c r="ET225" s="142"/>
      <c r="EZ225" s="142"/>
      <c r="FF225" s="142"/>
      <c r="FL225" s="142"/>
      <c r="FR225" s="142"/>
      <c r="FX225" s="142"/>
      <c r="GD225" s="142"/>
      <c r="GJ225" s="142"/>
      <c r="GP225" s="142"/>
      <c r="GV225" s="142"/>
      <c r="HB225" s="142"/>
      <c r="HH225" s="142"/>
      <c r="HN225" s="142"/>
      <c r="HT225" s="142"/>
      <c r="HZ225" s="142"/>
    </row>
    <row r="226">
      <c r="F226" s="142"/>
      <c r="L226" s="142"/>
      <c r="R226" s="142"/>
      <c r="X226" s="142"/>
      <c r="AD226" s="142"/>
      <c r="AJ226" s="142"/>
      <c r="AP226" s="142"/>
      <c r="AV226" s="142"/>
      <c r="BA226" s="142"/>
      <c r="BH226" s="142"/>
      <c r="BN226" s="142"/>
      <c r="BT226" s="142"/>
      <c r="BZ226" s="142"/>
      <c r="CF226" s="142"/>
      <c r="CL226" s="142"/>
      <c r="CR226" s="142"/>
      <c r="CX226" s="142"/>
      <c r="DD226" s="142"/>
      <c r="DJ226" s="142"/>
      <c r="DP226" s="142"/>
      <c r="DV226" s="142"/>
      <c r="EB226" s="142"/>
      <c r="EH226" s="142"/>
      <c r="EN226" s="142"/>
      <c r="ET226" s="142"/>
      <c r="EZ226" s="142"/>
      <c r="FF226" s="142"/>
      <c r="FL226" s="142"/>
      <c r="FR226" s="142"/>
      <c r="FX226" s="142"/>
      <c r="GD226" s="142"/>
      <c r="GJ226" s="142"/>
      <c r="GP226" s="142"/>
      <c r="GV226" s="142"/>
      <c r="HB226" s="142"/>
      <c r="HH226" s="142"/>
      <c r="HN226" s="142"/>
      <c r="HT226" s="142"/>
      <c r="HZ226" s="142"/>
    </row>
    <row r="227">
      <c r="F227" s="142"/>
      <c r="L227" s="142"/>
      <c r="R227" s="142"/>
      <c r="X227" s="142"/>
      <c r="AD227" s="142"/>
      <c r="AJ227" s="142"/>
      <c r="AP227" s="142"/>
      <c r="AV227" s="142"/>
      <c r="BA227" s="142"/>
      <c r="BH227" s="142"/>
      <c r="BN227" s="142"/>
      <c r="BT227" s="142"/>
      <c r="BZ227" s="142"/>
      <c r="CF227" s="142"/>
      <c r="CL227" s="142"/>
      <c r="CR227" s="142"/>
      <c r="CX227" s="142"/>
      <c r="DD227" s="142"/>
      <c r="DJ227" s="142"/>
      <c r="DP227" s="142"/>
      <c r="DV227" s="142"/>
      <c r="EB227" s="142"/>
      <c r="EH227" s="142"/>
      <c r="EN227" s="142"/>
      <c r="ET227" s="142"/>
      <c r="EZ227" s="142"/>
      <c r="FF227" s="142"/>
      <c r="FL227" s="142"/>
      <c r="FR227" s="142"/>
      <c r="FX227" s="142"/>
      <c r="GD227" s="142"/>
      <c r="GJ227" s="142"/>
      <c r="GP227" s="142"/>
      <c r="GV227" s="142"/>
      <c r="HB227" s="142"/>
      <c r="HH227" s="142"/>
      <c r="HN227" s="142"/>
      <c r="HT227" s="142"/>
      <c r="HZ227" s="142"/>
    </row>
    <row r="228">
      <c r="F228" s="142"/>
      <c r="L228" s="142"/>
      <c r="R228" s="142"/>
      <c r="X228" s="142"/>
      <c r="AD228" s="142"/>
      <c r="AJ228" s="142"/>
      <c r="AP228" s="142"/>
      <c r="AV228" s="142"/>
      <c r="BA228" s="142"/>
      <c r="BH228" s="142"/>
      <c r="BN228" s="142"/>
      <c r="BT228" s="142"/>
      <c r="BZ228" s="142"/>
      <c r="CF228" s="142"/>
      <c r="CL228" s="142"/>
      <c r="CR228" s="142"/>
      <c r="CX228" s="142"/>
      <c r="DD228" s="142"/>
      <c r="DJ228" s="142"/>
      <c r="DP228" s="142"/>
      <c r="DV228" s="142"/>
      <c r="EB228" s="142"/>
      <c r="EH228" s="142"/>
      <c r="EN228" s="142"/>
      <c r="ET228" s="142"/>
      <c r="EZ228" s="142"/>
      <c r="FF228" s="142"/>
      <c r="FL228" s="142"/>
      <c r="FR228" s="142"/>
      <c r="FX228" s="142"/>
      <c r="GD228" s="142"/>
      <c r="GJ228" s="142"/>
      <c r="GP228" s="142"/>
      <c r="GV228" s="142"/>
      <c r="HB228" s="142"/>
      <c r="HH228" s="142"/>
      <c r="HN228" s="142"/>
      <c r="HT228" s="142"/>
      <c r="HZ228" s="142"/>
    </row>
    <row r="229">
      <c r="F229" s="142"/>
      <c r="L229" s="142"/>
      <c r="R229" s="142"/>
      <c r="X229" s="142"/>
      <c r="AD229" s="142"/>
      <c r="AJ229" s="142"/>
      <c r="AP229" s="142"/>
      <c r="AV229" s="142"/>
      <c r="BA229" s="142"/>
      <c r="BH229" s="142"/>
      <c r="BN229" s="142"/>
      <c r="BT229" s="142"/>
      <c r="BZ229" s="142"/>
      <c r="CF229" s="142"/>
      <c r="CL229" s="142"/>
      <c r="CR229" s="142"/>
      <c r="CX229" s="142"/>
      <c r="DD229" s="142"/>
      <c r="DJ229" s="142"/>
      <c r="DP229" s="142"/>
      <c r="DV229" s="142"/>
      <c r="EB229" s="142"/>
      <c r="EH229" s="142"/>
      <c r="EN229" s="142"/>
      <c r="ET229" s="142"/>
      <c r="EZ229" s="142"/>
      <c r="FF229" s="142"/>
      <c r="FL229" s="142"/>
      <c r="FR229" s="142"/>
      <c r="FX229" s="142"/>
      <c r="GD229" s="142"/>
      <c r="GJ229" s="142"/>
      <c r="GP229" s="142"/>
      <c r="GV229" s="142"/>
      <c r="HB229" s="142"/>
      <c r="HH229" s="142"/>
      <c r="HN229" s="142"/>
      <c r="HT229" s="142"/>
      <c r="HZ229" s="142"/>
    </row>
    <row r="230">
      <c r="F230" s="142"/>
      <c r="L230" s="142"/>
      <c r="R230" s="142"/>
      <c r="X230" s="142"/>
      <c r="AD230" s="142"/>
      <c r="AJ230" s="142"/>
      <c r="AP230" s="142"/>
      <c r="AV230" s="142"/>
      <c r="BA230" s="142"/>
      <c r="BH230" s="142"/>
      <c r="BN230" s="142"/>
      <c r="BT230" s="142"/>
      <c r="BZ230" s="142"/>
      <c r="CF230" s="142"/>
      <c r="CL230" s="142"/>
      <c r="CR230" s="142"/>
      <c r="CX230" s="142"/>
      <c r="DD230" s="142"/>
      <c r="DJ230" s="142"/>
      <c r="DP230" s="142"/>
      <c r="DV230" s="142"/>
      <c r="EB230" s="142"/>
      <c r="EH230" s="142"/>
      <c r="EN230" s="142"/>
      <c r="ET230" s="142"/>
      <c r="EZ230" s="142"/>
      <c r="FF230" s="142"/>
      <c r="FL230" s="142"/>
      <c r="FR230" s="142"/>
      <c r="FX230" s="142"/>
      <c r="GD230" s="142"/>
      <c r="GJ230" s="142"/>
      <c r="GP230" s="142"/>
      <c r="GV230" s="142"/>
      <c r="HB230" s="142"/>
      <c r="HH230" s="142"/>
      <c r="HN230" s="142"/>
      <c r="HT230" s="142"/>
      <c r="HZ230" s="142"/>
    </row>
    <row r="231">
      <c r="F231" s="142"/>
      <c r="L231" s="142"/>
      <c r="R231" s="142"/>
      <c r="X231" s="142"/>
      <c r="AD231" s="142"/>
      <c r="AJ231" s="142"/>
      <c r="AP231" s="142"/>
      <c r="AV231" s="142"/>
      <c r="BA231" s="142"/>
      <c r="BH231" s="142"/>
      <c r="BN231" s="142"/>
      <c r="BT231" s="142"/>
      <c r="BZ231" s="142"/>
      <c r="CF231" s="142"/>
      <c r="CL231" s="142"/>
      <c r="CR231" s="142"/>
      <c r="CX231" s="142"/>
      <c r="DD231" s="142"/>
      <c r="DJ231" s="142"/>
      <c r="DP231" s="142"/>
      <c r="DV231" s="142"/>
      <c r="EB231" s="142"/>
      <c r="EH231" s="142"/>
      <c r="EN231" s="142"/>
      <c r="ET231" s="142"/>
      <c r="EZ231" s="142"/>
      <c r="FF231" s="142"/>
      <c r="FL231" s="142"/>
      <c r="FR231" s="142"/>
      <c r="FX231" s="142"/>
      <c r="GD231" s="142"/>
      <c r="GJ231" s="142"/>
      <c r="GP231" s="142"/>
      <c r="GV231" s="142"/>
      <c r="HB231" s="142"/>
      <c r="HH231" s="142"/>
      <c r="HN231" s="142"/>
      <c r="HT231" s="142"/>
      <c r="HZ231" s="142"/>
    </row>
    <row r="232">
      <c r="F232" s="142"/>
      <c r="L232" s="142"/>
      <c r="R232" s="142"/>
      <c r="X232" s="142"/>
      <c r="AD232" s="142"/>
      <c r="AJ232" s="142"/>
      <c r="AP232" s="142"/>
      <c r="AV232" s="142"/>
      <c r="BA232" s="142"/>
      <c r="BH232" s="142"/>
      <c r="BN232" s="142"/>
      <c r="BT232" s="142"/>
      <c r="BZ232" s="142"/>
      <c r="CF232" s="142"/>
      <c r="CL232" s="142"/>
      <c r="CR232" s="142"/>
      <c r="CX232" s="142"/>
      <c r="DD232" s="142"/>
      <c r="DJ232" s="142"/>
      <c r="DP232" s="142"/>
      <c r="DV232" s="142"/>
      <c r="EB232" s="142"/>
      <c r="EH232" s="142"/>
      <c r="EN232" s="142"/>
      <c r="ET232" s="142"/>
      <c r="EZ232" s="142"/>
      <c r="FF232" s="142"/>
      <c r="FL232" s="142"/>
      <c r="FR232" s="142"/>
      <c r="FX232" s="142"/>
      <c r="GD232" s="142"/>
      <c r="GJ232" s="142"/>
      <c r="GP232" s="142"/>
      <c r="GV232" s="142"/>
      <c r="HB232" s="142"/>
      <c r="HH232" s="142"/>
      <c r="HN232" s="142"/>
      <c r="HT232" s="142"/>
      <c r="HZ232" s="142"/>
    </row>
    <row r="233">
      <c r="F233" s="142"/>
      <c r="L233" s="142"/>
      <c r="R233" s="142"/>
      <c r="X233" s="142"/>
      <c r="AD233" s="142"/>
      <c r="AJ233" s="142"/>
      <c r="AP233" s="142"/>
      <c r="AV233" s="142"/>
      <c r="BA233" s="142"/>
      <c r="BH233" s="142"/>
      <c r="BN233" s="142"/>
      <c r="BT233" s="142"/>
      <c r="BZ233" s="142"/>
      <c r="CF233" s="142"/>
      <c r="CL233" s="142"/>
      <c r="CR233" s="142"/>
      <c r="CX233" s="142"/>
      <c r="DD233" s="142"/>
      <c r="DJ233" s="142"/>
      <c r="DP233" s="142"/>
      <c r="DV233" s="142"/>
      <c r="EB233" s="142"/>
      <c r="EH233" s="142"/>
      <c r="EN233" s="142"/>
      <c r="ET233" s="142"/>
      <c r="EZ233" s="142"/>
      <c r="FF233" s="142"/>
      <c r="FL233" s="142"/>
      <c r="FR233" s="142"/>
      <c r="FX233" s="142"/>
      <c r="GD233" s="142"/>
      <c r="GJ233" s="142"/>
      <c r="GP233" s="142"/>
      <c r="GV233" s="142"/>
      <c r="HB233" s="142"/>
      <c r="HH233" s="142"/>
      <c r="HN233" s="142"/>
      <c r="HT233" s="142"/>
      <c r="HZ233" s="142"/>
    </row>
    <row r="234">
      <c r="F234" s="142"/>
      <c r="L234" s="142"/>
      <c r="R234" s="142"/>
      <c r="X234" s="142"/>
      <c r="AD234" s="142"/>
      <c r="AJ234" s="142"/>
      <c r="AP234" s="142"/>
      <c r="AV234" s="142"/>
      <c r="BA234" s="142"/>
      <c r="BH234" s="142"/>
      <c r="BN234" s="142"/>
      <c r="BT234" s="142"/>
      <c r="BZ234" s="142"/>
      <c r="CF234" s="142"/>
      <c r="CL234" s="142"/>
      <c r="CR234" s="142"/>
      <c r="CX234" s="142"/>
      <c r="DD234" s="142"/>
      <c r="DJ234" s="142"/>
      <c r="DP234" s="142"/>
      <c r="DV234" s="142"/>
      <c r="EB234" s="142"/>
      <c r="EH234" s="142"/>
      <c r="EN234" s="142"/>
      <c r="ET234" s="142"/>
      <c r="EZ234" s="142"/>
      <c r="FF234" s="142"/>
      <c r="FL234" s="142"/>
      <c r="FR234" s="142"/>
      <c r="FX234" s="142"/>
      <c r="GD234" s="142"/>
      <c r="GJ234" s="142"/>
      <c r="GP234" s="142"/>
      <c r="GV234" s="142"/>
      <c r="HB234" s="142"/>
      <c r="HH234" s="142"/>
      <c r="HN234" s="142"/>
      <c r="HT234" s="142"/>
      <c r="HZ234" s="142"/>
    </row>
    <row r="235">
      <c r="F235" s="142"/>
      <c r="L235" s="142"/>
      <c r="R235" s="142"/>
      <c r="X235" s="142"/>
      <c r="AD235" s="142"/>
      <c r="AJ235" s="142"/>
      <c r="AP235" s="142"/>
      <c r="AV235" s="142"/>
      <c r="BA235" s="142"/>
      <c r="BH235" s="142"/>
      <c r="BN235" s="142"/>
      <c r="BT235" s="142"/>
      <c r="BZ235" s="142"/>
      <c r="CF235" s="142"/>
      <c r="CL235" s="142"/>
      <c r="CR235" s="142"/>
      <c r="CX235" s="142"/>
      <c r="DD235" s="142"/>
      <c r="DJ235" s="142"/>
      <c r="DP235" s="142"/>
      <c r="DV235" s="142"/>
      <c r="EB235" s="142"/>
      <c r="EH235" s="142"/>
      <c r="EN235" s="142"/>
      <c r="ET235" s="142"/>
      <c r="EZ235" s="142"/>
      <c r="FF235" s="142"/>
      <c r="FL235" s="142"/>
      <c r="FR235" s="142"/>
      <c r="FX235" s="142"/>
      <c r="GD235" s="142"/>
      <c r="GJ235" s="142"/>
      <c r="GP235" s="142"/>
      <c r="GV235" s="142"/>
      <c r="HB235" s="142"/>
      <c r="HH235" s="142"/>
      <c r="HN235" s="142"/>
      <c r="HT235" s="142"/>
      <c r="HZ235" s="142"/>
    </row>
    <row r="236">
      <c r="F236" s="142"/>
      <c r="L236" s="142"/>
      <c r="R236" s="142"/>
      <c r="X236" s="142"/>
      <c r="AD236" s="142"/>
      <c r="AJ236" s="142"/>
      <c r="AP236" s="142"/>
      <c r="AV236" s="142"/>
      <c r="BA236" s="142"/>
      <c r="BH236" s="142"/>
      <c r="BN236" s="142"/>
      <c r="BT236" s="142"/>
      <c r="BZ236" s="142"/>
      <c r="CF236" s="142"/>
      <c r="CL236" s="142"/>
      <c r="CR236" s="142"/>
      <c r="CX236" s="142"/>
      <c r="DD236" s="142"/>
      <c r="DJ236" s="142"/>
      <c r="DP236" s="142"/>
      <c r="DV236" s="142"/>
      <c r="EB236" s="142"/>
      <c r="EH236" s="142"/>
      <c r="EN236" s="142"/>
      <c r="ET236" s="142"/>
      <c r="EZ236" s="142"/>
      <c r="FF236" s="142"/>
      <c r="FL236" s="142"/>
      <c r="FR236" s="142"/>
      <c r="FX236" s="142"/>
      <c r="GD236" s="142"/>
      <c r="GJ236" s="142"/>
      <c r="GP236" s="142"/>
      <c r="GV236" s="142"/>
      <c r="HB236" s="142"/>
      <c r="HH236" s="142"/>
      <c r="HN236" s="142"/>
      <c r="HT236" s="142"/>
      <c r="HZ236" s="142"/>
    </row>
    <row r="237">
      <c r="F237" s="142"/>
      <c r="L237" s="142"/>
      <c r="R237" s="142"/>
      <c r="X237" s="142"/>
      <c r="AD237" s="142"/>
      <c r="AJ237" s="142"/>
      <c r="AP237" s="142"/>
      <c r="AV237" s="142"/>
      <c r="BA237" s="142"/>
      <c r="BH237" s="142"/>
      <c r="BN237" s="142"/>
      <c r="BT237" s="142"/>
      <c r="BZ237" s="142"/>
      <c r="CF237" s="142"/>
      <c r="CL237" s="142"/>
      <c r="CR237" s="142"/>
      <c r="CX237" s="142"/>
      <c r="DD237" s="142"/>
      <c r="DJ237" s="142"/>
      <c r="DP237" s="142"/>
      <c r="DV237" s="142"/>
      <c r="EB237" s="142"/>
      <c r="EH237" s="142"/>
      <c r="EN237" s="142"/>
      <c r="ET237" s="142"/>
      <c r="EZ237" s="142"/>
      <c r="FF237" s="142"/>
      <c r="FL237" s="142"/>
      <c r="FR237" s="142"/>
      <c r="FX237" s="142"/>
      <c r="GD237" s="142"/>
      <c r="GJ237" s="142"/>
      <c r="GP237" s="142"/>
      <c r="GV237" s="142"/>
      <c r="HB237" s="142"/>
      <c r="HH237" s="142"/>
      <c r="HN237" s="142"/>
      <c r="HT237" s="142"/>
      <c r="HZ237" s="142"/>
    </row>
    <row r="238">
      <c r="F238" s="142"/>
      <c r="L238" s="142"/>
      <c r="R238" s="142"/>
      <c r="X238" s="142"/>
      <c r="AD238" s="142"/>
      <c r="AJ238" s="142"/>
      <c r="AP238" s="142"/>
      <c r="AV238" s="142"/>
      <c r="BA238" s="142"/>
      <c r="BH238" s="142"/>
      <c r="BN238" s="142"/>
      <c r="BT238" s="142"/>
      <c r="BZ238" s="142"/>
      <c r="CF238" s="142"/>
      <c r="CL238" s="142"/>
      <c r="CR238" s="142"/>
      <c r="CX238" s="142"/>
      <c r="DD238" s="142"/>
      <c r="DJ238" s="142"/>
      <c r="DP238" s="142"/>
      <c r="DV238" s="142"/>
      <c r="EB238" s="142"/>
      <c r="EH238" s="142"/>
      <c r="EN238" s="142"/>
      <c r="ET238" s="142"/>
      <c r="EZ238" s="142"/>
      <c r="FF238" s="142"/>
      <c r="FL238" s="142"/>
      <c r="FR238" s="142"/>
      <c r="FX238" s="142"/>
      <c r="GD238" s="142"/>
      <c r="GJ238" s="142"/>
      <c r="GP238" s="142"/>
      <c r="GV238" s="142"/>
      <c r="HB238" s="142"/>
      <c r="HH238" s="142"/>
      <c r="HN238" s="142"/>
      <c r="HT238" s="142"/>
      <c r="HZ238" s="142"/>
    </row>
    <row r="239">
      <c r="F239" s="142"/>
      <c r="L239" s="142"/>
      <c r="R239" s="142"/>
      <c r="X239" s="142"/>
      <c r="AD239" s="142"/>
      <c r="AJ239" s="142"/>
      <c r="AP239" s="142"/>
      <c r="AV239" s="142"/>
      <c r="BA239" s="142"/>
      <c r="BH239" s="142"/>
      <c r="BN239" s="142"/>
      <c r="BT239" s="142"/>
      <c r="BZ239" s="142"/>
      <c r="CF239" s="142"/>
      <c r="CL239" s="142"/>
      <c r="CR239" s="142"/>
      <c r="CX239" s="142"/>
      <c r="DD239" s="142"/>
      <c r="DJ239" s="142"/>
      <c r="DP239" s="142"/>
      <c r="DV239" s="142"/>
      <c r="EB239" s="142"/>
      <c r="EH239" s="142"/>
      <c r="EN239" s="142"/>
      <c r="ET239" s="142"/>
      <c r="EZ239" s="142"/>
      <c r="FF239" s="142"/>
      <c r="FL239" s="142"/>
      <c r="FR239" s="142"/>
      <c r="FX239" s="142"/>
      <c r="GD239" s="142"/>
      <c r="GJ239" s="142"/>
      <c r="GP239" s="142"/>
      <c r="GV239" s="142"/>
      <c r="HB239" s="142"/>
      <c r="HH239" s="142"/>
      <c r="HN239" s="142"/>
      <c r="HT239" s="142"/>
      <c r="HZ239" s="142"/>
    </row>
    <row r="240">
      <c r="F240" s="142"/>
      <c r="L240" s="142"/>
      <c r="R240" s="142"/>
      <c r="X240" s="142"/>
      <c r="AD240" s="142"/>
      <c r="AJ240" s="142"/>
      <c r="AP240" s="142"/>
      <c r="AV240" s="142"/>
      <c r="BA240" s="142"/>
      <c r="BH240" s="142"/>
      <c r="BN240" s="142"/>
      <c r="BT240" s="142"/>
      <c r="BZ240" s="142"/>
      <c r="CF240" s="142"/>
      <c r="CL240" s="142"/>
      <c r="CR240" s="142"/>
      <c r="CX240" s="142"/>
      <c r="DD240" s="142"/>
      <c r="DJ240" s="142"/>
      <c r="DP240" s="142"/>
      <c r="DV240" s="142"/>
      <c r="EB240" s="142"/>
      <c r="EH240" s="142"/>
      <c r="EN240" s="142"/>
      <c r="ET240" s="142"/>
      <c r="EZ240" s="142"/>
      <c r="FF240" s="142"/>
      <c r="FL240" s="142"/>
      <c r="FR240" s="142"/>
      <c r="FX240" s="142"/>
      <c r="GD240" s="142"/>
      <c r="GJ240" s="142"/>
      <c r="GP240" s="142"/>
      <c r="GV240" s="142"/>
      <c r="HB240" s="142"/>
      <c r="HH240" s="142"/>
      <c r="HN240" s="142"/>
      <c r="HT240" s="142"/>
      <c r="HZ240" s="142"/>
    </row>
    <row r="241">
      <c r="F241" s="142"/>
      <c r="L241" s="142"/>
      <c r="R241" s="142"/>
      <c r="X241" s="142"/>
      <c r="AD241" s="142"/>
      <c r="AJ241" s="142"/>
      <c r="AP241" s="142"/>
      <c r="AV241" s="142"/>
      <c r="BA241" s="142"/>
      <c r="BH241" s="142"/>
      <c r="BN241" s="142"/>
      <c r="BT241" s="142"/>
      <c r="BZ241" s="142"/>
      <c r="CF241" s="142"/>
      <c r="CL241" s="142"/>
      <c r="CR241" s="142"/>
      <c r="CX241" s="142"/>
      <c r="DD241" s="142"/>
      <c r="DJ241" s="142"/>
      <c r="DP241" s="142"/>
      <c r="DV241" s="142"/>
      <c r="EB241" s="142"/>
      <c r="EH241" s="142"/>
      <c r="EN241" s="142"/>
      <c r="ET241" s="142"/>
      <c r="EZ241" s="142"/>
      <c r="FF241" s="142"/>
      <c r="FL241" s="142"/>
      <c r="FR241" s="142"/>
      <c r="FX241" s="142"/>
      <c r="GD241" s="142"/>
      <c r="GJ241" s="142"/>
      <c r="GP241" s="142"/>
      <c r="GV241" s="142"/>
      <c r="HB241" s="142"/>
      <c r="HH241" s="142"/>
      <c r="HN241" s="142"/>
      <c r="HT241" s="142"/>
      <c r="HZ241" s="142"/>
    </row>
    <row r="242">
      <c r="F242" s="142"/>
      <c r="L242" s="142"/>
      <c r="R242" s="142"/>
      <c r="X242" s="142"/>
      <c r="AD242" s="142"/>
      <c r="AJ242" s="142"/>
      <c r="AP242" s="142"/>
      <c r="AV242" s="142"/>
      <c r="BA242" s="142"/>
      <c r="BH242" s="142"/>
      <c r="BN242" s="142"/>
      <c r="BT242" s="142"/>
      <c r="BZ242" s="142"/>
      <c r="CF242" s="142"/>
      <c r="CL242" s="142"/>
      <c r="CR242" s="142"/>
      <c r="CX242" s="142"/>
      <c r="DD242" s="142"/>
      <c r="DJ242" s="142"/>
      <c r="DP242" s="142"/>
      <c r="DV242" s="142"/>
      <c r="EB242" s="142"/>
      <c r="EH242" s="142"/>
      <c r="EN242" s="142"/>
      <c r="ET242" s="142"/>
      <c r="EZ242" s="142"/>
      <c r="FF242" s="142"/>
      <c r="FL242" s="142"/>
      <c r="FR242" s="142"/>
      <c r="FX242" s="142"/>
      <c r="GD242" s="142"/>
      <c r="GJ242" s="142"/>
      <c r="GP242" s="142"/>
      <c r="GV242" s="142"/>
      <c r="HB242" s="142"/>
      <c r="HH242" s="142"/>
      <c r="HN242" s="142"/>
      <c r="HT242" s="142"/>
      <c r="HZ242" s="142"/>
    </row>
    <row r="243">
      <c r="F243" s="142"/>
      <c r="L243" s="142"/>
      <c r="R243" s="142"/>
      <c r="X243" s="142"/>
      <c r="AD243" s="142"/>
      <c r="AJ243" s="142"/>
      <c r="AP243" s="142"/>
      <c r="AV243" s="142"/>
      <c r="BA243" s="142"/>
      <c r="BH243" s="142"/>
      <c r="BN243" s="142"/>
      <c r="BT243" s="142"/>
      <c r="BZ243" s="142"/>
      <c r="CF243" s="142"/>
      <c r="CL243" s="142"/>
      <c r="CR243" s="142"/>
      <c r="CX243" s="142"/>
      <c r="DD243" s="142"/>
      <c r="DJ243" s="142"/>
      <c r="DP243" s="142"/>
      <c r="DV243" s="142"/>
      <c r="EB243" s="142"/>
      <c r="EH243" s="142"/>
      <c r="EN243" s="142"/>
      <c r="ET243" s="142"/>
      <c r="EZ243" s="142"/>
      <c r="FF243" s="142"/>
      <c r="FL243" s="142"/>
      <c r="FR243" s="142"/>
      <c r="FX243" s="142"/>
      <c r="GD243" s="142"/>
      <c r="GJ243" s="142"/>
      <c r="GP243" s="142"/>
      <c r="GV243" s="142"/>
      <c r="HB243" s="142"/>
      <c r="HH243" s="142"/>
      <c r="HN243" s="142"/>
      <c r="HT243" s="142"/>
      <c r="HZ243" s="142"/>
    </row>
    <row r="244">
      <c r="F244" s="142"/>
      <c r="L244" s="142"/>
      <c r="R244" s="142"/>
      <c r="X244" s="142"/>
      <c r="AD244" s="142"/>
      <c r="AJ244" s="142"/>
      <c r="AP244" s="142"/>
      <c r="AV244" s="142"/>
      <c r="BA244" s="142"/>
      <c r="BH244" s="142"/>
      <c r="BN244" s="142"/>
      <c r="BT244" s="142"/>
      <c r="BZ244" s="142"/>
      <c r="CF244" s="142"/>
      <c r="CL244" s="142"/>
      <c r="CR244" s="142"/>
      <c r="CX244" s="142"/>
      <c r="DD244" s="142"/>
      <c r="DJ244" s="142"/>
      <c r="DP244" s="142"/>
      <c r="DV244" s="142"/>
      <c r="EB244" s="142"/>
      <c r="EH244" s="142"/>
      <c r="EN244" s="142"/>
      <c r="ET244" s="142"/>
      <c r="EZ244" s="142"/>
      <c r="FF244" s="142"/>
      <c r="FL244" s="142"/>
      <c r="FR244" s="142"/>
      <c r="FX244" s="142"/>
      <c r="GD244" s="142"/>
      <c r="GJ244" s="142"/>
      <c r="GP244" s="142"/>
      <c r="GV244" s="142"/>
      <c r="HB244" s="142"/>
      <c r="HH244" s="142"/>
      <c r="HN244" s="142"/>
      <c r="HT244" s="142"/>
      <c r="HZ244" s="142"/>
    </row>
    <row r="245">
      <c r="F245" s="142"/>
      <c r="L245" s="142"/>
      <c r="R245" s="142"/>
      <c r="X245" s="142"/>
      <c r="AD245" s="142"/>
      <c r="AJ245" s="142"/>
      <c r="AP245" s="142"/>
      <c r="AV245" s="142"/>
      <c r="BA245" s="142"/>
      <c r="BH245" s="142"/>
      <c r="BN245" s="142"/>
      <c r="BT245" s="142"/>
      <c r="BZ245" s="142"/>
      <c r="CF245" s="142"/>
      <c r="CL245" s="142"/>
      <c r="CR245" s="142"/>
      <c r="CX245" s="142"/>
      <c r="DD245" s="142"/>
      <c r="DJ245" s="142"/>
      <c r="DP245" s="142"/>
      <c r="DV245" s="142"/>
      <c r="EB245" s="142"/>
      <c r="EH245" s="142"/>
      <c r="EN245" s="142"/>
      <c r="ET245" s="142"/>
      <c r="EZ245" s="142"/>
      <c r="FF245" s="142"/>
      <c r="FL245" s="142"/>
      <c r="FR245" s="142"/>
      <c r="FX245" s="142"/>
      <c r="GD245" s="142"/>
      <c r="GJ245" s="142"/>
      <c r="GP245" s="142"/>
      <c r="GV245" s="142"/>
      <c r="HB245" s="142"/>
      <c r="HH245" s="142"/>
      <c r="HN245" s="142"/>
      <c r="HT245" s="142"/>
      <c r="HZ245" s="142"/>
    </row>
    <row r="246">
      <c r="F246" s="142"/>
      <c r="L246" s="142"/>
      <c r="R246" s="142"/>
      <c r="X246" s="142"/>
      <c r="AD246" s="142"/>
      <c r="AJ246" s="142"/>
      <c r="AP246" s="142"/>
      <c r="AV246" s="142"/>
      <c r="BA246" s="142"/>
      <c r="BH246" s="142"/>
      <c r="BN246" s="142"/>
      <c r="BT246" s="142"/>
      <c r="BZ246" s="142"/>
      <c r="CF246" s="142"/>
      <c r="CL246" s="142"/>
      <c r="CR246" s="142"/>
      <c r="CX246" s="142"/>
      <c r="DD246" s="142"/>
      <c r="DJ246" s="142"/>
      <c r="DP246" s="142"/>
      <c r="DV246" s="142"/>
      <c r="EB246" s="142"/>
      <c r="EH246" s="142"/>
      <c r="EN246" s="142"/>
      <c r="ET246" s="142"/>
      <c r="EZ246" s="142"/>
      <c r="FF246" s="142"/>
      <c r="FL246" s="142"/>
      <c r="FR246" s="142"/>
      <c r="FX246" s="142"/>
      <c r="GD246" s="142"/>
      <c r="GJ246" s="142"/>
      <c r="GP246" s="142"/>
      <c r="GV246" s="142"/>
      <c r="HB246" s="142"/>
      <c r="HH246" s="142"/>
      <c r="HN246" s="142"/>
      <c r="HT246" s="142"/>
      <c r="HZ246" s="142"/>
    </row>
    <row r="247">
      <c r="F247" s="142"/>
      <c r="L247" s="142"/>
      <c r="R247" s="142"/>
      <c r="X247" s="142"/>
      <c r="AD247" s="142"/>
      <c r="AJ247" s="142"/>
      <c r="AP247" s="142"/>
      <c r="AV247" s="142"/>
      <c r="BA247" s="142"/>
      <c r="BH247" s="142"/>
      <c r="BN247" s="142"/>
      <c r="BT247" s="142"/>
      <c r="BZ247" s="142"/>
      <c r="CF247" s="142"/>
      <c r="CL247" s="142"/>
      <c r="CR247" s="142"/>
      <c r="CX247" s="142"/>
      <c r="DD247" s="142"/>
      <c r="DJ247" s="142"/>
      <c r="DP247" s="142"/>
      <c r="DV247" s="142"/>
      <c r="EB247" s="142"/>
      <c r="EH247" s="142"/>
      <c r="EN247" s="142"/>
      <c r="ET247" s="142"/>
      <c r="EZ247" s="142"/>
      <c r="FF247" s="142"/>
      <c r="FL247" s="142"/>
      <c r="FR247" s="142"/>
      <c r="FX247" s="142"/>
      <c r="GD247" s="142"/>
      <c r="GJ247" s="142"/>
      <c r="GP247" s="142"/>
      <c r="GV247" s="142"/>
      <c r="HB247" s="142"/>
      <c r="HH247" s="142"/>
      <c r="HN247" s="142"/>
      <c r="HT247" s="142"/>
      <c r="HZ247" s="142"/>
    </row>
    <row r="248">
      <c r="F248" s="142"/>
      <c r="L248" s="142"/>
      <c r="R248" s="142"/>
      <c r="X248" s="142"/>
      <c r="AD248" s="142"/>
      <c r="AJ248" s="142"/>
      <c r="AP248" s="142"/>
      <c r="AV248" s="142"/>
      <c r="BA248" s="142"/>
      <c r="BH248" s="142"/>
      <c r="BN248" s="142"/>
      <c r="BT248" s="142"/>
      <c r="BZ248" s="142"/>
      <c r="CF248" s="142"/>
      <c r="CL248" s="142"/>
      <c r="CR248" s="142"/>
      <c r="CX248" s="142"/>
      <c r="DD248" s="142"/>
      <c r="DJ248" s="142"/>
      <c r="DP248" s="142"/>
      <c r="DV248" s="142"/>
      <c r="EB248" s="142"/>
      <c r="EH248" s="142"/>
      <c r="EN248" s="142"/>
      <c r="ET248" s="142"/>
      <c r="EZ248" s="142"/>
      <c r="FF248" s="142"/>
      <c r="FL248" s="142"/>
      <c r="FR248" s="142"/>
      <c r="FX248" s="142"/>
      <c r="GD248" s="142"/>
      <c r="GJ248" s="142"/>
      <c r="GP248" s="142"/>
      <c r="GV248" s="142"/>
      <c r="HB248" s="142"/>
      <c r="HH248" s="142"/>
      <c r="HN248" s="142"/>
      <c r="HT248" s="142"/>
      <c r="HZ248" s="142"/>
    </row>
    <row r="249">
      <c r="F249" s="142"/>
      <c r="L249" s="142"/>
      <c r="R249" s="142"/>
      <c r="X249" s="142"/>
      <c r="AD249" s="142"/>
      <c r="AJ249" s="142"/>
      <c r="AP249" s="142"/>
      <c r="AV249" s="142"/>
      <c r="BA249" s="142"/>
      <c r="BH249" s="142"/>
      <c r="BN249" s="142"/>
      <c r="BT249" s="142"/>
      <c r="BZ249" s="142"/>
      <c r="CF249" s="142"/>
      <c r="CL249" s="142"/>
      <c r="CR249" s="142"/>
      <c r="CX249" s="142"/>
      <c r="DD249" s="142"/>
      <c r="DJ249" s="142"/>
      <c r="DP249" s="142"/>
      <c r="DV249" s="142"/>
      <c r="EB249" s="142"/>
      <c r="EH249" s="142"/>
      <c r="EN249" s="142"/>
      <c r="ET249" s="142"/>
      <c r="EZ249" s="142"/>
      <c r="FF249" s="142"/>
      <c r="FL249" s="142"/>
      <c r="FR249" s="142"/>
      <c r="FX249" s="142"/>
      <c r="GD249" s="142"/>
      <c r="GJ249" s="142"/>
      <c r="GP249" s="142"/>
      <c r="GV249" s="142"/>
      <c r="HB249" s="142"/>
      <c r="HH249" s="142"/>
      <c r="HN249" s="142"/>
      <c r="HT249" s="142"/>
      <c r="HZ249" s="142"/>
    </row>
    <row r="250">
      <c r="F250" s="142"/>
      <c r="L250" s="142"/>
      <c r="R250" s="142"/>
      <c r="X250" s="142"/>
      <c r="AD250" s="142"/>
      <c r="AJ250" s="142"/>
      <c r="AP250" s="142"/>
      <c r="AV250" s="142"/>
      <c r="BA250" s="142"/>
      <c r="BH250" s="142"/>
      <c r="BN250" s="142"/>
      <c r="BT250" s="142"/>
      <c r="BZ250" s="142"/>
      <c r="CF250" s="142"/>
      <c r="CL250" s="142"/>
      <c r="CR250" s="142"/>
      <c r="CX250" s="142"/>
      <c r="DD250" s="142"/>
      <c r="DJ250" s="142"/>
      <c r="DP250" s="142"/>
      <c r="DV250" s="142"/>
      <c r="EB250" s="142"/>
      <c r="EH250" s="142"/>
      <c r="EN250" s="142"/>
      <c r="ET250" s="142"/>
      <c r="EZ250" s="142"/>
      <c r="FF250" s="142"/>
      <c r="FL250" s="142"/>
      <c r="FR250" s="142"/>
      <c r="FX250" s="142"/>
      <c r="GD250" s="142"/>
      <c r="GJ250" s="142"/>
      <c r="GP250" s="142"/>
      <c r="GV250" s="142"/>
      <c r="HB250" s="142"/>
      <c r="HH250" s="142"/>
      <c r="HN250" s="142"/>
      <c r="HT250" s="142"/>
      <c r="HZ250" s="142"/>
    </row>
    <row r="251">
      <c r="F251" s="142"/>
      <c r="L251" s="142"/>
      <c r="R251" s="142"/>
      <c r="X251" s="142"/>
      <c r="AD251" s="142"/>
      <c r="AJ251" s="142"/>
      <c r="AP251" s="142"/>
      <c r="AV251" s="142"/>
      <c r="BA251" s="142"/>
      <c r="BH251" s="142"/>
      <c r="BN251" s="142"/>
      <c r="BT251" s="142"/>
      <c r="BZ251" s="142"/>
      <c r="CF251" s="142"/>
      <c r="CL251" s="142"/>
      <c r="CR251" s="142"/>
      <c r="CX251" s="142"/>
      <c r="DD251" s="142"/>
      <c r="DJ251" s="142"/>
      <c r="DP251" s="142"/>
      <c r="DV251" s="142"/>
      <c r="EB251" s="142"/>
      <c r="EH251" s="142"/>
      <c r="EN251" s="142"/>
      <c r="ET251" s="142"/>
      <c r="EZ251" s="142"/>
      <c r="FF251" s="142"/>
      <c r="FL251" s="142"/>
      <c r="FR251" s="142"/>
      <c r="FX251" s="142"/>
      <c r="GD251" s="142"/>
      <c r="GJ251" s="142"/>
      <c r="GP251" s="142"/>
      <c r="GV251" s="142"/>
      <c r="HB251" s="142"/>
      <c r="HH251" s="142"/>
      <c r="HN251" s="142"/>
      <c r="HT251" s="142"/>
      <c r="HZ251" s="142"/>
    </row>
    <row r="252">
      <c r="F252" s="142"/>
      <c r="L252" s="142"/>
      <c r="R252" s="142"/>
      <c r="X252" s="142"/>
      <c r="AD252" s="142"/>
      <c r="AJ252" s="142"/>
      <c r="AP252" s="142"/>
      <c r="AV252" s="142"/>
      <c r="BA252" s="142"/>
      <c r="BH252" s="142"/>
      <c r="BN252" s="142"/>
      <c r="BT252" s="142"/>
      <c r="BZ252" s="142"/>
      <c r="CF252" s="142"/>
      <c r="CL252" s="142"/>
      <c r="CR252" s="142"/>
      <c r="CX252" s="142"/>
      <c r="DD252" s="142"/>
      <c r="DJ252" s="142"/>
      <c r="DP252" s="142"/>
      <c r="DV252" s="142"/>
      <c r="EB252" s="142"/>
      <c r="EH252" s="142"/>
      <c r="EN252" s="142"/>
      <c r="ET252" s="142"/>
      <c r="EZ252" s="142"/>
      <c r="FF252" s="142"/>
      <c r="FL252" s="142"/>
      <c r="FR252" s="142"/>
      <c r="FX252" s="142"/>
      <c r="GD252" s="142"/>
      <c r="GJ252" s="142"/>
      <c r="GP252" s="142"/>
      <c r="GV252" s="142"/>
      <c r="HB252" s="142"/>
      <c r="HH252" s="142"/>
      <c r="HN252" s="142"/>
      <c r="HT252" s="142"/>
      <c r="HZ252" s="142"/>
    </row>
    <row r="253">
      <c r="F253" s="142"/>
      <c r="L253" s="142"/>
      <c r="R253" s="142"/>
      <c r="X253" s="142"/>
      <c r="AD253" s="142"/>
      <c r="AJ253" s="142"/>
      <c r="AP253" s="142"/>
      <c r="AV253" s="142"/>
      <c r="BA253" s="142"/>
      <c r="BH253" s="142"/>
      <c r="BN253" s="142"/>
      <c r="BT253" s="142"/>
      <c r="BZ253" s="142"/>
      <c r="CF253" s="142"/>
      <c r="CL253" s="142"/>
      <c r="CR253" s="142"/>
      <c r="CX253" s="142"/>
      <c r="DD253" s="142"/>
      <c r="DJ253" s="142"/>
      <c r="DP253" s="142"/>
      <c r="DV253" s="142"/>
      <c r="EB253" s="142"/>
      <c r="EH253" s="142"/>
      <c r="EN253" s="142"/>
      <c r="ET253" s="142"/>
      <c r="EZ253" s="142"/>
      <c r="FF253" s="142"/>
      <c r="FL253" s="142"/>
      <c r="FR253" s="142"/>
      <c r="FX253" s="142"/>
      <c r="GD253" s="142"/>
      <c r="GJ253" s="142"/>
      <c r="GP253" s="142"/>
      <c r="GV253" s="142"/>
      <c r="HB253" s="142"/>
      <c r="HH253" s="142"/>
      <c r="HN253" s="142"/>
      <c r="HT253" s="142"/>
      <c r="HZ253" s="142"/>
    </row>
    <row r="254">
      <c r="F254" s="142"/>
      <c r="L254" s="142"/>
      <c r="R254" s="142"/>
      <c r="X254" s="142"/>
      <c r="AD254" s="142"/>
      <c r="AJ254" s="142"/>
      <c r="AP254" s="142"/>
      <c r="AV254" s="142"/>
      <c r="BA254" s="142"/>
      <c r="BH254" s="142"/>
      <c r="BN254" s="142"/>
      <c r="BT254" s="142"/>
      <c r="BZ254" s="142"/>
      <c r="CF254" s="142"/>
      <c r="CL254" s="142"/>
      <c r="CR254" s="142"/>
      <c r="CX254" s="142"/>
      <c r="DD254" s="142"/>
      <c r="DJ254" s="142"/>
      <c r="DP254" s="142"/>
      <c r="DV254" s="142"/>
      <c r="EB254" s="142"/>
      <c r="EH254" s="142"/>
      <c r="EN254" s="142"/>
      <c r="ET254" s="142"/>
      <c r="EZ254" s="142"/>
      <c r="FF254" s="142"/>
      <c r="FL254" s="142"/>
      <c r="FR254" s="142"/>
      <c r="FX254" s="142"/>
      <c r="GD254" s="142"/>
      <c r="GJ254" s="142"/>
      <c r="GP254" s="142"/>
      <c r="GV254" s="142"/>
      <c r="HB254" s="142"/>
      <c r="HH254" s="142"/>
      <c r="HN254" s="142"/>
      <c r="HT254" s="142"/>
      <c r="HZ254" s="142"/>
    </row>
    <row r="255">
      <c r="F255" s="142"/>
      <c r="L255" s="142"/>
      <c r="R255" s="142"/>
      <c r="X255" s="142"/>
      <c r="AD255" s="142"/>
      <c r="AJ255" s="142"/>
      <c r="AP255" s="142"/>
      <c r="AV255" s="142"/>
      <c r="BA255" s="142"/>
      <c r="BH255" s="142"/>
      <c r="BN255" s="142"/>
      <c r="BT255" s="142"/>
      <c r="BZ255" s="142"/>
      <c r="CF255" s="142"/>
      <c r="CL255" s="142"/>
      <c r="CR255" s="142"/>
      <c r="CX255" s="142"/>
      <c r="DD255" s="142"/>
      <c r="DJ255" s="142"/>
      <c r="DP255" s="142"/>
      <c r="DV255" s="142"/>
      <c r="EB255" s="142"/>
      <c r="EH255" s="142"/>
      <c r="EN255" s="142"/>
      <c r="ET255" s="142"/>
      <c r="EZ255" s="142"/>
      <c r="FF255" s="142"/>
      <c r="FL255" s="142"/>
      <c r="FR255" s="142"/>
      <c r="FX255" s="142"/>
      <c r="GD255" s="142"/>
      <c r="GJ255" s="142"/>
      <c r="GP255" s="142"/>
      <c r="GV255" s="142"/>
      <c r="HB255" s="142"/>
      <c r="HH255" s="142"/>
      <c r="HN255" s="142"/>
      <c r="HT255" s="142"/>
      <c r="HZ255" s="142"/>
    </row>
    <row r="256">
      <c r="F256" s="142"/>
      <c r="L256" s="142"/>
      <c r="R256" s="142"/>
      <c r="X256" s="142"/>
      <c r="AD256" s="142"/>
      <c r="AJ256" s="142"/>
      <c r="AP256" s="142"/>
      <c r="AV256" s="142"/>
      <c r="BA256" s="142"/>
      <c r="BH256" s="142"/>
      <c r="BN256" s="142"/>
      <c r="BT256" s="142"/>
      <c r="BZ256" s="142"/>
      <c r="CF256" s="142"/>
      <c r="CL256" s="142"/>
      <c r="CR256" s="142"/>
      <c r="CX256" s="142"/>
      <c r="DD256" s="142"/>
      <c r="DJ256" s="142"/>
      <c r="DP256" s="142"/>
      <c r="DV256" s="142"/>
      <c r="EB256" s="142"/>
      <c r="EH256" s="142"/>
      <c r="EN256" s="142"/>
      <c r="ET256" s="142"/>
      <c r="EZ256" s="142"/>
      <c r="FF256" s="142"/>
      <c r="FL256" s="142"/>
      <c r="FR256" s="142"/>
      <c r="FX256" s="142"/>
      <c r="GD256" s="142"/>
      <c r="GJ256" s="142"/>
      <c r="GP256" s="142"/>
      <c r="GV256" s="142"/>
      <c r="HB256" s="142"/>
      <c r="HH256" s="142"/>
      <c r="HN256" s="142"/>
      <c r="HT256" s="142"/>
      <c r="HZ256" s="142"/>
    </row>
    <row r="257">
      <c r="F257" s="142"/>
      <c r="L257" s="142"/>
      <c r="R257" s="142"/>
      <c r="X257" s="142"/>
      <c r="AD257" s="142"/>
      <c r="AJ257" s="142"/>
      <c r="AP257" s="142"/>
      <c r="AV257" s="142"/>
      <c r="BA257" s="142"/>
      <c r="BH257" s="142"/>
      <c r="BN257" s="142"/>
      <c r="BT257" s="142"/>
      <c r="BZ257" s="142"/>
      <c r="CF257" s="142"/>
      <c r="CL257" s="142"/>
      <c r="CR257" s="142"/>
      <c r="CX257" s="142"/>
      <c r="DD257" s="142"/>
      <c r="DJ257" s="142"/>
      <c r="DP257" s="142"/>
      <c r="DV257" s="142"/>
      <c r="EB257" s="142"/>
      <c r="EH257" s="142"/>
      <c r="EN257" s="142"/>
      <c r="ET257" s="142"/>
      <c r="EZ257" s="142"/>
      <c r="FF257" s="142"/>
      <c r="FL257" s="142"/>
      <c r="FR257" s="142"/>
      <c r="FX257" s="142"/>
      <c r="GD257" s="142"/>
      <c r="GJ257" s="142"/>
      <c r="GP257" s="142"/>
      <c r="GV257" s="142"/>
      <c r="HB257" s="142"/>
      <c r="HH257" s="142"/>
      <c r="HN257" s="142"/>
      <c r="HT257" s="142"/>
      <c r="HZ257" s="142"/>
    </row>
    <row r="258">
      <c r="F258" s="142"/>
      <c r="L258" s="142"/>
      <c r="R258" s="142"/>
      <c r="X258" s="142"/>
      <c r="AD258" s="142"/>
      <c r="AJ258" s="142"/>
      <c r="AP258" s="142"/>
      <c r="AV258" s="142"/>
      <c r="BA258" s="142"/>
      <c r="BH258" s="142"/>
      <c r="BN258" s="142"/>
      <c r="BT258" s="142"/>
      <c r="BZ258" s="142"/>
      <c r="CF258" s="142"/>
      <c r="CL258" s="142"/>
      <c r="CR258" s="142"/>
      <c r="CX258" s="142"/>
      <c r="DD258" s="142"/>
      <c r="DJ258" s="142"/>
      <c r="DP258" s="142"/>
      <c r="DV258" s="142"/>
      <c r="EB258" s="142"/>
      <c r="EH258" s="142"/>
      <c r="EN258" s="142"/>
      <c r="ET258" s="142"/>
      <c r="EZ258" s="142"/>
      <c r="FF258" s="142"/>
      <c r="FL258" s="142"/>
      <c r="FR258" s="142"/>
      <c r="FX258" s="142"/>
      <c r="GD258" s="142"/>
      <c r="GJ258" s="142"/>
      <c r="GP258" s="142"/>
      <c r="GV258" s="142"/>
      <c r="HB258" s="142"/>
      <c r="HH258" s="142"/>
      <c r="HN258" s="142"/>
      <c r="HT258" s="142"/>
      <c r="HZ258" s="142"/>
    </row>
    <row r="259">
      <c r="F259" s="142"/>
      <c r="L259" s="142"/>
      <c r="R259" s="142"/>
      <c r="X259" s="142"/>
      <c r="AD259" s="142"/>
      <c r="AJ259" s="142"/>
      <c r="AP259" s="142"/>
      <c r="AV259" s="142"/>
      <c r="BA259" s="142"/>
      <c r="BH259" s="142"/>
      <c r="BN259" s="142"/>
      <c r="BT259" s="142"/>
      <c r="BZ259" s="142"/>
      <c r="CF259" s="142"/>
      <c r="CL259" s="142"/>
      <c r="CR259" s="142"/>
      <c r="CX259" s="142"/>
      <c r="DD259" s="142"/>
      <c r="DJ259" s="142"/>
      <c r="DP259" s="142"/>
      <c r="DV259" s="142"/>
      <c r="EB259" s="142"/>
      <c r="EH259" s="142"/>
      <c r="EN259" s="142"/>
      <c r="ET259" s="142"/>
      <c r="EZ259" s="142"/>
      <c r="FF259" s="142"/>
      <c r="FL259" s="142"/>
      <c r="FR259" s="142"/>
      <c r="FX259" s="142"/>
      <c r="GD259" s="142"/>
      <c r="GJ259" s="142"/>
      <c r="GP259" s="142"/>
      <c r="GV259" s="142"/>
      <c r="HB259" s="142"/>
      <c r="HH259" s="142"/>
      <c r="HN259" s="142"/>
      <c r="HT259" s="142"/>
      <c r="HZ259" s="142"/>
    </row>
    <row r="260">
      <c r="F260" s="142"/>
      <c r="L260" s="142"/>
      <c r="R260" s="142"/>
      <c r="X260" s="142"/>
      <c r="AD260" s="142"/>
      <c r="AJ260" s="142"/>
      <c r="AP260" s="142"/>
      <c r="AV260" s="142"/>
      <c r="BA260" s="142"/>
      <c r="BH260" s="142"/>
      <c r="BN260" s="142"/>
      <c r="BT260" s="142"/>
      <c r="BZ260" s="142"/>
      <c r="CF260" s="142"/>
      <c r="CL260" s="142"/>
      <c r="CR260" s="142"/>
      <c r="CX260" s="142"/>
      <c r="DD260" s="142"/>
      <c r="DJ260" s="142"/>
      <c r="DP260" s="142"/>
      <c r="DV260" s="142"/>
      <c r="EB260" s="142"/>
      <c r="EH260" s="142"/>
      <c r="EN260" s="142"/>
      <c r="ET260" s="142"/>
      <c r="EZ260" s="142"/>
      <c r="FF260" s="142"/>
      <c r="FL260" s="142"/>
      <c r="FR260" s="142"/>
      <c r="FX260" s="142"/>
      <c r="GD260" s="142"/>
      <c r="GJ260" s="142"/>
      <c r="GP260" s="142"/>
      <c r="GV260" s="142"/>
      <c r="HB260" s="142"/>
      <c r="HH260" s="142"/>
      <c r="HN260" s="142"/>
      <c r="HT260" s="142"/>
      <c r="HZ260" s="142"/>
    </row>
    <row r="261">
      <c r="F261" s="142"/>
      <c r="L261" s="142"/>
      <c r="R261" s="142"/>
      <c r="X261" s="142"/>
      <c r="AD261" s="142"/>
      <c r="AJ261" s="142"/>
      <c r="AP261" s="142"/>
      <c r="AV261" s="142"/>
      <c r="BA261" s="142"/>
      <c r="BH261" s="142"/>
      <c r="BN261" s="142"/>
      <c r="BT261" s="142"/>
      <c r="BZ261" s="142"/>
      <c r="CF261" s="142"/>
      <c r="CL261" s="142"/>
      <c r="CR261" s="142"/>
      <c r="CX261" s="142"/>
      <c r="DD261" s="142"/>
      <c r="DJ261" s="142"/>
      <c r="DP261" s="142"/>
      <c r="DV261" s="142"/>
      <c r="EB261" s="142"/>
      <c r="EH261" s="142"/>
      <c r="EN261" s="142"/>
      <c r="ET261" s="142"/>
      <c r="EZ261" s="142"/>
      <c r="FF261" s="142"/>
      <c r="FL261" s="142"/>
      <c r="FR261" s="142"/>
      <c r="FX261" s="142"/>
      <c r="GD261" s="142"/>
      <c r="GJ261" s="142"/>
      <c r="GP261" s="142"/>
      <c r="GV261" s="142"/>
      <c r="HB261" s="142"/>
      <c r="HH261" s="142"/>
      <c r="HN261" s="142"/>
      <c r="HT261" s="142"/>
      <c r="HZ261" s="142"/>
    </row>
    <row r="262">
      <c r="F262" s="142"/>
      <c r="L262" s="142"/>
      <c r="R262" s="142"/>
      <c r="X262" s="142"/>
      <c r="AD262" s="142"/>
      <c r="AJ262" s="142"/>
      <c r="AP262" s="142"/>
      <c r="AV262" s="142"/>
      <c r="BA262" s="142"/>
      <c r="BH262" s="142"/>
      <c r="BN262" s="142"/>
      <c r="BT262" s="142"/>
      <c r="BZ262" s="142"/>
      <c r="CF262" s="142"/>
      <c r="CL262" s="142"/>
      <c r="CR262" s="142"/>
      <c r="CX262" s="142"/>
      <c r="DD262" s="142"/>
      <c r="DJ262" s="142"/>
      <c r="DP262" s="142"/>
      <c r="DV262" s="142"/>
      <c r="EB262" s="142"/>
      <c r="EH262" s="142"/>
      <c r="EN262" s="142"/>
      <c r="ET262" s="142"/>
      <c r="EZ262" s="142"/>
      <c r="FF262" s="142"/>
      <c r="FL262" s="142"/>
      <c r="FR262" s="142"/>
      <c r="FX262" s="142"/>
      <c r="GD262" s="142"/>
      <c r="GJ262" s="142"/>
      <c r="GP262" s="142"/>
      <c r="GV262" s="142"/>
      <c r="HB262" s="142"/>
      <c r="HH262" s="142"/>
      <c r="HN262" s="142"/>
      <c r="HT262" s="142"/>
      <c r="HZ262" s="142"/>
    </row>
    <row r="263">
      <c r="F263" s="142"/>
      <c r="L263" s="142"/>
      <c r="R263" s="142"/>
      <c r="X263" s="142"/>
      <c r="AD263" s="142"/>
      <c r="AJ263" s="142"/>
      <c r="AP263" s="142"/>
      <c r="AV263" s="142"/>
      <c r="BA263" s="142"/>
      <c r="BH263" s="142"/>
      <c r="BN263" s="142"/>
      <c r="BT263" s="142"/>
      <c r="BZ263" s="142"/>
      <c r="CF263" s="142"/>
      <c r="CL263" s="142"/>
      <c r="CR263" s="142"/>
      <c r="CX263" s="142"/>
      <c r="DD263" s="142"/>
      <c r="DJ263" s="142"/>
      <c r="DP263" s="142"/>
      <c r="DV263" s="142"/>
      <c r="EB263" s="142"/>
      <c r="EH263" s="142"/>
      <c r="EN263" s="142"/>
      <c r="ET263" s="142"/>
      <c r="EZ263" s="142"/>
      <c r="FF263" s="142"/>
      <c r="FL263" s="142"/>
      <c r="FR263" s="142"/>
      <c r="FX263" s="142"/>
      <c r="GD263" s="142"/>
      <c r="GJ263" s="142"/>
      <c r="GP263" s="142"/>
      <c r="GV263" s="142"/>
      <c r="HB263" s="142"/>
      <c r="HH263" s="142"/>
      <c r="HN263" s="142"/>
      <c r="HT263" s="142"/>
      <c r="HZ263" s="142"/>
    </row>
    <row r="264">
      <c r="F264" s="142"/>
      <c r="L264" s="142"/>
      <c r="R264" s="142"/>
      <c r="X264" s="142"/>
      <c r="AD264" s="142"/>
      <c r="AJ264" s="142"/>
      <c r="AP264" s="142"/>
      <c r="AV264" s="142"/>
      <c r="BA264" s="142"/>
      <c r="BH264" s="142"/>
      <c r="BN264" s="142"/>
      <c r="BT264" s="142"/>
      <c r="BZ264" s="142"/>
      <c r="CF264" s="142"/>
      <c r="CL264" s="142"/>
      <c r="CR264" s="142"/>
      <c r="CX264" s="142"/>
      <c r="DD264" s="142"/>
      <c r="DJ264" s="142"/>
      <c r="DP264" s="142"/>
      <c r="DV264" s="142"/>
      <c r="EB264" s="142"/>
      <c r="EH264" s="142"/>
      <c r="EN264" s="142"/>
      <c r="ET264" s="142"/>
      <c r="EZ264" s="142"/>
      <c r="FF264" s="142"/>
      <c r="FL264" s="142"/>
      <c r="FR264" s="142"/>
      <c r="FX264" s="142"/>
      <c r="GD264" s="142"/>
      <c r="GJ264" s="142"/>
      <c r="GP264" s="142"/>
      <c r="GV264" s="142"/>
      <c r="HB264" s="142"/>
      <c r="HH264" s="142"/>
      <c r="HN264" s="142"/>
      <c r="HT264" s="142"/>
      <c r="HZ264" s="142"/>
    </row>
    <row r="265">
      <c r="F265" s="142"/>
      <c r="L265" s="142"/>
      <c r="R265" s="142"/>
      <c r="X265" s="142"/>
      <c r="AD265" s="142"/>
      <c r="AJ265" s="142"/>
      <c r="AP265" s="142"/>
      <c r="AV265" s="142"/>
      <c r="BA265" s="142"/>
      <c r="BH265" s="142"/>
      <c r="BN265" s="142"/>
      <c r="BT265" s="142"/>
      <c r="BZ265" s="142"/>
      <c r="CF265" s="142"/>
      <c r="CL265" s="142"/>
      <c r="CR265" s="142"/>
      <c r="CX265" s="142"/>
      <c r="DD265" s="142"/>
      <c r="DJ265" s="142"/>
      <c r="DP265" s="142"/>
      <c r="DV265" s="142"/>
      <c r="EB265" s="142"/>
      <c r="EH265" s="142"/>
      <c r="EN265" s="142"/>
      <c r="ET265" s="142"/>
      <c r="EZ265" s="142"/>
      <c r="FF265" s="142"/>
      <c r="FL265" s="142"/>
      <c r="FR265" s="142"/>
      <c r="FX265" s="142"/>
      <c r="GD265" s="142"/>
      <c r="GJ265" s="142"/>
      <c r="GP265" s="142"/>
      <c r="GV265" s="142"/>
      <c r="HB265" s="142"/>
      <c r="HH265" s="142"/>
      <c r="HN265" s="142"/>
      <c r="HT265" s="142"/>
      <c r="HZ265" s="142"/>
    </row>
    <row r="266">
      <c r="F266" s="142"/>
      <c r="L266" s="142"/>
      <c r="R266" s="142"/>
      <c r="X266" s="142"/>
      <c r="AD266" s="142"/>
      <c r="AJ266" s="142"/>
      <c r="AP266" s="142"/>
      <c r="AV266" s="142"/>
      <c r="BA266" s="142"/>
      <c r="BH266" s="142"/>
      <c r="BN266" s="142"/>
      <c r="BT266" s="142"/>
      <c r="BZ266" s="142"/>
      <c r="CF266" s="142"/>
      <c r="CL266" s="142"/>
      <c r="CR266" s="142"/>
      <c r="CX266" s="142"/>
      <c r="DD266" s="142"/>
      <c r="DJ266" s="142"/>
      <c r="DP266" s="142"/>
      <c r="DV266" s="142"/>
      <c r="EB266" s="142"/>
      <c r="EH266" s="142"/>
      <c r="EN266" s="142"/>
      <c r="ET266" s="142"/>
      <c r="EZ266" s="142"/>
      <c r="FF266" s="142"/>
      <c r="FL266" s="142"/>
      <c r="FR266" s="142"/>
      <c r="FX266" s="142"/>
      <c r="GD266" s="142"/>
      <c r="GJ266" s="142"/>
      <c r="GP266" s="142"/>
      <c r="GV266" s="142"/>
      <c r="HB266" s="142"/>
      <c r="HH266" s="142"/>
      <c r="HN266" s="142"/>
      <c r="HT266" s="142"/>
      <c r="HZ266" s="142"/>
    </row>
    <row r="267">
      <c r="F267" s="142"/>
      <c r="L267" s="142"/>
      <c r="R267" s="142"/>
      <c r="X267" s="142"/>
      <c r="AD267" s="142"/>
      <c r="AJ267" s="142"/>
      <c r="AP267" s="142"/>
      <c r="AV267" s="142"/>
      <c r="BA267" s="142"/>
      <c r="BH267" s="142"/>
      <c r="BN267" s="142"/>
      <c r="BT267" s="142"/>
      <c r="BZ267" s="142"/>
      <c r="CF267" s="142"/>
      <c r="CL267" s="142"/>
      <c r="CR267" s="142"/>
      <c r="CX267" s="142"/>
      <c r="DD267" s="142"/>
      <c r="DJ267" s="142"/>
      <c r="DP267" s="142"/>
      <c r="DV267" s="142"/>
      <c r="EB267" s="142"/>
      <c r="EH267" s="142"/>
      <c r="EN267" s="142"/>
      <c r="ET267" s="142"/>
      <c r="EZ267" s="142"/>
      <c r="FF267" s="142"/>
      <c r="FL267" s="142"/>
      <c r="FR267" s="142"/>
      <c r="FX267" s="142"/>
      <c r="GD267" s="142"/>
      <c r="GJ267" s="142"/>
      <c r="GP267" s="142"/>
      <c r="GV267" s="142"/>
      <c r="HB267" s="142"/>
      <c r="HH267" s="142"/>
      <c r="HN267" s="142"/>
      <c r="HT267" s="142"/>
      <c r="HZ267" s="142"/>
    </row>
    <row r="268">
      <c r="F268" s="142"/>
      <c r="L268" s="142"/>
      <c r="R268" s="142"/>
      <c r="X268" s="142"/>
      <c r="AD268" s="142"/>
      <c r="AJ268" s="142"/>
      <c r="AP268" s="142"/>
      <c r="AV268" s="142"/>
      <c r="BA268" s="142"/>
      <c r="BH268" s="142"/>
      <c r="BN268" s="142"/>
      <c r="BT268" s="142"/>
      <c r="BZ268" s="142"/>
      <c r="CF268" s="142"/>
      <c r="CL268" s="142"/>
      <c r="CR268" s="142"/>
      <c r="CX268" s="142"/>
      <c r="DD268" s="142"/>
      <c r="DJ268" s="142"/>
      <c r="DP268" s="142"/>
      <c r="DV268" s="142"/>
      <c r="EB268" s="142"/>
      <c r="EH268" s="142"/>
      <c r="EN268" s="142"/>
      <c r="ET268" s="142"/>
      <c r="EZ268" s="142"/>
      <c r="FF268" s="142"/>
      <c r="FL268" s="142"/>
      <c r="FR268" s="142"/>
      <c r="FX268" s="142"/>
      <c r="GD268" s="142"/>
      <c r="GJ268" s="142"/>
      <c r="GP268" s="142"/>
      <c r="GV268" s="142"/>
      <c r="HB268" s="142"/>
      <c r="HH268" s="142"/>
      <c r="HN268" s="142"/>
      <c r="HT268" s="142"/>
      <c r="HZ268" s="142"/>
    </row>
    <row r="269">
      <c r="F269" s="142"/>
      <c r="L269" s="142"/>
      <c r="R269" s="142"/>
      <c r="X269" s="142"/>
      <c r="AD269" s="142"/>
      <c r="AJ269" s="142"/>
      <c r="AP269" s="142"/>
      <c r="AV269" s="142"/>
      <c r="BA269" s="142"/>
      <c r="BH269" s="142"/>
      <c r="BN269" s="142"/>
      <c r="BT269" s="142"/>
      <c r="BZ269" s="142"/>
      <c r="CF269" s="142"/>
      <c r="CL269" s="142"/>
      <c r="CR269" s="142"/>
      <c r="CX269" s="142"/>
      <c r="DD269" s="142"/>
      <c r="DJ269" s="142"/>
      <c r="DP269" s="142"/>
      <c r="DV269" s="142"/>
      <c r="EB269" s="142"/>
      <c r="EH269" s="142"/>
      <c r="EN269" s="142"/>
      <c r="ET269" s="142"/>
      <c r="EZ269" s="142"/>
      <c r="FF269" s="142"/>
      <c r="FL269" s="142"/>
      <c r="FR269" s="142"/>
      <c r="FX269" s="142"/>
      <c r="GD269" s="142"/>
      <c r="GJ269" s="142"/>
      <c r="GP269" s="142"/>
      <c r="GV269" s="142"/>
      <c r="HB269" s="142"/>
      <c r="HH269" s="142"/>
      <c r="HN269" s="142"/>
      <c r="HT269" s="142"/>
      <c r="HZ269" s="142"/>
    </row>
    <row r="270">
      <c r="F270" s="142"/>
      <c r="L270" s="142"/>
      <c r="R270" s="142"/>
      <c r="X270" s="142"/>
      <c r="AD270" s="142"/>
      <c r="AJ270" s="142"/>
      <c r="AP270" s="142"/>
      <c r="AV270" s="142"/>
      <c r="BA270" s="142"/>
      <c r="BH270" s="142"/>
      <c r="BN270" s="142"/>
      <c r="BT270" s="142"/>
      <c r="BZ270" s="142"/>
      <c r="CF270" s="142"/>
      <c r="CL270" s="142"/>
      <c r="CR270" s="142"/>
      <c r="CX270" s="142"/>
      <c r="DD270" s="142"/>
      <c r="DJ270" s="142"/>
      <c r="DP270" s="142"/>
      <c r="DV270" s="142"/>
      <c r="EB270" s="142"/>
      <c r="EH270" s="142"/>
      <c r="EN270" s="142"/>
      <c r="ET270" s="142"/>
      <c r="EZ270" s="142"/>
      <c r="FF270" s="142"/>
      <c r="FL270" s="142"/>
      <c r="FR270" s="142"/>
      <c r="FX270" s="142"/>
      <c r="GD270" s="142"/>
      <c r="GJ270" s="142"/>
      <c r="GP270" s="142"/>
      <c r="GV270" s="142"/>
      <c r="HB270" s="142"/>
      <c r="HH270" s="142"/>
      <c r="HN270" s="142"/>
      <c r="HT270" s="142"/>
      <c r="HZ270" s="142"/>
    </row>
    <row r="271">
      <c r="F271" s="142"/>
      <c r="L271" s="142"/>
      <c r="R271" s="142"/>
      <c r="X271" s="142"/>
      <c r="AD271" s="142"/>
      <c r="AJ271" s="142"/>
      <c r="AP271" s="142"/>
      <c r="AV271" s="142"/>
      <c r="BA271" s="142"/>
      <c r="BH271" s="142"/>
      <c r="BN271" s="142"/>
      <c r="BT271" s="142"/>
      <c r="BZ271" s="142"/>
      <c r="CF271" s="142"/>
      <c r="CL271" s="142"/>
      <c r="CR271" s="142"/>
      <c r="CX271" s="142"/>
      <c r="DD271" s="142"/>
      <c r="DJ271" s="142"/>
      <c r="DP271" s="142"/>
      <c r="DV271" s="142"/>
      <c r="EB271" s="142"/>
      <c r="EH271" s="142"/>
      <c r="EN271" s="142"/>
      <c r="ET271" s="142"/>
      <c r="EZ271" s="142"/>
      <c r="FF271" s="142"/>
      <c r="FL271" s="142"/>
      <c r="FR271" s="142"/>
      <c r="FX271" s="142"/>
      <c r="GD271" s="142"/>
      <c r="GJ271" s="142"/>
      <c r="GP271" s="142"/>
      <c r="GV271" s="142"/>
      <c r="HB271" s="142"/>
      <c r="HH271" s="142"/>
      <c r="HN271" s="142"/>
      <c r="HT271" s="142"/>
      <c r="HZ271" s="142"/>
    </row>
    <row r="272">
      <c r="F272" s="142"/>
      <c r="L272" s="142"/>
      <c r="R272" s="142"/>
      <c r="X272" s="142"/>
      <c r="AD272" s="142"/>
      <c r="AJ272" s="142"/>
      <c r="AP272" s="142"/>
      <c r="AV272" s="142"/>
      <c r="BA272" s="142"/>
      <c r="BH272" s="142"/>
      <c r="BN272" s="142"/>
      <c r="BT272" s="142"/>
      <c r="BZ272" s="142"/>
      <c r="CF272" s="142"/>
      <c r="CL272" s="142"/>
      <c r="CR272" s="142"/>
      <c r="CX272" s="142"/>
      <c r="DD272" s="142"/>
      <c r="DJ272" s="142"/>
      <c r="DP272" s="142"/>
      <c r="DV272" s="142"/>
      <c r="EB272" s="142"/>
      <c r="EH272" s="142"/>
      <c r="EN272" s="142"/>
      <c r="ET272" s="142"/>
      <c r="EZ272" s="142"/>
      <c r="FF272" s="142"/>
      <c r="FL272" s="142"/>
      <c r="FR272" s="142"/>
      <c r="FX272" s="142"/>
      <c r="GD272" s="142"/>
      <c r="GJ272" s="142"/>
      <c r="GP272" s="142"/>
      <c r="GV272" s="142"/>
      <c r="HB272" s="142"/>
      <c r="HH272" s="142"/>
      <c r="HN272" s="142"/>
      <c r="HT272" s="142"/>
      <c r="HZ272" s="142"/>
    </row>
    <row r="273">
      <c r="F273" s="142"/>
      <c r="L273" s="142"/>
      <c r="R273" s="142"/>
      <c r="X273" s="142"/>
      <c r="AD273" s="142"/>
      <c r="AJ273" s="142"/>
      <c r="AP273" s="142"/>
      <c r="AV273" s="142"/>
      <c r="BA273" s="142"/>
      <c r="BH273" s="142"/>
      <c r="BN273" s="142"/>
      <c r="BT273" s="142"/>
      <c r="BZ273" s="142"/>
      <c r="CF273" s="142"/>
      <c r="CL273" s="142"/>
      <c r="CR273" s="142"/>
      <c r="CX273" s="142"/>
      <c r="DD273" s="142"/>
      <c r="DJ273" s="142"/>
      <c r="DP273" s="142"/>
      <c r="DV273" s="142"/>
      <c r="EB273" s="142"/>
      <c r="EH273" s="142"/>
      <c r="EN273" s="142"/>
      <c r="ET273" s="142"/>
      <c r="EZ273" s="142"/>
      <c r="FF273" s="142"/>
      <c r="FL273" s="142"/>
      <c r="FR273" s="142"/>
      <c r="FX273" s="142"/>
      <c r="GD273" s="142"/>
      <c r="GJ273" s="142"/>
      <c r="GP273" s="142"/>
      <c r="GV273" s="142"/>
      <c r="HB273" s="142"/>
      <c r="HH273" s="142"/>
      <c r="HN273" s="142"/>
      <c r="HT273" s="142"/>
      <c r="HZ273" s="142"/>
    </row>
    <row r="274">
      <c r="F274" s="142"/>
      <c r="L274" s="142"/>
      <c r="R274" s="142"/>
      <c r="X274" s="142"/>
      <c r="AD274" s="142"/>
      <c r="AJ274" s="142"/>
      <c r="AP274" s="142"/>
      <c r="AV274" s="142"/>
      <c r="BA274" s="142"/>
      <c r="BH274" s="142"/>
      <c r="BN274" s="142"/>
      <c r="BT274" s="142"/>
      <c r="BZ274" s="142"/>
      <c r="CF274" s="142"/>
      <c r="CL274" s="142"/>
      <c r="CR274" s="142"/>
      <c r="CX274" s="142"/>
      <c r="DD274" s="142"/>
      <c r="DJ274" s="142"/>
      <c r="DP274" s="142"/>
      <c r="DV274" s="142"/>
      <c r="EB274" s="142"/>
      <c r="EH274" s="142"/>
      <c r="EN274" s="142"/>
      <c r="ET274" s="142"/>
      <c r="EZ274" s="142"/>
      <c r="FF274" s="142"/>
      <c r="FL274" s="142"/>
      <c r="FR274" s="142"/>
      <c r="FX274" s="142"/>
      <c r="GD274" s="142"/>
      <c r="GJ274" s="142"/>
      <c r="GP274" s="142"/>
      <c r="GV274" s="142"/>
      <c r="HB274" s="142"/>
      <c r="HH274" s="142"/>
      <c r="HN274" s="142"/>
      <c r="HT274" s="142"/>
      <c r="HZ274" s="142"/>
    </row>
    <row r="275">
      <c r="F275" s="142"/>
      <c r="L275" s="142"/>
      <c r="R275" s="142"/>
      <c r="X275" s="142"/>
      <c r="AD275" s="142"/>
      <c r="AJ275" s="142"/>
      <c r="AP275" s="142"/>
      <c r="AV275" s="142"/>
      <c r="BA275" s="142"/>
      <c r="BH275" s="142"/>
      <c r="BN275" s="142"/>
      <c r="BT275" s="142"/>
      <c r="BZ275" s="142"/>
      <c r="CF275" s="142"/>
      <c r="CL275" s="142"/>
      <c r="CR275" s="142"/>
      <c r="CX275" s="142"/>
      <c r="DD275" s="142"/>
      <c r="DJ275" s="142"/>
      <c r="DP275" s="142"/>
      <c r="DV275" s="142"/>
      <c r="EB275" s="142"/>
      <c r="EH275" s="142"/>
      <c r="EN275" s="142"/>
      <c r="ET275" s="142"/>
      <c r="EZ275" s="142"/>
      <c r="FF275" s="142"/>
      <c r="FL275" s="142"/>
      <c r="FR275" s="142"/>
      <c r="FX275" s="142"/>
      <c r="GD275" s="142"/>
      <c r="GJ275" s="142"/>
      <c r="GP275" s="142"/>
      <c r="GV275" s="142"/>
      <c r="HB275" s="142"/>
      <c r="HH275" s="142"/>
      <c r="HN275" s="142"/>
      <c r="HT275" s="142"/>
      <c r="HZ275" s="142"/>
    </row>
    <row r="276">
      <c r="F276" s="142"/>
      <c r="L276" s="142"/>
      <c r="R276" s="142"/>
      <c r="X276" s="142"/>
      <c r="AD276" s="142"/>
      <c r="AJ276" s="142"/>
      <c r="AP276" s="142"/>
      <c r="AV276" s="142"/>
      <c r="BA276" s="142"/>
      <c r="BH276" s="142"/>
      <c r="BN276" s="142"/>
      <c r="BT276" s="142"/>
      <c r="BZ276" s="142"/>
      <c r="CF276" s="142"/>
      <c r="CL276" s="142"/>
      <c r="CR276" s="142"/>
      <c r="CX276" s="142"/>
      <c r="DD276" s="142"/>
      <c r="DJ276" s="142"/>
      <c r="DP276" s="142"/>
      <c r="DV276" s="142"/>
      <c r="EB276" s="142"/>
      <c r="EH276" s="142"/>
      <c r="EN276" s="142"/>
      <c r="ET276" s="142"/>
      <c r="EZ276" s="142"/>
      <c r="FF276" s="142"/>
      <c r="FL276" s="142"/>
      <c r="FR276" s="142"/>
      <c r="FX276" s="142"/>
      <c r="GD276" s="142"/>
      <c r="GJ276" s="142"/>
      <c r="GP276" s="142"/>
      <c r="GV276" s="142"/>
      <c r="HB276" s="142"/>
      <c r="HH276" s="142"/>
      <c r="HN276" s="142"/>
      <c r="HT276" s="142"/>
      <c r="HZ276" s="142"/>
    </row>
    <row r="277">
      <c r="F277" s="142"/>
      <c r="L277" s="142"/>
      <c r="R277" s="142"/>
      <c r="X277" s="142"/>
      <c r="AD277" s="142"/>
      <c r="AJ277" s="142"/>
      <c r="AP277" s="142"/>
      <c r="AV277" s="142"/>
      <c r="BA277" s="142"/>
      <c r="BH277" s="142"/>
      <c r="BN277" s="142"/>
      <c r="BT277" s="142"/>
      <c r="BZ277" s="142"/>
      <c r="CF277" s="142"/>
      <c r="CL277" s="142"/>
      <c r="CR277" s="142"/>
      <c r="CX277" s="142"/>
      <c r="DD277" s="142"/>
      <c r="DJ277" s="142"/>
      <c r="DP277" s="142"/>
      <c r="DV277" s="142"/>
      <c r="EB277" s="142"/>
      <c r="EH277" s="142"/>
      <c r="EN277" s="142"/>
      <c r="ET277" s="142"/>
      <c r="EZ277" s="142"/>
      <c r="FF277" s="142"/>
      <c r="FL277" s="142"/>
      <c r="FR277" s="142"/>
      <c r="FX277" s="142"/>
      <c r="GD277" s="142"/>
      <c r="GJ277" s="142"/>
      <c r="GP277" s="142"/>
      <c r="GV277" s="142"/>
      <c r="HB277" s="142"/>
      <c r="HH277" s="142"/>
      <c r="HN277" s="142"/>
      <c r="HT277" s="142"/>
      <c r="HZ277" s="142"/>
    </row>
    <row r="278">
      <c r="F278" s="142"/>
      <c r="L278" s="142"/>
      <c r="R278" s="142"/>
      <c r="X278" s="142"/>
      <c r="AD278" s="142"/>
      <c r="AJ278" s="142"/>
      <c r="AP278" s="142"/>
      <c r="AV278" s="142"/>
      <c r="BA278" s="142"/>
      <c r="BH278" s="142"/>
      <c r="BN278" s="142"/>
      <c r="BT278" s="142"/>
      <c r="BZ278" s="142"/>
      <c r="CF278" s="142"/>
      <c r="CL278" s="142"/>
      <c r="CR278" s="142"/>
      <c r="CX278" s="142"/>
      <c r="DD278" s="142"/>
      <c r="DJ278" s="142"/>
      <c r="DP278" s="142"/>
      <c r="DV278" s="142"/>
      <c r="EB278" s="142"/>
      <c r="EH278" s="142"/>
      <c r="EN278" s="142"/>
      <c r="ET278" s="142"/>
      <c r="EZ278" s="142"/>
      <c r="FF278" s="142"/>
      <c r="FL278" s="142"/>
      <c r="FR278" s="142"/>
      <c r="FX278" s="142"/>
      <c r="GD278" s="142"/>
      <c r="GJ278" s="142"/>
      <c r="GP278" s="142"/>
      <c r="GV278" s="142"/>
      <c r="HB278" s="142"/>
      <c r="HH278" s="142"/>
      <c r="HN278" s="142"/>
      <c r="HT278" s="142"/>
      <c r="HZ278" s="142"/>
    </row>
    <row r="279">
      <c r="F279" s="142"/>
      <c r="L279" s="142"/>
      <c r="R279" s="142"/>
      <c r="X279" s="142"/>
      <c r="AD279" s="142"/>
      <c r="AJ279" s="142"/>
      <c r="AP279" s="142"/>
      <c r="AV279" s="142"/>
      <c r="BA279" s="142"/>
      <c r="BH279" s="142"/>
      <c r="BN279" s="142"/>
      <c r="BT279" s="142"/>
      <c r="BZ279" s="142"/>
      <c r="CF279" s="142"/>
      <c r="CL279" s="142"/>
      <c r="CR279" s="142"/>
      <c r="CX279" s="142"/>
      <c r="DD279" s="142"/>
      <c r="DJ279" s="142"/>
      <c r="DP279" s="142"/>
      <c r="DV279" s="142"/>
      <c r="EB279" s="142"/>
      <c r="EH279" s="142"/>
      <c r="EN279" s="142"/>
      <c r="ET279" s="142"/>
      <c r="EZ279" s="142"/>
      <c r="FF279" s="142"/>
      <c r="FL279" s="142"/>
      <c r="FR279" s="142"/>
      <c r="FX279" s="142"/>
      <c r="GD279" s="142"/>
      <c r="GJ279" s="142"/>
      <c r="GP279" s="142"/>
      <c r="GV279" s="142"/>
      <c r="HB279" s="142"/>
      <c r="HH279" s="142"/>
      <c r="HN279" s="142"/>
      <c r="HT279" s="142"/>
      <c r="HZ279" s="142"/>
    </row>
    <row r="280">
      <c r="F280" s="142"/>
      <c r="L280" s="142"/>
      <c r="R280" s="142"/>
      <c r="X280" s="142"/>
      <c r="AD280" s="142"/>
      <c r="AJ280" s="142"/>
      <c r="AP280" s="142"/>
      <c r="AV280" s="142"/>
      <c r="BA280" s="142"/>
      <c r="BH280" s="142"/>
      <c r="BN280" s="142"/>
      <c r="BT280" s="142"/>
      <c r="BZ280" s="142"/>
      <c r="CF280" s="142"/>
      <c r="CL280" s="142"/>
      <c r="CR280" s="142"/>
      <c r="CX280" s="142"/>
      <c r="DD280" s="142"/>
      <c r="DJ280" s="142"/>
      <c r="DP280" s="142"/>
      <c r="DV280" s="142"/>
      <c r="EB280" s="142"/>
      <c r="EH280" s="142"/>
      <c r="EN280" s="142"/>
      <c r="ET280" s="142"/>
      <c r="EZ280" s="142"/>
      <c r="FF280" s="142"/>
      <c r="FL280" s="142"/>
      <c r="FR280" s="142"/>
      <c r="FX280" s="142"/>
      <c r="GD280" s="142"/>
      <c r="GJ280" s="142"/>
      <c r="GP280" s="142"/>
      <c r="GV280" s="142"/>
      <c r="HB280" s="142"/>
      <c r="HH280" s="142"/>
      <c r="HN280" s="142"/>
      <c r="HT280" s="142"/>
      <c r="HZ280" s="142"/>
    </row>
    <row r="281">
      <c r="F281" s="142"/>
      <c r="L281" s="142"/>
      <c r="R281" s="142"/>
      <c r="X281" s="142"/>
      <c r="AD281" s="142"/>
      <c r="AJ281" s="142"/>
      <c r="AP281" s="142"/>
      <c r="AV281" s="142"/>
      <c r="BA281" s="142"/>
      <c r="BH281" s="142"/>
      <c r="BN281" s="142"/>
      <c r="BT281" s="142"/>
      <c r="BZ281" s="142"/>
      <c r="CF281" s="142"/>
      <c r="CL281" s="142"/>
      <c r="CR281" s="142"/>
      <c r="CX281" s="142"/>
      <c r="DD281" s="142"/>
      <c r="DJ281" s="142"/>
      <c r="DP281" s="142"/>
      <c r="DV281" s="142"/>
      <c r="EB281" s="142"/>
      <c r="EH281" s="142"/>
      <c r="EN281" s="142"/>
      <c r="ET281" s="142"/>
      <c r="EZ281" s="142"/>
      <c r="FF281" s="142"/>
      <c r="FL281" s="142"/>
      <c r="FR281" s="142"/>
      <c r="FX281" s="142"/>
      <c r="GD281" s="142"/>
      <c r="GJ281" s="142"/>
      <c r="GP281" s="142"/>
      <c r="GV281" s="142"/>
      <c r="HB281" s="142"/>
      <c r="HH281" s="142"/>
      <c r="HN281" s="142"/>
      <c r="HT281" s="142"/>
      <c r="HZ281" s="142"/>
    </row>
    <row r="282">
      <c r="F282" s="142"/>
      <c r="L282" s="142"/>
      <c r="R282" s="142"/>
      <c r="X282" s="142"/>
      <c r="AD282" s="142"/>
      <c r="AJ282" s="142"/>
      <c r="AP282" s="142"/>
      <c r="AV282" s="142"/>
      <c r="BA282" s="142"/>
      <c r="BH282" s="142"/>
      <c r="BN282" s="142"/>
      <c r="BT282" s="142"/>
      <c r="BZ282" s="142"/>
      <c r="CF282" s="142"/>
      <c r="CL282" s="142"/>
      <c r="CR282" s="142"/>
      <c r="CX282" s="142"/>
      <c r="DD282" s="142"/>
      <c r="DJ282" s="142"/>
      <c r="DP282" s="142"/>
      <c r="DV282" s="142"/>
      <c r="EB282" s="142"/>
      <c r="EH282" s="142"/>
      <c r="EN282" s="142"/>
      <c r="ET282" s="142"/>
      <c r="EZ282" s="142"/>
      <c r="FF282" s="142"/>
      <c r="FL282" s="142"/>
      <c r="FR282" s="142"/>
      <c r="FX282" s="142"/>
      <c r="GD282" s="142"/>
      <c r="GJ282" s="142"/>
      <c r="GP282" s="142"/>
      <c r="GV282" s="142"/>
      <c r="HB282" s="142"/>
      <c r="HH282" s="142"/>
      <c r="HN282" s="142"/>
      <c r="HT282" s="142"/>
      <c r="HZ282" s="142"/>
    </row>
    <row r="283">
      <c r="F283" s="142"/>
      <c r="L283" s="142"/>
      <c r="R283" s="142"/>
      <c r="X283" s="142"/>
      <c r="AD283" s="142"/>
      <c r="AJ283" s="142"/>
      <c r="AP283" s="142"/>
      <c r="AV283" s="142"/>
      <c r="BA283" s="142"/>
      <c r="BH283" s="142"/>
      <c r="BN283" s="142"/>
      <c r="BT283" s="142"/>
      <c r="BZ283" s="142"/>
      <c r="CF283" s="142"/>
      <c r="CL283" s="142"/>
      <c r="CR283" s="142"/>
      <c r="CX283" s="142"/>
      <c r="DD283" s="142"/>
      <c r="DJ283" s="142"/>
      <c r="DP283" s="142"/>
      <c r="DV283" s="142"/>
      <c r="EB283" s="142"/>
      <c r="EH283" s="142"/>
      <c r="EN283" s="142"/>
      <c r="ET283" s="142"/>
      <c r="EZ283" s="142"/>
      <c r="FF283" s="142"/>
      <c r="FL283" s="142"/>
      <c r="FR283" s="142"/>
      <c r="FX283" s="142"/>
      <c r="GD283" s="142"/>
      <c r="GJ283" s="142"/>
      <c r="GP283" s="142"/>
      <c r="GV283" s="142"/>
      <c r="HB283" s="142"/>
      <c r="HH283" s="142"/>
      <c r="HN283" s="142"/>
      <c r="HT283" s="142"/>
      <c r="HZ283" s="142"/>
    </row>
    <row r="284">
      <c r="F284" s="142"/>
      <c r="L284" s="142"/>
      <c r="R284" s="142"/>
      <c r="X284" s="142"/>
      <c r="AD284" s="142"/>
      <c r="AJ284" s="142"/>
      <c r="AP284" s="142"/>
      <c r="AV284" s="142"/>
      <c r="BA284" s="142"/>
      <c r="BH284" s="142"/>
      <c r="BN284" s="142"/>
      <c r="BT284" s="142"/>
      <c r="BZ284" s="142"/>
      <c r="CF284" s="142"/>
      <c r="CL284" s="142"/>
      <c r="CR284" s="142"/>
      <c r="CX284" s="142"/>
      <c r="DD284" s="142"/>
      <c r="DJ284" s="142"/>
      <c r="DP284" s="142"/>
      <c r="DV284" s="142"/>
      <c r="EB284" s="142"/>
      <c r="EH284" s="142"/>
      <c r="EN284" s="142"/>
      <c r="ET284" s="142"/>
      <c r="EZ284" s="142"/>
      <c r="FF284" s="142"/>
      <c r="FL284" s="142"/>
      <c r="FR284" s="142"/>
      <c r="FX284" s="142"/>
      <c r="GD284" s="142"/>
      <c r="GJ284" s="142"/>
      <c r="GP284" s="142"/>
      <c r="GV284" s="142"/>
      <c r="HB284" s="142"/>
      <c r="HH284" s="142"/>
      <c r="HN284" s="142"/>
      <c r="HT284" s="142"/>
      <c r="HZ284" s="142"/>
    </row>
    <row r="285">
      <c r="F285" s="142"/>
      <c r="L285" s="142"/>
      <c r="R285" s="142"/>
      <c r="X285" s="142"/>
      <c r="AD285" s="142"/>
      <c r="AJ285" s="142"/>
      <c r="AP285" s="142"/>
      <c r="AV285" s="142"/>
      <c r="BA285" s="142"/>
      <c r="BH285" s="142"/>
      <c r="BN285" s="142"/>
      <c r="BT285" s="142"/>
      <c r="BZ285" s="142"/>
      <c r="CF285" s="142"/>
      <c r="CL285" s="142"/>
      <c r="CR285" s="142"/>
      <c r="CX285" s="142"/>
      <c r="DD285" s="142"/>
      <c r="DJ285" s="142"/>
      <c r="DP285" s="142"/>
      <c r="DV285" s="142"/>
      <c r="EB285" s="142"/>
      <c r="EH285" s="142"/>
      <c r="EN285" s="142"/>
      <c r="ET285" s="142"/>
      <c r="EZ285" s="142"/>
      <c r="FF285" s="142"/>
      <c r="FL285" s="142"/>
      <c r="FR285" s="142"/>
      <c r="FX285" s="142"/>
      <c r="GD285" s="142"/>
      <c r="GJ285" s="142"/>
      <c r="GP285" s="142"/>
      <c r="GV285" s="142"/>
      <c r="HB285" s="142"/>
      <c r="HH285" s="142"/>
      <c r="HN285" s="142"/>
      <c r="HT285" s="142"/>
      <c r="HZ285" s="142"/>
    </row>
    <row r="286">
      <c r="F286" s="142"/>
      <c r="L286" s="142"/>
      <c r="R286" s="142"/>
      <c r="X286" s="142"/>
      <c r="AD286" s="142"/>
      <c r="AJ286" s="142"/>
      <c r="AP286" s="142"/>
      <c r="AV286" s="142"/>
      <c r="BA286" s="142"/>
      <c r="BH286" s="142"/>
      <c r="BN286" s="142"/>
      <c r="BT286" s="142"/>
      <c r="BZ286" s="142"/>
      <c r="CF286" s="142"/>
      <c r="CL286" s="142"/>
      <c r="CR286" s="142"/>
      <c r="CX286" s="142"/>
      <c r="DD286" s="142"/>
      <c r="DJ286" s="142"/>
      <c r="DP286" s="142"/>
      <c r="DV286" s="142"/>
      <c r="EB286" s="142"/>
      <c r="EH286" s="142"/>
      <c r="EN286" s="142"/>
      <c r="ET286" s="142"/>
      <c r="EZ286" s="142"/>
      <c r="FF286" s="142"/>
      <c r="FL286" s="142"/>
      <c r="FR286" s="142"/>
      <c r="FX286" s="142"/>
      <c r="GD286" s="142"/>
      <c r="GJ286" s="142"/>
      <c r="GP286" s="142"/>
      <c r="GV286" s="142"/>
      <c r="HB286" s="142"/>
      <c r="HH286" s="142"/>
      <c r="HN286" s="142"/>
      <c r="HT286" s="142"/>
      <c r="HZ286" s="142"/>
    </row>
    <row r="287">
      <c r="F287" s="142"/>
      <c r="L287" s="142"/>
      <c r="R287" s="142"/>
      <c r="X287" s="142"/>
      <c r="AD287" s="142"/>
      <c r="AJ287" s="142"/>
      <c r="AP287" s="142"/>
      <c r="AV287" s="142"/>
      <c r="BA287" s="142"/>
      <c r="BH287" s="142"/>
      <c r="BN287" s="142"/>
      <c r="BT287" s="142"/>
      <c r="BZ287" s="142"/>
      <c r="CF287" s="142"/>
      <c r="CL287" s="142"/>
      <c r="CR287" s="142"/>
      <c r="CX287" s="142"/>
      <c r="DD287" s="142"/>
      <c r="DJ287" s="142"/>
      <c r="DP287" s="142"/>
      <c r="DV287" s="142"/>
      <c r="EB287" s="142"/>
      <c r="EH287" s="142"/>
      <c r="EN287" s="142"/>
      <c r="ET287" s="142"/>
      <c r="EZ287" s="142"/>
      <c r="FF287" s="142"/>
      <c r="FL287" s="142"/>
      <c r="FR287" s="142"/>
      <c r="FX287" s="142"/>
      <c r="GD287" s="142"/>
      <c r="GJ287" s="142"/>
      <c r="GP287" s="142"/>
      <c r="GV287" s="142"/>
      <c r="HB287" s="142"/>
      <c r="HH287" s="142"/>
      <c r="HN287" s="142"/>
      <c r="HT287" s="142"/>
      <c r="HZ287" s="142"/>
    </row>
    <row r="288">
      <c r="F288" s="142"/>
      <c r="L288" s="142"/>
      <c r="R288" s="142"/>
      <c r="X288" s="142"/>
      <c r="AD288" s="142"/>
      <c r="AJ288" s="142"/>
      <c r="AP288" s="142"/>
      <c r="AV288" s="142"/>
      <c r="BA288" s="142"/>
      <c r="BH288" s="142"/>
      <c r="BN288" s="142"/>
      <c r="BT288" s="142"/>
      <c r="BZ288" s="142"/>
      <c r="CF288" s="142"/>
      <c r="CL288" s="142"/>
      <c r="CR288" s="142"/>
      <c r="CX288" s="142"/>
      <c r="DD288" s="142"/>
      <c r="DJ288" s="142"/>
      <c r="DP288" s="142"/>
      <c r="DV288" s="142"/>
      <c r="EB288" s="142"/>
      <c r="EH288" s="142"/>
      <c r="EN288" s="142"/>
      <c r="ET288" s="142"/>
      <c r="EZ288" s="142"/>
      <c r="FF288" s="142"/>
      <c r="FL288" s="142"/>
      <c r="FR288" s="142"/>
      <c r="FX288" s="142"/>
      <c r="GD288" s="142"/>
      <c r="GJ288" s="142"/>
      <c r="GP288" s="142"/>
      <c r="GV288" s="142"/>
      <c r="HB288" s="142"/>
      <c r="HH288" s="142"/>
      <c r="HN288" s="142"/>
      <c r="HT288" s="142"/>
      <c r="HZ288" s="142"/>
    </row>
    <row r="289">
      <c r="F289" s="142"/>
      <c r="L289" s="142"/>
      <c r="R289" s="142"/>
      <c r="X289" s="142"/>
      <c r="AD289" s="142"/>
      <c r="AJ289" s="142"/>
      <c r="AP289" s="142"/>
      <c r="AV289" s="142"/>
      <c r="BA289" s="142"/>
      <c r="BH289" s="142"/>
      <c r="BN289" s="142"/>
      <c r="BT289" s="142"/>
      <c r="BZ289" s="142"/>
      <c r="CF289" s="142"/>
      <c r="CL289" s="142"/>
      <c r="CR289" s="142"/>
      <c r="CX289" s="142"/>
      <c r="DD289" s="142"/>
      <c r="DJ289" s="142"/>
      <c r="DP289" s="142"/>
      <c r="DV289" s="142"/>
      <c r="EB289" s="142"/>
      <c r="EH289" s="142"/>
      <c r="EN289" s="142"/>
      <c r="ET289" s="142"/>
      <c r="EZ289" s="142"/>
      <c r="FF289" s="142"/>
      <c r="FL289" s="142"/>
      <c r="FR289" s="142"/>
      <c r="FX289" s="142"/>
      <c r="GD289" s="142"/>
      <c r="GJ289" s="142"/>
      <c r="GP289" s="142"/>
      <c r="GV289" s="142"/>
      <c r="HB289" s="142"/>
      <c r="HH289" s="142"/>
      <c r="HN289" s="142"/>
      <c r="HT289" s="142"/>
      <c r="HZ289" s="142"/>
    </row>
    <row r="290">
      <c r="F290" s="142"/>
      <c r="L290" s="142"/>
      <c r="R290" s="142"/>
      <c r="X290" s="142"/>
      <c r="AD290" s="142"/>
      <c r="AJ290" s="142"/>
      <c r="AP290" s="142"/>
      <c r="AV290" s="142"/>
      <c r="BA290" s="142"/>
      <c r="BH290" s="142"/>
      <c r="BN290" s="142"/>
      <c r="BT290" s="142"/>
      <c r="BZ290" s="142"/>
      <c r="CF290" s="142"/>
      <c r="CL290" s="142"/>
      <c r="CR290" s="142"/>
      <c r="CX290" s="142"/>
      <c r="DD290" s="142"/>
      <c r="DJ290" s="142"/>
      <c r="DP290" s="142"/>
      <c r="DV290" s="142"/>
      <c r="EB290" s="142"/>
      <c r="EH290" s="142"/>
      <c r="EN290" s="142"/>
      <c r="ET290" s="142"/>
      <c r="EZ290" s="142"/>
      <c r="FF290" s="142"/>
      <c r="FL290" s="142"/>
      <c r="FR290" s="142"/>
      <c r="FX290" s="142"/>
      <c r="GD290" s="142"/>
      <c r="GJ290" s="142"/>
      <c r="GP290" s="142"/>
      <c r="GV290" s="142"/>
      <c r="HB290" s="142"/>
      <c r="HH290" s="142"/>
      <c r="HN290" s="142"/>
      <c r="HT290" s="142"/>
      <c r="HZ290" s="142"/>
    </row>
    <row r="291">
      <c r="F291" s="142"/>
      <c r="L291" s="142"/>
      <c r="R291" s="142"/>
      <c r="X291" s="142"/>
      <c r="AD291" s="142"/>
      <c r="AJ291" s="142"/>
      <c r="AP291" s="142"/>
      <c r="AV291" s="142"/>
      <c r="BA291" s="142"/>
      <c r="BH291" s="142"/>
      <c r="BN291" s="142"/>
      <c r="BT291" s="142"/>
      <c r="BZ291" s="142"/>
      <c r="CF291" s="142"/>
      <c r="CL291" s="142"/>
      <c r="CR291" s="142"/>
      <c r="CX291" s="142"/>
      <c r="DD291" s="142"/>
      <c r="DJ291" s="142"/>
      <c r="DP291" s="142"/>
      <c r="DV291" s="142"/>
      <c r="EB291" s="142"/>
      <c r="EH291" s="142"/>
      <c r="EN291" s="142"/>
      <c r="ET291" s="142"/>
      <c r="EZ291" s="142"/>
      <c r="FF291" s="142"/>
      <c r="FL291" s="142"/>
      <c r="FR291" s="142"/>
      <c r="FX291" s="142"/>
      <c r="GD291" s="142"/>
      <c r="GJ291" s="142"/>
      <c r="GP291" s="142"/>
      <c r="GV291" s="142"/>
      <c r="HB291" s="142"/>
      <c r="HH291" s="142"/>
      <c r="HN291" s="142"/>
      <c r="HT291" s="142"/>
      <c r="HZ291" s="142"/>
    </row>
    <row r="292">
      <c r="F292" s="142"/>
      <c r="L292" s="142"/>
      <c r="R292" s="142"/>
      <c r="X292" s="142"/>
      <c r="AD292" s="142"/>
      <c r="AJ292" s="142"/>
      <c r="AP292" s="142"/>
      <c r="AV292" s="142"/>
      <c r="BA292" s="142"/>
      <c r="BH292" s="142"/>
      <c r="BN292" s="142"/>
      <c r="BT292" s="142"/>
      <c r="BZ292" s="142"/>
      <c r="CF292" s="142"/>
      <c r="CL292" s="142"/>
      <c r="CR292" s="142"/>
      <c r="CX292" s="142"/>
      <c r="DD292" s="142"/>
      <c r="DJ292" s="142"/>
      <c r="DP292" s="142"/>
      <c r="DV292" s="142"/>
      <c r="EB292" s="142"/>
      <c r="EH292" s="142"/>
      <c r="EN292" s="142"/>
      <c r="ET292" s="142"/>
      <c r="EZ292" s="142"/>
      <c r="FF292" s="142"/>
      <c r="FL292" s="142"/>
      <c r="FR292" s="142"/>
      <c r="FX292" s="142"/>
      <c r="GD292" s="142"/>
      <c r="GJ292" s="142"/>
      <c r="GP292" s="142"/>
      <c r="GV292" s="142"/>
      <c r="HB292" s="142"/>
      <c r="HH292" s="142"/>
      <c r="HN292" s="142"/>
      <c r="HT292" s="142"/>
      <c r="HZ292" s="142"/>
    </row>
    <row r="293">
      <c r="F293" s="142"/>
      <c r="L293" s="142"/>
      <c r="R293" s="142"/>
      <c r="X293" s="142"/>
      <c r="AD293" s="142"/>
      <c r="AJ293" s="142"/>
      <c r="AP293" s="142"/>
      <c r="AV293" s="142"/>
      <c r="BA293" s="142"/>
      <c r="BH293" s="142"/>
      <c r="BN293" s="142"/>
      <c r="BT293" s="142"/>
      <c r="BZ293" s="142"/>
      <c r="CF293" s="142"/>
      <c r="CL293" s="142"/>
      <c r="CR293" s="142"/>
      <c r="CX293" s="142"/>
      <c r="DD293" s="142"/>
      <c r="DJ293" s="142"/>
      <c r="DP293" s="142"/>
      <c r="DV293" s="142"/>
      <c r="EB293" s="142"/>
      <c r="EH293" s="142"/>
      <c r="EN293" s="142"/>
      <c r="ET293" s="142"/>
      <c r="EZ293" s="142"/>
      <c r="FF293" s="142"/>
      <c r="FL293" s="142"/>
      <c r="FR293" s="142"/>
      <c r="FX293" s="142"/>
      <c r="GD293" s="142"/>
      <c r="GJ293" s="142"/>
      <c r="GP293" s="142"/>
      <c r="GV293" s="142"/>
      <c r="HB293" s="142"/>
      <c r="HH293" s="142"/>
      <c r="HN293" s="142"/>
      <c r="HT293" s="142"/>
      <c r="HZ293" s="142"/>
    </row>
    <row r="294">
      <c r="F294" s="142"/>
      <c r="L294" s="142"/>
      <c r="R294" s="142"/>
      <c r="X294" s="142"/>
      <c r="AD294" s="142"/>
      <c r="AJ294" s="142"/>
      <c r="AP294" s="142"/>
      <c r="AV294" s="142"/>
      <c r="BA294" s="142"/>
      <c r="BH294" s="142"/>
      <c r="BN294" s="142"/>
      <c r="BT294" s="142"/>
      <c r="BZ294" s="142"/>
      <c r="CF294" s="142"/>
      <c r="CL294" s="142"/>
      <c r="CR294" s="142"/>
      <c r="CX294" s="142"/>
      <c r="DD294" s="142"/>
      <c r="DJ294" s="142"/>
      <c r="DP294" s="142"/>
      <c r="DV294" s="142"/>
      <c r="EB294" s="142"/>
      <c r="EH294" s="142"/>
      <c r="EN294" s="142"/>
      <c r="ET294" s="142"/>
      <c r="EZ294" s="142"/>
      <c r="FF294" s="142"/>
      <c r="FL294" s="142"/>
      <c r="FR294" s="142"/>
      <c r="FX294" s="142"/>
      <c r="GD294" s="142"/>
      <c r="GJ294" s="142"/>
      <c r="GP294" s="142"/>
      <c r="GV294" s="142"/>
      <c r="HB294" s="142"/>
      <c r="HH294" s="142"/>
      <c r="HN294" s="142"/>
      <c r="HT294" s="142"/>
      <c r="HZ294" s="142"/>
    </row>
    <row r="295">
      <c r="F295" s="142"/>
      <c r="L295" s="142"/>
      <c r="R295" s="142"/>
      <c r="X295" s="142"/>
      <c r="AD295" s="142"/>
      <c r="AJ295" s="142"/>
      <c r="AP295" s="142"/>
      <c r="AV295" s="142"/>
      <c r="BA295" s="142"/>
      <c r="BH295" s="142"/>
      <c r="BN295" s="142"/>
      <c r="BT295" s="142"/>
      <c r="BZ295" s="142"/>
      <c r="CF295" s="142"/>
      <c r="CL295" s="142"/>
      <c r="CR295" s="142"/>
      <c r="CX295" s="142"/>
      <c r="DD295" s="142"/>
      <c r="DJ295" s="142"/>
      <c r="DP295" s="142"/>
      <c r="DV295" s="142"/>
      <c r="EB295" s="142"/>
      <c r="EH295" s="142"/>
      <c r="EN295" s="142"/>
      <c r="ET295" s="142"/>
      <c r="EZ295" s="142"/>
      <c r="FF295" s="142"/>
      <c r="FL295" s="142"/>
      <c r="FR295" s="142"/>
      <c r="FX295" s="142"/>
      <c r="GD295" s="142"/>
      <c r="GJ295" s="142"/>
      <c r="GP295" s="142"/>
      <c r="GV295" s="142"/>
      <c r="HB295" s="142"/>
      <c r="HH295" s="142"/>
      <c r="HN295" s="142"/>
      <c r="HT295" s="142"/>
      <c r="HZ295" s="142"/>
    </row>
    <row r="296">
      <c r="F296" s="142"/>
      <c r="L296" s="142"/>
      <c r="R296" s="142"/>
      <c r="X296" s="142"/>
      <c r="AD296" s="142"/>
      <c r="AJ296" s="142"/>
      <c r="AP296" s="142"/>
      <c r="AV296" s="142"/>
      <c r="BA296" s="142"/>
      <c r="BH296" s="142"/>
      <c r="BN296" s="142"/>
      <c r="BT296" s="142"/>
      <c r="BZ296" s="142"/>
      <c r="CF296" s="142"/>
      <c r="CL296" s="142"/>
      <c r="CR296" s="142"/>
      <c r="CX296" s="142"/>
      <c r="DD296" s="142"/>
      <c r="DJ296" s="142"/>
      <c r="DP296" s="142"/>
      <c r="DV296" s="142"/>
      <c r="EB296" s="142"/>
      <c r="EH296" s="142"/>
      <c r="EN296" s="142"/>
      <c r="ET296" s="142"/>
      <c r="EZ296" s="142"/>
      <c r="FF296" s="142"/>
      <c r="FL296" s="142"/>
      <c r="FR296" s="142"/>
      <c r="FX296" s="142"/>
      <c r="GD296" s="142"/>
      <c r="GJ296" s="142"/>
      <c r="GP296" s="142"/>
      <c r="GV296" s="142"/>
      <c r="HB296" s="142"/>
      <c r="HH296" s="142"/>
      <c r="HN296" s="142"/>
      <c r="HT296" s="142"/>
      <c r="HZ296" s="142"/>
    </row>
    <row r="297">
      <c r="F297" s="142"/>
      <c r="L297" s="142"/>
      <c r="R297" s="142"/>
      <c r="X297" s="142"/>
      <c r="AD297" s="142"/>
      <c r="AJ297" s="142"/>
      <c r="AP297" s="142"/>
      <c r="AV297" s="142"/>
      <c r="BA297" s="142"/>
      <c r="BH297" s="142"/>
      <c r="BN297" s="142"/>
      <c r="BT297" s="142"/>
      <c r="BZ297" s="142"/>
      <c r="CF297" s="142"/>
      <c r="CL297" s="142"/>
      <c r="CR297" s="142"/>
      <c r="CX297" s="142"/>
      <c r="DD297" s="142"/>
      <c r="DJ297" s="142"/>
      <c r="DP297" s="142"/>
      <c r="DV297" s="142"/>
      <c r="EB297" s="142"/>
      <c r="EH297" s="142"/>
      <c r="EN297" s="142"/>
      <c r="ET297" s="142"/>
      <c r="EZ297" s="142"/>
      <c r="FF297" s="142"/>
      <c r="FL297" s="142"/>
      <c r="FR297" s="142"/>
      <c r="FX297" s="142"/>
      <c r="GD297" s="142"/>
      <c r="GJ297" s="142"/>
      <c r="GP297" s="142"/>
      <c r="GV297" s="142"/>
      <c r="HB297" s="142"/>
      <c r="HH297" s="142"/>
      <c r="HN297" s="142"/>
      <c r="HT297" s="142"/>
      <c r="HZ297" s="142"/>
    </row>
    <row r="298">
      <c r="F298" s="142"/>
      <c r="L298" s="142"/>
      <c r="R298" s="142"/>
      <c r="X298" s="142"/>
      <c r="AD298" s="142"/>
      <c r="AJ298" s="142"/>
      <c r="AP298" s="142"/>
      <c r="AV298" s="142"/>
      <c r="BA298" s="142"/>
      <c r="BH298" s="142"/>
      <c r="BN298" s="142"/>
      <c r="BT298" s="142"/>
      <c r="BZ298" s="142"/>
      <c r="CF298" s="142"/>
      <c r="CL298" s="142"/>
      <c r="CR298" s="142"/>
      <c r="CX298" s="142"/>
      <c r="DD298" s="142"/>
      <c r="DJ298" s="142"/>
      <c r="DP298" s="142"/>
      <c r="DV298" s="142"/>
      <c r="EB298" s="142"/>
      <c r="EH298" s="142"/>
      <c r="EN298" s="142"/>
      <c r="ET298" s="142"/>
      <c r="EZ298" s="142"/>
      <c r="FF298" s="142"/>
      <c r="FL298" s="142"/>
      <c r="FR298" s="142"/>
      <c r="FX298" s="142"/>
      <c r="GD298" s="142"/>
      <c r="GJ298" s="142"/>
      <c r="GP298" s="142"/>
      <c r="GV298" s="142"/>
      <c r="HB298" s="142"/>
      <c r="HH298" s="142"/>
      <c r="HN298" s="142"/>
      <c r="HT298" s="142"/>
      <c r="HZ298" s="142"/>
    </row>
    <row r="299">
      <c r="F299" s="142"/>
      <c r="L299" s="142"/>
      <c r="R299" s="142"/>
      <c r="X299" s="142"/>
      <c r="AD299" s="142"/>
      <c r="AJ299" s="142"/>
      <c r="AP299" s="142"/>
      <c r="AV299" s="142"/>
      <c r="BA299" s="142"/>
      <c r="BH299" s="142"/>
      <c r="BN299" s="142"/>
      <c r="BT299" s="142"/>
      <c r="BZ299" s="142"/>
      <c r="CF299" s="142"/>
      <c r="CL299" s="142"/>
      <c r="CR299" s="142"/>
      <c r="CX299" s="142"/>
      <c r="DD299" s="142"/>
      <c r="DJ299" s="142"/>
      <c r="DP299" s="142"/>
      <c r="DV299" s="142"/>
      <c r="EB299" s="142"/>
      <c r="EH299" s="142"/>
      <c r="EN299" s="142"/>
      <c r="ET299" s="142"/>
      <c r="EZ299" s="142"/>
      <c r="FF299" s="142"/>
      <c r="FL299" s="142"/>
      <c r="FR299" s="142"/>
      <c r="FX299" s="142"/>
      <c r="GD299" s="142"/>
      <c r="GJ299" s="142"/>
      <c r="GP299" s="142"/>
      <c r="GV299" s="142"/>
      <c r="HB299" s="142"/>
      <c r="HH299" s="142"/>
      <c r="HN299" s="142"/>
      <c r="HT299" s="142"/>
      <c r="HZ299" s="142"/>
    </row>
    <row r="300">
      <c r="F300" s="142"/>
      <c r="L300" s="142"/>
      <c r="R300" s="142"/>
      <c r="X300" s="142"/>
      <c r="AD300" s="142"/>
      <c r="AJ300" s="142"/>
      <c r="AP300" s="142"/>
      <c r="AV300" s="142"/>
      <c r="BA300" s="142"/>
      <c r="BH300" s="142"/>
      <c r="BN300" s="142"/>
      <c r="BT300" s="142"/>
      <c r="BZ300" s="142"/>
      <c r="CF300" s="142"/>
      <c r="CL300" s="142"/>
      <c r="CR300" s="142"/>
      <c r="CX300" s="142"/>
      <c r="DD300" s="142"/>
      <c r="DJ300" s="142"/>
      <c r="DP300" s="142"/>
      <c r="DV300" s="142"/>
      <c r="EB300" s="142"/>
      <c r="EH300" s="142"/>
      <c r="EN300" s="142"/>
      <c r="ET300" s="142"/>
      <c r="EZ300" s="142"/>
      <c r="FF300" s="142"/>
      <c r="FL300" s="142"/>
      <c r="FR300" s="142"/>
      <c r="FX300" s="142"/>
      <c r="GD300" s="142"/>
      <c r="GJ300" s="142"/>
      <c r="GP300" s="142"/>
      <c r="GV300" s="142"/>
      <c r="HB300" s="142"/>
      <c r="HH300" s="142"/>
      <c r="HN300" s="142"/>
      <c r="HT300" s="142"/>
      <c r="HZ300" s="142"/>
    </row>
    <row r="301">
      <c r="F301" s="142"/>
      <c r="L301" s="142"/>
      <c r="R301" s="142"/>
      <c r="X301" s="142"/>
      <c r="AD301" s="142"/>
      <c r="AJ301" s="142"/>
      <c r="AP301" s="142"/>
      <c r="AV301" s="142"/>
      <c r="BA301" s="142"/>
      <c r="BH301" s="142"/>
      <c r="BN301" s="142"/>
      <c r="BT301" s="142"/>
      <c r="BZ301" s="142"/>
      <c r="CF301" s="142"/>
      <c r="CL301" s="142"/>
      <c r="CR301" s="142"/>
      <c r="CX301" s="142"/>
      <c r="DD301" s="142"/>
      <c r="DJ301" s="142"/>
      <c r="DP301" s="142"/>
      <c r="DV301" s="142"/>
      <c r="EB301" s="142"/>
      <c r="EH301" s="142"/>
      <c r="EN301" s="142"/>
      <c r="ET301" s="142"/>
      <c r="EZ301" s="142"/>
      <c r="FF301" s="142"/>
      <c r="FL301" s="142"/>
      <c r="FR301" s="142"/>
      <c r="FX301" s="142"/>
      <c r="GD301" s="142"/>
      <c r="GJ301" s="142"/>
      <c r="GP301" s="142"/>
      <c r="GV301" s="142"/>
      <c r="HB301" s="142"/>
      <c r="HH301" s="142"/>
      <c r="HN301" s="142"/>
      <c r="HT301" s="142"/>
      <c r="HZ301" s="142"/>
    </row>
    <row r="302">
      <c r="F302" s="142"/>
      <c r="L302" s="142"/>
      <c r="R302" s="142"/>
      <c r="X302" s="142"/>
      <c r="AD302" s="142"/>
      <c r="AJ302" s="142"/>
      <c r="AP302" s="142"/>
      <c r="AV302" s="142"/>
      <c r="BA302" s="142"/>
      <c r="BH302" s="142"/>
      <c r="BN302" s="142"/>
      <c r="BT302" s="142"/>
      <c r="BZ302" s="142"/>
      <c r="CF302" s="142"/>
      <c r="CL302" s="142"/>
      <c r="CR302" s="142"/>
      <c r="CX302" s="142"/>
      <c r="DD302" s="142"/>
      <c r="DJ302" s="142"/>
      <c r="DP302" s="142"/>
      <c r="DV302" s="142"/>
      <c r="EB302" s="142"/>
      <c r="EH302" s="142"/>
      <c r="EN302" s="142"/>
      <c r="ET302" s="142"/>
      <c r="EZ302" s="142"/>
      <c r="FF302" s="142"/>
      <c r="FL302" s="142"/>
      <c r="FR302" s="142"/>
      <c r="FX302" s="142"/>
      <c r="GD302" s="142"/>
      <c r="GJ302" s="142"/>
      <c r="GP302" s="142"/>
      <c r="GV302" s="142"/>
      <c r="HB302" s="142"/>
      <c r="HH302" s="142"/>
      <c r="HN302" s="142"/>
      <c r="HT302" s="142"/>
      <c r="HZ302" s="142"/>
    </row>
    <row r="303">
      <c r="F303" s="142"/>
      <c r="L303" s="142"/>
      <c r="R303" s="142"/>
      <c r="X303" s="142"/>
      <c r="AD303" s="142"/>
      <c r="AJ303" s="142"/>
      <c r="AP303" s="142"/>
      <c r="AV303" s="142"/>
      <c r="BA303" s="142"/>
      <c r="BH303" s="142"/>
      <c r="BN303" s="142"/>
      <c r="BT303" s="142"/>
      <c r="BZ303" s="142"/>
      <c r="CF303" s="142"/>
      <c r="CL303" s="142"/>
      <c r="CR303" s="142"/>
      <c r="CX303" s="142"/>
      <c r="DD303" s="142"/>
      <c r="DJ303" s="142"/>
      <c r="DP303" s="142"/>
      <c r="DV303" s="142"/>
      <c r="EB303" s="142"/>
      <c r="EH303" s="142"/>
      <c r="EN303" s="142"/>
      <c r="ET303" s="142"/>
      <c r="EZ303" s="142"/>
      <c r="FF303" s="142"/>
      <c r="FL303" s="142"/>
      <c r="FR303" s="142"/>
      <c r="FX303" s="142"/>
      <c r="GD303" s="142"/>
      <c r="GJ303" s="142"/>
      <c r="GP303" s="142"/>
      <c r="GV303" s="142"/>
      <c r="HB303" s="142"/>
      <c r="HH303" s="142"/>
      <c r="HN303" s="142"/>
      <c r="HT303" s="142"/>
      <c r="HZ303" s="142"/>
    </row>
    <row r="304">
      <c r="F304" s="142"/>
      <c r="L304" s="142"/>
      <c r="R304" s="142"/>
      <c r="X304" s="142"/>
      <c r="AD304" s="142"/>
      <c r="AJ304" s="142"/>
      <c r="AP304" s="142"/>
      <c r="AV304" s="142"/>
      <c r="BA304" s="142"/>
      <c r="BH304" s="142"/>
      <c r="BN304" s="142"/>
      <c r="BT304" s="142"/>
      <c r="BZ304" s="142"/>
      <c r="CF304" s="142"/>
      <c r="CL304" s="142"/>
      <c r="CR304" s="142"/>
      <c r="CX304" s="142"/>
      <c r="DD304" s="142"/>
      <c r="DJ304" s="142"/>
      <c r="DP304" s="142"/>
      <c r="DV304" s="142"/>
      <c r="EB304" s="142"/>
      <c r="EH304" s="142"/>
      <c r="EN304" s="142"/>
      <c r="ET304" s="142"/>
      <c r="EZ304" s="142"/>
      <c r="FF304" s="142"/>
      <c r="FL304" s="142"/>
      <c r="FR304" s="142"/>
      <c r="FX304" s="142"/>
      <c r="GD304" s="142"/>
      <c r="GJ304" s="142"/>
      <c r="GP304" s="142"/>
      <c r="GV304" s="142"/>
      <c r="HB304" s="142"/>
      <c r="HH304" s="142"/>
      <c r="HN304" s="142"/>
      <c r="HT304" s="142"/>
      <c r="HZ304" s="142"/>
    </row>
    <row r="305">
      <c r="F305" s="142"/>
      <c r="L305" s="142"/>
      <c r="R305" s="142"/>
      <c r="X305" s="142"/>
      <c r="AD305" s="142"/>
      <c r="AJ305" s="142"/>
      <c r="AP305" s="142"/>
      <c r="AV305" s="142"/>
      <c r="BA305" s="142"/>
      <c r="BH305" s="142"/>
      <c r="BN305" s="142"/>
      <c r="BT305" s="142"/>
      <c r="BZ305" s="142"/>
      <c r="CF305" s="142"/>
      <c r="CL305" s="142"/>
      <c r="CR305" s="142"/>
      <c r="CX305" s="142"/>
      <c r="DD305" s="142"/>
      <c r="DJ305" s="142"/>
      <c r="DP305" s="142"/>
      <c r="DV305" s="142"/>
      <c r="EB305" s="142"/>
      <c r="EH305" s="142"/>
      <c r="EN305" s="142"/>
      <c r="ET305" s="142"/>
      <c r="EZ305" s="142"/>
      <c r="FF305" s="142"/>
      <c r="FL305" s="142"/>
      <c r="FR305" s="142"/>
      <c r="FX305" s="142"/>
      <c r="GD305" s="142"/>
      <c r="GJ305" s="142"/>
      <c r="GP305" s="142"/>
      <c r="GV305" s="142"/>
      <c r="HB305" s="142"/>
      <c r="HH305" s="142"/>
      <c r="HN305" s="142"/>
      <c r="HT305" s="142"/>
      <c r="HZ305" s="142"/>
    </row>
    <row r="306">
      <c r="F306" s="142"/>
      <c r="L306" s="142"/>
      <c r="R306" s="142"/>
      <c r="X306" s="142"/>
      <c r="AD306" s="142"/>
      <c r="AJ306" s="142"/>
      <c r="AP306" s="142"/>
      <c r="AV306" s="142"/>
      <c r="BA306" s="142"/>
      <c r="BH306" s="142"/>
      <c r="BN306" s="142"/>
      <c r="BT306" s="142"/>
      <c r="BZ306" s="142"/>
      <c r="CF306" s="142"/>
      <c r="CL306" s="142"/>
      <c r="CR306" s="142"/>
      <c r="CX306" s="142"/>
      <c r="DD306" s="142"/>
      <c r="DJ306" s="142"/>
      <c r="DP306" s="142"/>
      <c r="DV306" s="142"/>
      <c r="EB306" s="142"/>
      <c r="EH306" s="142"/>
      <c r="EN306" s="142"/>
      <c r="ET306" s="142"/>
      <c r="EZ306" s="142"/>
      <c r="FF306" s="142"/>
      <c r="FL306" s="142"/>
      <c r="FR306" s="142"/>
      <c r="FX306" s="142"/>
      <c r="GD306" s="142"/>
      <c r="GJ306" s="142"/>
      <c r="GP306" s="142"/>
      <c r="GV306" s="142"/>
      <c r="HB306" s="142"/>
      <c r="HH306" s="142"/>
      <c r="HN306" s="142"/>
      <c r="HT306" s="142"/>
      <c r="HZ306" s="142"/>
    </row>
    <row r="307">
      <c r="F307" s="142"/>
      <c r="L307" s="142"/>
      <c r="R307" s="142"/>
      <c r="X307" s="142"/>
      <c r="AD307" s="142"/>
      <c r="AJ307" s="142"/>
      <c r="AP307" s="142"/>
      <c r="AV307" s="142"/>
      <c r="BA307" s="142"/>
      <c r="BH307" s="142"/>
      <c r="BN307" s="142"/>
      <c r="BT307" s="142"/>
      <c r="BZ307" s="142"/>
      <c r="CF307" s="142"/>
      <c r="CL307" s="142"/>
      <c r="CR307" s="142"/>
      <c r="CX307" s="142"/>
      <c r="DD307" s="142"/>
      <c r="DJ307" s="142"/>
      <c r="DP307" s="142"/>
      <c r="DV307" s="142"/>
      <c r="EB307" s="142"/>
      <c r="EH307" s="142"/>
      <c r="EN307" s="142"/>
      <c r="ET307" s="142"/>
      <c r="EZ307" s="142"/>
      <c r="FF307" s="142"/>
      <c r="FL307" s="142"/>
      <c r="FR307" s="142"/>
      <c r="FX307" s="142"/>
      <c r="GD307" s="142"/>
      <c r="GJ307" s="142"/>
      <c r="GP307" s="142"/>
      <c r="GV307" s="142"/>
      <c r="HB307" s="142"/>
      <c r="HH307" s="142"/>
      <c r="HN307" s="142"/>
      <c r="HT307" s="142"/>
      <c r="HZ307" s="142"/>
    </row>
    <row r="308">
      <c r="F308" s="142"/>
      <c r="L308" s="142"/>
      <c r="R308" s="142"/>
      <c r="X308" s="142"/>
      <c r="AD308" s="142"/>
      <c r="AJ308" s="142"/>
      <c r="AP308" s="142"/>
      <c r="AV308" s="142"/>
      <c r="BA308" s="142"/>
      <c r="BH308" s="142"/>
      <c r="BN308" s="142"/>
      <c r="BT308" s="142"/>
      <c r="BZ308" s="142"/>
      <c r="CF308" s="142"/>
      <c r="CL308" s="142"/>
      <c r="CR308" s="142"/>
      <c r="CX308" s="142"/>
      <c r="DD308" s="142"/>
      <c r="DJ308" s="142"/>
      <c r="DP308" s="142"/>
      <c r="DV308" s="142"/>
      <c r="EB308" s="142"/>
      <c r="EH308" s="142"/>
      <c r="EN308" s="142"/>
      <c r="ET308" s="142"/>
      <c r="EZ308" s="142"/>
      <c r="FF308" s="142"/>
      <c r="FL308" s="142"/>
      <c r="FR308" s="142"/>
      <c r="FX308" s="142"/>
      <c r="GD308" s="142"/>
      <c r="GJ308" s="142"/>
      <c r="GP308" s="142"/>
      <c r="GV308" s="142"/>
      <c r="HB308" s="142"/>
      <c r="HH308" s="142"/>
      <c r="HN308" s="142"/>
      <c r="HT308" s="142"/>
      <c r="HZ308" s="142"/>
    </row>
    <row r="309">
      <c r="F309" s="142"/>
      <c r="L309" s="142"/>
      <c r="R309" s="142"/>
      <c r="X309" s="142"/>
      <c r="AD309" s="142"/>
      <c r="AJ309" s="142"/>
      <c r="AP309" s="142"/>
      <c r="AV309" s="142"/>
      <c r="BA309" s="142"/>
      <c r="BH309" s="142"/>
      <c r="BN309" s="142"/>
      <c r="BT309" s="142"/>
      <c r="BZ309" s="142"/>
      <c r="CF309" s="142"/>
      <c r="CL309" s="142"/>
      <c r="CR309" s="142"/>
      <c r="CX309" s="142"/>
      <c r="DD309" s="142"/>
      <c r="DJ309" s="142"/>
      <c r="DP309" s="142"/>
      <c r="DV309" s="142"/>
      <c r="EB309" s="142"/>
      <c r="EH309" s="142"/>
      <c r="EN309" s="142"/>
      <c r="ET309" s="142"/>
      <c r="EZ309" s="142"/>
      <c r="FF309" s="142"/>
      <c r="FL309" s="142"/>
      <c r="FR309" s="142"/>
      <c r="FX309" s="142"/>
      <c r="GD309" s="142"/>
      <c r="GJ309" s="142"/>
      <c r="GP309" s="142"/>
      <c r="GV309" s="142"/>
      <c r="HB309" s="142"/>
      <c r="HH309" s="142"/>
      <c r="HN309" s="142"/>
      <c r="HT309" s="142"/>
      <c r="HZ309" s="142"/>
    </row>
    <row r="310">
      <c r="F310" s="142"/>
      <c r="L310" s="142"/>
      <c r="R310" s="142"/>
      <c r="X310" s="142"/>
      <c r="AD310" s="142"/>
      <c r="AJ310" s="142"/>
      <c r="AP310" s="142"/>
      <c r="AV310" s="142"/>
      <c r="BA310" s="142"/>
      <c r="BH310" s="142"/>
      <c r="BN310" s="142"/>
      <c r="BT310" s="142"/>
      <c r="BZ310" s="142"/>
      <c r="CF310" s="142"/>
      <c r="CL310" s="142"/>
      <c r="CR310" s="142"/>
      <c r="CX310" s="142"/>
      <c r="DD310" s="142"/>
      <c r="DJ310" s="142"/>
      <c r="DP310" s="142"/>
      <c r="DV310" s="142"/>
      <c r="EB310" s="142"/>
      <c r="EH310" s="142"/>
      <c r="EN310" s="142"/>
      <c r="ET310" s="142"/>
      <c r="EZ310" s="142"/>
      <c r="FF310" s="142"/>
      <c r="FL310" s="142"/>
      <c r="FR310" s="142"/>
      <c r="FX310" s="142"/>
      <c r="GD310" s="142"/>
      <c r="GJ310" s="142"/>
      <c r="GP310" s="142"/>
      <c r="GV310" s="142"/>
      <c r="HB310" s="142"/>
      <c r="HH310" s="142"/>
      <c r="HN310" s="142"/>
      <c r="HT310" s="142"/>
      <c r="HZ310" s="142"/>
    </row>
    <row r="311">
      <c r="F311" s="142"/>
      <c r="L311" s="142"/>
      <c r="R311" s="142"/>
      <c r="X311" s="142"/>
      <c r="AD311" s="142"/>
      <c r="AJ311" s="142"/>
      <c r="AP311" s="142"/>
      <c r="AV311" s="142"/>
      <c r="BA311" s="142"/>
      <c r="BH311" s="142"/>
      <c r="BN311" s="142"/>
      <c r="BT311" s="142"/>
      <c r="BZ311" s="142"/>
      <c r="CF311" s="142"/>
      <c r="CL311" s="142"/>
      <c r="CR311" s="142"/>
      <c r="CX311" s="142"/>
      <c r="DD311" s="142"/>
      <c r="DJ311" s="142"/>
      <c r="DP311" s="142"/>
      <c r="DV311" s="142"/>
      <c r="EB311" s="142"/>
      <c r="EH311" s="142"/>
      <c r="EN311" s="142"/>
      <c r="ET311" s="142"/>
      <c r="EZ311" s="142"/>
      <c r="FF311" s="142"/>
      <c r="FL311" s="142"/>
      <c r="FR311" s="142"/>
      <c r="FX311" s="142"/>
      <c r="GD311" s="142"/>
      <c r="GJ311" s="142"/>
      <c r="GP311" s="142"/>
      <c r="GV311" s="142"/>
      <c r="HB311" s="142"/>
      <c r="HH311" s="142"/>
      <c r="HN311" s="142"/>
      <c r="HT311" s="142"/>
      <c r="HZ311" s="142"/>
    </row>
    <row r="312">
      <c r="F312" s="142"/>
      <c r="L312" s="142"/>
      <c r="R312" s="142"/>
      <c r="X312" s="142"/>
      <c r="AD312" s="142"/>
      <c r="AJ312" s="142"/>
      <c r="AP312" s="142"/>
      <c r="AV312" s="142"/>
      <c r="BA312" s="142"/>
      <c r="BH312" s="142"/>
      <c r="BN312" s="142"/>
      <c r="BT312" s="142"/>
      <c r="BZ312" s="142"/>
      <c r="CF312" s="142"/>
      <c r="CL312" s="142"/>
      <c r="CR312" s="142"/>
      <c r="CX312" s="142"/>
      <c r="DD312" s="142"/>
      <c r="DJ312" s="142"/>
      <c r="DP312" s="142"/>
      <c r="DV312" s="142"/>
      <c r="EB312" s="142"/>
      <c r="EH312" s="142"/>
      <c r="EN312" s="142"/>
      <c r="ET312" s="142"/>
      <c r="EZ312" s="142"/>
      <c r="FF312" s="142"/>
      <c r="FL312" s="142"/>
      <c r="FR312" s="142"/>
      <c r="FX312" s="142"/>
      <c r="GD312" s="142"/>
      <c r="GJ312" s="142"/>
      <c r="GP312" s="142"/>
      <c r="GV312" s="142"/>
      <c r="HB312" s="142"/>
      <c r="HH312" s="142"/>
      <c r="HN312" s="142"/>
      <c r="HT312" s="142"/>
      <c r="HZ312" s="142"/>
    </row>
    <row r="313">
      <c r="F313" s="142"/>
      <c r="L313" s="142"/>
      <c r="R313" s="142"/>
      <c r="X313" s="142"/>
      <c r="AD313" s="142"/>
      <c r="AJ313" s="142"/>
      <c r="AP313" s="142"/>
      <c r="AV313" s="142"/>
      <c r="BA313" s="142"/>
      <c r="BH313" s="142"/>
      <c r="BN313" s="142"/>
      <c r="BT313" s="142"/>
      <c r="BZ313" s="142"/>
      <c r="CF313" s="142"/>
      <c r="CL313" s="142"/>
      <c r="CR313" s="142"/>
      <c r="CX313" s="142"/>
      <c r="DD313" s="142"/>
      <c r="DJ313" s="142"/>
      <c r="DP313" s="142"/>
      <c r="DV313" s="142"/>
      <c r="EB313" s="142"/>
      <c r="EH313" s="142"/>
      <c r="EN313" s="142"/>
      <c r="ET313" s="142"/>
      <c r="EZ313" s="142"/>
      <c r="FF313" s="142"/>
      <c r="FL313" s="142"/>
      <c r="FR313" s="142"/>
      <c r="FX313" s="142"/>
      <c r="GD313" s="142"/>
      <c r="GJ313" s="142"/>
      <c r="GP313" s="142"/>
      <c r="GV313" s="142"/>
      <c r="HB313" s="142"/>
      <c r="HH313" s="142"/>
      <c r="HN313" s="142"/>
      <c r="HT313" s="142"/>
      <c r="HZ313" s="142"/>
    </row>
    <row r="314">
      <c r="F314" s="142"/>
      <c r="L314" s="142"/>
      <c r="R314" s="142"/>
      <c r="X314" s="142"/>
      <c r="AD314" s="142"/>
      <c r="AJ314" s="142"/>
      <c r="AP314" s="142"/>
      <c r="AV314" s="142"/>
      <c r="BA314" s="142"/>
      <c r="BH314" s="142"/>
      <c r="BN314" s="142"/>
      <c r="BT314" s="142"/>
      <c r="BZ314" s="142"/>
      <c r="CF314" s="142"/>
      <c r="CL314" s="142"/>
      <c r="CR314" s="142"/>
      <c r="CX314" s="142"/>
      <c r="DD314" s="142"/>
      <c r="DJ314" s="142"/>
      <c r="DP314" s="142"/>
      <c r="DV314" s="142"/>
      <c r="EB314" s="142"/>
      <c r="EH314" s="142"/>
      <c r="EN314" s="142"/>
      <c r="ET314" s="142"/>
      <c r="EZ314" s="142"/>
      <c r="FF314" s="142"/>
      <c r="FL314" s="142"/>
      <c r="FR314" s="142"/>
      <c r="FX314" s="142"/>
      <c r="GD314" s="142"/>
      <c r="GJ314" s="142"/>
      <c r="GP314" s="142"/>
      <c r="GV314" s="142"/>
      <c r="HB314" s="142"/>
      <c r="HH314" s="142"/>
      <c r="HN314" s="142"/>
      <c r="HT314" s="142"/>
      <c r="HZ314" s="142"/>
    </row>
    <row r="315">
      <c r="F315" s="142"/>
      <c r="L315" s="142"/>
      <c r="R315" s="142"/>
      <c r="X315" s="142"/>
      <c r="AD315" s="142"/>
      <c r="AJ315" s="142"/>
      <c r="AP315" s="142"/>
      <c r="AV315" s="142"/>
      <c r="BA315" s="142"/>
      <c r="BH315" s="142"/>
      <c r="BN315" s="142"/>
      <c r="BT315" s="142"/>
      <c r="BZ315" s="142"/>
      <c r="CF315" s="142"/>
      <c r="CL315" s="142"/>
      <c r="CR315" s="142"/>
      <c r="CX315" s="142"/>
      <c r="DD315" s="142"/>
      <c r="DJ315" s="142"/>
      <c r="DP315" s="142"/>
      <c r="DV315" s="142"/>
      <c r="EB315" s="142"/>
      <c r="EH315" s="142"/>
      <c r="EN315" s="142"/>
      <c r="ET315" s="142"/>
      <c r="EZ315" s="142"/>
      <c r="FF315" s="142"/>
      <c r="FL315" s="142"/>
      <c r="FR315" s="142"/>
      <c r="FX315" s="142"/>
      <c r="GD315" s="142"/>
      <c r="GJ315" s="142"/>
      <c r="GP315" s="142"/>
      <c r="GV315" s="142"/>
      <c r="HB315" s="142"/>
      <c r="HH315" s="142"/>
      <c r="HN315" s="142"/>
      <c r="HT315" s="142"/>
      <c r="HZ315" s="142"/>
    </row>
    <row r="316">
      <c r="F316" s="142"/>
      <c r="L316" s="142"/>
      <c r="R316" s="142"/>
      <c r="X316" s="142"/>
      <c r="AD316" s="142"/>
      <c r="AJ316" s="142"/>
      <c r="AP316" s="142"/>
      <c r="AV316" s="142"/>
      <c r="BA316" s="142"/>
      <c r="BH316" s="142"/>
      <c r="BN316" s="142"/>
      <c r="BT316" s="142"/>
      <c r="BZ316" s="142"/>
      <c r="CF316" s="142"/>
      <c r="CL316" s="142"/>
      <c r="CR316" s="142"/>
      <c r="CX316" s="142"/>
      <c r="DD316" s="142"/>
      <c r="DJ316" s="142"/>
      <c r="DP316" s="142"/>
      <c r="DV316" s="142"/>
      <c r="EB316" s="142"/>
      <c r="EH316" s="142"/>
      <c r="EN316" s="142"/>
      <c r="ET316" s="142"/>
      <c r="EZ316" s="142"/>
      <c r="FF316" s="142"/>
      <c r="FL316" s="142"/>
      <c r="FR316" s="142"/>
      <c r="FX316" s="142"/>
      <c r="GD316" s="142"/>
      <c r="GJ316" s="142"/>
      <c r="GP316" s="142"/>
      <c r="GV316" s="142"/>
      <c r="HB316" s="142"/>
      <c r="HH316" s="142"/>
      <c r="HN316" s="142"/>
      <c r="HT316" s="142"/>
      <c r="HZ316" s="142"/>
    </row>
    <row r="317">
      <c r="F317" s="142"/>
      <c r="L317" s="142"/>
      <c r="R317" s="142"/>
      <c r="X317" s="142"/>
      <c r="AD317" s="142"/>
      <c r="AJ317" s="142"/>
      <c r="AP317" s="142"/>
      <c r="AV317" s="142"/>
      <c r="BA317" s="142"/>
      <c r="BH317" s="142"/>
      <c r="BN317" s="142"/>
      <c r="BT317" s="142"/>
      <c r="BZ317" s="142"/>
      <c r="CF317" s="142"/>
      <c r="CL317" s="142"/>
      <c r="CR317" s="142"/>
      <c r="CX317" s="142"/>
      <c r="DD317" s="142"/>
      <c r="DJ317" s="142"/>
      <c r="DP317" s="142"/>
      <c r="DV317" s="142"/>
      <c r="EB317" s="142"/>
      <c r="EH317" s="142"/>
      <c r="EN317" s="142"/>
      <c r="ET317" s="142"/>
      <c r="EZ317" s="142"/>
      <c r="FF317" s="142"/>
      <c r="FL317" s="142"/>
      <c r="FR317" s="142"/>
      <c r="FX317" s="142"/>
      <c r="GD317" s="142"/>
      <c r="GJ317" s="142"/>
      <c r="GP317" s="142"/>
      <c r="GV317" s="142"/>
      <c r="HB317" s="142"/>
      <c r="HH317" s="142"/>
      <c r="HN317" s="142"/>
      <c r="HT317" s="142"/>
      <c r="HZ317" s="142"/>
    </row>
    <row r="318">
      <c r="F318" s="142"/>
      <c r="L318" s="142"/>
      <c r="R318" s="142"/>
      <c r="X318" s="142"/>
      <c r="AD318" s="142"/>
      <c r="AJ318" s="142"/>
      <c r="AP318" s="142"/>
      <c r="AV318" s="142"/>
      <c r="BA318" s="142"/>
      <c r="BH318" s="142"/>
      <c r="BN318" s="142"/>
      <c r="BT318" s="142"/>
      <c r="BZ318" s="142"/>
      <c r="CF318" s="142"/>
      <c r="CL318" s="142"/>
      <c r="CR318" s="142"/>
      <c r="CX318" s="142"/>
      <c r="DD318" s="142"/>
      <c r="DJ318" s="142"/>
      <c r="DP318" s="142"/>
      <c r="DV318" s="142"/>
      <c r="EB318" s="142"/>
      <c r="EH318" s="142"/>
      <c r="EN318" s="142"/>
      <c r="ET318" s="142"/>
      <c r="EZ318" s="142"/>
      <c r="FF318" s="142"/>
      <c r="FL318" s="142"/>
      <c r="FR318" s="142"/>
      <c r="FX318" s="142"/>
      <c r="GD318" s="142"/>
      <c r="GJ318" s="142"/>
      <c r="GP318" s="142"/>
      <c r="GV318" s="142"/>
      <c r="HB318" s="142"/>
      <c r="HH318" s="142"/>
      <c r="HN318" s="142"/>
      <c r="HT318" s="142"/>
      <c r="HZ318" s="142"/>
    </row>
    <row r="319">
      <c r="F319" s="142"/>
      <c r="L319" s="142"/>
      <c r="R319" s="142"/>
      <c r="X319" s="142"/>
      <c r="AD319" s="142"/>
      <c r="AJ319" s="142"/>
      <c r="AP319" s="142"/>
      <c r="AV319" s="142"/>
      <c r="BA319" s="142"/>
      <c r="BH319" s="142"/>
      <c r="BN319" s="142"/>
      <c r="BT319" s="142"/>
      <c r="BZ319" s="142"/>
      <c r="CF319" s="142"/>
      <c r="CL319" s="142"/>
      <c r="CR319" s="142"/>
      <c r="CX319" s="142"/>
      <c r="DD319" s="142"/>
      <c r="DJ319" s="142"/>
      <c r="DP319" s="142"/>
      <c r="DV319" s="142"/>
      <c r="EB319" s="142"/>
      <c r="EH319" s="142"/>
      <c r="EN319" s="142"/>
      <c r="ET319" s="142"/>
      <c r="EZ319" s="142"/>
      <c r="FF319" s="142"/>
      <c r="FL319" s="142"/>
      <c r="FR319" s="142"/>
      <c r="FX319" s="142"/>
      <c r="GD319" s="142"/>
      <c r="GJ319" s="142"/>
      <c r="GP319" s="142"/>
      <c r="GV319" s="142"/>
      <c r="HB319" s="142"/>
      <c r="HH319" s="142"/>
      <c r="HN319" s="142"/>
      <c r="HT319" s="142"/>
      <c r="HZ319" s="142"/>
    </row>
    <row r="320">
      <c r="F320" s="142"/>
      <c r="L320" s="142"/>
      <c r="R320" s="142"/>
      <c r="X320" s="142"/>
      <c r="AD320" s="142"/>
      <c r="AJ320" s="142"/>
      <c r="AP320" s="142"/>
      <c r="AV320" s="142"/>
      <c r="BA320" s="142"/>
      <c r="BH320" s="142"/>
      <c r="BN320" s="142"/>
      <c r="BT320" s="142"/>
      <c r="BZ320" s="142"/>
      <c r="CF320" s="142"/>
      <c r="CL320" s="142"/>
      <c r="CR320" s="142"/>
      <c r="CX320" s="142"/>
      <c r="DD320" s="142"/>
      <c r="DJ320" s="142"/>
      <c r="DP320" s="142"/>
      <c r="DV320" s="142"/>
      <c r="EB320" s="142"/>
      <c r="EH320" s="142"/>
      <c r="EN320" s="142"/>
      <c r="ET320" s="142"/>
      <c r="EZ320" s="142"/>
      <c r="FF320" s="142"/>
      <c r="FL320" s="142"/>
      <c r="FR320" s="142"/>
      <c r="FX320" s="142"/>
      <c r="GD320" s="142"/>
      <c r="GJ320" s="142"/>
      <c r="GP320" s="142"/>
      <c r="GV320" s="142"/>
      <c r="HB320" s="142"/>
      <c r="HH320" s="142"/>
      <c r="HN320" s="142"/>
      <c r="HT320" s="142"/>
      <c r="HZ320" s="142"/>
    </row>
    <row r="321">
      <c r="F321" s="142"/>
      <c r="L321" s="142"/>
      <c r="R321" s="142"/>
      <c r="X321" s="142"/>
      <c r="AD321" s="142"/>
      <c r="AJ321" s="142"/>
      <c r="AP321" s="142"/>
      <c r="AV321" s="142"/>
      <c r="BA321" s="142"/>
      <c r="BH321" s="142"/>
      <c r="BN321" s="142"/>
      <c r="BT321" s="142"/>
      <c r="BZ321" s="142"/>
      <c r="CF321" s="142"/>
      <c r="CL321" s="142"/>
      <c r="CR321" s="142"/>
      <c r="CX321" s="142"/>
      <c r="DD321" s="142"/>
      <c r="DJ321" s="142"/>
      <c r="DP321" s="142"/>
      <c r="DV321" s="142"/>
      <c r="EB321" s="142"/>
      <c r="EH321" s="142"/>
      <c r="EN321" s="142"/>
      <c r="ET321" s="142"/>
      <c r="EZ321" s="142"/>
      <c r="FF321" s="142"/>
      <c r="FL321" s="142"/>
      <c r="FR321" s="142"/>
      <c r="FX321" s="142"/>
      <c r="GD321" s="142"/>
      <c r="GJ321" s="142"/>
      <c r="GP321" s="142"/>
      <c r="GV321" s="142"/>
      <c r="HB321" s="142"/>
      <c r="HH321" s="142"/>
      <c r="HN321" s="142"/>
      <c r="HT321" s="142"/>
      <c r="HZ321" s="142"/>
    </row>
    <row r="322">
      <c r="F322" s="142"/>
      <c r="L322" s="142"/>
      <c r="R322" s="142"/>
      <c r="X322" s="142"/>
      <c r="AD322" s="142"/>
      <c r="AJ322" s="142"/>
      <c r="AP322" s="142"/>
      <c r="AV322" s="142"/>
      <c r="BA322" s="142"/>
      <c r="BH322" s="142"/>
      <c r="BN322" s="142"/>
      <c r="BT322" s="142"/>
      <c r="BZ322" s="142"/>
      <c r="CF322" s="142"/>
      <c r="CL322" s="142"/>
      <c r="CR322" s="142"/>
      <c r="CX322" s="142"/>
      <c r="DD322" s="142"/>
      <c r="DJ322" s="142"/>
      <c r="DP322" s="142"/>
      <c r="DV322" s="142"/>
      <c r="EB322" s="142"/>
      <c r="EH322" s="142"/>
      <c r="EN322" s="142"/>
      <c r="ET322" s="142"/>
      <c r="EZ322" s="142"/>
      <c r="FF322" s="142"/>
      <c r="FL322" s="142"/>
      <c r="FR322" s="142"/>
      <c r="FX322" s="142"/>
      <c r="GD322" s="142"/>
      <c r="GJ322" s="142"/>
      <c r="GP322" s="142"/>
      <c r="GV322" s="142"/>
      <c r="HB322" s="142"/>
      <c r="HH322" s="142"/>
      <c r="HN322" s="142"/>
      <c r="HT322" s="142"/>
      <c r="HZ322" s="142"/>
    </row>
    <row r="323">
      <c r="F323" s="142"/>
      <c r="L323" s="142"/>
      <c r="R323" s="142"/>
      <c r="X323" s="142"/>
      <c r="AD323" s="142"/>
      <c r="AJ323" s="142"/>
      <c r="AP323" s="142"/>
      <c r="AV323" s="142"/>
      <c r="BA323" s="142"/>
      <c r="BH323" s="142"/>
      <c r="BN323" s="142"/>
      <c r="BT323" s="142"/>
      <c r="BZ323" s="142"/>
      <c r="CF323" s="142"/>
      <c r="CL323" s="142"/>
      <c r="CR323" s="142"/>
      <c r="CX323" s="142"/>
      <c r="DD323" s="142"/>
      <c r="DJ323" s="142"/>
      <c r="DP323" s="142"/>
      <c r="DV323" s="142"/>
      <c r="EB323" s="142"/>
      <c r="EH323" s="142"/>
      <c r="EN323" s="142"/>
      <c r="ET323" s="142"/>
      <c r="EZ323" s="142"/>
      <c r="FF323" s="142"/>
      <c r="FL323" s="142"/>
      <c r="FR323" s="142"/>
      <c r="FX323" s="142"/>
      <c r="GD323" s="142"/>
      <c r="GJ323" s="142"/>
      <c r="GP323" s="142"/>
      <c r="GV323" s="142"/>
      <c r="HB323" s="142"/>
      <c r="HH323" s="142"/>
      <c r="HN323" s="142"/>
      <c r="HT323" s="142"/>
      <c r="HZ323" s="142"/>
    </row>
    <row r="324">
      <c r="F324" s="142"/>
      <c r="L324" s="142"/>
      <c r="R324" s="142"/>
      <c r="X324" s="142"/>
      <c r="AD324" s="142"/>
      <c r="AJ324" s="142"/>
      <c r="AP324" s="142"/>
      <c r="AV324" s="142"/>
      <c r="BA324" s="142"/>
      <c r="BH324" s="142"/>
      <c r="BN324" s="142"/>
      <c r="BT324" s="142"/>
      <c r="BZ324" s="142"/>
      <c r="CF324" s="142"/>
      <c r="CL324" s="142"/>
      <c r="CR324" s="142"/>
      <c r="CX324" s="142"/>
      <c r="DD324" s="142"/>
      <c r="DJ324" s="142"/>
      <c r="DP324" s="142"/>
      <c r="DV324" s="142"/>
      <c r="EB324" s="142"/>
      <c r="EH324" s="142"/>
      <c r="EN324" s="142"/>
      <c r="ET324" s="142"/>
      <c r="EZ324" s="142"/>
      <c r="FF324" s="142"/>
      <c r="FL324" s="142"/>
      <c r="FR324" s="142"/>
      <c r="FX324" s="142"/>
      <c r="GD324" s="142"/>
      <c r="GJ324" s="142"/>
      <c r="GP324" s="142"/>
      <c r="GV324" s="142"/>
      <c r="HB324" s="142"/>
      <c r="HH324" s="142"/>
      <c r="HN324" s="142"/>
      <c r="HT324" s="142"/>
      <c r="HZ324" s="142"/>
    </row>
    <row r="325">
      <c r="F325" s="142"/>
      <c r="L325" s="142"/>
      <c r="R325" s="142"/>
      <c r="X325" s="142"/>
      <c r="AD325" s="142"/>
      <c r="AJ325" s="142"/>
      <c r="AP325" s="142"/>
      <c r="AV325" s="142"/>
      <c r="BA325" s="142"/>
      <c r="BH325" s="142"/>
      <c r="BN325" s="142"/>
      <c r="BT325" s="142"/>
      <c r="BZ325" s="142"/>
      <c r="CF325" s="142"/>
      <c r="CL325" s="142"/>
      <c r="CR325" s="142"/>
      <c r="CX325" s="142"/>
      <c r="DD325" s="142"/>
      <c r="DJ325" s="142"/>
      <c r="DP325" s="142"/>
      <c r="DV325" s="142"/>
      <c r="EB325" s="142"/>
      <c r="EH325" s="142"/>
      <c r="EN325" s="142"/>
      <c r="ET325" s="142"/>
      <c r="EZ325" s="142"/>
      <c r="FF325" s="142"/>
      <c r="FL325" s="142"/>
      <c r="FR325" s="142"/>
      <c r="FX325" s="142"/>
      <c r="GD325" s="142"/>
      <c r="GJ325" s="142"/>
      <c r="GP325" s="142"/>
      <c r="GV325" s="142"/>
      <c r="HB325" s="142"/>
      <c r="HH325" s="142"/>
      <c r="HN325" s="142"/>
      <c r="HT325" s="142"/>
      <c r="HZ325" s="142"/>
    </row>
    <row r="326">
      <c r="F326" s="142"/>
      <c r="L326" s="142"/>
      <c r="R326" s="142"/>
      <c r="X326" s="142"/>
      <c r="AD326" s="142"/>
      <c r="AJ326" s="142"/>
      <c r="AP326" s="142"/>
      <c r="AV326" s="142"/>
      <c r="BA326" s="142"/>
      <c r="BH326" s="142"/>
      <c r="BN326" s="142"/>
      <c r="BT326" s="142"/>
      <c r="BZ326" s="142"/>
      <c r="CF326" s="142"/>
      <c r="CL326" s="142"/>
      <c r="CR326" s="142"/>
      <c r="CX326" s="142"/>
      <c r="DD326" s="142"/>
      <c r="DJ326" s="142"/>
      <c r="DP326" s="142"/>
      <c r="DV326" s="142"/>
      <c r="EB326" s="142"/>
      <c r="EH326" s="142"/>
      <c r="EN326" s="142"/>
      <c r="ET326" s="142"/>
      <c r="EZ326" s="142"/>
      <c r="FF326" s="142"/>
      <c r="FL326" s="142"/>
      <c r="FR326" s="142"/>
      <c r="FX326" s="142"/>
      <c r="GD326" s="142"/>
      <c r="GJ326" s="142"/>
      <c r="GP326" s="142"/>
      <c r="GV326" s="142"/>
      <c r="HB326" s="142"/>
      <c r="HH326" s="142"/>
      <c r="HN326" s="142"/>
      <c r="HT326" s="142"/>
      <c r="HZ326" s="142"/>
    </row>
    <row r="327">
      <c r="F327" s="142"/>
      <c r="L327" s="142"/>
      <c r="R327" s="142"/>
      <c r="X327" s="142"/>
      <c r="AD327" s="142"/>
      <c r="AJ327" s="142"/>
      <c r="AP327" s="142"/>
      <c r="AV327" s="142"/>
      <c r="BA327" s="142"/>
      <c r="BH327" s="142"/>
      <c r="BN327" s="142"/>
      <c r="BT327" s="142"/>
      <c r="BZ327" s="142"/>
      <c r="CF327" s="142"/>
      <c r="CL327" s="142"/>
      <c r="CR327" s="142"/>
      <c r="CX327" s="142"/>
      <c r="DD327" s="142"/>
      <c r="DJ327" s="142"/>
      <c r="DP327" s="142"/>
      <c r="DV327" s="142"/>
      <c r="EB327" s="142"/>
      <c r="EH327" s="142"/>
      <c r="EN327" s="142"/>
      <c r="ET327" s="142"/>
      <c r="EZ327" s="142"/>
      <c r="FF327" s="142"/>
      <c r="FL327" s="142"/>
      <c r="FR327" s="142"/>
      <c r="FX327" s="142"/>
      <c r="GD327" s="142"/>
      <c r="GJ327" s="142"/>
      <c r="GP327" s="142"/>
      <c r="GV327" s="142"/>
      <c r="HB327" s="142"/>
      <c r="HH327" s="142"/>
      <c r="HN327" s="142"/>
      <c r="HT327" s="142"/>
      <c r="HZ327" s="142"/>
    </row>
    <row r="328">
      <c r="F328" s="142"/>
      <c r="L328" s="142"/>
      <c r="R328" s="142"/>
      <c r="X328" s="142"/>
      <c r="AD328" s="142"/>
      <c r="AJ328" s="142"/>
      <c r="AP328" s="142"/>
      <c r="AV328" s="142"/>
      <c r="BA328" s="142"/>
      <c r="BH328" s="142"/>
      <c r="BN328" s="142"/>
      <c r="BT328" s="142"/>
      <c r="BZ328" s="142"/>
      <c r="CF328" s="142"/>
      <c r="CL328" s="142"/>
      <c r="CR328" s="142"/>
      <c r="CX328" s="142"/>
      <c r="DD328" s="142"/>
      <c r="DJ328" s="142"/>
      <c r="DP328" s="142"/>
      <c r="DV328" s="142"/>
      <c r="EB328" s="142"/>
      <c r="EH328" s="142"/>
      <c r="EN328" s="142"/>
      <c r="ET328" s="142"/>
      <c r="EZ328" s="142"/>
      <c r="FF328" s="142"/>
      <c r="FL328" s="142"/>
      <c r="FR328" s="142"/>
      <c r="FX328" s="142"/>
      <c r="GD328" s="142"/>
      <c r="GJ328" s="142"/>
      <c r="GP328" s="142"/>
      <c r="GV328" s="142"/>
      <c r="HB328" s="142"/>
      <c r="HH328" s="142"/>
      <c r="HN328" s="142"/>
      <c r="HT328" s="142"/>
      <c r="HZ328" s="142"/>
    </row>
    <row r="329">
      <c r="F329" s="142"/>
      <c r="L329" s="142"/>
      <c r="R329" s="142"/>
      <c r="X329" s="142"/>
      <c r="AD329" s="142"/>
      <c r="AJ329" s="142"/>
      <c r="AP329" s="142"/>
      <c r="AV329" s="142"/>
      <c r="BA329" s="142"/>
      <c r="BH329" s="142"/>
      <c r="BN329" s="142"/>
      <c r="BT329" s="142"/>
      <c r="BZ329" s="142"/>
      <c r="CF329" s="142"/>
      <c r="CL329" s="142"/>
      <c r="CR329" s="142"/>
      <c r="CX329" s="142"/>
      <c r="DD329" s="142"/>
      <c r="DJ329" s="142"/>
      <c r="DP329" s="142"/>
      <c r="DV329" s="142"/>
      <c r="EB329" s="142"/>
      <c r="EH329" s="142"/>
      <c r="EN329" s="142"/>
      <c r="ET329" s="142"/>
      <c r="EZ329" s="142"/>
      <c r="FF329" s="142"/>
      <c r="FL329" s="142"/>
      <c r="FR329" s="142"/>
      <c r="FX329" s="142"/>
      <c r="GD329" s="142"/>
      <c r="GJ329" s="142"/>
      <c r="GP329" s="142"/>
      <c r="GV329" s="142"/>
      <c r="HB329" s="142"/>
      <c r="HH329" s="142"/>
      <c r="HN329" s="142"/>
      <c r="HT329" s="142"/>
      <c r="HZ329" s="142"/>
    </row>
    <row r="330">
      <c r="F330" s="142"/>
      <c r="L330" s="142"/>
      <c r="R330" s="142"/>
      <c r="X330" s="142"/>
      <c r="AD330" s="142"/>
      <c r="AJ330" s="142"/>
      <c r="AP330" s="142"/>
      <c r="AV330" s="142"/>
      <c r="BA330" s="142"/>
      <c r="BH330" s="142"/>
      <c r="BN330" s="142"/>
      <c r="BT330" s="142"/>
      <c r="BZ330" s="142"/>
      <c r="CF330" s="142"/>
      <c r="CL330" s="142"/>
      <c r="CR330" s="142"/>
      <c r="CX330" s="142"/>
      <c r="DD330" s="142"/>
      <c r="DJ330" s="142"/>
      <c r="DP330" s="142"/>
      <c r="DV330" s="142"/>
      <c r="EB330" s="142"/>
      <c r="EH330" s="142"/>
      <c r="EN330" s="142"/>
      <c r="ET330" s="142"/>
      <c r="EZ330" s="142"/>
      <c r="FF330" s="142"/>
      <c r="FL330" s="142"/>
      <c r="FR330" s="142"/>
      <c r="FX330" s="142"/>
      <c r="GD330" s="142"/>
      <c r="GJ330" s="142"/>
      <c r="GP330" s="142"/>
      <c r="GV330" s="142"/>
      <c r="HB330" s="142"/>
      <c r="HH330" s="142"/>
      <c r="HN330" s="142"/>
      <c r="HT330" s="142"/>
      <c r="HZ330" s="142"/>
    </row>
    <row r="331">
      <c r="F331" s="142"/>
      <c r="L331" s="142"/>
      <c r="R331" s="142"/>
      <c r="X331" s="142"/>
      <c r="AD331" s="142"/>
      <c r="AJ331" s="142"/>
      <c r="AP331" s="142"/>
      <c r="AV331" s="142"/>
      <c r="BA331" s="142"/>
      <c r="BH331" s="142"/>
      <c r="BN331" s="142"/>
      <c r="BT331" s="142"/>
      <c r="BZ331" s="142"/>
      <c r="CF331" s="142"/>
      <c r="CL331" s="142"/>
      <c r="CR331" s="142"/>
      <c r="CX331" s="142"/>
      <c r="DD331" s="142"/>
      <c r="DJ331" s="142"/>
      <c r="DP331" s="142"/>
      <c r="DV331" s="142"/>
      <c r="EB331" s="142"/>
      <c r="EH331" s="142"/>
      <c r="EN331" s="142"/>
      <c r="ET331" s="142"/>
      <c r="EZ331" s="142"/>
      <c r="FF331" s="142"/>
      <c r="FL331" s="142"/>
      <c r="FR331" s="142"/>
      <c r="FX331" s="142"/>
      <c r="GD331" s="142"/>
      <c r="GJ331" s="142"/>
      <c r="GP331" s="142"/>
      <c r="GV331" s="142"/>
      <c r="HB331" s="142"/>
      <c r="HH331" s="142"/>
      <c r="HN331" s="142"/>
      <c r="HT331" s="142"/>
      <c r="HZ331" s="142"/>
    </row>
    <row r="332">
      <c r="F332" s="142"/>
      <c r="L332" s="142"/>
      <c r="R332" s="142"/>
      <c r="X332" s="142"/>
      <c r="AD332" s="142"/>
      <c r="AJ332" s="142"/>
      <c r="AP332" s="142"/>
      <c r="AV332" s="142"/>
      <c r="BA332" s="142"/>
      <c r="BH332" s="142"/>
      <c r="BN332" s="142"/>
      <c r="BT332" s="142"/>
      <c r="BZ332" s="142"/>
      <c r="CF332" s="142"/>
      <c r="CL332" s="142"/>
      <c r="CR332" s="142"/>
      <c r="CX332" s="142"/>
      <c r="DD332" s="142"/>
      <c r="DJ332" s="142"/>
      <c r="DP332" s="142"/>
      <c r="DV332" s="142"/>
      <c r="EB332" s="142"/>
      <c r="EH332" s="142"/>
      <c r="EN332" s="142"/>
      <c r="ET332" s="142"/>
      <c r="EZ332" s="142"/>
      <c r="FF332" s="142"/>
      <c r="FL332" s="142"/>
      <c r="FR332" s="142"/>
      <c r="FX332" s="142"/>
      <c r="GD332" s="142"/>
      <c r="GJ332" s="142"/>
      <c r="GP332" s="142"/>
      <c r="GV332" s="142"/>
      <c r="HB332" s="142"/>
      <c r="HH332" s="142"/>
      <c r="HN332" s="142"/>
      <c r="HT332" s="142"/>
      <c r="HZ332" s="142"/>
    </row>
    <row r="333">
      <c r="F333" s="142"/>
      <c r="L333" s="142"/>
      <c r="R333" s="142"/>
      <c r="X333" s="142"/>
      <c r="AD333" s="142"/>
      <c r="AJ333" s="142"/>
      <c r="AP333" s="142"/>
      <c r="AV333" s="142"/>
      <c r="BA333" s="142"/>
      <c r="BH333" s="142"/>
      <c r="BN333" s="142"/>
      <c r="BT333" s="142"/>
      <c r="BZ333" s="142"/>
      <c r="CF333" s="142"/>
      <c r="CL333" s="142"/>
      <c r="CR333" s="142"/>
      <c r="CX333" s="142"/>
      <c r="DD333" s="142"/>
      <c r="DJ333" s="142"/>
      <c r="DP333" s="142"/>
      <c r="DV333" s="142"/>
      <c r="EB333" s="142"/>
      <c r="EH333" s="142"/>
      <c r="EN333" s="142"/>
      <c r="ET333" s="142"/>
      <c r="EZ333" s="142"/>
      <c r="FF333" s="142"/>
      <c r="FL333" s="142"/>
      <c r="FR333" s="142"/>
      <c r="FX333" s="142"/>
      <c r="GD333" s="142"/>
      <c r="GJ333" s="142"/>
      <c r="GP333" s="142"/>
      <c r="GV333" s="142"/>
      <c r="HB333" s="142"/>
      <c r="HH333" s="142"/>
      <c r="HN333" s="142"/>
      <c r="HT333" s="142"/>
      <c r="HZ333" s="142"/>
    </row>
    <row r="334">
      <c r="F334" s="142"/>
      <c r="L334" s="142"/>
      <c r="R334" s="142"/>
      <c r="X334" s="142"/>
      <c r="AD334" s="142"/>
      <c r="AJ334" s="142"/>
      <c r="AP334" s="142"/>
      <c r="AV334" s="142"/>
      <c r="BA334" s="142"/>
      <c r="BH334" s="142"/>
      <c r="BN334" s="142"/>
      <c r="BT334" s="142"/>
      <c r="BZ334" s="142"/>
      <c r="CF334" s="142"/>
      <c r="CL334" s="142"/>
      <c r="CR334" s="142"/>
      <c r="CX334" s="142"/>
      <c r="DD334" s="142"/>
      <c r="DJ334" s="142"/>
      <c r="DP334" s="142"/>
      <c r="DV334" s="142"/>
      <c r="EB334" s="142"/>
      <c r="EH334" s="142"/>
      <c r="EN334" s="142"/>
      <c r="ET334" s="142"/>
      <c r="EZ334" s="142"/>
      <c r="FF334" s="142"/>
      <c r="FL334" s="142"/>
      <c r="FR334" s="142"/>
      <c r="FX334" s="142"/>
      <c r="GD334" s="142"/>
      <c r="GJ334" s="142"/>
      <c r="GP334" s="142"/>
      <c r="GV334" s="142"/>
      <c r="HB334" s="142"/>
      <c r="HH334" s="142"/>
      <c r="HN334" s="142"/>
      <c r="HT334" s="142"/>
      <c r="HZ334" s="142"/>
    </row>
    <row r="335">
      <c r="F335" s="142"/>
      <c r="L335" s="142"/>
      <c r="R335" s="142"/>
      <c r="X335" s="142"/>
      <c r="AD335" s="142"/>
      <c r="AJ335" s="142"/>
      <c r="AP335" s="142"/>
      <c r="AV335" s="142"/>
      <c r="BA335" s="142"/>
      <c r="BH335" s="142"/>
      <c r="BN335" s="142"/>
      <c r="BT335" s="142"/>
      <c r="BZ335" s="142"/>
      <c r="CF335" s="142"/>
      <c r="CL335" s="142"/>
      <c r="CR335" s="142"/>
      <c r="CX335" s="142"/>
      <c r="DD335" s="142"/>
      <c r="DJ335" s="142"/>
      <c r="DP335" s="142"/>
      <c r="DV335" s="142"/>
      <c r="EB335" s="142"/>
      <c r="EH335" s="142"/>
      <c r="EN335" s="142"/>
      <c r="ET335" s="142"/>
      <c r="EZ335" s="142"/>
      <c r="FF335" s="142"/>
      <c r="FL335" s="142"/>
      <c r="FR335" s="142"/>
      <c r="FX335" s="142"/>
      <c r="GD335" s="142"/>
      <c r="GJ335" s="142"/>
      <c r="GP335" s="142"/>
      <c r="GV335" s="142"/>
      <c r="HB335" s="142"/>
      <c r="HH335" s="142"/>
      <c r="HN335" s="142"/>
      <c r="HT335" s="142"/>
      <c r="HZ335" s="142"/>
    </row>
    <row r="336">
      <c r="F336" s="142"/>
      <c r="L336" s="142"/>
      <c r="R336" s="142"/>
      <c r="X336" s="142"/>
      <c r="AD336" s="142"/>
      <c r="AJ336" s="142"/>
      <c r="AP336" s="142"/>
      <c r="AV336" s="142"/>
      <c r="BA336" s="142"/>
      <c r="BH336" s="142"/>
      <c r="BN336" s="142"/>
      <c r="BT336" s="142"/>
      <c r="BZ336" s="142"/>
      <c r="CF336" s="142"/>
      <c r="CL336" s="142"/>
      <c r="CR336" s="142"/>
      <c r="CX336" s="142"/>
      <c r="DD336" s="142"/>
      <c r="DJ336" s="142"/>
      <c r="DP336" s="142"/>
      <c r="DV336" s="142"/>
      <c r="EB336" s="142"/>
      <c r="EH336" s="142"/>
      <c r="EN336" s="142"/>
      <c r="ET336" s="142"/>
      <c r="EZ336" s="142"/>
      <c r="FF336" s="142"/>
      <c r="FL336" s="142"/>
      <c r="FR336" s="142"/>
      <c r="FX336" s="142"/>
      <c r="GD336" s="142"/>
      <c r="GJ336" s="142"/>
      <c r="GP336" s="142"/>
      <c r="GV336" s="142"/>
      <c r="HB336" s="142"/>
      <c r="HH336" s="142"/>
      <c r="HN336" s="142"/>
      <c r="HT336" s="142"/>
      <c r="HZ336" s="142"/>
    </row>
    <row r="337">
      <c r="F337" s="142"/>
      <c r="L337" s="142"/>
      <c r="R337" s="142"/>
      <c r="X337" s="142"/>
      <c r="AD337" s="142"/>
      <c r="AJ337" s="142"/>
      <c r="AP337" s="142"/>
      <c r="AV337" s="142"/>
      <c r="BA337" s="142"/>
      <c r="BH337" s="142"/>
      <c r="BN337" s="142"/>
      <c r="BT337" s="142"/>
      <c r="BZ337" s="142"/>
      <c r="CF337" s="142"/>
      <c r="CL337" s="142"/>
      <c r="CR337" s="142"/>
      <c r="CX337" s="142"/>
      <c r="DD337" s="142"/>
      <c r="DJ337" s="142"/>
      <c r="DP337" s="142"/>
      <c r="DV337" s="142"/>
      <c r="EB337" s="142"/>
      <c r="EH337" s="142"/>
      <c r="EN337" s="142"/>
      <c r="ET337" s="142"/>
      <c r="EZ337" s="142"/>
      <c r="FF337" s="142"/>
      <c r="FL337" s="142"/>
      <c r="FR337" s="142"/>
      <c r="FX337" s="142"/>
      <c r="GD337" s="142"/>
      <c r="GJ337" s="142"/>
      <c r="GP337" s="142"/>
      <c r="GV337" s="142"/>
      <c r="HB337" s="142"/>
      <c r="HH337" s="142"/>
      <c r="HN337" s="142"/>
      <c r="HT337" s="142"/>
      <c r="HZ337" s="142"/>
    </row>
    <row r="338">
      <c r="F338" s="142"/>
      <c r="L338" s="142"/>
      <c r="R338" s="142"/>
      <c r="X338" s="142"/>
      <c r="AD338" s="142"/>
      <c r="AJ338" s="142"/>
      <c r="AP338" s="142"/>
      <c r="AV338" s="142"/>
      <c r="BA338" s="142"/>
      <c r="BH338" s="142"/>
      <c r="BN338" s="142"/>
      <c r="BT338" s="142"/>
      <c r="BZ338" s="142"/>
      <c r="CF338" s="142"/>
      <c r="CL338" s="142"/>
      <c r="CR338" s="142"/>
      <c r="CX338" s="142"/>
      <c r="DD338" s="142"/>
      <c r="DJ338" s="142"/>
      <c r="DP338" s="142"/>
      <c r="DV338" s="142"/>
      <c r="EB338" s="142"/>
      <c r="EH338" s="142"/>
      <c r="EN338" s="142"/>
      <c r="ET338" s="142"/>
      <c r="EZ338" s="142"/>
      <c r="FF338" s="142"/>
      <c r="FL338" s="142"/>
      <c r="FR338" s="142"/>
      <c r="FX338" s="142"/>
      <c r="GD338" s="142"/>
      <c r="GJ338" s="142"/>
      <c r="GP338" s="142"/>
      <c r="GV338" s="142"/>
      <c r="HB338" s="142"/>
      <c r="HH338" s="142"/>
      <c r="HN338" s="142"/>
      <c r="HT338" s="142"/>
      <c r="HZ338" s="142"/>
    </row>
    <row r="339">
      <c r="F339" s="142"/>
      <c r="L339" s="142"/>
      <c r="R339" s="142"/>
      <c r="X339" s="142"/>
      <c r="AD339" s="142"/>
      <c r="AJ339" s="142"/>
      <c r="AP339" s="142"/>
      <c r="AV339" s="142"/>
      <c r="BA339" s="142"/>
      <c r="BH339" s="142"/>
      <c r="BN339" s="142"/>
      <c r="BT339" s="142"/>
      <c r="BZ339" s="142"/>
      <c r="CF339" s="142"/>
      <c r="CL339" s="142"/>
      <c r="CR339" s="142"/>
      <c r="CX339" s="142"/>
      <c r="DD339" s="142"/>
      <c r="DJ339" s="142"/>
      <c r="DP339" s="142"/>
      <c r="DV339" s="142"/>
      <c r="EB339" s="142"/>
      <c r="EH339" s="142"/>
      <c r="EN339" s="142"/>
      <c r="ET339" s="142"/>
      <c r="EZ339" s="142"/>
      <c r="FF339" s="142"/>
      <c r="FL339" s="142"/>
      <c r="FR339" s="142"/>
      <c r="FX339" s="142"/>
      <c r="GD339" s="142"/>
      <c r="GJ339" s="142"/>
      <c r="GP339" s="142"/>
      <c r="GV339" s="142"/>
      <c r="HB339" s="142"/>
      <c r="HH339" s="142"/>
      <c r="HN339" s="142"/>
      <c r="HT339" s="142"/>
      <c r="HZ339" s="142"/>
    </row>
    <row r="340">
      <c r="F340" s="142"/>
      <c r="L340" s="142"/>
      <c r="R340" s="142"/>
      <c r="X340" s="142"/>
      <c r="AD340" s="142"/>
      <c r="AJ340" s="142"/>
      <c r="AP340" s="142"/>
      <c r="AV340" s="142"/>
      <c r="BA340" s="142"/>
      <c r="BH340" s="142"/>
      <c r="BN340" s="142"/>
      <c r="BT340" s="142"/>
      <c r="BZ340" s="142"/>
      <c r="CF340" s="142"/>
      <c r="CL340" s="142"/>
      <c r="CR340" s="142"/>
      <c r="CX340" s="142"/>
      <c r="DD340" s="142"/>
      <c r="DJ340" s="142"/>
      <c r="DP340" s="142"/>
      <c r="DV340" s="142"/>
      <c r="EB340" s="142"/>
      <c r="EH340" s="142"/>
      <c r="EN340" s="142"/>
      <c r="ET340" s="142"/>
      <c r="EZ340" s="142"/>
      <c r="FF340" s="142"/>
      <c r="FL340" s="142"/>
      <c r="FR340" s="142"/>
      <c r="FX340" s="142"/>
      <c r="GD340" s="142"/>
      <c r="GJ340" s="142"/>
      <c r="GP340" s="142"/>
      <c r="GV340" s="142"/>
      <c r="HB340" s="142"/>
      <c r="HH340" s="142"/>
      <c r="HN340" s="142"/>
      <c r="HT340" s="142"/>
      <c r="HZ340" s="142"/>
    </row>
    <row r="341">
      <c r="F341" s="142"/>
      <c r="L341" s="142"/>
      <c r="R341" s="142"/>
      <c r="X341" s="142"/>
      <c r="AD341" s="142"/>
      <c r="AJ341" s="142"/>
      <c r="AP341" s="142"/>
      <c r="AV341" s="142"/>
      <c r="BA341" s="142"/>
      <c r="BH341" s="142"/>
      <c r="BN341" s="142"/>
      <c r="BT341" s="142"/>
      <c r="BZ341" s="142"/>
      <c r="CF341" s="142"/>
      <c r="CL341" s="142"/>
      <c r="CR341" s="142"/>
      <c r="CX341" s="142"/>
      <c r="DD341" s="142"/>
      <c r="DJ341" s="142"/>
      <c r="DP341" s="142"/>
      <c r="DV341" s="142"/>
      <c r="EB341" s="142"/>
      <c r="EH341" s="142"/>
      <c r="EN341" s="142"/>
      <c r="ET341" s="142"/>
      <c r="EZ341" s="142"/>
      <c r="FF341" s="142"/>
      <c r="FL341" s="142"/>
      <c r="FR341" s="142"/>
      <c r="FX341" s="142"/>
      <c r="GD341" s="142"/>
      <c r="GJ341" s="142"/>
      <c r="GP341" s="142"/>
      <c r="GV341" s="142"/>
      <c r="HB341" s="142"/>
      <c r="HH341" s="142"/>
      <c r="HN341" s="142"/>
      <c r="HT341" s="142"/>
      <c r="HZ341" s="142"/>
    </row>
    <row r="342">
      <c r="F342" s="142"/>
      <c r="L342" s="142"/>
      <c r="R342" s="142"/>
      <c r="X342" s="142"/>
      <c r="AD342" s="142"/>
      <c r="AJ342" s="142"/>
      <c r="AP342" s="142"/>
      <c r="AV342" s="142"/>
      <c r="BA342" s="142"/>
      <c r="BH342" s="142"/>
      <c r="BN342" s="142"/>
      <c r="BT342" s="142"/>
      <c r="BZ342" s="142"/>
      <c r="CF342" s="142"/>
      <c r="CL342" s="142"/>
      <c r="CR342" s="142"/>
      <c r="CX342" s="142"/>
      <c r="DD342" s="142"/>
      <c r="DJ342" s="142"/>
      <c r="DP342" s="142"/>
      <c r="DV342" s="142"/>
      <c r="EB342" s="142"/>
      <c r="EH342" s="142"/>
      <c r="EN342" s="142"/>
      <c r="ET342" s="142"/>
      <c r="EZ342" s="142"/>
      <c r="FF342" s="142"/>
      <c r="FL342" s="142"/>
      <c r="FR342" s="142"/>
      <c r="FX342" s="142"/>
      <c r="GD342" s="142"/>
      <c r="GJ342" s="142"/>
      <c r="GP342" s="142"/>
      <c r="GV342" s="142"/>
      <c r="HB342" s="142"/>
      <c r="HH342" s="142"/>
      <c r="HN342" s="142"/>
      <c r="HT342" s="142"/>
      <c r="HZ342" s="142"/>
    </row>
    <row r="343">
      <c r="F343" s="142"/>
      <c r="L343" s="142"/>
      <c r="R343" s="142"/>
      <c r="X343" s="142"/>
      <c r="AD343" s="142"/>
      <c r="AJ343" s="142"/>
      <c r="AP343" s="142"/>
      <c r="AV343" s="142"/>
      <c r="BA343" s="142"/>
      <c r="BH343" s="142"/>
      <c r="BN343" s="142"/>
      <c r="BT343" s="142"/>
      <c r="BZ343" s="142"/>
      <c r="CF343" s="142"/>
      <c r="CL343" s="142"/>
      <c r="CR343" s="142"/>
      <c r="CX343" s="142"/>
      <c r="DD343" s="142"/>
      <c r="DJ343" s="142"/>
      <c r="DP343" s="142"/>
      <c r="DV343" s="142"/>
      <c r="EB343" s="142"/>
      <c r="EH343" s="142"/>
      <c r="EN343" s="142"/>
      <c r="ET343" s="142"/>
      <c r="EZ343" s="142"/>
      <c r="FF343" s="142"/>
      <c r="FL343" s="142"/>
      <c r="FR343" s="142"/>
      <c r="FX343" s="142"/>
      <c r="GD343" s="142"/>
      <c r="GJ343" s="142"/>
      <c r="GP343" s="142"/>
      <c r="GV343" s="142"/>
      <c r="HB343" s="142"/>
      <c r="HH343" s="142"/>
      <c r="HN343" s="142"/>
      <c r="HT343" s="142"/>
      <c r="HZ343" s="142"/>
    </row>
    <row r="344">
      <c r="F344" s="142"/>
      <c r="L344" s="142"/>
      <c r="R344" s="142"/>
      <c r="X344" s="142"/>
      <c r="AD344" s="142"/>
      <c r="AJ344" s="142"/>
      <c r="AP344" s="142"/>
      <c r="AV344" s="142"/>
      <c r="BA344" s="142"/>
      <c r="BH344" s="142"/>
      <c r="BN344" s="142"/>
      <c r="BT344" s="142"/>
      <c r="BZ344" s="142"/>
      <c r="CF344" s="142"/>
      <c r="CL344" s="142"/>
      <c r="CR344" s="142"/>
      <c r="CX344" s="142"/>
      <c r="DD344" s="142"/>
      <c r="DJ344" s="142"/>
      <c r="DP344" s="142"/>
      <c r="DV344" s="142"/>
      <c r="EB344" s="142"/>
      <c r="EH344" s="142"/>
      <c r="EN344" s="142"/>
      <c r="ET344" s="142"/>
      <c r="EZ344" s="142"/>
      <c r="FF344" s="142"/>
      <c r="FL344" s="142"/>
      <c r="FR344" s="142"/>
      <c r="FX344" s="142"/>
      <c r="GD344" s="142"/>
      <c r="GJ344" s="142"/>
      <c r="GP344" s="142"/>
      <c r="GV344" s="142"/>
      <c r="HB344" s="142"/>
      <c r="HH344" s="142"/>
      <c r="HN344" s="142"/>
      <c r="HT344" s="142"/>
      <c r="HZ344" s="142"/>
    </row>
    <row r="345">
      <c r="F345" s="142"/>
      <c r="L345" s="142"/>
      <c r="R345" s="142"/>
      <c r="X345" s="142"/>
      <c r="AD345" s="142"/>
      <c r="AJ345" s="142"/>
      <c r="AP345" s="142"/>
      <c r="AV345" s="142"/>
      <c r="BA345" s="142"/>
      <c r="BH345" s="142"/>
      <c r="BN345" s="142"/>
      <c r="BT345" s="142"/>
      <c r="BZ345" s="142"/>
      <c r="CF345" s="142"/>
      <c r="CL345" s="142"/>
      <c r="CR345" s="142"/>
      <c r="CX345" s="142"/>
      <c r="DD345" s="142"/>
      <c r="DJ345" s="142"/>
      <c r="DP345" s="142"/>
      <c r="DV345" s="142"/>
      <c r="EB345" s="142"/>
      <c r="EH345" s="142"/>
      <c r="EN345" s="142"/>
      <c r="ET345" s="142"/>
      <c r="EZ345" s="142"/>
      <c r="FF345" s="142"/>
      <c r="FL345" s="142"/>
      <c r="FR345" s="142"/>
      <c r="FX345" s="142"/>
      <c r="GD345" s="142"/>
      <c r="GJ345" s="142"/>
      <c r="GP345" s="142"/>
      <c r="GV345" s="142"/>
      <c r="HB345" s="142"/>
      <c r="HH345" s="142"/>
      <c r="HN345" s="142"/>
      <c r="HT345" s="142"/>
      <c r="HZ345" s="142"/>
    </row>
    <row r="346">
      <c r="F346" s="142"/>
      <c r="L346" s="142"/>
      <c r="R346" s="142"/>
      <c r="X346" s="142"/>
      <c r="AD346" s="142"/>
      <c r="AJ346" s="142"/>
      <c r="AP346" s="142"/>
      <c r="AV346" s="142"/>
      <c r="BA346" s="142"/>
      <c r="BH346" s="142"/>
      <c r="BN346" s="142"/>
      <c r="BT346" s="142"/>
      <c r="BZ346" s="142"/>
      <c r="CF346" s="142"/>
      <c r="CL346" s="142"/>
      <c r="CR346" s="142"/>
      <c r="CX346" s="142"/>
      <c r="DD346" s="142"/>
      <c r="DJ346" s="142"/>
      <c r="DP346" s="142"/>
      <c r="DV346" s="142"/>
      <c r="EB346" s="142"/>
      <c r="EH346" s="142"/>
      <c r="EN346" s="142"/>
      <c r="ET346" s="142"/>
      <c r="EZ346" s="142"/>
      <c r="FF346" s="142"/>
      <c r="FL346" s="142"/>
      <c r="FR346" s="142"/>
      <c r="FX346" s="142"/>
      <c r="GD346" s="142"/>
      <c r="GJ346" s="142"/>
      <c r="GP346" s="142"/>
      <c r="GV346" s="142"/>
      <c r="HB346" s="142"/>
      <c r="HH346" s="142"/>
      <c r="HN346" s="142"/>
      <c r="HT346" s="142"/>
      <c r="HZ346" s="142"/>
    </row>
    <row r="347">
      <c r="F347" s="142"/>
      <c r="L347" s="142"/>
      <c r="R347" s="142"/>
      <c r="X347" s="142"/>
      <c r="AD347" s="142"/>
      <c r="AJ347" s="142"/>
      <c r="AP347" s="142"/>
      <c r="AV347" s="142"/>
      <c r="BA347" s="142"/>
      <c r="BH347" s="142"/>
      <c r="BN347" s="142"/>
      <c r="BT347" s="142"/>
      <c r="BZ347" s="142"/>
      <c r="CF347" s="142"/>
      <c r="CL347" s="142"/>
      <c r="CR347" s="142"/>
      <c r="CX347" s="142"/>
      <c r="DD347" s="142"/>
      <c r="DJ347" s="142"/>
      <c r="DP347" s="142"/>
      <c r="DV347" s="142"/>
      <c r="EB347" s="142"/>
      <c r="EH347" s="142"/>
      <c r="EN347" s="142"/>
      <c r="ET347" s="142"/>
      <c r="EZ347" s="142"/>
      <c r="FF347" s="142"/>
      <c r="FL347" s="142"/>
      <c r="FR347" s="142"/>
      <c r="FX347" s="142"/>
      <c r="GD347" s="142"/>
      <c r="GJ347" s="142"/>
      <c r="GP347" s="142"/>
      <c r="GV347" s="142"/>
      <c r="HB347" s="142"/>
      <c r="HH347" s="142"/>
      <c r="HN347" s="142"/>
      <c r="HT347" s="142"/>
      <c r="HZ347" s="142"/>
    </row>
    <row r="348">
      <c r="F348" s="142"/>
      <c r="L348" s="142"/>
      <c r="R348" s="142"/>
      <c r="X348" s="142"/>
      <c r="AD348" s="142"/>
      <c r="AJ348" s="142"/>
      <c r="AP348" s="142"/>
      <c r="AV348" s="142"/>
      <c r="BA348" s="142"/>
      <c r="BH348" s="142"/>
      <c r="BN348" s="142"/>
      <c r="BT348" s="142"/>
      <c r="BZ348" s="142"/>
      <c r="CF348" s="142"/>
      <c r="CL348" s="142"/>
      <c r="CR348" s="142"/>
      <c r="CX348" s="142"/>
      <c r="DD348" s="142"/>
      <c r="DJ348" s="142"/>
      <c r="DP348" s="142"/>
      <c r="DV348" s="142"/>
      <c r="EB348" s="142"/>
      <c r="EH348" s="142"/>
      <c r="EN348" s="142"/>
      <c r="ET348" s="142"/>
      <c r="EZ348" s="142"/>
      <c r="FF348" s="142"/>
      <c r="FL348" s="142"/>
      <c r="FR348" s="142"/>
      <c r="FX348" s="142"/>
      <c r="GD348" s="142"/>
      <c r="GJ348" s="142"/>
      <c r="GP348" s="142"/>
      <c r="GV348" s="142"/>
      <c r="HB348" s="142"/>
      <c r="HH348" s="142"/>
      <c r="HN348" s="142"/>
      <c r="HT348" s="142"/>
      <c r="HZ348" s="142"/>
    </row>
    <row r="349">
      <c r="F349" s="142"/>
      <c r="L349" s="142"/>
      <c r="R349" s="142"/>
      <c r="X349" s="142"/>
      <c r="AD349" s="142"/>
      <c r="AJ349" s="142"/>
      <c r="AP349" s="142"/>
      <c r="AV349" s="142"/>
      <c r="BA349" s="142"/>
      <c r="BH349" s="142"/>
      <c r="BN349" s="142"/>
      <c r="BT349" s="142"/>
      <c r="BZ349" s="142"/>
      <c r="CF349" s="142"/>
      <c r="CL349" s="142"/>
      <c r="CR349" s="142"/>
      <c r="CX349" s="142"/>
      <c r="DD349" s="142"/>
      <c r="DJ349" s="142"/>
      <c r="DP349" s="142"/>
      <c r="DV349" s="142"/>
      <c r="EB349" s="142"/>
      <c r="EH349" s="142"/>
      <c r="EN349" s="142"/>
      <c r="ET349" s="142"/>
      <c r="EZ349" s="142"/>
      <c r="FF349" s="142"/>
      <c r="FL349" s="142"/>
      <c r="FR349" s="142"/>
      <c r="FX349" s="142"/>
      <c r="GD349" s="142"/>
      <c r="GJ349" s="142"/>
      <c r="GP349" s="142"/>
      <c r="GV349" s="142"/>
      <c r="HB349" s="142"/>
      <c r="HH349" s="142"/>
      <c r="HN349" s="142"/>
      <c r="HT349" s="142"/>
      <c r="HZ349" s="142"/>
    </row>
    <row r="350">
      <c r="F350" s="142"/>
      <c r="L350" s="142"/>
      <c r="R350" s="142"/>
      <c r="X350" s="142"/>
      <c r="AD350" s="142"/>
      <c r="AJ350" s="142"/>
      <c r="AP350" s="142"/>
      <c r="AV350" s="142"/>
      <c r="BA350" s="142"/>
      <c r="BH350" s="142"/>
      <c r="BN350" s="142"/>
      <c r="BT350" s="142"/>
      <c r="BZ350" s="142"/>
      <c r="CF350" s="142"/>
      <c r="CL350" s="142"/>
      <c r="CR350" s="142"/>
      <c r="CX350" s="142"/>
      <c r="DD350" s="142"/>
      <c r="DJ350" s="142"/>
      <c r="DP350" s="142"/>
      <c r="DV350" s="142"/>
      <c r="EB350" s="142"/>
      <c r="EH350" s="142"/>
      <c r="EN350" s="142"/>
      <c r="ET350" s="142"/>
      <c r="EZ350" s="142"/>
      <c r="FF350" s="142"/>
      <c r="FL350" s="142"/>
      <c r="FR350" s="142"/>
      <c r="FX350" s="142"/>
      <c r="GD350" s="142"/>
      <c r="GJ350" s="142"/>
      <c r="GP350" s="142"/>
      <c r="GV350" s="142"/>
      <c r="HB350" s="142"/>
      <c r="HH350" s="142"/>
      <c r="HN350" s="142"/>
      <c r="HT350" s="142"/>
      <c r="HZ350" s="142"/>
    </row>
    <row r="351">
      <c r="F351" s="142"/>
      <c r="L351" s="142"/>
      <c r="R351" s="142"/>
      <c r="X351" s="142"/>
      <c r="AD351" s="142"/>
      <c r="AJ351" s="142"/>
      <c r="AP351" s="142"/>
      <c r="AV351" s="142"/>
      <c r="BA351" s="142"/>
      <c r="BH351" s="142"/>
      <c r="BN351" s="142"/>
      <c r="BT351" s="142"/>
      <c r="BZ351" s="142"/>
      <c r="CF351" s="142"/>
      <c r="CL351" s="142"/>
      <c r="CR351" s="142"/>
      <c r="CX351" s="142"/>
      <c r="DD351" s="142"/>
      <c r="DJ351" s="142"/>
      <c r="DP351" s="142"/>
      <c r="DV351" s="142"/>
      <c r="EB351" s="142"/>
      <c r="EH351" s="142"/>
      <c r="EN351" s="142"/>
      <c r="ET351" s="142"/>
      <c r="EZ351" s="142"/>
      <c r="FF351" s="142"/>
      <c r="FL351" s="142"/>
      <c r="FR351" s="142"/>
      <c r="FX351" s="142"/>
      <c r="GD351" s="142"/>
      <c r="GJ351" s="142"/>
      <c r="GP351" s="142"/>
      <c r="GV351" s="142"/>
      <c r="HB351" s="142"/>
      <c r="HH351" s="142"/>
      <c r="HN351" s="142"/>
      <c r="HT351" s="142"/>
      <c r="HZ351" s="142"/>
    </row>
    <row r="352">
      <c r="F352" s="142"/>
      <c r="L352" s="142"/>
      <c r="R352" s="142"/>
      <c r="X352" s="142"/>
      <c r="AD352" s="142"/>
      <c r="AJ352" s="142"/>
      <c r="AP352" s="142"/>
      <c r="AV352" s="142"/>
      <c r="BA352" s="142"/>
      <c r="BH352" s="142"/>
      <c r="BN352" s="142"/>
      <c r="BT352" s="142"/>
      <c r="BZ352" s="142"/>
      <c r="CF352" s="142"/>
      <c r="CL352" s="142"/>
      <c r="CR352" s="142"/>
      <c r="CX352" s="142"/>
      <c r="DD352" s="142"/>
      <c r="DJ352" s="142"/>
      <c r="DP352" s="142"/>
      <c r="DV352" s="142"/>
      <c r="EB352" s="142"/>
      <c r="EH352" s="142"/>
      <c r="EN352" s="142"/>
      <c r="ET352" s="142"/>
      <c r="EZ352" s="142"/>
      <c r="FF352" s="142"/>
      <c r="FL352" s="142"/>
      <c r="FR352" s="142"/>
      <c r="FX352" s="142"/>
      <c r="GD352" s="142"/>
      <c r="GJ352" s="142"/>
      <c r="GP352" s="142"/>
      <c r="GV352" s="142"/>
      <c r="HB352" s="142"/>
      <c r="HH352" s="142"/>
      <c r="HN352" s="142"/>
      <c r="HT352" s="142"/>
      <c r="HZ352" s="142"/>
    </row>
    <row r="353">
      <c r="F353" s="142"/>
      <c r="L353" s="142"/>
      <c r="R353" s="142"/>
      <c r="X353" s="142"/>
      <c r="AD353" s="142"/>
      <c r="AJ353" s="142"/>
      <c r="AP353" s="142"/>
      <c r="AV353" s="142"/>
      <c r="BA353" s="142"/>
      <c r="BH353" s="142"/>
      <c r="BN353" s="142"/>
      <c r="BT353" s="142"/>
      <c r="BZ353" s="142"/>
      <c r="CF353" s="142"/>
      <c r="CL353" s="142"/>
      <c r="CR353" s="142"/>
      <c r="CX353" s="142"/>
      <c r="DD353" s="142"/>
      <c r="DJ353" s="142"/>
      <c r="DP353" s="142"/>
      <c r="DV353" s="142"/>
      <c r="EB353" s="142"/>
      <c r="EH353" s="142"/>
      <c r="EN353" s="142"/>
      <c r="ET353" s="142"/>
      <c r="EZ353" s="142"/>
      <c r="FF353" s="142"/>
      <c r="FL353" s="142"/>
      <c r="FR353" s="142"/>
      <c r="FX353" s="142"/>
      <c r="GD353" s="142"/>
      <c r="GJ353" s="142"/>
      <c r="GP353" s="142"/>
      <c r="GV353" s="142"/>
      <c r="HB353" s="142"/>
      <c r="HH353" s="142"/>
      <c r="HN353" s="142"/>
      <c r="HT353" s="142"/>
      <c r="HZ353" s="142"/>
    </row>
    <row r="354">
      <c r="F354" s="142"/>
      <c r="L354" s="142"/>
      <c r="R354" s="142"/>
      <c r="X354" s="142"/>
      <c r="AD354" s="142"/>
      <c r="AJ354" s="142"/>
      <c r="AP354" s="142"/>
      <c r="AV354" s="142"/>
      <c r="BA354" s="142"/>
      <c r="BH354" s="142"/>
      <c r="BN354" s="142"/>
      <c r="BT354" s="142"/>
      <c r="BZ354" s="142"/>
      <c r="CF354" s="142"/>
      <c r="CL354" s="142"/>
      <c r="CR354" s="142"/>
      <c r="CX354" s="142"/>
      <c r="DD354" s="142"/>
      <c r="DJ354" s="142"/>
      <c r="DP354" s="142"/>
      <c r="DV354" s="142"/>
      <c r="EB354" s="142"/>
      <c r="EH354" s="142"/>
      <c r="EN354" s="142"/>
      <c r="ET354" s="142"/>
      <c r="EZ354" s="142"/>
      <c r="FF354" s="142"/>
      <c r="FL354" s="142"/>
      <c r="FR354" s="142"/>
      <c r="FX354" s="142"/>
      <c r="GD354" s="142"/>
      <c r="GJ354" s="142"/>
      <c r="GP354" s="142"/>
      <c r="GV354" s="142"/>
      <c r="HB354" s="142"/>
      <c r="HH354" s="142"/>
      <c r="HN354" s="142"/>
      <c r="HT354" s="142"/>
      <c r="HZ354" s="142"/>
    </row>
    <row r="355">
      <c r="F355" s="142"/>
      <c r="L355" s="142"/>
      <c r="R355" s="142"/>
      <c r="X355" s="142"/>
      <c r="AD355" s="142"/>
      <c r="AJ355" s="142"/>
      <c r="AP355" s="142"/>
      <c r="AV355" s="142"/>
      <c r="BA355" s="142"/>
      <c r="BH355" s="142"/>
      <c r="BN355" s="142"/>
      <c r="BT355" s="142"/>
      <c r="BZ355" s="142"/>
      <c r="CF355" s="142"/>
      <c r="CL355" s="142"/>
      <c r="CR355" s="142"/>
      <c r="CX355" s="142"/>
      <c r="DD355" s="142"/>
      <c r="DJ355" s="142"/>
      <c r="DP355" s="142"/>
      <c r="DV355" s="142"/>
      <c r="EB355" s="142"/>
      <c r="EH355" s="142"/>
      <c r="EN355" s="142"/>
      <c r="ET355" s="142"/>
      <c r="EZ355" s="142"/>
      <c r="FF355" s="142"/>
      <c r="FL355" s="142"/>
      <c r="FR355" s="142"/>
      <c r="FX355" s="142"/>
      <c r="GD355" s="142"/>
      <c r="GJ355" s="142"/>
      <c r="GP355" s="142"/>
      <c r="GV355" s="142"/>
      <c r="HB355" s="142"/>
      <c r="HH355" s="142"/>
      <c r="HN355" s="142"/>
      <c r="HT355" s="142"/>
      <c r="HZ355" s="142"/>
    </row>
    <row r="356">
      <c r="F356" s="142"/>
      <c r="L356" s="142"/>
      <c r="R356" s="142"/>
      <c r="X356" s="142"/>
      <c r="AD356" s="142"/>
      <c r="AJ356" s="142"/>
      <c r="AP356" s="142"/>
      <c r="AV356" s="142"/>
      <c r="BA356" s="142"/>
      <c r="BH356" s="142"/>
      <c r="BN356" s="142"/>
      <c r="BT356" s="142"/>
      <c r="BZ356" s="142"/>
      <c r="CF356" s="142"/>
      <c r="CL356" s="142"/>
      <c r="CR356" s="142"/>
      <c r="CX356" s="142"/>
      <c r="DD356" s="142"/>
      <c r="DJ356" s="142"/>
      <c r="DP356" s="142"/>
      <c r="DV356" s="142"/>
      <c r="EB356" s="142"/>
      <c r="EH356" s="142"/>
      <c r="EN356" s="142"/>
      <c r="ET356" s="142"/>
      <c r="EZ356" s="142"/>
      <c r="FF356" s="142"/>
      <c r="FL356" s="142"/>
      <c r="FR356" s="142"/>
      <c r="FX356" s="142"/>
      <c r="GD356" s="142"/>
      <c r="GJ356" s="142"/>
      <c r="GP356" s="142"/>
      <c r="GV356" s="142"/>
      <c r="HB356" s="142"/>
      <c r="HH356" s="142"/>
      <c r="HN356" s="142"/>
      <c r="HT356" s="142"/>
      <c r="HZ356" s="142"/>
    </row>
    <row r="357">
      <c r="F357" s="142"/>
      <c r="L357" s="142"/>
      <c r="R357" s="142"/>
      <c r="X357" s="142"/>
      <c r="AD357" s="142"/>
      <c r="AJ357" s="142"/>
      <c r="AP357" s="142"/>
      <c r="AV357" s="142"/>
      <c r="BA357" s="142"/>
      <c r="BH357" s="142"/>
      <c r="BN357" s="142"/>
      <c r="BT357" s="142"/>
      <c r="BZ357" s="142"/>
      <c r="CF357" s="142"/>
      <c r="CL357" s="142"/>
      <c r="CR357" s="142"/>
      <c r="CX357" s="142"/>
      <c r="DD357" s="142"/>
      <c r="DJ357" s="142"/>
      <c r="DP357" s="142"/>
      <c r="DV357" s="142"/>
      <c r="EB357" s="142"/>
      <c r="EH357" s="142"/>
      <c r="EN357" s="142"/>
      <c r="ET357" s="142"/>
      <c r="EZ357" s="142"/>
      <c r="FF357" s="142"/>
      <c r="FL357" s="142"/>
      <c r="FR357" s="142"/>
      <c r="FX357" s="142"/>
      <c r="GD357" s="142"/>
      <c r="GJ357" s="142"/>
      <c r="GP357" s="142"/>
      <c r="GV357" s="142"/>
      <c r="HB357" s="142"/>
      <c r="HH357" s="142"/>
      <c r="HN357" s="142"/>
      <c r="HT357" s="142"/>
      <c r="HZ357" s="142"/>
    </row>
    <row r="358">
      <c r="F358" s="142"/>
      <c r="L358" s="142"/>
      <c r="R358" s="142"/>
      <c r="X358" s="142"/>
      <c r="AD358" s="142"/>
      <c r="AJ358" s="142"/>
      <c r="AP358" s="142"/>
      <c r="AV358" s="142"/>
      <c r="BA358" s="142"/>
      <c r="BH358" s="142"/>
      <c r="BN358" s="142"/>
      <c r="BT358" s="142"/>
      <c r="BZ358" s="142"/>
      <c r="CF358" s="142"/>
      <c r="CL358" s="142"/>
      <c r="CR358" s="142"/>
      <c r="CX358" s="142"/>
      <c r="DD358" s="142"/>
      <c r="DJ358" s="142"/>
      <c r="DP358" s="142"/>
      <c r="DV358" s="142"/>
      <c r="EB358" s="142"/>
      <c r="EH358" s="142"/>
      <c r="EN358" s="142"/>
      <c r="ET358" s="142"/>
      <c r="EZ358" s="142"/>
      <c r="FF358" s="142"/>
      <c r="FL358" s="142"/>
      <c r="FR358" s="142"/>
      <c r="FX358" s="142"/>
      <c r="GD358" s="142"/>
      <c r="GJ358" s="142"/>
      <c r="GP358" s="142"/>
      <c r="GV358" s="142"/>
      <c r="HB358" s="142"/>
      <c r="HH358" s="142"/>
      <c r="HN358" s="142"/>
      <c r="HT358" s="142"/>
      <c r="HZ358" s="142"/>
    </row>
    <row r="359">
      <c r="F359" s="142"/>
      <c r="L359" s="142"/>
      <c r="R359" s="142"/>
      <c r="X359" s="142"/>
      <c r="AD359" s="142"/>
      <c r="AJ359" s="142"/>
      <c r="AP359" s="142"/>
      <c r="AV359" s="142"/>
      <c r="BA359" s="142"/>
      <c r="BH359" s="142"/>
      <c r="BN359" s="142"/>
      <c r="BT359" s="142"/>
      <c r="BZ359" s="142"/>
      <c r="CF359" s="142"/>
      <c r="CL359" s="142"/>
      <c r="CR359" s="142"/>
      <c r="CX359" s="142"/>
      <c r="DD359" s="142"/>
      <c r="DJ359" s="142"/>
      <c r="DP359" s="142"/>
      <c r="DV359" s="142"/>
      <c r="EB359" s="142"/>
      <c r="EH359" s="142"/>
      <c r="EN359" s="142"/>
      <c r="ET359" s="142"/>
      <c r="EZ359" s="142"/>
      <c r="FF359" s="142"/>
      <c r="FL359" s="142"/>
      <c r="FR359" s="142"/>
      <c r="FX359" s="142"/>
      <c r="GD359" s="142"/>
      <c r="GJ359" s="142"/>
      <c r="GP359" s="142"/>
      <c r="GV359" s="142"/>
      <c r="HB359" s="142"/>
      <c r="HH359" s="142"/>
      <c r="HN359" s="142"/>
      <c r="HT359" s="142"/>
      <c r="HZ359" s="142"/>
    </row>
    <row r="360">
      <c r="F360" s="142"/>
      <c r="L360" s="142"/>
      <c r="R360" s="142"/>
      <c r="X360" s="142"/>
      <c r="AD360" s="142"/>
      <c r="AJ360" s="142"/>
      <c r="AP360" s="142"/>
      <c r="AV360" s="142"/>
      <c r="BA360" s="142"/>
      <c r="BH360" s="142"/>
      <c r="BN360" s="142"/>
      <c r="BT360" s="142"/>
      <c r="BZ360" s="142"/>
      <c r="CF360" s="142"/>
      <c r="CL360" s="142"/>
      <c r="CR360" s="142"/>
      <c r="CX360" s="142"/>
      <c r="DD360" s="142"/>
      <c r="DJ360" s="142"/>
      <c r="DP360" s="142"/>
      <c r="DV360" s="142"/>
      <c r="EB360" s="142"/>
      <c r="EH360" s="142"/>
      <c r="EN360" s="142"/>
      <c r="ET360" s="142"/>
      <c r="EZ360" s="142"/>
      <c r="FF360" s="142"/>
      <c r="FL360" s="142"/>
      <c r="FR360" s="142"/>
      <c r="FX360" s="142"/>
      <c r="GD360" s="142"/>
      <c r="GJ360" s="142"/>
      <c r="GP360" s="142"/>
      <c r="GV360" s="142"/>
      <c r="HB360" s="142"/>
      <c r="HH360" s="142"/>
      <c r="HN360" s="142"/>
      <c r="HT360" s="142"/>
      <c r="HZ360" s="142"/>
    </row>
    <row r="361">
      <c r="F361" s="142"/>
      <c r="L361" s="142"/>
      <c r="R361" s="142"/>
      <c r="X361" s="142"/>
      <c r="AD361" s="142"/>
      <c r="AJ361" s="142"/>
      <c r="AP361" s="142"/>
      <c r="AV361" s="142"/>
      <c r="BA361" s="142"/>
      <c r="BH361" s="142"/>
      <c r="BN361" s="142"/>
      <c r="BT361" s="142"/>
      <c r="BZ361" s="142"/>
      <c r="CF361" s="142"/>
      <c r="CL361" s="142"/>
      <c r="CR361" s="142"/>
      <c r="CX361" s="142"/>
      <c r="DD361" s="142"/>
      <c r="DJ361" s="142"/>
      <c r="DP361" s="142"/>
      <c r="DV361" s="142"/>
      <c r="EB361" s="142"/>
      <c r="EH361" s="142"/>
      <c r="EN361" s="142"/>
      <c r="ET361" s="142"/>
      <c r="EZ361" s="142"/>
      <c r="FF361" s="142"/>
      <c r="FL361" s="142"/>
      <c r="FR361" s="142"/>
      <c r="FX361" s="142"/>
      <c r="GD361" s="142"/>
      <c r="GJ361" s="142"/>
      <c r="GP361" s="142"/>
      <c r="GV361" s="142"/>
      <c r="HB361" s="142"/>
      <c r="HH361" s="142"/>
      <c r="HN361" s="142"/>
      <c r="HT361" s="142"/>
      <c r="HZ361" s="142"/>
    </row>
    <row r="362">
      <c r="F362" s="142"/>
      <c r="L362" s="142"/>
      <c r="R362" s="142"/>
      <c r="X362" s="142"/>
      <c r="AD362" s="142"/>
      <c r="AJ362" s="142"/>
      <c r="AP362" s="142"/>
      <c r="AV362" s="142"/>
      <c r="BA362" s="142"/>
      <c r="BH362" s="142"/>
      <c r="BN362" s="142"/>
      <c r="BT362" s="142"/>
      <c r="BZ362" s="142"/>
      <c r="CF362" s="142"/>
      <c r="CL362" s="142"/>
      <c r="CR362" s="142"/>
      <c r="CX362" s="142"/>
      <c r="DD362" s="142"/>
      <c r="DJ362" s="142"/>
      <c r="DP362" s="142"/>
      <c r="DV362" s="142"/>
      <c r="EB362" s="142"/>
      <c r="EH362" s="142"/>
      <c r="EN362" s="142"/>
      <c r="ET362" s="142"/>
      <c r="EZ362" s="142"/>
      <c r="FF362" s="142"/>
      <c r="FL362" s="142"/>
      <c r="FR362" s="142"/>
      <c r="FX362" s="142"/>
      <c r="GD362" s="142"/>
      <c r="GJ362" s="142"/>
      <c r="GP362" s="142"/>
      <c r="GV362" s="142"/>
      <c r="HB362" s="142"/>
      <c r="HH362" s="142"/>
      <c r="HN362" s="142"/>
      <c r="HT362" s="142"/>
      <c r="HZ362" s="142"/>
    </row>
    <row r="363">
      <c r="F363" s="142"/>
      <c r="L363" s="142"/>
      <c r="R363" s="142"/>
      <c r="X363" s="142"/>
      <c r="AD363" s="142"/>
      <c r="AJ363" s="142"/>
      <c r="AP363" s="142"/>
      <c r="AV363" s="142"/>
      <c r="BA363" s="142"/>
      <c r="BH363" s="142"/>
      <c r="BN363" s="142"/>
      <c r="BT363" s="142"/>
      <c r="BZ363" s="142"/>
      <c r="CF363" s="142"/>
      <c r="CL363" s="142"/>
      <c r="CR363" s="142"/>
      <c r="CX363" s="142"/>
      <c r="DD363" s="142"/>
      <c r="DJ363" s="142"/>
      <c r="DP363" s="142"/>
      <c r="DV363" s="142"/>
      <c r="EB363" s="142"/>
      <c r="EH363" s="142"/>
      <c r="EN363" s="142"/>
      <c r="ET363" s="142"/>
      <c r="EZ363" s="142"/>
      <c r="FF363" s="142"/>
      <c r="FL363" s="142"/>
      <c r="FR363" s="142"/>
      <c r="FX363" s="142"/>
      <c r="GD363" s="142"/>
      <c r="GJ363" s="142"/>
      <c r="GP363" s="142"/>
      <c r="GV363" s="142"/>
      <c r="HB363" s="142"/>
      <c r="HH363" s="142"/>
      <c r="HN363" s="142"/>
      <c r="HT363" s="142"/>
      <c r="HZ363" s="142"/>
    </row>
    <row r="364">
      <c r="F364" s="142"/>
      <c r="L364" s="142"/>
      <c r="R364" s="142"/>
      <c r="X364" s="142"/>
      <c r="AD364" s="142"/>
      <c r="AJ364" s="142"/>
      <c r="AP364" s="142"/>
      <c r="AV364" s="142"/>
      <c r="BA364" s="142"/>
      <c r="BH364" s="142"/>
      <c r="BN364" s="142"/>
      <c r="BT364" s="142"/>
      <c r="BZ364" s="142"/>
      <c r="CF364" s="142"/>
      <c r="CL364" s="142"/>
      <c r="CR364" s="142"/>
      <c r="CX364" s="142"/>
      <c r="DD364" s="142"/>
      <c r="DJ364" s="142"/>
      <c r="DP364" s="142"/>
      <c r="DV364" s="142"/>
      <c r="EB364" s="142"/>
      <c r="EH364" s="142"/>
      <c r="EN364" s="142"/>
      <c r="ET364" s="142"/>
      <c r="EZ364" s="142"/>
      <c r="FF364" s="142"/>
      <c r="FL364" s="142"/>
      <c r="FR364" s="142"/>
      <c r="FX364" s="142"/>
      <c r="GD364" s="142"/>
      <c r="GJ364" s="142"/>
      <c r="GP364" s="142"/>
      <c r="GV364" s="142"/>
      <c r="HB364" s="142"/>
      <c r="HH364" s="142"/>
      <c r="HN364" s="142"/>
      <c r="HT364" s="142"/>
      <c r="HZ364" s="142"/>
    </row>
    <row r="365">
      <c r="F365" s="142"/>
      <c r="L365" s="142"/>
      <c r="R365" s="142"/>
      <c r="X365" s="142"/>
      <c r="AD365" s="142"/>
      <c r="AJ365" s="142"/>
      <c r="AP365" s="142"/>
      <c r="AV365" s="142"/>
      <c r="BA365" s="142"/>
      <c r="BH365" s="142"/>
      <c r="BN365" s="142"/>
      <c r="BT365" s="142"/>
      <c r="BZ365" s="142"/>
      <c r="CF365" s="142"/>
      <c r="CL365" s="142"/>
      <c r="CR365" s="142"/>
      <c r="CX365" s="142"/>
      <c r="DD365" s="142"/>
      <c r="DJ365" s="142"/>
      <c r="DP365" s="142"/>
      <c r="DV365" s="142"/>
      <c r="EB365" s="142"/>
      <c r="EH365" s="142"/>
      <c r="EN365" s="142"/>
      <c r="ET365" s="142"/>
      <c r="EZ365" s="142"/>
      <c r="FF365" s="142"/>
      <c r="FL365" s="142"/>
      <c r="FR365" s="142"/>
      <c r="FX365" s="142"/>
      <c r="GD365" s="142"/>
      <c r="GJ365" s="142"/>
      <c r="GP365" s="142"/>
      <c r="GV365" s="142"/>
      <c r="HB365" s="142"/>
      <c r="HH365" s="142"/>
      <c r="HN365" s="142"/>
      <c r="HT365" s="142"/>
      <c r="HZ365" s="142"/>
    </row>
    <row r="366">
      <c r="F366" s="142"/>
      <c r="L366" s="142"/>
      <c r="R366" s="142"/>
      <c r="X366" s="142"/>
      <c r="AD366" s="142"/>
      <c r="AJ366" s="142"/>
      <c r="AP366" s="142"/>
      <c r="AV366" s="142"/>
      <c r="BA366" s="142"/>
      <c r="BH366" s="142"/>
      <c r="BN366" s="142"/>
      <c r="BT366" s="142"/>
      <c r="BZ366" s="142"/>
      <c r="CF366" s="142"/>
      <c r="CL366" s="142"/>
      <c r="CR366" s="142"/>
      <c r="CX366" s="142"/>
      <c r="DD366" s="142"/>
      <c r="DJ366" s="142"/>
      <c r="DP366" s="142"/>
      <c r="DV366" s="142"/>
      <c r="EB366" s="142"/>
      <c r="EH366" s="142"/>
      <c r="EN366" s="142"/>
      <c r="ET366" s="142"/>
      <c r="EZ366" s="142"/>
      <c r="FF366" s="142"/>
      <c r="FL366" s="142"/>
      <c r="FR366" s="142"/>
      <c r="FX366" s="142"/>
      <c r="GD366" s="142"/>
      <c r="GJ366" s="142"/>
      <c r="GP366" s="142"/>
      <c r="GV366" s="142"/>
      <c r="HB366" s="142"/>
      <c r="HH366" s="142"/>
      <c r="HN366" s="142"/>
      <c r="HT366" s="142"/>
      <c r="HZ366" s="142"/>
    </row>
    <row r="367">
      <c r="F367" s="142"/>
      <c r="L367" s="142"/>
      <c r="R367" s="142"/>
      <c r="X367" s="142"/>
      <c r="AD367" s="142"/>
      <c r="AJ367" s="142"/>
      <c r="AP367" s="142"/>
      <c r="AV367" s="142"/>
      <c r="BA367" s="142"/>
      <c r="BH367" s="142"/>
      <c r="BN367" s="142"/>
      <c r="BT367" s="142"/>
      <c r="BZ367" s="142"/>
      <c r="CF367" s="142"/>
      <c r="CL367" s="142"/>
      <c r="CR367" s="142"/>
      <c r="CX367" s="142"/>
      <c r="DD367" s="142"/>
      <c r="DJ367" s="142"/>
      <c r="DP367" s="142"/>
      <c r="DV367" s="142"/>
      <c r="EB367" s="142"/>
      <c r="EH367" s="142"/>
      <c r="EN367" s="142"/>
      <c r="ET367" s="142"/>
      <c r="EZ367" s="142"/>
      <c r="FF367" s="142"/>
      <c r="FL367" s="142"/>
      <c r="FR367" s="142"/>
      <c r="FX367" s="142"/>
      <c r="GD367" s="142"/>
      <c r="GJ367" s="142"/>
      <c r="GP367" s="142"/>
      <c r="GV367" s="142"/>
      <c r="HB367" s="142"/>
      <c r="HH367" s="142"/>
      <c r="HN367" s="142"/>
      <c r="HT367" s="142"/>
      <c r="HZ367" s="142"/>
    </row>
    <row r="368">
      <c r="F368" s="142"/>
      <c r="L368" s="142"/>
      <c r="R368" s="142"/>
      <c r="X368" s="142"/>
      <c r="AD368" s="142"/>
      <c r="AJ368" s="142"/>
      <c r="AP368" s="142"/>
      <c r="AV368" s="142"/>
      <c r="BA368" s="142"/>
      <c r="BH368" s="142"/>
      <c r="BN368" s="142"/>
      <c r="BT368" s="142"/>
      <c r="BZ368" s="142"/>
      <c r="CF368" s="142"/>
      <c r="CL368" s="142"/>
      <c r="CR368" s="142"/>
      <c r="CX368" s="142"/>
      <c r="DD368" s="142"/>
      <c r="DJ368" s="142"/>
      <c r="DP368" s="142"/>
      <c r="DV368" s="142"/>
      <c r="EB368" s="142"/>
      <c r="EH368" s="142"/>
      <c r="EN368" s="142"/>
      <c r="ET368" s="142"/>
      <c r="EZ368" s="142"/>
      <c r="FF368" s="142"/>
      <c r="FL368" s="142"/>
      <c r="FR368" s="142"/>
      <c r="FX368" s="142"/>
      <c r="GD368" s="142"/>
      <c r="GJ368" s="142"/>
      <c r="GP368" s="142"/>
      <c r="GV368" s="142"/>
      <c r="HB368" s="142"/>
      <c r="HH368" s="142"/>
      <c r="HN368" s="142"/>
      <c r="HT368" s="142"/>
      <c r="HZ368" s="142"/>
    </row>
    <row r="369">
      <c r="F369" s="142"/>
      <c r="L369" s="142"/>
      <c r="R369" s="142"/>
      <c r="X369" s="142"/>
      <c r="AD369" s="142"/>
      <c r="AJ369" s="142"/>
      <c r="AP369" s="142"/>
      <c r="AV369" s="142"/>
      <c r="BA369" s="142"/>
      <c r="BH369" s="142"/>
      <c r="BN369" s="142"/>
      <c r="BT369" s="142"/>
      <c r="BZ369" s="142"/>
      <c r="CF369" s="142"/>
      <c r="CL369" s="142"/>
      <c r="CR369" s="142"/>
      <c r="CX369" s="142"/>
      <c r="DD369" s="142"/>
      <c r="DJ369" s="142"/>
      <c r="DP369" s="142"/>
      <c r="DV369" s="142"/>
      <c r="EB369" s="142"/>
      <c r="EH369" s="142"/>
      <c r="EN369" s="142"/>
      <c r="ET369" s="142"/>
      <c r="EZ369" s="142"/>
      <c r="FF369" s="142"/>
      <c r="FL369" s="142"/>
      <c r="FR369" s="142"/>
      <c r="FX369" s="142"/>
      <c r="GD369" s="142"/>
      <c r="GJ369" s="142"/>
      <c r="GP369" s="142"/>
      <c r="GV369" s="142"/>
      <c r="HB369" s="142"/>
      <c r="HH369" s="142"/>
      <c r="HN369" s="142"/>
      <c r="HT369" s="142"/>
      <c r="HZ369" s="142"/>
    </row>
    <row r="370">
      <c r="F370" s="142"/>
      <c r="L370" s="142"/>
      <c r="R370" s="142"/>
      <c r="X370" s="142"/>
      <c r="AD370" s="142"/>
      <c r="AJ370" s="142"/>
      <c r="AP370" s="142"/>
      <c r="AV370" s="142"/>
      <c r="BA370" s="142"/>
      <c r="BH370" s="142"/>
      <c r="BN370" s="142"/>
      <c r="BT370" s="142"/>
      <c r="BZ370" s="142"/>
      <c r="CF370" s="142"/>
      <c r="CL370" s="142"/>
      <c r="CR370" s="142"/>
      <c r="CX370" s="142"/>
      <c r="DD370" s="142"/>
      <c r="DJ370" s="142"/>
      <c r="DP370" s="142"/>
      <c r="DV370" s="142"/>
      <c r="EB370" s="142"/>
      <c r="EH370" s="142"/>
      <c r="EN370" s="142"/>
      <c r="ET370" s="142"/>
      <c r="EZ370" s="142"/>
      <c r="FF370" s="142"/>
      <c r="FL370" s="142"/>
      <c r="FR370" s="142"/>
      <c r="FX370" s="142"/>
      <c r="GD370" s="142"/>
      <c r="GJ370" s="142"/>
      <c r="GP370" s="142"/>
      <c r="GV370" s="142"/>
      <c r="HB370" s="142"/>
      <c r="HH370" s="142"/>
      <c r="HN370" s="142"/>
      <c r="HT370" s="142"/>
      <c r="HZ370" s="142"/>
    </row>
    <row r="371">
      <c r="F371" s="142"/>
      <c r="L371" s="142"/>
      <c r="R371" s="142"/>
      <c r="X371" s="142"/>
      <c r="AD371" s="142"/>
      <c r="AJ371" s="142"/>
      <c r="AP371" s="142"/>
      <c r="AV371" s="142"/>
      <c r="BA371" s="142"/>
      <c r="BH371" s="142"/>
      <c r="BN371" s="142"/>
      <c r="BT371" s="142"/>
      <c r="BZ371" s="142"/>
      <c r="CF371" s="142"/>
      <c r="CL371" s="142"/>
      <c r="CR371" s="142"/>
      <c r="CX371" s="142"/>
      <c r="DD371" s="142"/>
      <c r="DJ371" s="142"/>
      <c r="DP371" s="142"/>
      <c r="DV371" s="142"/>
      <c r="EB371" s="142"/>
      <c r="EH371" s="142"/>
      <c r="EN371" s="142"/>
      <c r="ET371" s="142"/>
      <c r="EZ371" s="142"/>
      <c r="FF371" s="142"/>
      <c r="FL371" s="142"/>
      <c r="FR371" s="142"/>
      <c r="FX371" s="142"/>
      <c r="GD371" s="142"/>
      <c r="GJ371" s="142"/>
      <c r="GP371" s="142"/>
      <c r="GV371" s="142"/>
      <c r="HB371" s="142"/>
      <c r="HH371" s="142"/>
      <c r="HN371" s="142"/>
      <c r="HT371" s="142"/>
      <c r="HZ371" s="142"/>
    </row>
    <row r="372">
      <c r="F372" s="142"/>
      <c r="L372" s="142"/>
      <c r="R372" s="142"/>
      <c r="X372" s="142"/>
      <c r="AD372" s="142"/>
      <c r="AJ372" s="142"/>
      <c r="AP372" s="142"/>
      <c r="AV372" s="142"/>
      <c r="BA372" s="142"/>
      <c r="BH372" s="142"/>
      <c r="BN372" s="142"/>
      <c r="BT372" s="142"/>
      <c r="BZ372" s="142"/>
      <c r="CF372" s="142"/>
      <c r="CL372" s="142"/>
      <c r="CR372" s="142"/>
      <c r="CX372" s="142"/>
      <c r="DD372" s="142"/>
      <c r="DJ372" s="142"/>
      <c r="DP372" s="142"/>
      <c r="DV372" s="142"/>
      <c r="EB372" s="142"/>
      <c r="EH372" s="142"/>
      <c r="EN372" s="142"/>
      <c r="ET372" s="142"/>
      <c r="EZ372" s="142"/>
      <c r="FF372" s="142"/>
      <c r="FL372" s="142"/>
      <c r="FR372" s="142"/>
      <c r="FX372" s="142"/>
      <c r="GD372" s="142"/>
      <c r="GJ372" s="142"/>
      <c r="GP372" s="142"/>
      <c r="GV372" s="142"/>
      <c r="HB372" s="142"/>
      <c r="HH372" s="142"/>
      <c r="HN372" s="142"/>
      <c r="HT372" s="142"/>
      <c r="HZ372" s="142"/>
    </row>
    <row r="373">
      <c r="F373" s="142"/>
      <c r="L373" s="142"/>
      <c r="R373" s="142"/>
      <c r="X373" s="142"/>
      <c r="AD373" s="142"/>
      <c r="AJ373" s="142"/>
      <c r="AP373" s="142"/>
      <c r="AV373" s="142"/>
      <c r="BA373" s="142"/>
      <c r="BH373" s="142"/>
      <c r="BN373" s="142"/>
      <c r="BT373" s="142"/>
      <c r="BZ373" s="142"/>
      <c r="CF373" s="142"/>
      <c r="CL373" s="142"/>
      <c r="CR373" s="142"/>
      <c r="CX373" s="142"/>
      <c r="DD373" s="142"/>
      <c r="DJ373" s="142"/>
      <c r="DP373" s="142"/>
      <c r="DV373" s="142"/>
      <c r="EB373" s="142"/>
      <c r="EH373" s="142"/>
      <c r="EN373" s="142"/>
      <c r="ET373" s="142"/>
      <c r="EZ373" s="142"/>
      <c r="FF373" s="142"/>
      <c r="FL373" s="142"/>
      <c r="FR373" s="142"/>
      <c r="FX373" s="142"/>
      <c r="GD373" s="142"/>
      <c r="GJ373" s="142"/>
      <c r="GP373" s="142"/>
      <c r="GV373" s="142"/>
      <c r="HB373" s="142"/>
      <c r="HH373" s="142"/>
      <c r="HN373" s="142"/>
      <c r="HT373" s="142"/>
      <c r="HZ373" s="142"/>
    </row>
    <row r="374">
      <c r="F374" s="142"/>
      <c r="L374" s="142"/>
      <c r="R374" s="142"/>
      <c r="X374" s="142"/>
      <c r="AD374" s="142"/>
      <c r="AJ374" s="142"/>
      <c r="AP374" s="142"/>
      <c r="AV374" s="142"/>
      <c r="BA374" s="142"/>
      <c r="BH374" s="142"/>
      <c r="BN374" s="142"/>
      <c r="BT374" s="142"/>
      <c r="BZ374" s="142"/>
      <c r="CF374" s="142"/>
      <c r="CL374" s="142"/>
      <c r="CR374" s="142"/>
      <c r="CX374" s="142"/>
      <c r="DD374" s="142"/>
      <c r="DJ374" s="142"/>
      <c r="DP374" s="142"/>
      <c r="DV374" s="142"/>
      <c r="EB374" s="142"/>
      <c r="EH374" s="142"/>
      <c r="EN374" s="142"/>
      <c r="ET374" s="142"/>
      <c r="EZ374" s="142"/>
      <c r="FF374" s="142"/>
      <c r="FL374" s="142"/>
      <c r="FR374" s="142"/>
      <c r="FX374" s="142"/>
      <c r="GD374" s="142"/>
      <c r="GJ374" s="142"/>
      <c r="GP374" s="142"/>
      <c r="GV374" s="142"/>
      <c r="HB374" s="142"/>
      <c r="HH374" s="142"/>
      <c r="HN374" s="142"/>
      <c r="HT374" s="142"/>
      <c r="HZ374" s="142"/>
    </row>
    <row r="375">
      <c r="F375" s="142"/>
      <c r="L375" s="142"/>
      <c r="R375" s="142"/>
      <c r="X375" s="142"/>
      <c r="AD375" s="142"/>
      <c r="AJ375" s="142"/>
      <c r="AP375" s="142"/>
      <c r="AV375" s="142"/>
      <c r="BA375" s="142"/>
      <c r="BH375" s="142"/>
      <c r="BN375" s="142"/>
      <c r="BT375" s="142"/>
      <c r="BZ375" s="142"/>
      <c r="CF375" s="142"/>
      <c r="CL375" s="142"/>
      <c r="CR375" s="142"/>
      <c r="CX375" s="142"/>
      <c r="DD375" s="142"/>
      <c r="DJ375" s="142"/>
      <c r="DP375" s="142"/>
      <c r="DV375" s="142"/>
      <c r="EB375" s="142"/>
      <c r="EH375" s="142"/>
      <c r="EN375" s="142"/>
      <c r="ET375" s="142"/>
      <c r="EZ375" s="142"/>
      <c r="FF375" s="142"/>
      <c r="FL375" s="142"/>
      <c r="FR375" s="142"/>
      <c r="FX375" s="142"/>
      <c r="GD375" s="142"/>
      <c r="GJ375" s="142"/>
      <c r="GP375" s="142"/>
      <c r="GV375" s="142"/>
      <c r="HB375" s="142"/>
      <c r="HH375" s="142"/>
      <c r="HN375" s="142"/>
      <c r="HT375" s="142"/>
      <c r="HZ375" s="142"/>
    </row>
    <row r="376">
      <c r="F376" s="142"/>
      <c r="L376" s="142"/>
      <c r="R376" s="142"/>
      <c r="X376" s="142"/>
      <c r="AD376" s="142"/>
      <c r="AJ376" s="142"/>
      <c r="AP376" s="142"/>
      <c r="AV376" s="142"/>
      <c r="BA376" s="142"/>
      <c r="BH376" s="142"/>
      <c r="BN376" s="142"/>
      <c r="BT376" s="142"/>
      <c r="BZ376" s="142"/>
      <c r="CF376" s="142"/>
      <c r="CL376" s="142"/>
      <c r="CR376" s="142"/>
      <c r="CX376" s="142"/>
      <c r="DD376" s="142"/>
      <c r="DJ376" s="142"/>
      <c r="DP376" s="142"/>
      <c r="DV376" s="142"/>
      <c r="EB376" s="142"/>
      <c r="EH376" s="142"/>
      <c r="EN376" s="142"/>
      <c r="ET376" s="142"/>
      <c r="EZ376" s="142"/>
      <c r="FF376" s="142"/>
      <c r="FL376" s="142"/>
      <c r="FR376" s="142"/>
      <c r="FX376" s="142"/>
      <c r="GD376" s="142"/>
      <c r="GJ376" s="142"/>
      <c r="GP376" s="142"/>
      <c r="GV376" s="142"/>
      <c r="HB376" s="142"/>
      <c r="HH376" s="142"/>
      <c r="HN376" s="142"/>
      <c r="HT376" s="142"/>
      <c r="HZ376" s="142"/>
    </row>
    <row r="377">
      <c r="F377" s="142"/>
      <c r="L377" s="142"/>
      <c r="R377" s="142"/>
      <c r="X377" s="142"/>
      <c r="AD377" s="142"/>
      <c r="AJ377" s="142"/>
      <c r="AP377" s="142"/>
      <c r="AV377" s="142"/>
      <c r="BA377" s="142"/>
      <c r="BH377" s="142"/>
      <c r="BN377" s="142"/>
      <c r="BT377" s="142"/>
      <c r="BZ377" s="142"/>
      <c r="CF377" s="142"/>
      <c r="CL377" s="142"/>
      <c r="CR377" s="142"/>
      <c r="CX377" s="142"/>
      <c r="DD377" s="142"/>
      <c r="DJ377" s="142"/>
      <c r="DP377" s="142"/>
      <c r="DV377" s="142"/>
      <c r="EB377" s="142"/>
      <c r="EH377" s="142"/>
      <c r="EN377" s="142"/>
      <c r="ET377" s="142"/>
      <c r="EZ377" s="142"/>
      <c r="FF377" s="142"/>
      <c r="FL377" s="142"/>
      <c r="FR377" s="142"/>
      <c r="FX377" s="142"/>
      <c r="GD377" s="142"/>
      <c r="GJ377" s="142"/>
      <c r="GP377" s="142"/>
      <c r="GV377" s="142"/>
      <c r="HB377" s="142"/>
      <c r="HH377" s="142"/>
      <c r="HN377" s="142"/>
      <c r="HT377" s="142"/>
      <c r="HZ377" s="142"/>
    </row>
    <row r="378">
      <c r="F378" s="142"/>
      <c r="L378" s="142"/>
      <c r="R378" s="142"/>
      <c r="X378" s="142"/>
      <c r="AD378" s="142"/>
      <c r="AJ378" s="142"/>
      <c r="AP378" s="142"/>
      <c r="AV378" s="142"/>
      <c r="BA378" s="142"/>
      <c r="BH378" s="142"/>
      <c r="BN378" s="142"/>
      <c r="BT378" s="142"/>
      <c r="BZ378" s="142"/>
      <c r="CF378" s="142"/>
      <c r="CL378" s="142"/>
      <c r="CR378" s="142"/>
      <c r="CX378" s="142"/>
      <c r="DD378" s="142"/>
      <c r="DJ378" s="142"/>
      <c r="DP378" s="142"/>
      <c r="DV378" s="142"/>
      <c r="EB378" s="142"/>
      <c r="EH378" s="142"/>
      <c r="EN378" s="142"/>
      <c r="ET378" s="142"/>
      <c r="EZ378" s="142"/>
      <c r="FF378" s="142"/>
      <c r="FL378" s="142"/>
      <c r="FR378" s="142"/>
      <c r="FX378" s="142"/>
      <c r="GD378" s="142"/>
      <c r="GJ378" s="142"/>
      <c r="GP378" s="142"/>
      <c r="GV378" s="142"/>
      <c r="HB378" s="142"/>
      <c r="HH378" s="142"/>
      <c r="HN378" s="142"/>
      <c r="HT378" s="142"/>
      <c r="HZ378" s="142"/>
    </row>
    <row r="379">
      <c r="F379" s="142"/>
      <c r="L379" s="142"/>
      <c r="R379" s="142"/>
      <c r="X379" s="142"/>
      <c r="AD379" s="142"/>
      <c r="AJ379" s="142"/>
      <c r="AP379" s="142"/>
      <c r="AV379" s="142"/>
      <c r="BA379" s="142"/>
      <c r="BH379" s="142"/>
      <c r="BN379" s="142"/>
      <c r="BT379" s="142"/>
      <c r="BZ379" s="142"/>
      <c r="CF379" s="142"/>
      <c r="CL379" s="142"/>
      <c r="CR379" s="142"/>
      <c r="CX379" s="142"/>
      <c r="DD379" s="142"/>
      <c r="DJ379" s="142"/>
      <c r="DP379" s="142"/>
      <c r="DV379" s="142"/>
      <c r="EB379" s="142"/>
      <c r="EH379" s="142"/>
      <c r="EN379" s="142"/>
      <c r="ET379" s="142"/>
      <c r="EZ379" s="142"/>
      <c r="FF379" s="142"/>
      <c r="FL379" s="142"/>
      <c r="FR379" s="142"/>
      <c r="FX379" s="142"/>
      <c r="GD379" s="142"/>
      <c r="GJ379" s="142"/>
      <c r="GP379" s="142"/>
      <c r="GV379" s="142"/>
      <c r="HB379" s="142"/>
      <c r="HH379" s="142"/>
      <c r="HN379" s="142"/>
      <c r="HT379" s="142"/>
      <c r="HZ379" s="142"/>
    </row>
    <row r="380">
      <c r="F380" s="142"/>
      <c r="L380" s="142"/>
      <c r="R380" s="142"/>
      <c r="X380" s="142"/>
      <c r="AD380" s="142"/>
      <c r="AJ380" s="142"/>
      <c r="AP380" s="142"/>
      <c r="AV380" s="142"/>
      <c r="BA380" s="142"/>
      <c r="BH380" s="142"/>
      <c r="BN380" s="142"/>
      <c r="BT380" s="142"/>
      <c r="BZ380" s="142"/>
      <c r="CF380" s="142"/>
      <c r="CL380" s="142"/>
      <c r="CR380" s="142"/>
      <c r="CX380" s="142"/>
      <c r="DD380" s="142"/>
      <c r="DJ380" s="142"/>
      <c r="DP380" s="142"/>
      <c r="DV380" s="142"/>
      <c r="EB380" s="142"/>
      <c r="EH380" s="142"/>
      <c r="EN380" s="142"/>
      <c r="ET380" s="142"/>
      <c r="EZ380" s="142"/>
      <c r="FF380" s="142"/>
      <c r="FL380" s="142"/>
      <c r="FR380" s="142"/>
      <c r="FX380" s="142"/>
      <c r="GD380" s="142"/>
      <c r="GJ380" s="142"/>
      <c r="GP380" s="142"/>
      <c r="GV380" s="142"/>
      <c r="HB380" s="142"/>
      <c r="HH380" s="142"/>
      <c r="HN380" s="142"/>
      <c r="HT380" s="142"/>
      <c r="HZ380" s="142"/>
    </row>
    <row r="381">
      <c r="F381" s="142"/>
      <c r="L381" s="142"/>
      <c r="R381" s="142"/>
      <c r="X381" s="142"/>
      <c r="AD381" s="142"/>
      <c r="AJ381" s="142"/>
      <c r="AP381" s="142"/>
      <c r="AV381" s="142"/>
      <c r="BA381" s="142"/>
      <c r="BH381" s="142"/>
      <c r="BN381" s="142"/>
      <c r="BT381" s="142"/>
      <c r="BZ381" s="142"/>
      <c r="CF381" s="142"/>
      <c r="CL381" s="142"/>
      <c r="CR381" s="142"/>
      <c r="CX381" s="142"/>
      <c r="DD381" s="142"/>
      <c r="DJ381" s="142"/>
      <c r="DP381" s="142"/>
      <c r="DV381" s="142"/>
      <c r="EB381" s="142"/>
      <c r="EH381" s="142"/>
      <c r="EN381" s="142"/>
      <c r="ET381" s="142"/>
      <c r="EZ381" s="142"/>
      <c r="FF381" s="142"/>
      <c r="FL381" s="142"/>
      <c r="FR381" s="142"/>
      <c r="FX381" s="142"/>
      <c r="GD381" s="142"/>
      <c r="GJ381" s="142"/>
      <c r="GP381" s="142"/>
      <c r="GV381" s="142"/>
      <c r="HB381" s="142"/>
      <c r="HH381" s="142"/>
      <c r="HN381" s="142"/>
      <c r="HT381" s="142"/>
      <c r="HZ381" s="142"/>
    </row>
    <row r="382">
      <c r="F382" s="142"/>
      <c r="L382" s="142"/>
      <c r="R382" s="142"/>
      <c r="X382" s="142"/>
      <c r="AD382" s="142"/>
      <c r="AJ382" s="142"/>
      <c r="AP382" s="142"/>
      <c r="AV382" s="142"/>
      <c r="BA382" s="142"/>
      <c r="BH382" s="142"/>
      <c r="BN382" s="142"/>
      <c r="BT382" s="142"/>
      <c r="BZ382" s="142"/>
      <c r="CF382" s="142"/>
      <c r="CL382" s="142"/>
      <c r="CR382" s="142"/>
      <c r="CX382" s="142"/>
      <c r="DD382" s="142"/>
      <c r="DJ382" s="142"/>
      <c r="DP382" s="142"/>
      <c r="DV382" s="142"/>
      <c r="EB382" s="142"/>
      <c r="EH382" s="142"/>
      <c r="EN382" s="142"/>
      <c r="ET382" s="142"/>
      <c r="EZ382" s="142"/>
      <c r="FF382" s="142"/>
      <c r="FL382" s="142"/>
      <c r="FR382" s="142"/>
      <c r="FX382" s="142"/>
      <c r="GD382" s="142"/>
      <c r="GJ382" s="142"/>
      <c r="GP382" s="142"/>
      <c r="GV382" s="142"/>
      <c r="HB382" s="142"/>
      <c r="HH382" s="142"/>
      <c r="HN382" s="142"/>
      <c r="HT382" s="142"/>
      <c r="HZ382" s="142"/>
    </row>
    <row r="383">
      <c r="F383" s="142"/>
      <c r="L383" s="142"/>
      <c r="R383" s="142"/>
      <c r="X383" s="142"/>
      <c r="AD383" s="142"/>
      <c r="AJ383" s="142"/>
      <c r="AP383" s="142"/>
      <c r="AV383" s="142"/>
      <c r="BA383" s="142"/>
      <c r="BH383" s="142"/>
      <c r="BN383" s="142"/>
      <c r="BT383" s="142"/>
      <c r="BZ383" s="142"/>
      <c r="CF383" s="142"/>
      <c r="CL383" s="142"/>
      <c r="CR383" s="142"/>
      <c r="CX383" s="142"/>
      <c r="DD383" s="142"/>
      <c r="DJ383" s="142"/>
      <c r="DP383" s="142"/>
      <c r="DV383" s="142"/>
      <c r="EB383" s="142"/>
      <c r="EH383" s="142"/>
      <c r="EN383" s="142"/>
      <c r="ET383" s="142"/>
      <c r="EZ383" s="142"/>
      <c r="FF383" s="142"/>
      <c r="FL383" s="142"/>
      <c r="FR383" s="142"/>
      <c r="FX383" s="142"/>
      <c r="GD383" s="142"/>
      <c r="GJ383" s="142"/>
      <c r="GP383" s="142"/>
      <c r="GV383" s="142"/>
      <c r="HB383" s="142"/>
      <c r="HH383" s="142"/>
      <c r="HN383" s="142"/>
      <c r="HT383" s="142"/>
      <c r="HZ383" s="142"/>
    </row>
    <row r="384">
      <c r="F384" s="142"/>
      <c r="L384" s="142"/>
      <c r="R384" s="142"/>
      <c r="X384" s="142"/>
      <c r="AD384" s="142"/>
      <c r="AJ384" s="142"/>
      <c r="AP384" s="142"/>
      <c r="AV384" s="142"/>
      <c r="BA384" s="142"/>
      <c r="BH384" s="142"/>
      <c r="BN384" s="142"/>
      <c r="BT384" s="142"/>
      <c r="BZ384" s="142"/>
      <c r="CF384" s="142"/>
      <c r="CL384" s="142"/>
      <c r="CR384" s="142"/>
      <c r="CX384" s="142"/>
      <c r="DD384" s="142"/>
      <c r="DJ384" s="142"/>
      <c r="DP384" s="142"/>
      <c r="DV384" s="142"/>
      <c r="EB384" s="142"/>
      <c r="EH384" s="142"/>
      <c r="EN384" s="142"/>
      <c r="ET384" s="142"/>
      <c r="EZ384" s="142"/>
      <c r="FF384" s="142"/>
      <c r="FL384" s="142"/>
      <c r="FR384" s="142"/>
      <c r="FX384" s="142"/>
      <c r="GD384" s="142"/>
      <c r="GJ384" s="142"/>
      <c r="GP384" s="142"/>
      <c r="GV384" s="142"/>
      <c r="HB384" s="142"/>
      <c r="HH384" s="142"/>
      <c r="HN384" s="142"/>
      <c r="HT384" s="142"/>
      <c r="HZ384" s="142"/>
    </row>
    <row r="385">
      <c r="F385" s="142"/>
      <c r="L385" s="142"/>
      <c r="R385" s="142"/>
      <c r="X385" s="142"/>
      <c r="AD385" s="142"/>
      <c r="AJ385" s="142"/>
      <c r="AP385" s="142"/>
      <c r="AV385" s="142"/>
      <c r="BA385" s="142"/>
      <c r="BH385" s="142"/>
      <c r="BN385" s="142"/>
      <c r="BT385" s="142"/>
      <c r="BZ385" s="142"/>
      <c r="CF385" s="142"/>
      <c r="CL385" s="142"/>
      <c r="CR385" s="142"/>
      <c r="CX385" s="142"/>
      <c r="DD385" s="142"/>
      <c r="DJ385" s="142"/>
      <c r="DP385" s="142"/>
      <c r="DV385" s="142"/>
      <c r="EB385" s="142"/>
      <c r="EH385" s="142"/>
      <c r="EN385" s="142"/>
      <c r="ET385" s="142"/>
      <c r="EZ385" s="142"/>
      <c r="FF385" s="142"/>
      <c r="FL385" s="142"/>
      <c r="FR385" s="142"/>
      <c r="FX385" s="142"/>
      <c r="GD385" s="142"/>
      <c r="GJ385" s="142"/>
      <c r="GP385" s="142"/>
      <c r="GV385" s="142"/>
      <c r="HB385" s="142"/>
      <c r="HH385" s="142"/>
      <c r="HN385" s="142"/>
      <c r="HT385" s="142"/>
      <c r="HZ385" s="142"/>
    </row>
    <row r="386">
      <c r="F386" s="142"/>
      <c r="L386" s="142"/>
      <c r="R386" s="142"/>
      <c r="X386" s="142"/>
      <c r="AD386" s="142"/>
      <c r="AJ386" s="142"/>
      <c r="AP386" s="142"/>
      <c r="AV386" s="142"/>
      <c r="BA386" s="142"/>
      <c r="BH386" s="142"/>
      <c r="BN386" s="142"/>
      <c r="BT386" s="142"/>
      <c r="BZ386" s="142"/>
      <c r="CF386" s="142"/>
      <c r="CL386" s="142"/>
      <c r="CR386" s="142"/>
      <c r="CX386" s="142"/>
      <c r="DD386" s="142"/>
      <c r="DJ386" s="142"/>
      <c r="DP386" s="142"/>
      <c r="DV386" s="142"/>
      <c r="EB386" s="142"/>
      <c r="EH386" s="142"/>
      <c r="EN386" s="142"/>
      <c r="ET386" s="142"/>
      <c r="EZ386" s="142"/>
      <c r="FF386" s="142"/>
      <c r="FL386" s="142"/>
      <c r="FR386" s="142"/>
      <c r="FX386" s="142"/>
      <c r="GD386" s="142"/>
      <c r="GJ386" s="142"/>
      <c r="GP386" s="142"/>
      <c r="GV386" s="142"/>
      <c r="HB386" s="142"/>
      <c r="HH386" s="142"/>
      <c r="HN386" s="142"/>
      <c r="HT386" s="142"/>
      <c r="HZ386" s="142"/>
    </row>
    <row r="387">
      <c r="F387" s="142"/>
      <c r="L387" s="142"/>
      <c r="R387" s="142"/>
      <c r="X387" s="142"/>
      <c r="AD387" s="142"/>
      <c r="AJ387" s="142"/>
      <c r="AP387" s="142"/>
      <c r="AV387" s="142"/>
      <c r="BA387" s="142"/>
      <c r="BH387" s="142"/>
      <c r="BN387" s="142"/>
      <c r="BT387" s="142"/>
      <c r="BZ387" s="142"/>
      <c r="CF387" s="142"/>
      <c r="CL387" s="142"/>
      <c r="CR387" s="142"/>
      <c r="CX387" s="142"/>
      <c r="DD387" s="142"/>
      <c r="DJ387" s="142"/>
      <c r="DP387" s="142"/>
      <c r="DV387" s="142"/>
      <c r="EB387" s="142"/>
      <c r="EH387" s="142"/>
      <c r="EN387" s="142"/>
      <c r="ET387" s="142"/>
      <c r="EZ387" s="142"/>
      <c r="FF387" s="142"/>
      <c r="FL387" s="142"/>
      <c r="FR387" s="142"/>
      <c r="FX387" s="142"/>
      <c r="GD387" s="142"/>
      <c r="GJ387" s="142"/>
      <c r="GP387" s="142"/>
      <c r="GV387" s="142"/>
      <c r="HB387" s="142"/>
      <c r="HH387" s="142"/>
      <c r="HN387" s="142"/>
      <c r="HT387" s="142"/>
      <c r="HZ387" s="142"/>
    </row>
    <row r="388">
      <c r="F388" s="142"/>
      <c r="L388" s="142"/>
      <c r="R388" s="142"/>
      <c r="X388" s="142"/>
      <c r="AD388" s="142"/>
      <c r="AJ388" s="142"/>
      <c r="AP388" s="142"/>
      <c r="AV388" s="142"/>
      <c r="BA388" s="142"/>
      <c r="BH388" s="142"/>
      <c r="BN388" s="142"/>
      <c r="BT388" s="142"/>
      <c r="BZ388" s="142"/>
      <c r="CF388" s="142"/>
      <c r="CL388" s="142"/>
      <c r="CR388" s="142"/>
      <c r="CX388" s="142"/>
      <c r="DD388" s="142"/>
      <c r="DJ388" s="142"/>
      <c r="DP388" s="142"/>
      <c r="DV388" s="142"/>
      <c r="EB388" s="142"/>
      <c r="EH388" s="142"/>
      <c r="EN388" s="142"/>
      <c r="ET388" s="142"/>
      <c r="EZ388" s="142"/>
      <c r="FF388" s="142"/>
      <c r="FL388" s="142"/>
      <c r="FR388" s="142"/>
      <c r="FX388" s="142"/>
      <c r="GD388" s="142"/>
      <c r="GJ388" s="142"/>
      <c r="GP388" s="142"/>
      <c r="GV388" s="142"/>
      <c r="HB388" s="142"/>
      <c r="HH388" s="142"/>
      <c r="HN388" s="142"/>
      <c r="HT388" s="142"/>
      <c r="HZ388" s="142"/>
    </row>
    <row r="389">
      <c r="F389" s="142"/>
      <c r="L389" s="142"/>
      <c r="R389" s="142"/>
      <c r="X389" s="142"/>
      <c r="AD389" s="142"/>
      <c r="AJ389" s="142"/>
      <c r="AP389" s="142"/>
      <c r="AV389" s="142"/>
      <c r="BA389" s="142"/>
      <c r="BH389" s="142"/>
      <c r="BN389" s="142"/>
      <c r="BT389" s="142"/>
      <c r="BZ389" s="142"/>
      <c r="CF389" s="142"/>
      <c r="CL389" s="142"/>
      <c r="CR389" s="142"/>
      <c r="CX389" s="142"/>
      <c r="DD389" s="142"/>
      <c r="DJ389" s="142"/>
      <c r="DP389" s="142"/>
      <c r="DV389" s="142"/>
      <c r="EB389" s="142"/>
      <c r="EH389" s="142"/>
      <c r="EN389" s="142"/>
      <c r="ET389" s="142"/>
      <c r="EZ389" s="142"/>
      <c r="FF389" s="142"/>
      <c r="FL389" s="142"/>
      <c r="FR389" s="142"/>
      <c r="FX389" s="142"/>
      <c r="GD389" s="142"/>
      <c r="GJ389" s="142"/>
      <c r="GP389" s="142"/>
      <c r="GV389" s="142"/>
      <c r="HB389" s="142"/>
      <c r="HH389" s="142"/>
      <c r="HN389" s="142"/>
      <c r="HT389" s="142"/>
      <c r="HZ389" s="142"/>
    </row>
    <row r="390">
      <c r="F390" s="142"/>
      <c r="L390" s="142"/>
      <c r="R390" s="142"/>
      <c r="X390" s="142"/>
      <c r="AD390" s="142"/>
      <c r="AJ390" s="142"/>
      <c r="AP390" s="142"/>
      <c r="AV390" s="142"/>
      <c r="BA390" s="142"/>
      <c r="BH390" s="142"/>
      <c r="BN390" s="142"/>
      <c r="BT390" s="142"/>
      <c r="BZ390" s="142"/>
      <c r="CF390" s="142"/>
      <c r="CL390" s="142"/>
      <c r="CR390" s="142"/>
      <c r="CX390" s="142"/>
      <c r="DD390" s="142"/>
      <c r="DJ390" s="142"/>
      <c r="DP390" s="142"/>
      <c r="DV390" s="142"/>
      <c r="EB390" s="142"/>
      <c r="EH390" s="142"/>
      <c r="EN390" s="142"/>
      <c r="ET390" s="142"/>
      <c r="EZ390" s="142"/>
      <c r="FF390" s="142"/>
      <c r="FL390" s="142"/>
      <c r="FR390" s="142"/>
      <c r="FX390" s="142"/>
      <c r="GD390" s="142"/>
      <c r="GJ390" s="142"/>
      <c r="GP390" s="142"/>
      <c r="GV390" s="142"/>
      <c r="HB390" s="142"/>
      <c r="HH390" s="142"/>
      <c r="HN390" s="142"/>
      <c r="HT390" s="142"/>
      <c r="HZ390" s="142"/>
    </row>
    <row r="391">
      <c r="F391" s="142"/>
      <c r="L391" s="142"/>
      <c r="R391" s="142"/>
      <c r="X391" s="142"/>
      <c r="AD391" s="142"/>
      <c r="AJ391" s="142"/>
      <c r="AP391" s="142"/>
      <c r="AV391" s="142"/>
      <c r="BA391" s="142"/>
      <c r="BH391" s="142"/>
      <c r="BN391" s="142"/>
      <c r="BT391" s="142"/>
      <c r="BZ391" s="142"/>
      <c r="CF391" s="142"/>
      <c r="CL391" s="142"/>
      <c r="CR391" s="142"/>
      <c r="CX391" s="142"/>
      <c r="DD391" s="142"/>
      <c r="DJ391" s="142"/>
      <c r="DP391" s="142"/>
      <c r="DV391" s="142"/>
      <c r="EB391" s="142"/>
      <c r="EH391" s="142"/>
      <c r="EN391" s="142"/>
      <c r="ET391" s="142"/>
      <c r="EZ391" s="142"/>
      <c r="FF391" s="142"/>
      <c r="FL391" s="142"/>
      <c r="FR391" s="142"/>
      <c r="FX391" s="142"/>
      <c r="GD391" s="142"/>
      <c r="GJ391" s="142"/>
      <c r="GP391" s="142"/>
      <c r="GV391" s="142"/>
      <c r="HB391" s="142"/>
      <c r="HH391" s="142"/>
      <c r="HN391" s="142"/>
      <c r="HT391" s="142"/>
      <c r="HZ391" s="142"/>
    </row>
    <row r="392">
      <c r="F392" s="142"/>
      <c r="L392" s="142"/>
      <c r="R392" s="142"/>
      <c r="X392" s="142"/>
      <c r="AD392" s="142"/>
      <c r="AJ392" s="142"/>
      <c r="AP392" s="142"/>
      <c r="AV392" s="142"/>
      <c r="BA392" s="142"/>
      <c r="BH392" s="142"/>
      <c r="BN392" s="142"/>
      <c r="BT392" s="142"/>
      <c r="BZ392" s="142"/>
      <c r="CF392" s="142"/>
      <c r="CL392" s="142"/>
      <c r="CR392" s="142"/>
      <c r="CX392" s="142"/>
      <c r="DD392" s="142"/>
      <c r="DJ392" s="142"/>
      <c r="DP392" s="142"/>
      <c r="DV392" s="142"/>
      <c r="EB392" s="142"/>
      <c r="EH392" s="142"/>
      <c r="EN392" s="142"/>
      <c r="ET392" s="142"/>
      <c r="EZ392" s="142"/>
      <c r="FF392" s="142"/>
      <c r="FL392" s="142"/>
      <c r="FR392" s="142"/>
      <c r="FX392" s="142"/>
      <c r="GD392" s="142"/>
      <c r="GJ392" s="142"/>
      <c r="GP392" s="142"/>
      <c r="GV392" s="142"/>
      <c r="HB392" s="142"/>
      <c r="HH392" s="142"/>
      <c r="HN392" s="142"/>
      <c r="HT392" s="142"/>
      <c r="HZ392" s="142"/>
    </row>
    <row r="393">
      <c r="F393" s="142"/>
      <c r="L393" s="142"/>
      <c r="R393" s="142"/>
      <c r="X393" s="142"/>
      <c r="AD393" s="142"/>
      <c r="AJ393" s="142"/>
      <c r="AP393" s="142"/>
      <c r="AV393" s="142"/>
      <c r="BA393" s="142"/>
      <c r="BH393" s="142"/>
      <c r="BN393" s="142"/>
      <c r="BT393" s="142"/>
      <c r="BZ393" s="142"/>
      <c r="CF393" s="142"/>
      <c r="CL393" s="142"/>
      <c r="CR393" s="142"/>
      <c r="CX393" s="142"/>
      <c r="DD393" s="142"/>
      <c r="DJ393" s="142"/>
      <c r="DP393" s="142"/>
      <c r="DV393" s="142"/>
      <c r="EB393" s="142"/>
      <c r="EH393" s="142"/>
      <c r="EN393" s="142"/>
      <c r="ET393" s="142"/>
      <c r="EZ393" s="142"/>
      <c r="FF393" s="142"/>
      <c r="FL393" s="142"/>
      <c r="FR393" s="142"/>
      <c r="FX393" s="142"/>
      <c r="GD393" s="142"/>
      <c r="GJ393" s="142"/>
      <c r="GP393" s="142"/>
      <c r="GV393" s="142"/>
      <c r="HB393" s="142"/>
      <c r="HH393" s="142"/>
      <c r="HN393" s="142"/>
      <c r="HT393" s="142"/>
      <c r="HZ393" s="142"/>
    </row>
    <row r="394">
      <c r="F394" s="142"/>
      <c r="L394" s="142"/>
      <c r="R394" s="142"/>
      <c r="X394" s="142"/>
      <c r="AD394" s="142"/>
      <c r="AJ394" s="142"/>
      <c r="AP394" s="142"/>
      <c r="AV394" s="142"/>
      <c r="BA394" s="142"/>
      <c r="BH394" s="142"/>
      <c r="BN394" s="142"/>
      <c r="BT394" s="142"/>
      <c r="BZ394" s="142"/>
      <c r="CF394" s="142"/>
      <c r="CL394" s="142"/>
      <c r="CR394" s="142"/>
      <c r="CX394" s="142"/>
      <c r="DD394" s="142"/>
      <c r="DJ394" s="142"/>
      <c r="DP394" s="142"/>
      <c r="DV394" s="142"/>
      <c r="EB394" s="142"/>
      <c r="EH394" s="142"/>
      <c r="EN394" s="142"/>
      <c r="ET394" s="142"/>
      <c r="EZ394" s="142"/>
      <c r="FF394" s="142"/>
      <c r="FL394" s="142"/>
      <c r="FR394" s="142"/>
      <c r="FX394" s="142"/>
      <c r="GD394" s="142"/>
      <c r="GJ394" s="142"/>
      <c r="GP394" s="142"/>
      <c r="GV394" s="142"/>
      <c r="HB394" s="142"/>
      <c r="HH394" s="142"/>
      <c r="HN394" s="142"/>
      <c r="HT394" s="142"/>
      <c r="HZ394" s="142"/>
    </row>
    <row r="395">
      <c r="F395" s="142"/>
      <c r="L395" s="142"/>
      <c r="R395" s="142"/>
      <c r="X395" s="142"/>
      <c r="AD395" s="142"/>
      <c r="AJ395" s="142"/>
      <c r="AP395" s="142"/>
      <c r="AV395" s="142"/>
      <c r="BA395" s="142"/>
      <c r="BH395" s="142"/>
      <c r="BN395" s="142"/>
      <c r="BT395" s="142"/>
      <c r="BZ395" s="142"/>
      <c r="CF395" s="142"/>
      <c r="CL395" s="142"/>
      <c r="CR395" s="142"/>
      <c r="CX395" s="142"/>
      <c r="DD395" s="142"/>
      <c r="DJ395" s="142"/>
      <c r="DP395" s="142"/>
      <c r="DV395" s="142"/>
      <c r="EB395" s="142"/>
      <c r="EH395" s="142"/>
      <c r="EN395" s="142"/>
      <c r="ET395" s="142"/>
      <c r="EZ395" s="142"/>
      <c r="FF395" s="142"/>
      <c r="FL395" s="142"/>
      <c r="FR395" s="142"/>
      <c r="FX395" s="142"/>
      <c r="GD395" s="142"/>
      <c r="GJ395" s="142"/>
      <c r="GP395" s="142"/>
      <c r="GV395" s="142"/>
      <c r="HB395" s="142"/>
      <c r="HH395" s="142"/>
      <c r="HN395" s="142"/>
      <c r="HT395" s="142"/>
      <c r="HZ395" s="142"/>
    </row>
    <row r="396">
      <c r="F396" s="142"/>
      <c r="L396" s="142"/>
      <c r="R396" s="142"/>
      <c r="X396" s="142"/>
      <c r="AD396" s="142"/>
      <c r="AJ396" s="142"/>
      <c r="AP396" s="142"/>
      <c r="AV396" s="142"/>
      <c r="BA396" s="142"/>
      <c r="BH396" s="142"/>
      <c r="BN396" s="142"/>
      <c r="BT396" s="142"/>
      <c r="BZ396" s="142"/>
      <c r="CF396" s="142"/>
      <c r="CL396" s="142"/>
      <c r="CR396" s="142"/>
      <c r="CX396" s="142"/>
      <c r="DD396" s="142"/>
      <c r="DJ396" s="142"/>
      <c r="DP396" s="142"/>
      <c r="DV396" s="142"/>
      <c r="EB396" s="142"/>
      <c r="EH396" s="142"/>
      <c r="EN396" s="142"/>
      <c r="ET396" s="142"/>
      <c r="EZ396" s="142"/>
      <c r="FF396" s="142"/>
      <c r="FL396" s="142"/>
      <c r="FR396" s="142"/>
      <c r="FX396" s="142"/>
      <c r="GD396" s="142"/>
      <c r="GJ396" s="142"/>
      <c r="GP396" s="142"/>
      <c r="GV396" s="142"/>
      <c r="HB396" s="142"/>
      <c r="HH396" s="142"/>
      <c r="HN396" s="142"/>
      <c r="HT396" s="142"/>
      <c r="HZ396" s="142"/>
    </row>
    <row r="397">
      <c r="F397" s="142"/>
      <c r="L397" s="142"/>
      <c r="R397" s="142"/>
      <c r="X397" s="142"/>
      <c r="AD397" s="142"/>
      <c r="AJ397" s="142"/>
      <c r="AP397" s="142"/>
      <c r="AV397" s="142"/>
      <c r="BA397" s="142"/>
      <c r="BH397" s="142"/>
      <c r="BN397" s="142"/>
      <c r="BT397" s="142"/>
      <c r="BZ397" s="142"/>
      <c r="CF397" s="142"/>
      <c r="CL397" s="142"/>
      <c r="CR397" s="142"/>
      <c r="CX397" s="142"/>
      <c r="DD397" s="142"/>
      <c r="DJ397" s="142"/>
      <c r="DP397" s="142"/>
      <c r="DV397" s="142"/>
      <c r="EB397" s="142"/>
      <c r="EH397" s="142"/>
      <c r="EN397" s="142"/>
      <c r="ET397" s="142"/>
      <c r="EZ397" s="142"/>
      <c r="FF397" s="142"/>
      <c r="FL397" s="142"/>
      <c r="FR397" s="142"/>
      <c r="FX397" s="142"/>
      <c r="GD397" s="142"/>
      <c r="GJ397" s="142"/>
      <c r="GP397" s="142"/>
      <c r="GV397" s="142"/>
      <c r="HB397" s="142"/>
      <c r="HH397" s="142"/>
      <c r="HN397" s="142"/>
      <c r="HT397" s="142"/>
      <c r="HZ397" s="142"/>
    </row>
    <row r="398">
      <c r="F398" s="142"/>
      <c r="L398" s="142"/>
      <c r="R398" s="142"/>
      <c r="X398" s="142"/>
      <c r="AD398" s="142"/>
      <c r="AJ398" s="142"/>
      <c r="AP398" s="142"/>
      <c r="AV398" s="142"/>
      <c r="BA398" s="142"/>
      <c r="BH398" s="142"/>
      <c r="BN398" s="142"/>
      <c r="BT398" s="142"/>
      <c r="BZ398" s="142"/>
      <c r="CF398" s="142"/>
      <c r="CL398" s="142"/>
      <c r="CR398" s="142"/>
      <c r="CX398" s="142"/>
      <c r="DD398" s="142"/>
      <c r="DJ398" s="142"/>
      <c r="DP398" s="142"/>
      <c r="DV398" s="142"/>
      <c r="EB398" s="142"/>
      <c r="EH398" s="142"/>
      <c r="EN398" s="142"/>
      <c r="ET398" s="142"/>
      <c r="EZ398" s="142"/>
      <c r="FF398" s="142"/>
      <c r="FL398" s="142"/>
      <c r="FR398" s="142"/>
      <c r="FX398" s="142"/>
      <c r="GD398" s="142"/>
      <c r="GJ398" s="142"/>
      <c r="GP398" s="142"/>
      <c r="GV398" s="142"/>
      <c r="HB398" s="142"/>
      <c r="HH398" s="142"/>
      <c r="HN398" s="142"/>
      <c r="HT398" s="142"/>
      <c r="HZ398" s="142"/>
    </row>
    <row r="399">
      <c r="F399" s="142"/>
      <c r="L399" s="142"/>
      <c r="R399" s="142"/>
      <c r="X399" s="142"/>
      <c r="AD399" s="142"/>
      <c r="AJ399" s="142"/>
      <c r="AP399" s="142"/>
      <c r="AV399" s="142"/>
      <c r="BA399" s="142"/>
      <c r="BH399" s="142"/>
      <c r="BN399" s="142"/>
      <c r="BT399" s="142"/>
      <c r="BZ399" s="142"/>
      <c r="CF399" s="142"/>
      <c r="CL399" s="142"/>
      <c r="CR399" s="142"/>
      <c r="CX399" s="142"/>
      <c r="DD399" s="142"/>
      <c r="DJ399" s="142"/>
      <c r="DP399" s="142"/>
      <c r="DV399" s="142"/>
      <c r="EB399" s="142"/>
      <c r="EH399" s="142"/>
      <c r="EN399" s="142"/>
      <c r="ET399" s="142"/>
      <c r="EZ399" s="142"/>
      <c r="FF399" s="142"/>
      <c r="FL399" s="142"/>
      <c r="FR399" s="142"/>
      <c r="FX399" s="142"/>
      <c r="GD399" s="142"/>
      <c r="GJ399" s="142"/>
      <c r="GP399" s="142"/>
      <c r="GV399" s="142"/>
      <c r="HB399" s="142"/>
      <c r="HH399" s="142"/>
      <c r="HN399" s="142"/>
      <c r="HT399" s="142"/>
      <c r="HZ399" s="142"/>
    </row>
    <row r="400">
      <c r="F400" s="142"/>
      <c r="L400" s="142"/>
      <c r="R400" s="142"/>
      <c r="X400" s="142"/>
      <c r="AD400" s="142"/>
      <c r="AJ400" s="142"/>
      <c r="AP400" s="142"/>
      <c r="AV400" s="142"/>
      <c r="BA400" s="142"/>
      <c r="BH400" s="142"/>
      <c r="BN400" s="142"/>
      <c r="BT400" s="142"/>
      <c r="BZ400" s="142"/>
      <c r="CF400" s="142"/>
      <c r="CL400" s="142"/>
      <c r="CR400" s="142"/>
      <c r="CX400" s="142"/>
      <c r="DD400" s="142"/>
      <c r="DJ400" s="142"/>
      <c r="DP400" s="142"/>
      <c r="DV400" s="142"/>
      <c r="EB400" s="142"/>
      <c r="EH400" s="142"/>
      <c r="EN400" s="142"/>
      <c r="ET400" s="142"/>
      <c r="EZ400" s="142"/>
      <c r="FF400" s="142"/>
      <c r="FL400" s="142"/>
      <c r="FR400" s="142"/>
      <c r="FX400" s="142"/>
      <c r="GD400" s="142"/>
      <c r="GJ400" s="142"/>
      <c r="GP400" s="142"/>
      <c r="GV400" s="142"/>
      <c r="HB400" s="142"/>
      <c r="HH400" s="142"/>
      <c r="HN400" s="142"/>
      <c r="HT400" s="142"/>
      <c r="HZ400" s="142"/>
    </row>
    <row r="401">
      <c r="F401" s="142"/>
      <c r="L401" s="142"/>
      <c r="R401" s="142"/>
      <c r="X401" s="142"/>
      <c r="AD401" s="142"/>
      <c r="AJ401" s="142"/>
      <c r="AP401" s="142"/>
      <c r="AV401" s="142"/>
      <c r="BA401" s="142"/>
      <c r="BH401" s="142"/>
      <c r="BN401" s="142"/>
      <c r="BT401" s="142"/>
      <c r="BZ401" s="142"/>
      <c r="CF401" s="142"/>
      <c r="CL401" s="142"/>
      <c r="CR401" s="142"/>
      <c r="CX401" s="142"/>
      <c r="DD401" s="142"/>
      <c r="DJ401" s="142"/>
      <c r="DP401" s="142"/>
      <c r="DV401" s="142"/>
      <c r="EB401" s="142"/>
      <c r="EH401" s="142"/>
      <c r="EN401" s="142"/>
      <c r="ET401" s="142"/>
      <c r="EZ401" s="142"/>
      <c r="FF401" s="142"/>
      <c r="FL401" s="142"/>
      <c r="FR401" s="142"/>
      <c r="FX401" s="142"/>
      <c r="GD401" s="142"/>
      <c r="GJ401" s="142"/>
      <c r="GP401" s="142"/>
      <c r="GV401" s="142"/>
      <c r="HB401" s="142"/>
      <c r="HH401" s="142"/>
      <c r="HN401" s="142"/>
      <c r="HT401" s="142"/>
      <c r="HZ401" s="142"/>
    </row>
    <row r="402">
      <c r="F402" s="142"/>
      <c r="L402" s="142"/>
      <c r="R402" s="142"/>
      <c r="X402" s="142"/>
      <c r="AD402" s="142"/>
      <c r="AJ402" s="142"/>
      <c r="AP402" s="142"/>
      <c r="AV402" s="142"/>
      <c r="BA402" s="142"/>
      <c r="BH402" s="142"/>
      <c r="BN402" s="142"/>
      <c r="BT402" s="142"/>
      <c r="BZ402" s="142"/>
      <c r="CF402" s="142"/>
      <c r="CL402" s="142"/>
      <c r="CR402" s="142"/>
      <c r="CX402" s="142"/>
      <c r="DD402" s="142"/>
      <c r="DJ402" s="142"/>
      <c r="DP402" s="142"/>
      <c r="DV402" s="142"/>
      <c r="EB402" s="142"/>
      <c r="EH402" s="142"/>
      <c r="EN402" s="142"/>
      <c r="ET402" s="142"/>
      <c r="EZ402" s="142"/>
      <c r="FF402" s="142"/>
      <c r="FL402" s="142"/>
      <c r="FR402" s="142"/>
      <c r="FX402" s="142"/>
      <c r="GD402" s="142"/>
      <c r="GJ402" s="142"/>
      <c r="GP402" s="142"/>
      <c r="GV402" s="142"/>
      <c r="HB402" s="142"/>
      <c r="HH402" s="142"/>
      <c r="HN402" s="142"/>
      <c r="HT402" s="142"/>
      <c r="HZ402" s="142"/>
    </row>
    <row r="403">
      <c r="F403" s="142"/>
      <c r="L403" s="142"/>
      <c r="R403" s="142"/>
      <c r="X403" s="142"/>
      <c r="AD403" s="142"/>
      <c r="AJ403" s="142"/>
      <c r="AP403" s="142"/>
      <c r="AV403" s="142"/>
      <c r="BA403" s="142"/>
      <c r="BH403" s="142"/>
      <c r="BN403" s="142"/>
      <c r="BT403" s="142"/>
      <c r="BZ403" s="142"/>
      <c r="CF403" s="142"/>
      <c r="CL403" s="142"/>
      <c r="CR403" s="142"/>
      <c r="CX403" s="142"/>
      <c r="DD403" s="142"/>
      <c r="DJ403" s="142"/>
      <c r="DP403" s="142"/>
      <c r="DV403" s="142"/>
      <c r="EB403" s="142"/>
      <c r="EH403" s="142"/>
      <c r="EN403" s="142"/>
      <c r="ET403" s="142"/>
      <c r="EZ403" s="142"/>
      <c r="FF403" s="142"/>
      <c r="FL403" s="142"/>
      <c r="FR403" s="142"/>
      <c r="FX403" s="142"/>
      <c r="GD403" s="142"/>
      <c r="GJ403" s="142"/>
      <c r="GP403" s="142"/>
      <c r="GV403" s="142"/>
      <c r="HB403" s="142"/>
      <c r="HH403" s="142"/>
      <c r="HN403" s="142"/>
      <c r="HT403" s="142"/>
      <c r="HZ403" s="142"/>
    </row>
    <row r="404">
      <c r="F404" s="142"/>
      <c r="L404" s="142"/>
      <c r="R404" s="142"/>
      <c r="X404" s="142"/>
      <c r="AD404" s="142"/>
      <c r="AJ404" s="142"/>
      <c r="AP404" s="142"/>
      <c r="AV404" s="142"/>
      <c r="BA404" s="142"/>
      <c r="BH404" s="142"/>
      <c r="BN404" s="142"/>
      <c r="BT404" s="142"/>
      <c r="BZ404" s="142"/>
      <c r="CF404" s="142"/>
      <c r="CL404" s="142"/>
      <c r="CR404" s="142"/>
      <c r="CX404" s="142"/>
      <c r="DD404" s="142"/>
      <c r="DJ404" s="142"/>
      <c r="DP404" s="142"/>
      <c r="DV404" s="142"/>
      <c r="EB404" s="142"/>
      <c r="EH404" s="142"/>
      <c r="EN404" s="142"/>
      <c r="ET404" s="142"/>
      <c r="EZ404" s="142"/>
      <c r="FF404" s="142"/>
      <c r="FL404" s="142"/>
      <c r="FR404" s="142"/>
      <c r="FX404" s="142"/>
      <c r="GD404" s="142"/>
      <c r="GJ404" s="142"/>
      <c r="GP404" s="142"/>
      <c r="GV404" s="142"/>
      <c r="HB404" s="142"/>
      <c r="HH404" s="142"/>
      <c r="HN404" s="142"/>
      <c r="HT404" s="142"/>
      <c r="HZ404" s="142"/>
    </row>
    <row r="405">
      <c r="F405" s="142"/>
      <c r="L405" s="142"/>
      <c r="R405" s="142"/>
      <c r="X405" s="142"/>
      <c r="AD405" s="142"/>
      <c r="AJ405" s="142"/>
      <c r="AP405" s="142"/>
      <c r="AV405" s="142"/>
      <c r="BA405" s="142"/>
      <c r="BH405" s="142"/>
      <c r="BN405" s="142"/>
      <c r="BT405" s="142"/>
      <c r="BZ405" s="142"/>
      <c r="CF405" s="142"/>
      <c r="CL405" s="142"/>
      <c r="CR405" s="142"/>
      <c r="CX405" s="142"/>
      <c r="DD405" s="142"/>
      <c r="DJ405" s="142"/>
      <c r="DP405" s="142"/>
      <c r="DV405" s="142"/>
      <c r="EB405" s="142"/>
      <c r="EH405" s="142"/>
      <c r="EN405" s="142"/>
      <c r="ET405" s="142"/>
      <c r="EZ405" s="142"/>
      <c r="FF405" s="142"/>
      <c r="FL405" s="142"/>
      <c r="FR405" s="142"/>
      <c r="FX405" s="142"/>
      <c r="GD405" s="142"/>
      <c r="GJ405" s="142"/>
      <c r="GP405" s="142"/>
      <c r="GV405" s="142"/>
      <c r="HB405" s="142"/>
      <c r="HH405" s="142"/>
      <c r="HN405" s="142"/>
      <c r="HT405" s="142"/>
      <c r="HZ405" s="142"/>
    </row>
    <row r="406">
      <c r="F406" s="142"/>
      <c r="L406" s="142"/>
      <c r="R406" s="142"/>
      <c r="X406" s="142"/>
      <c r="AD406" s="142"/>
      <c r="AJ406" s="142"/>
      <c r="AP406" s="142"/>
      <c r="AV406" s="142"/>
      <c r="BA406" s="142"/>
      <c r="BH406" s="142"/>
      <c r="BN406" s="142"/>
      <c r="BT406" s="142"/>
      <c r="BZ406" s="142"/>
      <c r="CF406" s="142"/>
      <c r="CL406" s="142"/>
      <c r="CR406" s="142"/>
      <c r="CX406" s="142"/>
      <c r="DD406" s="142"/>
      <c r="DJ406" s="142"/>
      <c r="DP406" s="142"/>
      <c r="DV406" s="142"/>
      <c r="EB406" s="142"/>
      <c r="EH406" s="142"/>
      <c r="EN406" s="142"/>
      <c r="ET406" s="142"/>
      <c r="EZ406" s="142"/>
      <c r="FF406" s="142"/>
      <c r="FL406" s="142"/>
      <c r="FR406" s="142"/>
      <c r="FX406" s="142"/>
      <c r="GD406" s="142"/>
      <c r="GJ406" s="142"/>
      <c r="GP406" s="142"/>
      <c r="GV406" s="142"/>
      <c r="HB406" s="142"/>
      <c r="HH406" s="142"/>
      <c r="HN406" s="142"/>
      <c r="HT406" s="142"/>
      <c r="HZ406" s="142"/>
    </row>
    <row r="407">
      <c r="F407" s="142"/>
      <c r="L407" s="142"/>
      <c r="R407" s="142"/>
      <c r="X407" s="142"/>
      <c r="AD407" s="142"/>
      <c r="AJ407" s="142"/>
      <c r="AP407" s="142"/>
      <c r="AV407" s="142"/>
      <c r="BA407" s="142"/>
      <c r="BH407" s="142"/>
      <c r="BN407" s="142"/>
      <c r="BT407" s="142"/>
      <c r="BZ407" s="142"/>
      <c r="CF407" s="142"/>
      <c r="CL407" s="142"/>
      <c r="CR407" s="142"/>
      <c r="CX407" s="142"/>
      <c r="DD407" s="142"/>
      <c r="DJ407" s="142"/>
      <c r="DP407" s="142"/>
      <c r="DV407" s="142"/>
      <c r="EB407" s="142"/>
      <c r="EH407" s="142"/>
      <c r="EN407" s="142"/>
      <c r="ET407" s="142"/>
      <c r="EZ407" s="142"/>
      <c r="FF407" s="142"/>
      <c r="FL407" s="142"/>
      <c r="FR407" s="142"/>
      <c r="FX407" s="142"/>
      <c r="GD407" s="142"/>
      <c r="GJ407" s="142"/>
      <c r="GP407" s="142"/>
      <c r="GV407" s="142"/>
      <c r="HB407" s="142"/>
      <c r="HH407" s="142"/>
      <c r="HN407" s="142"/>
      <c r="HT407" s="142"/>
      <c r="HZ407" s="142"/>
    </row>
    <row r="408">
      <c r="F408" s="142"/>
      <c r="L408" s="142"/>
      <c r="R408" s="142"/>
      <c r="X408" s="142"/>
      <c r="AD408" s="142"/>
      <c r="AJ408" s="142"/>
      <c r="AP408" s="142"/>
      <c r="AV408" s="142"/>
      <c r="BA408" s="142"/>
      <c r="BH408" s="142"/>
      <c r="BN408" s="142"/>
      <c r="BT408" s="142"/>
      <c r="BZ408" s="142"/>
      <c r="CF408" s="142"/>
      <c r="CL408" s="142"/>
      <c r="CR408" s="142"/>
      <c r="CX408" s="142"/>
      <c r="DD408" s="142"/>
      <c r="DJ408" s="142"/>
      <c r="DP408" s="142"/>
      <c r="DV408" s="142"/>
      <c r="EB408" s="142"/>
      <c r="EH408" s="142"/>
      <c r="EN408" s="142"/>
      <c r="ET408" s="142"/>
      <c r="EZ408" s="142"/>
      <c r="FF408" s="142"/>
      <c r="FL408" s="142"/>
      <c r="FR408" s="142"/>
      <c r="FX408" s="142"/>
      <c r="GD408" s="142"/>
      <c r="GJ408" s="142"/>
      <c r="GP408" s="142"/>
      <c r="GV408" s="142"/>
      <c r="HB408" s="142"/>
      <c r="HH408" s="142"/>
      <c r="HN408" s="142"/>
      <c r="HT408" s="142"/>
      <c r="HZ408" s="142"/>
    </row>
    <row r="409">
      <c r="F409" s="142"/>
      <c r="L409" s="142"/>
      <c r="R409" s="142"/>
      <c r="X409" s="142"/>
      <c r="AD409" s="142"/>
      <c r="AJ409" s="142"/>
      <c r="AP409" s="142"/>
      <c r="AV409" s="142"/>
      <c r="BA409" s="142"/>
      <c r="BH409" s="142"/>
      <c r="BN409" s="142"/>
      <c r="BT409" s="142"/>
      <c r="BZ409" s="142"/>
      <c r="CF409" s="142"/>
      <c r="CL409" s="142"/>
      <c r="CR409" s="142"/>
      <c r="CX409" s="142"/>
      <c r="DD409" s="142"/>
      <c r="DJ409" s="142"/>
      <c r="DP409" s="142"/>
      <c r="DV409" s="142"/>
      <c r="EB409" s="142"/>
      <c r="EH409" s="142"/>
      <c r="EN409" s="142"/>
      <c r="ET409" s="142"/>
      <c r="EZ409" s="142"/>
      <c r="FF409" s="142"/>
      <c r="FL409" s="142"/>
      <c r="FR409" s="142"/>
      <c r="FX409" s="142"/>
      <c r="GD409" s="142"/>
      <c r="GJ409" s="142"/>
      <c r="GP409" s="142"/>
      <c r="GV409" s="142"/>
      <c r="HB409" s="142"/>
      <c r="HH409" s="142"/>
      <c r="HN409" s="142"/>
      <c r="HT409" s="142"/>
      <c r="HZ409" s="142"/>
    </row>
    <row r="410">
      <c r="F410" s="142"/>
      <c r="L410" s="142"/>
      <c r="R410" s="142"/>
      <c r="X410" s="142"/>
      <c r="AD410" s="142"/>
      <c r="AJ410" s="142"/>
      <c r="AP410" s="142"/>
      <c r="AV410" s="142"/>
      <c r="BA410" s="142"/>
      <c r="BH410" s="142"/>
      <c r="BN410" s="142"/>
      <c r="BT410" s="142"/>
      <c r="BZ410" s="142"/>
      <c r="CF410" s="142"/>
      <c r="CL410" s="142"/>
      <c r="CR410" s="142"/>
      <c r="CX410" s="142"/>
      <c r="DD410" s="142"/>
      <c r="DJ410" s="142"/>
      <c r="DP410" s="142"/>
      <c r="DV410" s="142"/>
      <c r="EB410" s="142"/>
      <c r="EH410" s="142"/>
      <c r="EN410" s="142"/>
      <c r="ET410" s="142"/>
      <c r="EZ410" s="142"/>
      <c r="FF410" s="142"/>
      <c r="FL410" s="142"/>
      <c r="FR410" s="142"/>
      <c r="FX410" s="142"/>
      <c r="GD410" s="142"/>
      <c r="GJ410" s="142"/>
      <c r="GP410" s="142"/>
      <c r="GV410" s="142"/>
      <c r="HB410" s="142"/>
      <c r="HH410" s="142"/>
      <c r="HN410" s="142"/>
      <c r="HT410" s="142"/>
      <c r="HZ410" s="142"/>
    </row>
    <row r="411">
      <c r="F411" s="142"/>
      <c r="L411" s="142"/>
      <c r="R411" s="142"/>
      <c r="X411" s="142"/>
      <c r="AD411" s="142"/>
      <c r="AJ411" s="142"/>
      <c r="AP411" s="142"/>
      <c r="AV411" s="142"/>
      <c r="BA411" s="142"/>
      <c r="BH411" s="142"/>
      <c r="BN411" s="142"/>
      <c r="BT411" s="142"/>
      <c r="BZ411" s="142"/>
      <c r="CF411" s="142"/>
      <c r="CL411" s="142"/>
      <c r="CR411" s="142"/>
      <c r="CX411" s="142"/>
      <c r="DD411" s="142"/>
      <c r="DJ411" s="142"/>
      <c r="DP411" s="142"/>
      <c r="DV411" s="142"/>
      <c r="EB411" s="142"/>
      <c r="EH411" s="142"/>
      <c r="EN411" s="142"/>
      <c r="ET411" s="142"/>
      <c r="EZ411" s="142"/>
      <c r="FF411" s="142"/>
      <c r="FL411" s="142"/>
      <c r="FR411" s="142"/>
      <c r="FX411" s="142"/>
      <c r="GD411" s="142"/>
      <c r="GJ411" s="142"/>
      <c r="GP411" s="142"/>
      <c r="GV411" s="142"/>
      <c r="HB411" s="142"/>
      <c r="HH411" s="142"/>
      <c r="HN411" s="142"/>
      <c r="HT411" s="142"/>
      <c r="HZ411" s="142"/>
    </row>
    <row r="412">
      <c r="F412" s="142"/>
      <c r="L412" s="142"/>
      <c r="R412" s="142"/>
      <c r="X412" s="142"/>
      <c r="AD412" s="142"/>
      <c r="AJ412" s="142"/>
      <c r="AP412" s="142"/>
      <c r="AV412" s="142"/>
      <c r="BA412" s="142"/>
      <c r="BH412" s="142"/>
      <c r="BN412" s="142"/>
      <c r="BT412" s="142"/>
      <c r="BZ412" s="142"/>
      <c r="CF412" s="142"/>
      <c r="CL412" s="142"/>
      <c r="CR412" s="142"/>
      <c r="CX412" s="142"/>
      <c r="DD412" s="142"/>
      <c r="DJ412" s="142"/>
      <c r="DP412" s="142"/>
      <c r="DV412" s="142"/>
      <c r="EB412" s="142"/>
      <c r="EH412" s="142"/>
      <c r="EN412" s="142"/>
      <c r="ET412" s="142"/>
      <c r="EZ412" s="142"/>
      <c r="FF412" s="142"/>
      <c r="FL412" s="142"/>
      <c r="FR412" s="142"/>
      <c r="FX412" s="142"/>
      <c r="GD412" s="142"/>
      <c r="GJ412" s="142"/>
      <c r="GP412" s="142"/>
      <c r="GV412" s="142"/>
      <c r="HB412" s="142"/>
      <c r="HH412" s="142"/>
      <c r="HN412" s="142"/>
      <c r="HT412" s="142"/>
      <c r="HZ412" s="142"/>
    </row>
    <row r="413">
      <c r="F413" s="142"/>
      <c r="L413" s="142"/>
      <c r="R413" s="142"/>
      <c r="X413" s="142"/>
      <c r="AD413" s="142"/>
      <c r="AJ413" s="142"/>
      <c r="AP413" s="142"/>
      <c r="AV413" s="142"/>
      <c r="BA413" s="142"/>
      <c r="BH413" s="142"/>
      <c r="BN413" s="142"/>
      <c r="BT413" s="142"/>
      <c r="BZ413" s="142"/>
      <c r="CF413" s="142"/>
      <c r="CL413" s="142"/>
      <c r="CR413" s="142"/>
      <c r="CX413" s="142"/>
      <c r="DD413" s="142"/>
      <c r="DJ413" s="142"/>
      <c r="DP413" s="142"/>
      <c r="DV413" s="142"/>
      <c r="EB413" s="142"/>
      <c r="EH413" s="142"/>
      <c r="EN413" s="142"/>
      <c r="ET413" s="142"/>
      <c r="EZ413" s="142"/>
      <c r="FF413" s="142"/>
      <c r="FL413" s="142"/>
      <c r="FR413" s="142"/>
      <c r="FX413" s="142"/>
      <c r="GD413" s="142"/>
      <c r="GJ413" s="142"/>
      <c r="GP413" s="142"/>
      <c r="GV413" s="142"/>
      <c r="HB413" s="142"/>
      <c r="HH413" s="142"/>
      <c r="HN413" s="142"/>
      <c r="HT413" s="142"/>
      <c r="HZ413" s="142"/>
    </row>
    <row r="414">
      <c r="F414" s="142"/>
      <c r="L414" s="142"/>
      <c r="R414" s="142"/>
      <c r="X414" s="142"/>
      <c r="AD414" s="142"/>
      <c r="AJ414" s="142"/>
      <c r="AP414" s="142"/>
      <c r="AV414" s="142"/>
      <c r="BA414" s="142"/>
      <c r="BH414" s="142"/>
      <c r="BN414" s="142"/>
      <c r="BT414" s="142"/>
      <c r="BZ414" s="142"/>
      <c r="CF414" s="142"/>
      <c r="CL414" s="142"/>
      <c r="CR414" s="142"/>
      <c r="CX414" s="142"/>
      <c r="DD414" s="142"/>
      <c r="DJ414" s="142"/>
      <c r="DP414" s="142"/>
      <c r="DV414" s="142"/>
      <c r="EB414" s="142"/>
      <c r="EH414" s="142"/>
      <c r="EN414" s="142"/>
      <c r="ET414" s="142"/>
      <c r="EZ414" s="142"/>
      <c r="FF414" s="142"/>
      <c r="FL414" s="142"/>
      <c r="FR414" s="142"/>
      <c r="FX414" s="142"/>
      <c r="GD414" s="142"/>
      <c r="GJ414" s="142"/>
      <c r="GP414" s="142"/>
      <c r="GV414" s="142"/>
      <c r="HB414" s="142"/>
      <c r="HH414" s="142"/>
      <c r="HN414" s="142"/>
      <c r="HT414" s="142"/>
      <c r="HZ414" s="142"/>
    </row>
    <row r="415">
      <c r="F415" s="142"/>
      <c r="L415" s="142"/>
      <c r="R415" s="142"/>
      <c r="X415" s="142"/>
      <c r="AD415" s="142"/>
      <c r="AJ415" s="142"/>
      <c r="AP415" s="142"/>
      <c r="AV415" s="142"/>
      <c r="BA415" s="142"/>
      <c r="BH415" s="142"/>
      <c r="BN415" s="142"/>
      <c r="BT415" s="142"/>
      <c r="BZ415" s="142"/>
      <c r="CF415" s="142"/>
      <c r="CL415" s="142"/>
      <c r="CR415" s="142"/>
      <c r="CX415" s="142"/>
      <c r="DD415" s="142"/>
      <c r="DJ415" s="142"/>
      <c r="DP415" s="142"/>
      <c r="DV415" s="142"/>
      <c r="EB415" s="142"/>
      <c r="EH415" s="142"/>
      <c r="EN415" s="142"/>
      <c r="ET415" s="142"/>
      <c r="EZ415" s="142"/>
      <c r="FF415" s="142"/>
      <c r="FL415" s="142"/>
      <c r="FR415" s="142"/>
      <c r="FX415" s="142"/>
      <c r="GD415" s="142"/>
      <c r="GJ415" s="142"/>
      <c r="GP415" s="142"/>
      <c r="GV415" s="142"/>
      <c r="HB415" s="142"/>
      <c r="HH415" s="142"/>
      <c r="HN415" s="142"/>
      <c r="HT415" s="142"/>
      <c r="HZ415" s="142"/>
    </row>
    <row r="416">
      <c r="F416" s="142"/>
      <c r="L416" s="142"/>
      <c r="R416" s="142"/>
      <c r="X416" s="142"/>
      <c r="AD416" s="142"/>
      <c r="AJ416" s="142"/>
      <c r="AP416" s="142"/>
      <c r="AV416" s="142"/>
      <c r="BA416" s="142"/>
      <c r="BH416" s="142"/>
      <c r="BN416" s="142"/>
      <c r="BT416" s="142"/>
      <c r="BZ416" s="142"/>
      <c r="CF416" s="142"/>
      <c r="CL416" s="142"/>
      <c r="CR416" s="142"/>
      <c r="CX416" s="142"/>
      <c r="DD416" s="142"/>
      <c r="DJ416" s="142"/>
      <c r="DP416" s="142"/>
      <c r="DV416" s="142"/>
      <c r="EB416" s="142"/>
      <c r="EH416" s="142"/>
      <c r="EN416" s="142"/>
      <c r="ET416" s="142"/>
      <c r="EZ416" s="142"/>
      <c r="FF416" s="142"/>
      <c r="FL416" s="142"/>
      <c r="FR416" s="142"/>
      <c r="FX416" s="142"/>
      <c r="GD416" s="142"/>
      <c r="GJ416" s="142"/>
      <c r="GP416" s="142"/>
      <c r="GV416" s="142"/>
      <c r="HB416" s="142"/>
      <c r="HH416" s="142"/>
      <c r="HN416" s="142"/>
      <c r="HT416" s="142"/>
      <c r="HZ416" s="142"/>
    </row>
    <row r="417">
      <c r="F417" s="142"/>
      <c r="L417" s="142"/>
      <c r="R417" s="142"/>
      <c r="X417" s="142"/>
      <c r="AD417" s="142"/>
      <c r="AJ417" s="142"/>
      <c r="AP417" s="142"/>
      <c r="AV417" s="142"/>
      <c r="BA417" s="142"/>
      <c r="BH417" s="142"/>
      <c r="BN417" s="142"/>
      <c r="BT417" s="142"/>
      <c r="BZ417" s="142"/>
      <c r="CF417" s="142"/>
      <c r="CL417" s="142"/>
      <c r="CR417" s="142"/>
      <c r="CX417" s="142"/>
      <c r="DD417" s="142"/>
      <c r="DJ417" s="142"/>
      <c r="DP417" s="142"/>
      <c r="DV417" s="142"/>
      <c r="EB417" s="142"/>
      <c r="EH417" s="142"/>
      <c r="EN417" s="142"/>
      <c r="ET417" s="142"/>
      <c r="EZ417" s="142"/>
      <c r="FF417" s="142"/>
      <c r="FL417" s="142"/>
      <c r="FR417" s="142"/>
      <c r="FX417" s="142"/>
      <c r="GD417" s="142"/>
      <c r="GJ417" s="142"/>
      <c r="GP417" s="142"/>
      <c r="GV417" s="142"/>
      <c r="HB417" s="142"/>
      <c r="HH417" s="142"/>
      <c r="HN417" s="142"/>
      <c r="HT417" s="142"/>
      <c r="HZ417" s="142"/>
    </row>
    <row r="418">
      <c r="F418" s="142"/>
      <c r="L418" s="142"/>
      <c r="R418" s="142"/>
      <c r="X418" s="142"/>
      <c r="AD418" s="142"/>
      <c r="AJ418" s="142"/>
      <c r="AP418" s="142"/>
      <c r="AV418" s="142"/>
      <c r="BA418" s="142"/>
      <c r="BH418" s="142"/>
      <c r="BN418" s="142"/>
      <c r="BT418" s="142"/>
      <c r="BZ418" s="142"/>
      <c r="CF418" s="142"/>
      <c r="CL418" s="142"/>
      <c r="CR418" s="142"/>
      <c r="CX418" s="142"/>
      <c r="DD418" s="142"/>
      <c r="DJ418" s="142"/>
      <c r="DP418" s="142"/>
      <c r="DV418" s="142"/>
      <c r="EB418" s="142"/>
      <c r="EH418" s="142"/>
      <c r="EN418" s="142"/>
      <c r="ET418" s="142"/>
      <c r="EZ418" s="142"/>
      <c r="FF418" s="142"/>
      <c r="FL418" s="142"/>
      <c r="FR418" s="142"/>
      <c r="FX418" s="142"/>
      <c r="GD418" s="142"/>
      <c r="GJ418" s="142"/>
      <c r="GP418" s="142"/>
      <c r="GV418" s="142"/>
      <c r="HB418" s="142"/>
      <c r="HH418" s="142"/>
      <c r="HN418" s="142"/>
      <c r="HT418" s="142"/>
      <c r="HZ418" s="142"/>
    </row>
    <row r="419">
      <c r="F419" s="142"/>
      <c r="L419" s="142"/>
      <c r="R419" s="142"/>
      <c r="X419" s="142"/>
      <c r="AD419" s="142"/>
      <c r="AJ419" s="142"/>
      <c r="AP419" s="142"/>
      <c r="AV419" s="142"/>
      <c r="BA419" s="142"/>
      <c r="BH419" s="142"/>
      <c r="BN419" s="142"/>
      <c r="BT419" s="142"/>
      <c r="BZ419" s="142"/>
      <c r="CF419" s="142"/>
      <c r="CL419" s="142"/>
      <c r="CR419" s="142"/>
      <c r="CX419" s="142"/>
      <c r="DD419" s="142"/>
      <c r="DJ419" s="142"/>
      <c r="DP419" s="142"/>
      <c r="DV419" s="142"/>
      <c r="EB419" s="142"/>
      <c r="EH419" s="142"/>
      <c r="EN419" s="142"/>
      <c r="ET419" s="142"/>
      <c r="EZ419" s="142"/>
      <c r="FF419" s="142"/>
      <c r="FL419" s="142"/>
      <c r="FR419" s="142"/>
      <c r="FX419" s="142"/>
      <c r="GD419" s="142"/>
      <c r="GJ419" s="142"/>
      <c r="GP419" s="142"/>
      <c r="GV419" s="142"/>
      <c r="HB419" s="142"/>
      <c r="HH419" s="142"/>
      <c r="HN419" s="142"/>
      <c r="HT419" s="142"/>
      <c r="HZ419" s="142"/>
    </row>
    <row r="420">
      <c r="F420" s="142"/>
      <c r="L420" s="142"/>
      <c r="R420" s="142"/>
      <c r="X420" s="142"/>
      <c r="AD420" s="142"/>
      <c r="AJ420" s="142"/>
      <c r="AP420" s="142"/>
      <c r="AV420" s="142"/>
      <c r="BA420" s="142"/>
      <c r="BH420" s="142"/>
      <c r="BN420" s="142"/>
      <c r="BT420" s="142"/>
      <c r="BZ420" s="142"/>
      <c r="CF420" s="142"/>
      <c r="CL420" s="142"/>
      <c r="CR420" s="142"/>
      <c r="CX420" s="142"/>
      <c r="DD420" s="142"/>
      <c r="DJ420" s="142"/>
      <c r="DP420" s="142"/>
      <c r="DV420" s="142"/>
      <c r="EB420" s="142"/>
      <c r="EH420" s="142"/>
      <c r="EN420" s="142"/>
      <c r="ET420" s="142"/>
      <c r="EZ420" s="142"/>
      <c r="FF420" s="142"/>
      <c r="FL420" s="142"/>
      <c r="FR420" s="142"/>
      <c r="FX420" s="142"/>
      <c r="GD420" s="142"/>
      <c r="GJ420" s="142"/>
      <c r="GP420" s="142"/>
      <c r="GV420" s="142"/>
      <c r="HB420" s="142"/>
      <c r="HH420" s="142"/>
      <c r="HN420" s="142"/>
      <c r="HT420" s="142"/>
      <c r="HZ420" s="142"/>
    </row>
    <row r="421">
      <c r="F421" s="142"/>
      <c r="L421" s="142"/>
      <c r="R421" s="142"/>
      <c r="X421" s="142"/>
      <c r="AD421" s="142"/>
      <c r="AJ421" s="142"/>
      <c r="AP421" s="142"/>
      <c r="AV421" s="142"/>
      <c r="BA421" s="142"/>
      <c r="BH421" s="142"/>
      <c r="BN421" s="142"/>
      <c r="BT421" s="142"/>
      <c r="BZ421" s="142"/>
      <c r="CF421" s="142"/>
      <c r="CL421" s="142"/>
      <c r="CR421" s="142"/>
      <c r="CX421" s="142"/>
      <c r="DD421" s="142"/>
      <c r="DJ421" s="142"/>
      <c r="DP421" s="142"/>
      <c r="DV421" s="142"/>
      <c r="EB421" s="142"/>
      <c r="EH421" s="142"/>
      <c r="EN421" s="142"/>
      <c r="ET421" s="142"/>
      <c r="EZ421" s="142"/>
      <c r="FF421" s="142"/>
      <c r="FL421" s="142"/>
      <c r="FR421" s="142"/>
      <c r="FX421" s="142"/>
      <c r="GD421" s="142"/>
      <c r="GJ421" s="142"/>
      <c r="GP421" s="142"/>
      <c r="GV421" s="142"/>
      <c r="HB421" s="142"/>
      <c r="HH421" s="142"/>
      <c r="HN421" s="142"/>
      <c r="HT421" s="142"/>
      <c r="HZ421" s="142"/>
    </row>
    <row r="422">
      <c r="F422" s="142"/>
      <c r="L422" s="142"/>
      <c r="R422" s="142"/>
      <c r="X422" s="142"/>
      <c r="AD422" s="142"/>
      <c r="AJ422" s="142"/>
      <c r="AP422" s="142"/>
      <c r="AV422" s="142"/>
      <c r="BA422" s="142"/>
      <c r="BH422" s="142"/>
      <c r="BN422" s="142"/>
      <c r="BT422" s="142"/>
      <c r="BZ422" s="142"/>
      <c r="CF422" s="142"/>
      <c r="CL422" s="142"/>
      <c r="CR422" s="142"/>
      <c r="CX422" s="142"/>
      <c r="DD422" s="142"/>
      <c r="DJ422" s="142"/>
      <c r="DP422" s="142"/>
      <c r="DV422" s="142"/>
      <c r="EB422" s="142"/>
      <c r="EH422" s="142"/>
      <c r="EN422" s="142"/>
      <c r="ET422" s="142"/>
      <c r="EZ422" s="142"/>
      <c r="FF422" s="142"/>
      <c r="FL422" s="142"/>
      <c r="FR422" s="142"/>
      <c r="FX422" s="142"/>
      <c r="GD422" s="142"/>
      <c r="GJ422" s="142"/>
      <c r="GP422" s="142"/>
      <c r="GV422" s="142"/>
      <c r="HB422" s="142"/>
      <c r="HH422" s="142"/>
      <c r="HN422" s="142"/>
      <c r="HT422" s="142"/>
      <c r="HZ422" s="142"/>
    </row>
    <row r="423">
      <c r="F423" s="142"/>
      <c r="L423" s="142"/>
      <c r="R423" s="142"/>
      <c r="X423" s="142"/>
      <c r="AD423" s="142"/>
      <c r="AJ423" s="142"/>
      <c r="AP423" s="142"/>
      <c r="AV423" s="142"/>
      <c r="BA423" s="142"/>
      <c r="BH423" s="142"/>
      <c r="BN423" s="142"/>
      <c r="BT423" s="142"/>
      <c r="BZ423" s="142"/>
      <c r="CF423" s="142"/>
      <c r="CL423" s="142"/>
      <c r="CR423" s="142"/>
      <c r="CX423" s="142"/>
      <c r="DD423" s="142"/>
      <c r="DJ423" s="142"/>
      <c r="DP423" s="142"/>
      <c r="DV423" s="142"/>
      <c r="EB423" s="142"/>
      <c r="EH423" s="142"/>
      <c r="EN423" s="142"/>
      <c r="ET423" s="142"/>
      <c r="EZ423" s="142"/>
      <c r="FF423" s="142"/>
      <c r="FL423" s="142"/>
      <c r="FR423" s="142"/>
      <c r="FX423" s="142"/>
      <c r="GD423" s="142"/>
      <c r="GJ423" s="142"/>
      <c r="GP423" s="142"/>
      <c r="GV423" s="142"/>
      <c r="HB423" s="142"/>
      <c r="HH423" s="142"/>
      <c r="HN423" s="142"/>
      <c r="HT423" s="142"/>
      <c r="HZ423" s="142"/>
    </row>
    <row r="424">
      <c r="F424" s="142"/>
      <c r="L424" s="142"/>
      <c r="R424" s="142"/>
      <c r="X424" s="142"/>
      <c r="AD424" s="142"/>
      <c r="AJ424" s="142"/>
      <c r="AP424" s="142"/>
      <c r="AV424" s="142"/>
      <c r="BA424" s="142"/>
      <c r="BH424" s="142"/>
      <c r="BN424" s="142"/>
      <c r="BT424" s="142"/>
      <c r="BZ424" s="142"/>
      <c r="CF424" s="142"/>
      <c r="CL424" s="142"/>
      <c r="CR424" s="142"/>
      <c r="CX424" s="142"/>
      <c r="DD424" s="142"/>
      <c r="DJ424" s="142"/>
      <c r="DP424" s="142"/>
      <c r="DV424" s="142"/>
      <c r="EB424" s="142"/>
      <c r="EH424" s="142"/>
      <c r="EN424" s="142"/>
      <c r="ET424" s="142"/>
      <c r="EZ424" s="142"/>
      <c r="FF424" s="142"/>
      <c r="FL424" s="142"/>
      <c r="FR424" s="142"/>
      <c r="FX424" s="142"/>
      <c r="GD424" s="142"/>
      <c r="GJ424" s="142"/>
      <c r="GP424" s="142"/>
      <c r="GV424" s="142"/>
      <c r="HB424" s="142"/>
      <c r="HH424" s="142"/>
      <c r="HN424" s="142"/>
      <c r="HT424" s="142"/>
      <c r="HZ424" s="142"/>
    </row>
    <row r="425">
      <c r="F425" s="142"/>
      <c r="L425" s="142"/>
      <c r="R425" s="142"/>
      <c r="X425" s="142"/>
      <c r="AD425" s="142"/>
      <c r="AJ425" s="142"/>
      <c r="AP425" s="142"/>
      <c r="AV425" s="142"/>
      <c r="BA425" s="142"/>
      <c r="BH425" s="142"/>
      <c r="BN425" s="142"/>
      <c r="BT425" s="142"/>
      <c r="BZ425" s="142"/>
      <c r="CF425" s="142"/>
      <c r="CL425" s="142"/>
      <c r="CR425" s="142"/>
      <c r="CX425" s="142"/>
      <c r="DD425" s="142"/>
      <c r="DJ425" s="142"/>
      <c r="DP425" s="142"/>
      <c r="DV425" s="142"/>
      <c r="EB425" s="142"/>
      <c r="EH425" s="142"/>
      <c r="EN425" s="142"/>
      <c r="ET425" s="142"/>
      <c r="EZ425" s="142"/>
      <c r="FF425" s="142"/>
      <c r="FL425" s="142"/>
      <c r="FR425" s="142"/>
      <c r="FX425" s="142"/>
      <c r="GD425" s="142"/>
      <c r="GJ425" s="142"/>
      <c r="GP425" s="142"/>
      <c r="GV425" s="142"/>
      <c r="HB425" s="142"/>
      <c r="HH425" s="142"/>
      <c r="HN425" s="142"/>
      <c r="HT425" s="142"/>
      <c r="HZ425" s="142"/>
    </row>
    <row r="426">
      <c r="F426" s="142"/>
      <c r="L426" s="142"/>
      <c r="R426" s="142"/>
      <c r="X426" s="142"/>
      <c r="AD426" s="142"/>
      <c r="AJ426" s="142"/>
      <c r="AP426" s="142"/>
      <c r="AV426" s="142"/>
      <c r="BA426" s="142"/>
      <c r="BH426" s="142"/>
      <c r="BN426" s="142"/>
      <c r="BT426" s="142"/>
      <c r="BZ426" s="142"/>
      <c r="CF426" s="142"/>
      <c r="CL426" s="142"/>
      <c r="CR426" s="142"/>
      <c r="CX426" s="142"/>
      <c r="DD426" s="142"/>
      <c r="DJ426" s="142"/>
      <c r="DP426" s="142"/>
      <c r="DV426" s="142"/>
      <c r="EB426" s="142"/>
      <c r="EH426" s="142"/>
      <c r="EN426" s="142"/>
      <c r="ET426" s="142"/>
      <c r="EZ426" s="142"/>
      <c r="FF426" s="142"/>
      <c r="FL426" s="142"/>
      <c r="FR426" s="142"/>
      <c r="FX426" s="142"/>
      <c r="GD426" s="142"/>
      <c r="GJ426" s="142"/>
      <c r="GP426" s="142"/>
      <c r="GV426" s="142"/>
      <c r="HB426" s="142"/>
      <c r="HH426" s="142"/>
      <c r="HN426" s="142"/>
      <c r="HT426" s="142"/>
      <c r="HZ426" s="142"/>
    </row>
    <row r="427">
      <c r="F427" s="142"/>
      <c r="L427" s="142"/>
      <c r="R427" s="142"/>
      <c r="X427" s="142"/>
      <c r="AD427" s="142"/>
      <c r="AJ427" s="142"/>
      <c r="AP427" s="142"/>
      <c r="AV427" s="142"/>
      <c r="BA427" s="142"/>
      <c r="BH427" s="142"/>
      <c r="BN427" s="142"/>
      <c r="BT427" s="142"/>
      <c r="BZ427" s="142"/>
      <c r="CF427" s="142"/>
      <c r="CL427" s="142"/>
      <c r="CR427" s="142"/>
      <c r="CX427" s="142"/>
      <c r="DD427" s="142"/>
      <c r="DJ427" s="142"/>
      <c r="DP427" s="142"/>
      <c r="DV427" s="142"/>
      <c r="EB427" s="142"/>
      <c r="EH427" s="142"/>
      <c r="EN427" s="142"/>
      <c r="ET427" s="142"/>
      <c r="EZ427" s="142"/>
      <c r="FF427" s="142"/>
      <c r="FL427" s="142"/>
      <c r="FR427" s="142"/>
      <c r="FX427" s="142"/>
      <c r="GD427" s="142"/>
      <c r="GJ427" s="142"/>
      <c r="GP427" s="142"/>
      <c r="GV427" s="142"/>
      <c r="HB427" s="142"/>
      <c r="HH427" s="142"/>
      <c r="HN427" s="142"/>
      <c r="HT427" s="142"/>
      <c r="HZ427" s="142"/>
    </row>
    <row r="428">
      <c r="F428" s="142"/>
      <c r="L428" s="142"/>
      <c r="R428" s="142"/>
      <c r="X428" s="142"/>
      <c r="AD428" s="142"/>
      <c r="AJ428" s="142"/>
      <c r="AP428" s="142"/>
      <c r="AV428" s="142"/>
      <c r="BA428" s="142"/>
      <c r="BH428" s="142"/>
      <c r="BN428" s="142"/>
      <c r="BT428" s="142"/>
      <c r="BZ428" s="142"/>
      <c r="CF428" s="142"/>
      <c r="CL428" s="142"/>
      <c r="CR428" s="142"/>
      <c r="CX428" s="142"/>
      <c r="DD428" s="142"/>
      <c r="DJ428" s="142"/>
      <c r="DP428" s="142"/>
      <c r="DV428" s="142"/>
      <c r="EB428" s="142"/>
      <c r="EH428" s="142"/>
      <c r="EN428" s="142"/>
      <c r="ET428" s="142"/>
      <c r="EZ428" s="142"/>
      <c r="FF428" s="142"/>
      <c r="FL428" s="142"/>
      <c r="FR428" s="142"/>
      <c r="FX428" s="142"/>
      <c r="GD428" s="142"/>
      <c r="GJ428" s="142"/>
      <c r="GP428" s="142"/>
      <c r="GV428" s="142"/>
      <c r="HB428" s="142"/>
      <c r="HH428" s="142"/>
      <c r="HN428" s="142"/>
      <c r="HT428" s="142"/>
      <c r="HZ428" s="142"/>
    </row>
    <row r="429">
      <c r="F429" s="142"/>
      <c r="L429" s="142"/>
      <c r="R429" s="142"/>
      <c r="X429" s="142"/>
      <c r="AD429" s="142"/>
      <c r="AJ429" s="142"/>
      <c r="AP429" s="142"/>
      <c r="AV429" s="142"/>
      <c r="BA429" s="142"/>
      <c r="BH429" s="142"/>
      <c r="BN429" s="142"/>
      <c r="BT429" s="142"/>
      <c r="BZ429" s="142"/>
      <c r="CF429" s="142"/>
      <c r="CL429" s="142"/>
      <c r="CR429" s="142"/>
      <c r="CX429" s="142"/>
      <c r="DD429" s="142"/>
      <c r="DJ429" s="142"/>
      <c r="DP429" s="142"/>
      <c r="DV429" s="142"/>
      <c r="EB429" s="142"/>
      <c r="EH429" s="142"/>
      <c r="EN429" s="142"/>
      <c r="ET429" s="142"/>
      <c r="EZ429" s="142"/>
      <c r="FF429" s="142"/>
      <c r="FL429" s="142"/>
      <c r="FR429" s="142"/>
      <c r="FX429" s="142"/>
      <c r="GD429" s="142"/>
      <c r="GJ429" s="142"/>
      <c r="GP429" s="142"/>
      <c r="GV429" s="142"/>
      <c r="HB429" s="142"/>
      <c r="HH429" s="142"/>
      <c r="HN429" s="142"/>
      <c r="HT429" s="142"/>
      <c r="HZ429" s="142"/>
    </row>
    <row r="430">
      <c r="F430" s="142"/>
      <c r="L430" s="142"/>
      <c r="R430" s="142"/>
      <c r="X430" s="142"/>
      <c r="AD430" s="142"/>
      <c r="AJ430" s="142"/>
      <c r="AP430" s="142"/>
      <c r="AV430" s="142"/>
      <c r="BA430" s="142"/>
      <c r="BH430" s="142"/>
      <c r="BN430" s="142"/>
      <c r="BT430" s="142"/>
      <c r="BZ430" s="142"/>
      <c r="CF430" s="142"/>
      <c r="CL430" s="142"/>
      <c r="CR430" s="142"/>
      <c r="CX430" s="142"/>
      <c r="DD430" s="142"/>
      <c r="DJ430" s="142"/>
      <c r="DP430" s="142"/>
      <c r="DV430" s="142"/>
      <c r="EB430" s="142"/>
      <c r="EH430" s="142"/>
      <c r="EN430" s="142"/>
      <c r="ET430" s="142"/>
      <c r="EZ430" s="142"/>
      <c r="FF430" s="142"/>
      <c r="FL430" s="142"/>
      <c r="FR430" s="142"/>
      <c r="FX430" s="142"/>
      <c r="GD430" s="142"/>
      <c r="GJ430" s="142"/>
      <c r="GP430" s="142"/>
      <c r="GV430" s="142"/>
      <c r="HB430" s="142"/>
      <c r="HH430" s="142"/>
      <c r="HN430" s="142"/>
      <c r="HT430" s="142"/>
      <c r="HZ430" s="142"/>
    </row>
    <row r="431">
      <c r="F431" s="142"/>
      <c r="L431" s="142"/>
      <c r="R431" s="142"/>
      <c r="X431" s="142"/>
      <c r="AD431" s="142"/>
      <c r="AJ431" s="142"/>
      <c r="AP431" s="142"/>
      <c r="AV431" s="142"/>
      <c r="BA431" s="142"/>
      <c r="BH431" s="142"/>
      <c r="BN431" s="142"/>
      <c r="BT431" s="142"/>
      <c r="BZ431" s="142"/>
      <c r="CF431" s="142"/>
      <c r="CL431" s="142"/>
      <c r="CR431" s="142"/>
      <c r="CX431" s="142"/>
      <c r="DD431" s="142"/>
      <c r="DJ431" s="142"/>
      <c r="DP431" s="142"/>
      <c r="DV431" s="142"/>
      <c r="EB431" s="142"/>
      <c r="EH431" s="142"/>
      <c r="EN431" s="142"/>
      <c r="ET431" s="142"/>
      <c r="EZ431" s="142"/>
      <c r="FF431" s="142"/>
      <c r="FL431" s="142"/>
      <c r="FR431" s="142"/>
      <c r="FX431" s="142"/>
      <c r="GD431" s="142"/>
      <c r="GJ431" s="142"/>
      <c r="GP431" s="142"/>
      <c r="GV431" s="142"/>
      <c r="HB431" s="142"/>
      <c r="HH431" s="142"/>
      <c r="HN431" s="142"/>
      <c r="HT431" s="142"/>
      <c r="HZ431" s="142"/>
    </row>
    <row r="432">
      <c r="F432" s="142"/>
      <c r="L432" s="142"/>
      <c r="R432" s="142"/>
      <c r="X432" s="142"/>
      <c r="AD432" s="142"/>
      <c r="AJ432" s="142"/>
      <c r="AP432" s="142"/>
      <c r="AV432" s="142"/>
      <c r="BA432" s="142"/>
      <c r="BH432" s="142"/>
      <c r="BN432" s="142"/>
      <c r="BT432" s="142"/>
      <c r="BZ432" s="142"/>
      <c r="CF432" s="142"/>
      <c r="CL432" s="142"/>
      <c r="CR432" s="142"/>
      <c r="CX432" s="142"/>
      <c r="DD432" s="142"/>
      <c r="DJ432" s="142"/>
      <c r="DP432" s="142"/>
      <c r="DV432" s="142"/>
      <c r="EB432" s="142"/>
      <c r="EH432" s="142"/>
      <c r="EN432" s="142"/>
      <c r="ET432" s="142"/>
      <c r="EZ432" s="142"/>
      <c r="FF432" s="142"/>
      <c r="FL432" s="142"/>
      <c r="FR432" s="142"/>
      <c r="FX432" s="142"/>
      <c r="GD432" s="142"/>
      <c r="GJ432" s="142"/>
      <c r="GP432" s="142"/>
      <c r="GV432" s="142"/>
      <c r="HB432" s="142"/>
      <c r="HH432" s="142"/>
      <c r="HN432" s="142"/>
      <c r="HT432" s="142"/>
      <c r="HZ432" s="142"/>
    </row>
    <row r="433">
      <c r="F433" s="142"/>
      <c r="L433" s="142"/>
      <c r="R433" s="142"/>
      <c r="X433" s="142"/>
      <c r="AD433" s="142"/>
      <c r="AJ433" s="142"/>
      <c r="AP433" s="142"/>
      <c r="AV433" s="142"/>
      <c r="BA433" s="142"/>
      <c r="BH433" s="142"/>
      <c r="BN433" s="142"/>
      <c r="BT433" s="142"/>
      <c r="BZ433" s="142"/>
      <c r="CF433" s="142"/>
      <c r="CL433" s="142"/>
      <c r="CR433" s="142"/>
      <c r="CX433" s="142"/>
      <c r="DD433" s="142"/>
      <c r="DJ433" s="142"/>
      <c r="DP433" s="142"/>
      <c r="DV433" s="142"/>
      <c r="EB433" s="142"/>
      <c r="EH433" s="142"/>
      <c r="EN433" s="142"/>
      <c r="ET433" s="142"/>
      <c r="EZ433" s="142"/>
      <c r="FF433" s="142"/>
      <c r="FL433" s="142"/>
      <c r="FR433" s="142"/>
      <c r="FX433" s="142"/>
      <c r="GD433" s="142"/>
      <c r="GJ433" s="142"/>
      <c r="GP433" s="142"/>
      <c r="GV433" s="142"/>
      <c r="HB433" s="142"/>
      <c r="HH433" s="142"/>
      <c r="HN433" s="142"/>
      <c r="HT433" s="142"/>
      <c r="HZ433" s="142"/>
    </row>
    <row r="434">
      <c r="F434" s="142"/>
      <c r="L434" s="142"/>
      <c r="R434" s="142"/>
      <c r="X434" s="142"/>
      <c r="AD434" s="142"/>
      <c r="AJ434" s="142"/>
      <c r="AP434" s="142"/>
      <c r="AV434" s="142"/>
      <c r="BA434" s="142"/>
      <c r="BH434" s="142"/>
      <c r="BN434" s="142"/>
      <c r="BT434" s="142"/>
      <c r="BZ434" s="142"/>
      <c r="CF434" s="142"/>
      <c r="CL434" s="142"/>
      <c r="CR434" s="142"/>
      <c r="CX434" s="142"/>
      <c r="DD434" s="142"/>
      <c r="DJ434" s="142"/>
      <c r="DP434" s="142"/>
      <c r="DV434" s="142"/>
      <c r="EB434" s="142"/>
      <c r="EH434" s="142"/>
      <c r="EN434" s="142"/>
      <c r="ET434" s="142"/>
      <c r="EZ434" s="142"/>
      <c r="FF434" s="142"/>
      <c r="FL434" s="142"/>
      <c r="FR434" s="142"/>
      <c r="FX434" s="142"/>
      <c r="GD434" s="142"/>
      <c r="GJ434" s="142"/>
      <c r="GP434" s="142"/>
      <c r="GV434" s="142"/>
      <c r="HB434" s="142"/>
      <c r="HH434" s="142"/>
      <c r="HN434" s="142"/>
      <c r="HT434" s="142"/>
      <c r="HZ434" s="142"/>
    </row>
    <row r="435">
      <c r="F435" s="142"/>
      <c r="L435" s="142"/>
      <c r="R435" s="142"/>
      <c r="X435" s="142"/>
      <c r="AD435" s="142"/>
      <c r="AJ435" s="142"/>
      <c r="AP435" s="142"/>
      <c r="AV435" s="142"/>
      <c r="BA435" s="142"/>
      <c r="BH435" s="142"/>
      <c r="BN435" s="142"/>
      <c r="BT435" s="142"/>
      <c r="BZ435" s="142"/>
      <c r="CF435" s="142"/>
      <c r="CL435" s="142"/>
      <c r="CR435" s="142"/>
      <c r="CX435" s="142"/>
      <c r="DD435" s="142"/>
      <c r="DJ435" s="142"/>
      <c r="DP435" s="142"/>
      <c r="DV435" s="142"/>
      <c r="EB435" s="142"/>
      <c r="EH435" s="142"/>
      <c r="EN435" s="142"/>
      <c r="ET435" s="142"/>
      <c r="EZ435" s="142"/>
      <c r="FF435" s="142"/>
      <c r="FL435" s="142"/>
      <c r="FR435" s="142"/>
      <c r="FX435" s="142"/>
      <c r="GD435" s="142"/>
      <c r="GJ435" s="142"/>
      <c r="GP435" s="142"/>
      <c r="GV435" s="142"/>
      <c r="HB435" s="142"/>
      <c r="HH435" s="142"/>
      <c r="HN435" s="142"/>
      <c r="HT435" s="142"/>
      <c r="HZ435" s="142"/>
    </row>
    <row r="436">
      <c r="F436" s="142"/>
      <c r="L436" s="142"/>
      <c r="R436" s="142"/>
      <c r="X436" s="142"/>
      <c r="AD436" s="142"/>
      <c r="AJ436" s="142"/>
      <c r="AP436" s="142"/>
      <c r="AV436" s="142"/>
      <c r="BA436" s="142"/>
      <c r="BH436" s="142"/>
      <c r="BN436" s="142"/>
      <c r="BT436" s="142"/>
      <c r="BZ436" s="142"/>
      <c r="CF436" s="142"/>
      <c r="CL436" s="142"/>
      <c r="CR436" s="142"/>
      <c r="CX436" s="142"/>
      <c r="DD436" s="142"/>
      <c r="DJ436" s="142"/>
      <c r="DP436" s="142"/>
      <c r="DV436" s="142"/>
      <c r="EB436" s="142"/>
      <c r="EH436" s="142"/>
      <c r="EN436" s="142"/>
      <c r="ET436" s="142"/>
      <c r="EZ436" s="142"/>
      <c r="FF436" s="142"/>
      <c r="FL436" s="142"/>
      <c r="FR436" s="142"/>
      <c r="FX436" s="142"/>
      <c r="GD436" s="142"/>
      <c r="GJ436" s="142"/>
      <c r="GP436" s="142"/>
      <c r="GV436" s="142"/>
      <c r="HB436" s="142"/>
      <c r="HH436" s="142"/>
      <c r="HN436" s="142"/>
      <c r="HT436" s="142"/>
      <c r="HZ436" s="142"/>
    </row>
    <row r="437">
      <c r="F437" s="142"/>
      <c r="L437" s="142"/>
      <c r="R437" s="142"/>
      <c r="X437" s="142"/>
      <c r="AD437" s="142"/>
      <c r="AJ437" s="142"/>
      <c r="AP437" s="142"/>
      <c r="AV437" s="142"/>
      <c r="BA437" s="142"/>
      <c r="BH437" s="142"/>
      <c r="BN437" s="142"/>
      <c r="BT437" s="142"/>
      <c r="BZ437" s="142"/>
      <c r="CF437" s="142"/>
      <c r="CL437" s="142"/>
      <c r="CR437" s="142"/>
      <c r="CX437" s="142"/>
      <c r="DD437" s="142"/>
      <c r="DJ437" s="142"/>
      <c r="DP437" s="142"/>
      <c r="DV437" s="142"/>
      <c r="EB437" s="142"/>
      <c r="EH437" s="142"/>
      <c r="EN437" s="142"/>
      <c r="ET437" s="142"/>
      <c r="EZ437" s="142"/>
      <c r="FF437" s="142"/>
      <c r="FL437" s="142"/>
      <c r="FR437" s="142"/>
      <c r="FX437" s="142"/>
      <c r="GD437" s="142"/>
      <c r="GJ437" s="142"/>
      <c r="GP437" s="142"/>
      <c r="GV437" s="142"/>
      <c r="HB437" s="142"/>
      <c r="HH437" s="142"/>
      <c r="HN437" s="142"/>
      <c r="HT437" s="142"/>
      <c r="HZ437" s="142"/>
    </row>
    <row r="438">
      <c r="F438" s="142"/>
      <c r="L438" s="142"/>
      <c r="R438" s="142"/>
      <c r="X438" s="142"/>
      <c r="AD438" s="142"/>
      <c r="AJ438" s="142"/>
      <c r="AP438" s="142"/>
      <c r="AV438" s="142"/>
      <c r="BA438" s="142"/>
      <c r="BH438" s="142"/>
      <c r="BN438" s="142"/>
      <c r="BT438" s="142"/>
      <c r="BZ438" s="142"/>
      <c r="CF438" s="142"/>
      <c r="CL438" s="142"/>
      <c r="CR438" s="142"/>
      <c r="CX438" s="142"/>
      <c r="DD438" s="142"/>
      <c r="DJ438" s="142"/>
      <c r="DP438" s="142"/>
      <c r="DV438" s="142"/>
      <c r="EB438" s="142"/>
      <c r="EH438" s="142"/>
      <c r="EN438" s="142"/>
      <c r="ET438" s="142"/>
      <c r="EZ438" s="142"/>
      <c r="FF438" s="142"/>
      <c r="FL438" s="142"/>
      <c r="FR438" s="142"/>
      <c r="FX438" s="142"/>
      <c r="GD438" s="142"/>
      <c r="GJ438" s="142"/>
      <c r="GP438" s="142"/>
      <c r="GV438" s="142"/>
      <c r="HB438" s="142"/>
      <c r="HH438" s="142"/>
      <c r="HN438" s="142"/>
      <c r="HT438" s="142"/>
      <c r="HZ438" s="142"/>
    </row>
    <row r="439">
      <c r="F439" s="142"/>
      <c r="L439" s="142"/>
      <c r="R439" s="142"/>
      <c r="X439" s="142"/>
      <c r="AD439" s="142"/>
      <c r="AJ439" s="142"/>
      <c r="AP439" s="142"/>
      <c r="AV439" s="142"/>
      <c r="BA439" s="142"/>
      <c r="BH439" s="142"/>
      <c r="BN439" s="142"/>
      <c r="BT439" s="142"/>
      <c r="BZ439" s="142"/>
      <c r="CF439" s="142"/>
      <c r="CL439" s="142"/>
      <c r="CR439" s="142"/>
      <c r="CX439" s="142"/>
      <c r="DD439" s="142"/>
      <c r="DJ439" s="142"/>
      <c r="DP439" s="142"/>
      <c r="DV439" s="142"/>
      <c r="EB439" s="142"/>
      <c r="EH439" s="142"/>
      <c r="EN439" s="142"/>
      <c r="ET439" s="142"/>
      <c r="EZ439" s="142"/>
      <c r="FF439" s="142"/>
      <c r="FL439" s="142"/>
      <c r="FR439" s="142"/>
      <c r="FX439" s="142"/>
      <c r="GD439" s="142"/>
      <c r="GJ439" s="142"/>
      <c r="GP439" s="142"/>
      <c r="GV439" s="142"/>
      <c r="HB439" s="142"/>
      <c r="HH439" s="142"/>
      <c r="HN439" s="142"/>
      <c r="HT439" s="142"/>
      <c r="HZ439" s="142"/>
    </row>
    <row r="440">
      <c r="F440" s="142"/>
      <c r="L440" s="142"/>
      <c r="R440" s="142"/>
      <c r="X440" s="142"/>
      <c r="AD440" s="142"/>
      <c r="AJ440" s="142"/>
      <c r="AP440" s="142"/>
      <c r="AV440" s="142"/>
      <c r="BA440" s="142"/>
      <c r="BH440" s="142"/>
      <c r="BN440" s="142"/>
      <c r="BT440" s="142"/>
      <c r="BZ440" s="142"/>
      <c r="CF440" s="142"/>
      <c r="CL440" s="142"/>
      <c r="CR440" s="142"/>
      <c r="CX440" s="142"/>
      <c r="DD440" s="142"/>
      <c r="DJ440" s="142"/>
      <c r="DP440" s="142"/>
      <c r="DV440" s="142"/>
      <c r="EB440" s="142"/>
      <c r="EH440" s="142"/>
      <c r="EN440" s="142"/>
      <c r="ET440" s="142"/>
      <c r="EZ440" s="142"/>
      <c r="FF440" s="142"/>
      <c r="FL440" s="142"/>
      <c r="FR440" s="142"/>
      <c r="FX440" s="142"/>
      <c r="GD440" s="142"/>
      <c r="GJ440" s="142"/>
      <c r="GP440" s="142"/>
      <c r="GV440" s="142"/>
      <c r="HB440" s="142"/>
      <c r="HH440" s="142"/>
      <c r="HN440" s="142"/>
      <c r="HT440" s="142"/>
      <c r="HZ440" s="142"/>
    </row>
    <row r="441">
      <c r="F441" s="142"/>
      <c r="L441" s="142"/>
      <c r="R441" s="142"/>
      <c r="X441" s="142"/>
      <c r="AD441" s="142"/>
      <c r="AJ441" s="142"/>
      <c r="AP441" s="142"/>
      <c r="AV441" s="142"/>
      <c r="BA441" s="142"/>
      <c r="BH441" s="142"/>
      <c r="BN441" s="142"/>
      <c r="BT441" s="142"/>
      <c r="BZ441" s="142"/>
      <c r="CF441" s="142"/>
      <c r="CL441" s="142"/>
      <c r="CR441" s="142"/>
      <c r="CX441" s="142"/>
      <c r="DD441" s="142"/>
      <c r="DJ441" s="142"/>
      <c r="DP441" s="142"/>
      <c r="DV441" s="142"/>
      <c r="EB441" s="142"/>
      <c r="EH441" s="142"/>
      <c r="EN441" s="142"/>
      <c r="ET441" s="142"/>
      <c r="EZ441" s="142"/>
      <c r="FF441" s="142"/>
      <c r="FL441" s="142"/>
      <c r="FR441" s="142"/>
      <c r="FX441" s="142"/>
      <c r="GD441" s="142"/>
      <c r="GJ441" s="142"/>
      <c r="GP441" s="142"/>
      <c r="GV441" s="142"/>
      <c r="HB441" s="142"/>
      <c r="HH441" s="142"/>
      <c r="HN441" s="142"/>
      <c r="HT441" s="142"/>
      <c r="HZ441" s="142"/>
    </row>
    <row r="442">
      <c r="F442" s="142"/>
      <c r="L442" s="142"/>
      <c r="R442" s="142"/>
      <c r="X442" s="142"/>
      <c r="AD442" s="142"/>
      <c r="AJ442" s="142"/>
      <c r="AP442" s="142"/>
      <c r="AV442" s="142"/>
      <c r="BA442" s="142"/>
      <c r="BH442" s="142"/>
      <c r="BN442" s="142"/>
      <c r="BT442" s="142"/>
      <c r="BZ442" s="142"/>
      <c r="CF442" s="142"/>
      <c r="CL442" s="142"/>
      <c r="CR442" s="142"/>
      <c r="CX442" s="142"/>
      <c r="DD442" s="142"/>
      <c r="DJ442" s="142"/>
      <c r="DP442" s="142"/>
      <c r="DV442" s="142"/>
      <c r="EB442" s="142"/>
      <c r="EH442" s="142"/>
      <c r="EN442" s="142"/>
      <c r="ET442" s="142"/>
      <c r="EZ442" s="142"/>
      <c r="FF442" s="142"/>
      <c r="FL442" s="142"/>
      <c r="FR442" s="142"/>
      <c r="FX442" s="142"/>
      <c r="GD442" s="142"/>
      <c r="GJ442" s="142"/>
      <c r="GP442" s="142"/>
      <c r="GV442" s="142"/>
      <c r="HB442" s="142"/>
      <c r="HH442" s="142"/>
      <c r="HN442" s="142"/>
      <c r="HT442" s="142"/>
      <c r="HZ442" s="142"/>
    </row>
    <row r="443">
      <c r="F443" s="142"/>
      <c r="L443" s="142"/>
      <c r="R443" s="142"/>
      <c r="X443" s="142"/>
      <c r="AD443" s="142"/>
      <c r="AJ443" s="142"/>
      <c r="AP443" s="142"/>
      <c r="AV443" s="142"/>
      <c r="BA443" s="142"/>
      <c r="BH443" s="142"/>
      <c r="BN443" s="142"/>
      <c r="BT443" s="142"/>
      <c r="BZ443" s="142"/>
      <c r="CF443" s="142"/>
      <c r="CL443" s="142"/>
      <c r="CR443" s="142"/>
      <c r="CX443" s="142"/>
      <c r="DD443" s="142"/>
      <c r="DJ443" s="142"/>
      <c r="DP443" s="142"/>
      <c r="DV443" s="142"/>
      <c r="EB443" s="142"/>
      <c r="EH443" s="142"/>
      <c r="EN443" s="142"/>
      <c r="ET443" s="142"/>
      <c r="EZ443" s="142"/>
      <c r="FF443" s="142"/>
      <c r="FL443" s="142"/>
      <c r="FR443" s="142"/>
      <c r="FX443" s="142"/>
      <c r="GD443" s="142"/>
      <c r="GJ443" s="142"/>
      <c r="GP443" s="142"/>
      <c r="GV443" s="142"/>
      <c r="HB443" s="142"/>
      <c r="HH443" s="142"/>
      <c r="HN443" s="142"/>
      <c r="HT443" s="142"/>
      <c r="HZ443" s="142"/>
    </row>
    <row r="444">
      <c r="F444" s="142"/>
      <c r="L444" s="142"/>
      <c r="R444" s="142"/>
      <c r="X444" s="142"/>
      <c r="AD444" s="142"/>
      <c r="AJ444" s="142"/>
      <c r="AP444" s="142"/>
      <c r="AV444" s="142"/>
      <c r="BA444" s="142"/>
      <c r="BH444" s="142"/>
      <c r="BN444" s="142"/>
      <c r="BT444" s="142"/>
      <c r="BZ444" s="142"/>
      <c r="CF444" s="142"/>
      <c r="CL444" s="142"/>
      <c r="CR444" s="142"/>
      <c r="CX444" s="142"/>
      <c r="DD444" s="142"/>
      <c r="DJ444" s="142"/>
      <c r="DP444" s="142"/>
      <c r="DV444" s="142"/>
      <c r="EB444" s="142"/>
      <c r="EH444" s="142"/>
      <c r="EN444" s="142"/>
      <c r="ET444" s="142"/>
      <c r="EZ444" s="142"/>
      <c r="FF444" s="142"/>
      <c r="FL444" s="142"/>
      <c r="FR444" s="142"/>
      <c r="FX444" s="142"/>
      <c r="GD444" s="142"/>
      <c r="GJ444" s="142"/>
      <c r="GP444" s="142"/>
      <c r="GV444" s="142"/>
      <c r="HB444" s="142"/>
      <c r="HH444" s="142"/>
      <c r="HN444" s="142"/>
      <c r="HT444" s="142"/>
      <c r="HZ444" s="142"/>
    </row>
    <row r="445">
      <c r="F445" s="142"/>
      <c r="L445" s="142"/>
      <c r="R445" s="142"/>
      <c r="X445" s="142"/>
      <c r="AD445" s="142"/>
      <c r="AJ445" s="142"/>
      <c r="AP445" s="142"/>
      <c r="AV445" s="142"/>
      <c r="BA445" s="142"/>
      <c r="BH445" s="142"/>
      <c r="BN445" s="142"/>
      <c r="BT445" s="142"/>
      <c r="BZ445" s="142"/>
      <c r="CF445" s="142"/>
      <c r="CL445" s="142"/>
      <c r="CR445" s="142"/>
      <c r="CX445" s="142"/>
      <c r="DD445" s="142"/>
      <c r="DJ445" s="142"/>
      <c r="DP445" s="142"/>
      <c r="DV445" s="142"/>
      <c r="EB445" s="142"/>
      <c r="EH445" s="142"/>
      <c r="EN445" s="142"/>
      <c r="ET445" s="142"/>
      <c r="EZ445" s="142"/>
      <c r="FF445" s="142"/>
      <c r="FL445" s="142"/>
      <c r="FR445" s="142"/>
      <c r="FX445" s="142"/>
      <c r="GD445" s="142"/>
      <c r="GJ445" s="142"/>
      <c r="GP445" s="142"/>
      <c r="GV445" s="142"/>
      <c r="HB445" s="142"/>
      <c r="HH445" s="142"/>
      <c r="HN445" s="142"/>
      <c r="HT445" s="142"/>
      <c r="HZ445" s="142"/>
    </row>
    <row r="446">
      <c r="F446" s="142"/>
      <c r="L446" s="142"/>
      <c r="R446" s="142"/>
      <c r="X446" s="142"/>
      <c r="AD446" s="142"/>
      <c r="AJ446" s="142"/>
      <c r="AP446" s="142"/>
      <c r="AV446" s="142"/>
      <c r="BA446" s="142"/>
      <c r="BH446" s="142"/>
      <c r="BN446" s="142"/>
      <c r="BT446" s="142"/>
      <c r="BZ446" s="142"/>
      <c r="CF446" s="142"/>
      <c r="CL446" s="142"/>
      <c r="CR446" s="142"/>
      <c r="CX446" s="142"/>
      <c r="DD446" s="142"/>
      <c r="DJ446" s="142"/>
      <c r="DP446" s="142"/>
      <c r="DV446" s="142"/>
      <c r="EB446" s="142"/>
      <c r="EH446" s="142"/>
      <c r="EN446" s="142"/>
      <c r="ET446" s="142"/>
      <c r="EZ446" s="142"/>
      <c r="FF446" s="142"/>
      <c r="FL446" s="142"/>
      <c r="FR446" s="142"/>
      <c r="FX446" s="142"/>
      <c r="GD446" s="142"/>
      <c r="GJ446" s="142"/>
      <c r="GP446" s="142"/>
      <c r="GV446" s="142"/>
      <c r="HB446" s="142"/>
      <c r="HH446" s="142"/>
      <c r="HN446" s="142"/>
      <c r="HT446" s="142"/>
      <c r="HZ446" s="142"/>
    </row>
    <row r="447">
      <c r="F447" s="142"/>
      <c r="L447" s="142"/>
      <c r="R447" s="142"/>
      <c r="X447" s="142"/>
      <c r="AD447" s="142"/>
      <c r="AJ447" s="142"/>
      <c r="AP447" s="142"/>
      <c r="AV447" s="142"/>
      <c r="BA447" s="142"/>
      <c r="BH447" s="142"/>
      <c r="BN447" s="142"/>
      <c r="BT447" s="142"/>
      <c r="BZ447" s="142"/>
      <c r="CF447" s="142"/>
      <c r="CL447" s="142"/>
      <c r="CR447" s="142"/>
      <c r="CX447" s="142"/>
      <c r="DD447" s="142"/>
      <c r="DJ447" s="142"/>
      <c r="DP447" s="142"/>
      <c r="DV447" s="142"/>
      <c r="EB447" s="142"/>
      <c r="EH447" s="142"/>
      <c r="EN447" s="142"/>
      <c r="ET447" s="142"/>
      <c r="EZ447" s="142"/>
      <c r="FF447" s="142"/>
      <c r="FL447" s="142"/>
      <c r="FR447" s="142"/>
      <c r="FX447" s="142"/>
      <c r="GD447" s="142"/>
      <c r="GJ447" s="142"/>
      <c r="GP447" s="142"/>
      <c r="GV447" s="142"/>
      <c r="HB447" s="142"/>
      <c r="HH447" s="142"/>
      <c r="HN447" s="142"/>
      <c r="HT447" s="142"/>
      <c r="HZ447" s="142"/>
    </row>
    <row r="448">
      <c r="F448" s="142"/>
      <c r="L448" s="142"/>
      <c r="R448" s="142"/>
      <c r="X448" s="142"/>
      <c r="AD448" s="142"/>
      <c r="AJ448" s="142"/>
      <c r="AP448" s="142"/>
      <c r="AV448" s="142"/>
      <c r="BA448" s="142"/>
      <c r="BH448" s="142"/>
      <c r="BN448" s="142"/>
      <c r="BT448" s="142"/>
      <c r="BZ448" s="142"/>
      <c r="CF448" s="142"/>
      <c r="CL448" s="142"/>
      <c r="CR448" s="142"/>
      <c r="CX448" s="142"/>
      <c r="DD448" s="142"/>
      <c r="DJ448" s="142"/>
      <c r="DP448" s="142"/>
      <c r="DV448" s="142"/>
      <c r="EB448" s="142"/>
      <c r="EH448" s="142"/>
      <c r="EN448" s="142"/>
      <c r="ET448" s="142"/>
      <c r="EZ448" s="142"/>
      <c r="FF448" s="142"/>
      <c r="FL448" s="142"/>
      <c r="FR448" s="142"/>
      <c r="FX448" s="142"/>
      <c r="GD448" s="142"/>
      <c r="GJ448" s="142"/>
      <c r="GP448" s="142"/>
      <c r="GV448" s="142"/>
      <c r="HB448" s="142"/>
      <c r="HH448" s="142"/>
      <c r="HN448" s="142"/>
      <c r="HT448" s="142"/>
      <c r="HZ448" s="142"/>
    </row>
    <row r="449">
      <c r="F449" s="142"/>
      <c r="L449" s="142"/>
      <c r="R449" s="142"/>
      <c r="X449" s="142"/>
      <c r="AD449" s="142"/>
      <c r="AJ449" s="142"/>
      <c r="AP449" s="142"/>
      <c r="AV449" s="142"/>
      <c r="BA449" s="142"/>
      <c r="BH449" s="142"/>
      <c r="BN449" s="142"/>
      <c r="BT449" s="142"/>
      <c r="BZ449" s="142"/>
      <c r="CF449" s="142"/>
      <c r="CL449" s="142"/>
      <c r="CR449" s="142"/>
      <c r="CX449" s="142"/>
      <c r="DD449" s="142"/>
      <c r="DJ449" s="142"/>
      <c r="DP449" s="142"/>
      <c r="DV449" s="142"/>
      <c r="EB449" s="142"/>
      <c r="EH449" s="142"/>
      <c r="EN449" s="142"/>
      <c r="ET449" s="142"/>
      <c r="EZ449" s="142"/>
      <c r="FF449" s="142"/>
      <c r="FL449" s="142"/>
      <c r="FR449" s="142"/>
      <c r="FX449" s="142"/>
      <c r="GD449" s="142"/>
      <c r="GJ449" s="142"/>
      <c r="GP449" s="142"/>
      <c r="GV449" s="142"/>
      <c r="HB449" s="142"/>
      <c r="HH449" s="142"/>
      <c r="HN449" s="142"/>
      <c r="HT449" s="142"/>
      <c r="HZ449" s="142"/>
    </row>
    <row r="450">
      <c r="F450" s="142"/>
      <c r="L450" s="142"/>
      <c r="R450" s="142"/>
      <c r="X450" s="142"/>
      <c r="AD450" s="142"/>
      <c r="AJ450" s="142"/>
      <c r="AP450" s="142"/>
      <c r="AV450" s="142"/>
      <c r="BA450" s="142"/>
      <c r="BH450" s="142"/>
      <c r="BN450" s="142"/>
      <c r="BT450" s="142"/>
      <c r="BZ450" s="142"/>
      <c r="CF450" s="142"/>
      <c r="CL450" s="142"/>
      <c r="CR450" s="142"/>
      <c r="CX450" s="142"/>
      <c r="DD450" s="142"/>
      <c r="DJ450" s="142"/>
      <c r="DP450" s="142"/>
      <c r="DV450" s="142"/>
      <c r="EB450" s="142"/>
      <c r="EH450" s="142"/>
      <c r="EN450" s="142"/>
      <c r="ET450" s="142"/>
      <c r="EZ450" s="142"/>
      <c r="FF450" s="142"/>
      <c r="FL450" s="142"/>
      <c r="FR450" s="142"/>
      <c r="FX450" s="142"/>
      <c r="GD450" s="142"/>
      <c r="GJ450" s="142"/>
      <c r="GP450" s="142"/>
      <c r="GV450" s="142"/>
      <c r="HB450" s="142"/>
      <c r="HH450" s="142"/>
      <c r="HN450" s="142"/>
      <c r="HT450" s="142"/>
      <c r="HZ450" s="142"/>
    </row>
    <row r="451">
      <c r="F451" s="142"/>
      <c r="L451" s="142"/>
      <c r="R451" s="142"/>
      <c r="X451" s="142"/>
      <c r="AD451" s="142"/>
      <c r="AJ451" s="142"/>
      <c r="AP451" s="142"/>
      <c r="AV451" s="142"/>
      <c r="BA451" s="142"/>
      <c r="BH451" s="142"/>
      <c r="BN451" s="142"/>
      <c r="BT451" s="142"/>
      <c r="BZ451" s="142"/>
      <c r="CF451" s="142"/>
      <c r="CL451" s="142"/>
      <c r="CR451" s="142"/>
      <c r="CX451" s="142"/>
      <c r="DD451" s="142"/>
      <c r="DJ451" s="142"/>
      <c r="DP451" s="142"/>
      <c r="DV451" s="142"/>
      <c r="EB451" s="142"/>
      <c r="EH451" s="142"/>
      <c r="EN451" s="142"/>
      <c r="ET451" s="142"/>
      <c r="EZ451" s="142"/>
      <c r="FF451" s="142"/>
      <c r="FL451" s="142"/>
      <c r="FR451" s="142"/>
      <c r="FX451" s="142"/>
      <c r="GD451" s="142"/>
      <c r="GJ451" s="142"/>
      <c r="GP451" s="142"/>
      <c r="GV451" s="142"/>
      <c r="HB451" s="142"/>
      <c r="HH451" s="142"/>
      <c r="HN451" s="142"/>
      <c r="HT451" s="142"/>
      <c r="HZ451" s="142"/>
    </row>
    <row r="452">
      <c r="F452" s="142"/>
      <c r="L452" s="142"/>
      <c r="R452" s="142"/>
      <c r="X452" s="142"/>
      <c r="AD452" s="142"/>
      <c r="AJ452" s="142"/>
      <c r="AP452" s="142"/>
      <c r="AV452" s="142"/>
      <c r="BA452" s="142"/>
      <c r="BH452" s="142"/>
      <c r="BN452" s="142"/>
      <c r="BT452" s="142"/>
      <c r="BZ452" s="142"/>
      <c r="CF452" s="142"/>
      <c r="CL452" s="142"/>
      <c r="CR452" s="142"/>
      <c r="CX452" s="142"/>
      <c r="DD452" s="142"/>
      <c r="DJ452" s="142"/>
      <c r="DP452" s="142"/>
      <c r="DV452" s="142"/>
      <c r="EB452" s="142"/>
      <c r="EH452" s="142"/>
      <c r="EN452" s="142"/>
      <c r="ET452" s="142"/>
      <c r="EZ452" s="142"/>
      <c r="FF452" s="142"/>
      <c r="FL452" s="142"/>
      <c r="FR452" s="142"/>
      <c r="FX452" s="142"/>
      <c r="GD452" s="142"/>
      <c r="GJ452" s="142"/>
      <c r="GP452" s="142"/>
      <c r="GV452" s="142"/>
      <c r="HB452" s="142"/>
      <c r="HH452" s="142"/>
      <c r="HN452" s="142"/>
      <c r="HT452" s="142"/>
      <c r="HZ452" s="142"/>
    </row>
    <row r="453">
      <c r="F453" s="142"/>
      <c r="L453" s="142"/>
      <c r="R453" s="142"/>
      <c r="X453" s="142"/>
      <c r="AD453" s="142"/>
      <c r="AJ453" s="142"/>
      <c r="AP453" s="142"/>
      <c r="AV453" s="142"/>
      <c r="BA453" s="142"/>
      <c r="BH453" s="142"/>
      <c r="BN453" s="142"/>
      <c r="BT453" s="142"/>
      <c r="BZ453" s="142"/>
      <c r="CF453" s="142"/>
      <c r="CL453" s="142"/>
      <c r="CR453" s="142"/>
      <c r="CX453" s="142"/>
      <c r="DD453" s="142"/>
      <c r="DJ453" s="142"/>
      <c r="DP453" s="142"/>
      <c r="DV453" s="142"/>
      <c r="EB453" s="142"/>
      <c r="EH453" s="142"/>
      <c r="EN453" s="142"/>
      <c r="ET453" s="142"/>
      <c r="EZ453" s="142"/>
      <c r="FF453" s="142"/>
      <c r="FL453" s="142"/>
      <c r="FR453" s="142"/>
      <c r="FX453" s="142"/>
      <c r="GD453" s="142"/>
      <c r="GJ453" s="142"/>
      <c r="GP453" s="142"/>
      <c r="GV453" s="142"/>
      <c r="HB453" s="142"/>
      <c r="HH453" s="142"/>
      <c r="HN453" s="142"/>
      <c r="HT453" s="142"/>
      <c r="HZ453" s="142"/>
    </row>
    <row r="454">
      <c r="F454" s="142"/>
      <c r="L454" s="142"/>
      <c r="R454" s="142"/>
      <c r="X454" s="142"/>
      <c r="AD454" s="142"/>
      <c r="AJ454" s="142"/>
      <c r="AP454" s="142"/>
      <c r="AV454" s="142"/>
      <c r="BA454" s="142"/>
      <c r="BH454" s="142"/>
      <c r="BN454" s="142"/>
      <c r="BT454" s="142"/>
      <c r="BZ454" s="142"/>
      <c r="CF454" s="142"/>
      <c r="CL454" s="142"/>
      <c r="CR454" s="142"/>
      <c r="CX454" s="142"/>
      <c r="DD454" s="142"/>
      <c r="DJ454" s="142"/>
      <c r="DP454" s="142"/>
      <c r="DV454" s="142"/>
      <c r="EB454" s="142"/>
      <c r="EH454" s="142"/>
      <c r="EN454" s="142"/>
      <c r="ET454" s="142"/>
      <c r="EZ454" s="142"/>
      <c r="FF454" s="142"/>
      <c r="FL454" s="142"/>
      <c r="FR454" s="142"/>
      <c r="FX454" s="142"/>
      <c r="GD454" s="142"/>
      <c r="GJ454" s="142"/>
      <c r="GP454" s="142"/>
      <c r="GV454" s="142"/>
      <c r="HB454" s="142"/>
      <c r="HH454" s="142"/>
      <c r="HN454" s="142"/>
      <c r="HT454" s="142"/>
      <c r="HZ454" s="142"/>
    </row>
    <row r="455">
      <c r="F455" s="142"/>
      <c r="L455" s="142"/>
      <c r="R455" s="142"/>
      <c r="X455" s="142"/>
      <c r="AD455" s="142"/>
      <c r="AJ455" s="142"/>
      <c r="AP455" s="142"/>
      <c r="AV455" s="142"/>
      <c r="BA455" s="142"/>
      <c r="BH455" s="142"/>
      <c r="BN455" s="142"/>
      <c r="BT455" s="142"/>
      <c r="BZ455" s="142"/>
      <c r="CF455" s="142"/>
      <c r="CL455" s="142"/>
      <c r="CR455" s="142"/>
      <c r="CX455" s="142"/>
      <c r="DD455" s="142"/>
      <c r="DJ455" s="142"/>
      <c r="DP455" s="142"/>
      <c r="DV455" s="142"/>
      <c r="EB455" s="142"/>
      <c r="EH455" s="142"/>
      <c r="EN455" s="142"/>
      <c r="ET455" s="142"/>
      <c r="EZ455" s="142"/>
      <c r="FF455" s="142"/>
      <c r="FL455" s="142"/>
      <c r="FR455" s="142"/>
      <c r="FX455" s="142"/>
      <c r="GD455" s="142"/>
      <c r="GJ455" s="142"/>
      <c r="GP455" s="142"/>
      <c r="GV455" s="142"/>
      <c r="HB455" s="142"/>
      <c r="HH455" s="142"/>
      <c r="HN455" s="142"/>
      <c r="HT455" s="142"/>
      <c r="HZ455" s="142"/>
    </row>
    <row r="456">
      <c r="F456" s="142"/>
      <c r="L456" s="142"/>
      <c r="R456" s="142"/>
      <c r="X456" s="142"/>
      <c r="AD456" s="142"/>
      <c r="AJ456" s="142"/>
      <c r="AP456" s="142"/>
      <c r="AV456" s="142"/>
      <c r="BA456" s="142"/>
      <c r="BH456" s="142"/>
      <c r="BN456" s="142"/>
      <c r="BT456" s="142"/>
      <c r="BZ456" s="142"/>
      <c r="CF456" s="142"/>
      <c r="CL456" s="142"/>
      <c r="CR456" s="142"/>
      <c r="CX456" s="142"/>
      <c r="DD456" s="142"/>
      <c r="DJ456" s="142"/>
      <c r="DP456" s="142"/>
      <c r="DV456" s="142"/>
      <c r="EB456" s="142"/>
      <c r="EH456" s="142"/>
      <c r="EN456" s="142"/>
      <c r="ET456" s="142"/>
      <c r="EZ456" s="142"/>
      <c r="FF456" s="142"/>
      <c r="FL456" s="142"/>
      <c r="FR456" s="142"/>
      <c r="FX456" s="142"/>
      <c r="GD456" s="142"/>
      <c r="GJ456" s="142"/>
      <c r="GP456" s="142"/>
      <c r="GV456" s="142"/>
      <c r="HB456" s="142"/>
      <c r="HH456" s="142"/>
      <c r="HN456" s="142"/>
      <c r="HT456" s="142"/>
      <c r="HZ456" s="142"/>
    </row>
    <row r="457">
      <c r="F457" s="142"/>
      <c r="L457" s="142"/>
      <c r="R457" s="142"/>
      <c r="X457" s="142"/>
      <c r="AD457" s="142"/>
      <c r="AJ457" s="142"/>
      <c r="AP457" s="142"/>
      <c r="AV457" s="142"/>
      <c r="BA457" s="142"/>
      <c r="BH457" s="142"/>
      <c r="BN457" s="142"/>
      <c r="BT457" s="142"/>
      <c r="BZ457" s="142"/>
      <c r="CF457" s="142"/>
      <c r="CL457" s="142"/>
      <c r="CR457" s="142"/>
      <c r="CX457" s="142"/>
      <c r="DD457" s="142"/>
      <c r="DJ457" s="142"/>
      <c r="DP457" s="142"/>
      <c r="DV457" s="142"/>
      <c r="EB457" s="142"/>
      <c r="EH457" s="142"/>
      <c r="EN457" s="142"/>
      <c r="ET457" s="142"/>
      <c r="EZ457" s="142"/>
      <c r="FF457" s="142"/>
      <c r="FL457" s="142"/>
      <c r="FR457" s="142"/>
      <c r="FX457" s="142"/>
      <c r="GD457" s="142"/>
      <c r="GJ457" s="142"/>
      <c r="GP457" s="142"/>
      <c r="GV457" s="142"/>
      <c r="HB457" s="142"/>
      <c r="HH457" s="142"/>
      <c r="HN457" s="142"/>
      <c r="HT457" s="142"/>
      <c r="HZ457" s="142"/>
    </row>
    <row r="458">
      <c r="F458" s="142"/>
      <c r="L458" s="142"/>
      <c r="R458" s="142"/>
      <c r="X458" s="142"/>
      <c r="AD458" s="142"/>
      <c r="AJ458" s="142"/>
      <c r="AP458" s="142"/>
      <c r="AV458" s="142"/>
      <c r="BA458" s="142"/>
      <c r="BH458" s="142"/>
      <c r="BN458" s="142"/>
      <c r="BT458" s="142"/>
      <c r="BZ458" s="142"/>
      <c r="CF458" s="142"/>
      <c r="CL458" s="142"/>
      <c r="CR458" s="142"/>
      <c r="CX458" s="142"/>
      <c r="DD458" s="142"/>
      <c r="DJ458" s="142"/>
      <c r="DP458" s="142"/>
      <c r="DV458" s="142"/>
      <c r="EB458" s="142"/>
      <c r="EH458" s="142"/>
      <c r="EN458" s="142"/>
      <c r="ET458" s="142"/>
      <c r="EZ458" s="142"/>
      <c r="FF458" s="142"/>
      <c r="FL458" s="142"/>
      <c r="FR458" s="142"/>
      <c r="FX458" s="142"/>
      <c r="GD458" s="142"/>
      <c r="GJ458" s="142"/>
      <c r="GP458" s="142"/>
      <c r="GV458" s="142"/>
      <c r="HB458" s="142"/>
      <c r="HH458" s="142"/>
      <c r="HN458" s="142"/>
      <c r="HT458" s="142"/>
      <c r="HZ458" s="142"/>
    </row>
    <row r="459">
      <c r="F459" s="142"/>
      <c r="L459" s="142"/>
      <c r="R459" s="142"/>
      <c r="X459" s="142"/>
      <c r="AD459" s="142"/>
      <c r="AJ459" s="142"/>
      <c r="AP459" s="142"/>
      <c r="AV459" s="142"/>
      <c r="BA459" s="142"/>
      <c r="BH459" s="142"/>
      <c r="BN459" s="142"/>
      <c r="BT459" s="142"/>
      <c r="BZ459" s="142"/>
      <c r="CF459" s="142"/>
      <c r="CL459" s="142"/>
      <c r="CR459" s="142"/>
      <c r="CX459" s="142"/>
      <c r="DD459" s="142"/>
      <c r="DJ459" s="142"/>
      <c r="DP459" s="142"/>
      <c r="DV459" s="142"/>
      <c r="EB459" s="142"/>
      <c r="EH459" s="142"/>
      <c r="EN459" s="142"/>
      <c r="ET459" s="142"/>
      <c r="EZ459" s="142"/>
      <c r="FF459" s="142"/>
      <c r="FL459" s="142"/>
      <c r="FR459" s="142"/>
      <c r="FX459" s="142"/>
      <c r="GD459" s="142"/>
      <c r="GJ459" s="142"/>
      <c r="GP459" s="142"/>
      <c r="GV459" s="142"/>
      <c r="HB459" s="142"/>
      <c r="HH459" s="142"/>
      <c r="HN459" s="142"/>
      <c r="HT459" s="142"/>
      <c r="HZ459" s="142"/>
    </row>
    <row r="460">
      <c r="F460" s="142"/>
      <c r="L460" s="142"/>
      <c r="R460" s="142"/>
      <c r="X460" s="142"/>
      <c r="AD460" s="142"/>
      <c r="AJ460" s="142"/>
      <c r="AP460" s="142"/>
      <c r="AV460" s="142"/>
      <c r="BA460" s="142"/>
      <c r="BH460" s="142"/>
      <c r="BN460" s="142"/>
      <c r="BT460" s="142"/>
      <c r="BZ460" s="142"/>
      <c r="CF460" s="142"/>
      <c r="CL460" s="142"/>
      <c r="CR460" s="142"/>
      <c r="CX460" s="142"/>
      <c r="DD460" s="142"/>
      <c r="DJ460" s="142"/>
      <c r="DP460" s="142"/>
      <c r="DV460" s="142"/>
      <c r="EB460" s="142"/>
      <c r="EH460" s="142"/>
      <c r="EN460" s="142"/>
      <c r="ET460" s="142"/>
      <c r="EZ460" s="142"/>
      <c r="FF460" s="142"/>
      <c r="FL460" s="142"/>
      <c r="FR460" s="142"/>
      <c r="FX460" s="142"/>
      <c r="GD460" s="142"/>
      <c r="GJ460" s="142"/>
      <c r="GP460" s="142"/>
      <c r="GV460" s="142"/>
      <c r="HB460" s="142"/>
      <c r="HH460" s="142"/>
      <c r="HN460" s="142"/>
      <c r="HT460" s="142"/>
      <c r="HZ460" s="142"/>
    </row>
    <row r="461">
      <c r="F461" s="142"/>
      <c r="L461" s="142"/>
      <c r="R461" s="142"/>
      <c r="X461" s="142"/>
      <c r="AD461" s="142"/>
      <c r="AJ461" s="142"/>
      <c r="AP461" s="142"/>
      <c r="AV461" s="142"/>
      <c r="BA461" s="142"/>
      <c r="BH461" s="142"/>
      <c r="BN461" s="142"/>
      <c r="BT461" s="142"/>
      <c r="BZ461" s="142"/>
      <c r="CF461" s="142"/>
      <c r="CL461" s="142"/>
      <c r="CR461" s="142"/>
      <c r="CX461" s="142"/>
      <c r="DD461" s="142"/>
      <c r="DJ461" s="142"/>
      <c r="DP461" s="142"/>
      <c r="DV461" s="142"/>
      <c r="EB461" s="142"/>
      <c r="EH461" s="142"/>
      <c r="EN461" s="142"/>
      <c r="ET461" s="142"/>
      <c r="EZ461" s="142"/>
      <c r="FF461" s="142"/>
      <c r="FL461" s="142"/>
      <c r="FR461" s="142"/>
      <c r="FX461" s="142"/>
      <c r="GD461" s="142"/>
      <c r="GJ461" s="142"/>
      <c r="GP461" s="142"/>
      <c r="GV461" s="142"/>
      <c r="HB461" s="142"/>
      <c r="HH461" s="142"/>
      <c r="HN461" s="142"/>
      <c r="HT461" s="142"/>
      <c r="HZ461" s="142"/>
    </row>
    <row r="462">
      <c r="F462" s="142"/>
      <c r="L462" s="142"/>
      <c r="R462" s="142"/>
      <c r="X462" s="142"/>
      <c r="AD462" s="142"/>
      <c r="AJ462" s="142"/>
      <c r="AP462" s="142"/>
      <c r="AV462" s="142"/>
      <c r="BA462" s="142"/>
      <c r="BH462" s="142"/>
      <c r="BN462" s="142"/>
      <c r="BT462" s="142"/>
      <c r="BZ462" s="142"/>
      <c r="CF462" s="142"/>
      <c r="CL462" s="142"/>
      <c r="CR462" s="142"/>
      <c r="CX462" s="142"/>
      <c r="DD462" s="142"/>
      <c r="DJ462" s="142"/>
      <c r="DP462" s="142"/>
      <c r="DV462" s="142"/>
      <c r="EB462" s="142"/>
      <c r="EH462" s="142"/>
      <c r="EN462" s="142"/>
      <c r="ET462" s="142"/>
      <c r="EZ462" s="142"/>
      <c r="FF462" s="142"/>
      <c r="FL462" s="142"/>
      <c r="FR462" s="142"/>
      <c r="FX462" s="142"/>
      <c r="GD462" s="142"/>
      <c r="GJ462" s="142"/>
      <c r="GP462" s="142"/>
      <c r="GV462" s="142"/>
      <c r="HB462" s="142"/>
      <c r="HH462" s="142"/>
      <c r="HN462" s="142"/>
      <c r="HT462" s="142"/>
      <c r="HZ462" s="142"/>
    </row>
    <row r="463">
      <c r="F463" s="142"/>
      <c r="L463" s="142"/>
      <c r="R463" s="142"/>
      <c r="X463" s="142"/>
      <c r="AD463" s="142"/>
      <c r="AJ463" s="142"/>
      <c r="AP463" s="142"/>
      <c r="AV463" s="142"/>
      <c r="BA463" s="142"/>
      <c r="BH463" s="142"/>
      <c r="BN463" s="142"/>
      <c r="BT463" s="142"/>
      <c r="BZ463" s="142"/>
      <c r="CF463" s="142"/>
      <c r="CL463" s="142"/>
      <c r="CR463" s="142"/>
      <c r="CX463" s="142"/>
      <c r="DD463" s="142"/>
      <c r="DJ463" s="142"/>
      <c r="DP463" s="142"/>
      <c r="DV463" s="142"/>
      <c r="EB463" s="142"/>
      <c r="EH463" s="142"/>
      <c r="EN463" s="142"/>
      <c r="ET463" s="142"/>
      <c r="EZ463" s="142"/>
      <c r="FF463" s="142"/>
      <c r="FL463" s="142"/>
      <c r="FR463" s="142"/>
      <c r="FX463" s="142"/>
      <c r="GD463" s="142"/>
      <c r="GJ463" s="142"/>
      <c r="GP463" s="142"/>
      <c r="GV463" s="142"/>
      <c r="HB463" s="142"/>
      <c r="HH463" s="142"/>
      <c r="HN463" s="142"/>
      <c r="HT463" s="142"/>
      <c r="HZ463" s="142"/>
    </row>
    <row r="464">
      <c r="F464" s="142"/>
      <c r="L464" s="142"/>
      <c r="R464" s="142"/>
      <c r="X464" s="142"/>
      <c r="AD464" s="142"/>
      <c r="AJ464" s="142"/>
      <c r="AP464" s="142"/>
      <c r="AV464" s="142"/>
      <c r="BA464" s="142"/>
      <c r="BH464" s="142"/>
      <c r="BN464" s="142"/>
      <c r="BT464" s="142"/>
      <c r="BZ464" s="142"/>
      <c r="CF464" s="142"/>
      <c r="CL464" s="142"/>
      <c r="CR464" s="142"/>
      <c r="CX464" s="142"/>
      <c r="DD464" s="142"/>
      <c r="DJ464" s="142"/>
      <c r="DP464" s="142"/>
      <c r="DV464" s="142"/>
      <c r="EB464" s="142"/>
      <c r="EH464" s="142"/>
      <c r="EN464" s="142"/>
      <c r="ET464" s="142"/>
      <c r="EZ464" s="142"/>
      <c r="FF464" s="142"/>
      <c r="FL464" s="142"/>
      <c r="FR464" s="142"/>
      <c r="FX464" s="142"/>
      <c r="GD464" s="142"/>
      <c r="GJ464" s="142"/>
      <c r="GP464" s="142"/>
      <c r="GV464" s="142"/>
      <c r="HB464" s="142"/>
      <c r="HH464" s="142"/>
      <c r="HN464" s="142"/>
      <c r="HT464" s="142"/>
      <c r="HZ464" s="142"/>
    </row>
    <row r="465">
      <c r="F465" s="142"/>
      <c r="L465" s="142"/>
      <c r="R465" s="142"/>
      <c r="X465" s="142"/>
      <c r="AD465" s="142"/>
      <c r="AJ465" s="142"/>
      <c r="AP465" s="142"/>
      <c r="AV465" s="142"/>
      <c r="BA465" s="142"/>
      <c r="BH465" s="142"/>
      <c r="BN465" s="142"/>
      <c r="BT465" s="142"/>
      <c r="BZ465" s="142"/>
      <c r="CF465" s="142"/>
      <c r="CL465" s="142"/>
      <c r="CR465" s="142"/>
      <c r="CX465" s="142"/>
      <c r="DD465" s="142"/>
      <c r="DJ465" s="142"/>
      <c r="DP465" s="142"/>
      <c r="DV465" s="142"/>
      <c r="EB465" s="142"/>
      <c r="EH465" s="142"/>
      <c r="EN465" s="142"/>
      <c r="ET465" s="142"/>
      <c r="EZ465" s="142"/>
      <c r="FF465" s="142"/>
      <c r="FL465" s="142"/>
      <c r="FR465" s="142"/>
      <c r="FX465" s="142"/>
      <c r="GD465" s="142"/>
      <c r="GJ465" s="142"/>
      <c r="GP465" s="142"/>
      <c r="GV465" s="142"/>
      <c r="HB465" s="142"/>
      <c r="HH465" s="142"/>
      <c r="HN465" s="142"/>
      <c r="HT465" s="142"/>
      <c r="HZ465" s="142"/>
    </row>
    <row r="466">
      <c r="F466" s="142"/>
      <c r="L466" s="142"/>
      <c r="R466" s="142"/>
      <c r="X466" s="142"/>
      <c r="AD466" s="142"/>
      <c r="AJ466" s="142"/>
      <c r="AP466" s="142"/>
      <c r="AV466" s="142"/>
      <c r="BA466" s="142"/>
      <c r="BH466" s="142"/>
      <c r="BN466" s="142"/>
      <c r="BT466" s="142"/>
      <c r="BZ466" s="142"/>
      <c r="CF466" s="142"/>
      <c r="CL466" s="142"/>
      <c r="CR466" s="142"/>
      <c r="CX466" s="142"/>
      <c r="DD466" s="142"/>
      <c r="DJ466" s="142"/>
      <c r="DP466" s="142"/>
      <c r="DV466" s="142"/>
      <c r="EB466" s="142"/>
      <c r="EH466" s="142"/>
      <c r="EN466" s="142"/>
      <c r="ET466" s="142"/>
      <c r="EZ466" s="142"/>
      <c r="FF466" s="142"/>
      <c r="FL466" s="142"/>
      <c r="FR466" s="142"/>
      <c r="FX466" s="142"/>
      <c r="GD466" s="142"/>
      <c r="GJ466" s="142"/>
      <c r="GP466" s="142"/>
      <c r="GV466" s="142"/>
      <c r="HB466" s="142"/>
      <c r="HH466" s="142"/>
      <c r="HN466" s="142"/>
      <c r="HT466" s="142"/>
      <c r="HZ466" s="142"/>
    </row>
    <row r="467">
      <c r="F467" s="142"/>
      <c r="L467" s="142"/>
      <c r="R467" s="142"/>
      <c r="X467" s="142"/>
      <c r="AD467" s="142"/>
      <c r="AJ467" s="142"/>
      <c r="AP467" s="142"/>
      <c r="AV467" s="142"/>
      <c r="BA467" s="142"/>
      <c r="BH467" s="142"/>
      <c r="BN467" s="142"/>
      <c r="BT467" s="142"/>
      <c r="BZ467" s="142"/>
      <c r="CF467" s="142"/>
      <c r="CL467" s="142"/>
      <c r="CR467" s="142"/>
      <c r="CX467" s="142"/>
      <c r="DD467" s="142"/>
      <c r="DJ467" s="142"/>
      <c r="DP467" s="142"/>
      <c r="DV467" s="142"/>
      <c r="EB467" s="142"/>
      <c r="EH467" s="142"/>
      <c r="EN467" s="142"/>
      <c r="ET467" s="142"/>
      <c r="EZ467" s="142"/>
      <c r="FF467" s="142"/>
      <c r="FL467" s="142"/>
      <c r="FR467" s="142"/>
      <c r="FX467" s="142"/>
      <c r="GD467" s="142"/>
      <c r="GJ467" s="142"/>
      <c r="GP467" s="142"/>
      <c r="GV467" s="142"/>
      <c r="HB467" s="142"/>
      <c r="HH467" s="142"/>
      <c r="HN467" s="142"/>
      <c r="HT467" s="142"/>
      <c r="HZ467" s="142"/>
    </row>
    <row r="468">
      <c r="F468" s="142"/>
      <c r="L468" s="142"/>
      <c r="R468" s="142"/>
      <c r="X468" s="142"/>
      <c r="AD468" s="142"/>
      <c r="AJ468" s="142"/>
      <c r="AP468" s="142"/>
      <c r="AV468" s="142"/>
      <c r="BA468" s="142"/>
      <c r="BH468" s="142"/>
      <c r="BN468" s="142"/>
      <c r="BT468" s="142"/>
      <c r="BZ468" s="142"/>
      <c r="CF468" s="142"/>
      <c r="CL468" s="142"/>
      <c r="CR468" s="142"/>
      <c r="CX468" s="142"/>
      <c r="DD468" s="142"/>
      <c r="DJ468" s="142"/>
      <c r="DP468" s="142"/>
      <c r="DV468" s="142"/>
      <c r="EB468" s="142"/>
      <c r="EH468" s="142"/>
      <c r="EN468" s="142"/>
      <c r="ET468" s="142"/>
      <c r="EZ468" s="142"/>
      <c r="FF468" s="142"/>
      <c r="FL468" s="142"/>
      <c r="FR468" s="142"/>
      <c r="FX468" s="142"/>
      <c r="GD468" s="142"/>
      <c r="GJ468" s="142"/>
      <c r="GP468" s="142"/>
      <c r="GV468" s="142"/>
      <c r="HB468" s="142"/>
      <c r="HH468" s="142"/>
      <c r="HN468" s="142"/>
      <c r="HT468" s="142"/>
      <c r="HZ468" s="142"/>
    </row>
    <row r="469">
      <c r="F469" s="142"/>
      <c r="L469" s="142"/>
      <c r="R469" s="142"/>
      <c r="X469" s="142"/>
      <c r="AD469" s="142"/>
      <c r="AJ469" s="142"/>
      <c r="AP469" s="142"/>
      <c r="AV469" s="142"/>
      <c r="BA469" s="142"/>
      <c r="BH469" s="142"/>
      <c r="BN469" s="142"/>
      <c r="BT469" s="142"/>
      <c r="BZ469" s="142"/>
      <c r="CF469" s="142"/>
      <c r="CL469" s="142"/>
      <c r="CR469" s="142"/>
      <c r="CX469" s="142"/>
      <c r="DD469" s="142"/>
      <c r="DJ469" s="142"/>
      <c r="DP469" s="142"/>
      <c r="DV469" s="142"/>
      <c r="EB469" s="142"/>
      <c r="EH469" s="142"/>
      <c r="EN469" s="142"/>
      <c r="ET469" s="142"/>
      <c r="EZ469" s="142"/>
      <c r="FF469" s="142"/>
      <c r="FL469" s="142"/>
      <c r="FR469" s="142"/>
      <c r="FX469" s="142"/>
      <c r="GD469" s="142"/>
      <c r="GJ469" s="142"/>
      <c r="GP469" s="142"/>
      <c r="GV469" s="142"/>
      <c r="HB469" s="142"/>
      <c r="HH469" s="142"/>
      <c r="HN469" s="142"/>
      <c r="HT469" s="142"/>
      <c r="HZ469" s="142"/>
    </row>
    <row r="470">
      <c r="F470" s="142"/>
      <c r="L470" s="142"/>
      <c r="R470" s="142"/>
      <c r="X470" s="142"/>
      <c r="AD470" s="142"/>
      <c r="AJ470" s="142"/>
      <c r="AP470" s="142"/>
      <c r="AV470" s="142"/>
      <c r="BA470" s="142"/>
      <c r="BH470" s="142"/>
      <c r="BN470" s="142"/>
      <c r="BT470" s="142"/>
      <c r="BZ470" s="142"/>
      <c r="CF470" s="142"/>
      <c r="CL470" s="142"/>
      <c r="CR470" s="142"/>
      <c r="CX470" s="142"/>
      <c r="DD470" s="142"/>
      <c r="DJ470" s="142"/>
      <c r="DP470" s="142"/>
      <c r="DV470" s="142"/>
      <c r="EB470" s="142"/>
      <c r="EH470" s="142"/>
      <c r="EN470" s="142"/>
      <c r="ET470" s="142"/>
      <c r="EZ470" s="142"/>
      <c r="FF470" s="142"/>
      <c r="FL470" s="142"/>
      <c r="FR470" s="142"/>
      <c r="FX470" s="142"/>
      <c r="GD470" s="142"/>
      <c r="GJ470" s="142"/>
      <c r="GP470" s="142"/>
      <c r="GV470" s="142"/>
      <c r="HB470" s="142"/>
      <c r="HH470" s="142"/>
      <c r="HN470" s="142"/>
      <c r="HT470" s="142"/>
      <c r="HZ470" s="142"/>
    </row>
    <row r="471">
      <c r="F471" s="142"/>
      <c r="L471" s="142"/>
      <c r="R471" s="142"/>
      <c r="X471" s="142"/>
      <c r="AD471" s="142"/>
      <c r="AJ471" s="142"/>
      <c r="AP471" s="142"/>
      <c r="AV471" s="142"/>
      <c r="BA471" s="142"/>
      <c r="BH471" s="142"/>
      <c r="BN471" s="142"/>
      <c r="BT471" s="142"/>
      <c r="BZ471" s="142"/>
      <c r="CF471" s="142"/>
      <c r="CL471" s="142"/>
      <c r="CR471" s="142"/>
      <c r="CX471" s="142"/>
      <c r="DD471" s="142"/>
      <c r="DJ471" s="142"/>
      <c r="DP471" s="142"/>
      <c r="DV471" s="142"/>
      <c r="EB471" s="142"/>
      <c r="EH471" s="142"/>
      <c r="EN471" s="142"/>
      <c r="ET471" s="142"/>
      <c r="EZ471" s="142"/>
      <c r="FF471" s="142"/>
      <c r="FL471" s="142"/>
      <c r="FR471" s="142"/>
      <c r="FX471" s="142"/>
      <c r="GD471" s="142"/>
      <c r="GJ471" s="142"/>
      <c r="GP471" s="142"/>
      <c r="GV471" s="142"/>
      <c r="HB471" s="142"/>
      <c r="HH471" s="142"/>
      <c r="HN471" s="142"/>
      <c r="HT471" s="142"/>
      <c r="HZ471" s="142"/>
    </row>
    <row r="472">
      <c r="F472" s="142"/>
      <c r="L472" s="142"/>
      <c r="R472" s="142"/>
      <c r="X472" s="142"/>
      <c r="AD472" s="142"/>
      <c r="AJ472" s="142"/>
      <c r="AP472" s="142"/>
      <c r="AV472" s="142"/>
      <c r="BA472" s="142"/>
      <c r="BH472" s="142"/>
      <c r="BN472" s="142"/>
      <c r="BT472" s="142"/>
      <c r="BZ472" s="142"/>
      <c r="CF472" s="142"/>
      <c r="CL472" s="142"/>
      <c r="CR472" s="142"/>
      <c r="CX472" s="142"/>
      <c r="DD472" s="142"/>
      <c r="DJ472" s="142"/>
      <c r="DP472" s="142"/>
      <c r="DV472" s="142"/>
      <c r="EB472" s="142"/>
      <c r="EH472" s="142"/>
      <c r="EN472" s="142"/>
      <c r="ET472" s="142"/>
      <c r="EZ472" s="142"/>
      <c r="FF472" s="142"/>
      <c r="FL472" s="142"/>
      <c r="FR472" s="142"/>
      <c r="FX472" s="142"/>
      <c r="GD472" s="142"/>
      <c r="GJ472" s="142"/>
      <c r="GP472" s="142"/>
      <c r="GV472" s="142"/>
      <c r="HB472" s="142"/>
      <c r="HH472" s="142"/>
      <c r="HN472" s="142"/>
      <c r="HT472" s="142"/>
      <c r="HZ472" s="142"/>
    </row>
    <row r="473">
      <c r="F473" s="142"/>
      <c r="L473" s="142"/>
      <c r="R473" s="142"/>
      <c r="X473" s="142"/>
      <c r="AD473" s="142"/>
      <c r="AJ473" s="142"/>
      <c r="AP473" s="142"/>
      <c r="AV473" s="142"/>
      <c r="BA473" s="142"/>
      <c r="BH473" s="142"/>
      <c r="BN473" s="142"/>
      <c r="BT473" s="142"/>
      <c r="BZ473" s="142"/>
      <c r="CF473" s="142"/>
      <c r="CL473" s="142"/>
      <c r="CR473" s="142"/>
      <c r="CX473" s="142"/>
      <c r="DD473" s="142"/>
      <c r="DJ473" s="142"/>
      <c r="DP473" s="142"/>
      <c r="DV473" s="142"/>
      <c r="EB473" s="142"/>
      <c r="EH473" s="142"/>
      <c r="EN473" s="142"/>
      <c r="ET473" s="142"/>
      <c r="EZ473" s="142"/>
      <c r="FF473" s="142"/>
      <c r="FL473" s="142"/>
      <c r="FR473" s="142"/>
      <c r="FX473" s="142"/>
      <c r="GD473" s="142"/>
      <c r="GJ473" s="142"/>
      <c r="GP473" s="142"/>
      <c r="GV473" s="142"/>
      <c r="HB473" s="142"/>
      <c r="HH473" s="142"/>
      <c r="HN473" s="142"/>
      <c r="HT473" s="142"/>
      <c r="HZ473" s="142"/>
    </row>
    <row r="474">
      <c r="F474" s="142"/>
      <c r="L474" s="142"/>
      <c r="R474" s="142"/>
      <c r="X474" s="142"/>
      <c r="AD474" s="142"/>
      <c r="AJ474" s="142"/>
      <c r="AP474" s="142"/>
      <c r="AV474" s="142"/>
      <c r="BA474" s="142"/>
      <c r="BH474" s="142"/>
      <c r="BN474" s="142"/>
      <c r="BT474" s="142"/>
      <c r="BZ474" s="142"/>
      <c r="CF474" s="142"/>
      <c r="CL474" s="142"/>
      <c r="CR474" s="142"/>
      <c r="CX474" s="142"/>
      <c r="DD474" s="142"/>
      <c r="DJ474" s="142"/>
      <c r="DP474" s="142"/>
      <c r="DV474" s="142"/>
      <c r="EB474" s="142"/>
      <c r="EH474" s="142"/>
      <c r="EN474" s="142"/>
      <c r="ET474" s="142"/>
      <c r="EZ474" s="142"/>
      <c r="FF474" s="142"/>
      <c r="FL474" s="142"/>
      <c r="FR474" s="142"/>
      <c r="FX474" s="142"/>
      <c r="GD474" s="142"/>
      <c r="GJ474" s="142"/>
      <c r="GP474" s="142"/>
      <c r="GV474" s="142"/>
      <c r="HB474" s="142"/>
      <c r="HH474" s="142"/>
      <c r="HN474" s="142"/>
      <c r="HT474" s="142"/>
      <c r="HZ474" s="142"/>
    </row>
    <row r="475">
      <c r="F475" s="142"/>
      <c r="L475" s="142"/>
      <c r="R475" s="142"/>
      <c r="X475" s="142"/>
      <c r="AD475" s="142"/>
      <c r="AJ475" s="142"/>
      <c r="AP475" s="142"/>
      <c r="AV475" s="142"/>
      <c r="BA475" s="142"/>
      <c r="BH475" s="142"/>
      <c r="BN475" s="142"/>
      <c r="BT475" s="142"/>
      <c r="BZ475" s="142"/>
      <c r="CF475" s="142"/>
      <c r="CL475" s="142"/>
      <c r="CR475" s="142"/>
      <c r="CX475" s="142"/>
      <c r="DD475" s="142"/>
      <c r="DJ475" s="142"/>
      <c r="DP475" s="142"/>
      <c r="DV475" s="142"/>
      <c r="EB475" s="142"/>
      <c r="EH475" s="142"/>
      <c r="EN475" s="142"/>
      <c r="ET475" s="142"/>
      <c r="EZ475" s="142"/>
      <c r="FF475" s="142"/>
      <c r="FL475" s="142"/>
      <c r="FR475" s="142"/>
      <c r="FX475" s="142"/>
      <c r="GD475" s="142"/>
      <c r="GJ475" s="142"/>
      <c r="GP475" s="142"/>
      <c r="GV475" s="142"/>
      <c r="HB475" s="142"/>
      <c r="HH475" s="142"/>
      <c r="HN475" s="142"/>
      <c r="HT475" s="142"/>
      <c r="HZ475" s="142"/>
    </row>
    <row r="476">
      <c r="F476" s="142"/>
      <c r="L476" s="142"/>
      <c r="R476" s="142"/>
      <c r="X476" s="142"/>
      <c r="AD476" s="142"/>
      <c r="AJ476" s="142"/>
      <c r="AP476" s="142"/>
      <c r="AV476" s="142"/>
      <c r="BA476" s="142"/>
      <c r="BH476" s="142"/>
      <c r="BN476" s="142"/>
      <c r="BT476" s="142"/>
      <c r="BZ476" s="142"/>
      <c r="CF476" s="142"/>
      <c r="CL476" s="142"/>
      <c r="CR476" s="142"/>
      <c r="CX476" s="142"/>
      <c r="DD476" s="142"/>
      <c r="DJ476" s="142"/>
      <c r="DP476" s="142"/>
      <c r="DV476" s="142"/>
      <c r="EB476" s="142"/>
      <c r="EH476" s="142"/>
      <c r="EN476" s="142"/>
      <c r="ET476" s="142"/>
      <c r="EZ476" s="142"/>
      <c r="FF476" s="142"/>
      <c r="FL476" s="142"/>
      <c r="FR476" s="142"/>
      <c r="FX476" s="142"/>
      <c r="GD476" s="142"/>
      <c r="GJ476" s="142"/>
      <c r="GP476" s="142"/>
      <c r="GV476" s="142"/>
      <c r="HB476" s="142"/>
      <c r="HH476" s="142"/>
      <c r="HN476" s="142"/>
      <c r="HT476" s="142"/>
      <c r="HZ476" s="142"/>
    </row>
    <row r="477">
      <c r="F477" s="142"/>
      <c r="L477" s="142"/>
      <c r="R477" s="142"/>
      <c r="X477" s="142"/>
      <c r="AD477" s="142"/>
      <c r="AJ477" s="142"/>
      <c r="AP477" s="142"/>
      <c r="AV477" s="142"/>
      <c r="BA477" s="142"/>
      <c r="BH477" s="142"/>
      <c r="BN477" s="142"/>
      <c r="BT477" s="142"/>
      <c r="BZ477" s="142"/>
      <c r="CF477" s="142"/>
      <c r="CL477" s="142"/>
      <c r="CR477" s="142"/>
      <c r="CX477" s="142"/>
      <c r="DD477" s="142"/>
      <c r="DJ477" s="142"/>
      <c r="DP477" s="142"/>
      <c r="DV477" s="142"/>
      <c r="EB477" s="142"/>
      <c r="EH477" s="142"/>
      <c r="EN477" s="142"/>
      <c r="ET477" s="142"/>
      <c r="EZ477" s="142"/>
      <c r="FF477" s="142"/>
      <c r="FL477" s="142"/>
      <c r="FR477" s="142"/>
      <c r="FX477" s="142"/>
      <c r="GD477" s="142"/>
      <c r="GJ477" s="142"/>
      <c r="GP477" s="142"/>
      <c r="GV477" s="142"/>
      <c r="HB477" s="142"/>
      <c r="HH477" s="142"/>
      <c r="HN477" s="142"/>
      <c r="HT477" s="142"/>
      <c r="HZ477" s="142"/>
    </row>
    <row r="478">
      <c r="F478" s="142"/>
      <c r="L478" s="142"/>
      <c r="R478" s="142"/>
      <c r="X478" s="142"/>
      <c r="AD478" s="142"/>
      <c r="AJ478" s="142"/>
      <c r="AP478" s="142"/>
      <c r="AV478" s="142"/>
      <c r="BA478" s="142"/>
      <c r="BH478" s="142"/>
      <c r="BN478" s="142"/>
      <c r="BT478" s="142"/>
      <c r="BZ478" s="142"/>
      <c r="CF478" s="142"/>
      <c r="CL478" s="142"/>
      <c r="CR478" s="142"/>
      <c r="CX478" s="142"/>
      <c r="DD478" s="142"/>
      <c r="DJ478" s="142"/>
      <c r="DP478" s="142"/>
      <c r="DV478" s="142"/>
      <c r="EB478" s="142"/>
      <c r="EH478" s="142"/>
      <c r="EN478" s="142"/>
      <c r="ET478" s="142"/>
      <c r="EZ478" s="142"/>
      <c r="FF478" s="142"/>
      <c r="FL478" s="142"/>
      <c r="FR478" s="142"/>
      <c r="FX478" s="142"/>
      <c r="GD478" s="142"/>
      <c r="GJ478" s="142"/>
      <c r="GP478" s="142"/>
      <c r="GV478" s="142"/>
      <c r="HB478" s="142"/>
      <c r="HH478" s="142"/>
      <c r="HN478" s="142"/>
      <c r="HT478" s="142"/>
      <c r="HZ478" s="142"/>
    </row>
    <row r="479">
      <c r="F479" s="142"/>
      <c r="L479" s="142"/>
      <c r="R479" s="142"/>
      <c r="X479" s="142"/>
      <c r="AD479" s="142"/>
      <c r="AJ479" s="142"/>
      <c r="AP479" s="142"/>
      <c r="AV479" s="142"/>
      <c r="BA479" s="142"/>
      <c r="BH479" s="142"/>
      <c r="BN479" s="142"/>
      <c r="BT479" s="142"/>
      <c r="BZ479" s="142"/>
      <c r="CF479" s="142"/>
      <c r="CL479" s="142"/>
      <c r="CR479" s="142"/>
      <c r="CX479" s="142"/>
      <c r="DD479" s="142"/>
      <c r="DJ479" s="142"/>
      <c r="DP479" s="142"/>
      <c r="DV479" s="142"/>
      <c r="EB479" s="142"/>
      <c r="EH479" s="142"/>
      <c r="EN479" s="142"/>
      <c r="ET479" s="142"/>
      <c r="EZ479" s="142"/>
      <c r="FF479" s="142"/>
      <c r="FL479" s="142"/>
      <c r="FR479" s="142"/>
      <c r="FX479" s="142"/>
      <c r="GD479" s="142"/>
      <c r="GJ479" s="142"/>
      <c r="GP479" s="142"/>
      <c r="GV479" s="142"/>
      <c r="HB479" s="142"/>
      <c r="HH479" s="142"/>
      <c r="HN479" s="142"/>
      <c r="HT479" s="142"/>
      <c r="HZ479" s="142"/>
    </row>
    <row r="480">
      <c r="F480" s="142"/>
      <c r="L480" s="142"/>
      <c r="R480" s="142"/>
      <c r="X480" s="142"/>
      <c r="AD480" s="142"/>
      <c r="AJ480" s="142"/>
      <c r="AP480" s="142"/>
      <c r="AV480" s="142"/>
      <c r="BA480" s="142"/>
      <c r="BH480" s="142"/>
      <c r="BN480" s="142"/>
      <c r="BT480" s="142"/>
      <c r="BZ480" s="142"/>
      <c r="CF480" s="142"/>
      <c r="CL480" s="142"/>
      <c r="CR480" s="142"/>
      <c r="CX480" s="142"/>
      <c r="DD480" s="142"/>
      <c r="DJ480" s="142"/>
      <c r="DP480" s="142"/>
      <c r="DV480" s="142"/>
      <c r="EB480" s="142"/>
      <c r="EH480" s="142"/>
      <c r="EN480" s="142"/>
      <c r="ET480" s="142"/>
      <c r="EZ480" s="142"/>
      <c r="FF480" s="142"/>
      <c r="FL480" s="142"/>
      <c r="FR480" s="142"/>
      <c r="FX480" s="142"/>
      <c r="GD480" s="142"/>
      <c r="GJ480" s="142"/>
      <c r="GP480" s="142"/>
      <c r="GV480" s="142"/>
      <c r="HB480" s="142"/>
      <c r="HH480" s="142"/>
      <c r="HN480" s="142"/>
      <c r="HT480" s="142"/>
      <c r="HZ480" s="142"/>
    </row>
    <row r="481">
      <c r="F481" s="142"/>
      <c r="L481" s="142"/>
      <c r="R481" s="142"/>
      <c r="X481" s="142"/>
      <c r="AD481" s="142"/>
      <c r="AJ481" s="142"/>
      <c r="AP481" s="142"/>
      <c r="AV481" s="142"/>
      <c r="BA481" s="142"/>
      <c r="BH481" s="142"/>
      <c r="BN481" s="142"/>
      <c r="BT481" s="142"/>
      <c r="BZ481" s="142"/>
      <c r="CF481" s="142"/>
      <c r="CL481" s="142"/>
      <c r="CR481" s="142"/>
      <c r="CX481" s="142"/>
      <c r="DD481" s="142"/>
      <c r="DJ481" s="142"/>
      <c r="DP481" s="142"/>
      <c r="DV481" s="142"/>
      <c r="EB481" s="142"/>
      <c r="EH481" s="142"/>
      <c r="EN481" s="142"/>
      <c r="ET481" s="142"/>
      <c r="EZ481" s="142"/>
      <c r="FF481" s="142"/>
      <c r="FL481" s="142"/>
      <c r="FR481" s="142"/>
      <c r="FX481" s="142"/>
      <c r="GD481" s="142"/>
      <c r="GJ481" s="142"/>
      <c r="GP481" s="142"/>
      <c r="GV481" s="142"/>
      <c r="HB481" s="142"/>
      <c r="HH481" s="142"/>
      <c r="HN481" s="142"/>
      <c r="HT481" s="142"/>
      <c r="HZ481" s="142"/>
    </row>
    <row r="482">
      <c r="F482" s="142"/>
      <c r="L482" s="142"/>
      <c r="R482" s="142"/>
      <c r="X482" s="142"/>
      <c r="AD482" s="142"/>
      <c r="AJ482" s="142"/>
      <c r="AP482" s="142"/>
      <c r="AV482" s="142"/>
      <c r="BA482" s="142"/>
      <c r="BH482" s="142"/>
      <c r="BN482" s="142"/>
      <c r="BT482" s="142"/>
      <c r="BZ482" s="142"/>
      <c r="CF482" s="142"/>
      <c r="CL482" s="142"/>
      <c r="CR482" s="142"/>
      <c r="CX482" s="142"/>
      <c r="DD482" s="142"/>
      <c r="DJ482" s="142"/>
      <c r="DP482" s="142"/>
      <c r="DV482" s="142"/>
      <c r="EB482" s="142"/>
      <c r="EH482" s="142"/>
      <c r="EN482" s="142"/>
      <c r="ET482" s="142"/>
      <c r="EZ482" s="142"/>
      <c r="FF482" s="142"/>
      <c r="FL482" s="142"/>
      <c r="FR482" s="142"/>
      <c r="FX482" s="142"/>
      <c r="GD482" s="142"/>
      <c r="GJ482" s="142"/>
      <c r="GP482" s="142"/>
      <c r="GV482" s="142"/>
      <c r="HB482" s="142"/>
      <c r="HH482" s="142"/>
      <c r="HN482" s="142"/>
      <c r="HT482" s="142"/>
      <c r="HZ482" s="142"/>
    </row>
    <row r="483">
      <c r="F483" s="142"/>
      <c r="L483" s="142"/>
      <c r="R483" s="142"/>
      <c r="X483" s="142"/>
      <c r="AD483" s="142"/>
      <c r="AJ483" s="142"/>
      <c r="AP483" s="142"/>
      <c r="AV483" s="142"/>
      <c r="BA483" s="142"/>
      <c r="BH483" s="142"/>
      <c r="BN483" s="142"/>
      <c r="BT483" s="142"/>
      <c r="BZ483" s="142"/>
      <c r="CF483" s="142"/>
      <c r="CL483" s="142"/>
      <c r="CR483" s="142"/>
      <c r="CX483" s="142"/>
      <c r="DD483" s="142"/>
      <c r="DJ483" s="142"/>
      <c r="DP483" s="142"/>
      <c r="DV483" s="142"/>
      <c r="EB483" s="142"/>
      <c r="EH483" s="142"/>
      <c r="EN483" s="142"/>
      <c r="ET483" s="142"/>
      <c r="EZ483" s="142"/>
      <c r="FF483" s="142"/>
      <c r="FL483" s="142"/>
      <c r="FR483" s="142"/>
      <c r="FX483" s="142"/>
      <c r="GD483" s="142"/>
      <c r="GJ483" s="142"/>
      <c r="GP483" s="142"/>
      <c r="GV483" s="142"/>
      <c r="HB483" s="142"/>
      <c r="HH483" s="142"/>
      <c r="HN483" s="142"/>
      <c r="HT483" s="142"/>
      <c r="HZ483" s="142"/>
    </row>
    <row r="484">
      <c r="F484" s="142"/>
      <c r="L484" s="142"/>
      <c r="R484" s="142"/>
      <c r="X484" s="142"/>
      <c r="AD484" s="142"/>
      <c r="AJ484" s="142"/>
      <c r="AP484" s="142"/>
      <c r="AV484" s="142"/>
      <c r="BA484" s="142"/>
      <c r="BH484" s="142"/>
      <c r="BN484" s="142"/>
      <c r="BT484" s="142"/>
      <c r="BZ484" s="142"/>
      <c r="CF484" s="142"/>
      <c r="CL484" s="142"/>
      <c r="CR484" s="142"/>
      <c r="CX484" s="142"/>
      <c r="DD484" s="142"/>
      <c r="DJ484" s="142"/>
      <c r="DP484" s="142"/>
      <c r="DV484" s="142"/>
      <c r="EB484" s="142"/>
      <c r="EH484" s="142"/>
      <c r="EN484" s="142"/>
      <c r="ET484" s="142"/>
      <c r="EZ484" s="142"/>
      <c r="FF484" s="142"/>
      <c r="FL484" s="142"/>
      <c r="FR484" s="142"/>
      <c r="FX484" s="142"/>
      <c r="GD484" s="142"/>
      <c r="GJ484" s="142"/>
      <c r="GP484" s="142"/>
      <c r="GV484" s="142"/>
      <c r="HB484" s="142"/>
      <c r="HH484" s="142"/>
      <c r="HN484" s="142"/>
      <c r="HT484" s="142"/>
      <c r="HZ484" s="142"/>
    </row>
    <row r="485">
      <c r="F485" s="142"/>
      <c r="L485" s="142"/>
      <c r="R485" s="142"/>
      <c r="X485" s="142"/>
      <c r="AD485" s="142"/>
      <c r="AJ485" s="142"/>
      <c r="AP485" s="142"/>
      <c r="AV485" s="142"/>
      <c r="BA485" s="142"/>
      <c r="BH485" s="142"/>
      <c r="BN485" s="142"/>
      <c r="BT485" s="142"/>
      <c r="BZ485" s="142"/>
      <c r="CF485" s="142"/>
      <c r="CL485" s="142"/>
      <c r="CR485" s="142"/>
      <c r="CX485" s="142"/>
      <c r="DD485" s="142"/>
      <c r="DJ485" s="142"/>
      <c r="DP485" s="142"/>
      <c r="DV485" s="142"/>
      <c r="EB485" s="142"/>
      <c r="EH485" s="142"/>
      <c r="EN485" s="142"/>
      <c r="ET485" s="142"/>
      <c r="EZ485" s="142"/>
      <c r="FF485" s="142"/>
      <c r="FL485" s="142"/>
      <c r="FR485" s="142"/>
      <c r="FX485" s="142"/>
      <c r="GD485" s="142"/>
      <c r="GJ485" s="142"/>
      <c r="GP485" s="142"/>
      <c r="GV485" s="142"/>
      <c r="HB485" s="142"/>
      <c r="HH485" s="142"/>
      <c r="HN485" s="142"/>
      <c r="HT485" s="142"/>
      <c r="HZ485" s="142"/>
    </row>
    <row r="486">
      <c r="F486" s="142"/>
      <c r="L486" s="142"/>
      <c r="R486" s="142"/>
      <c r="X486" s="142"/>
      <c r="AD486" s="142"/>
      <c r="AJ486" s="142"/>
      <c r="AP486" s="142"/>
      <c r="AV486" s="142"/>
      <c r="BA486" s="142"/>
      <c r="BH486" s="142"/>
      <c r="BN486" s="142"/>
      <c r="BT486" s="142"/>
      <c r="BZ486" s="142"/>
      <c r="CF486" s="142"/>
      <c r="CL486" s="142"/>
      <c r="CR486" s="142"/>
      <c r="CX486" s="142"/>
      <c r="DD486" s="142"/>
      <c r="DJ486" s="142"/>
      <c r="DP486" s="142"/>
      <c r="DV486" s="142"/>
      <c r="EB486" s="142"/>
      <c r="EH486" s="142"/>
      <c r="EN486" s="142"/>
      <c r="ET486" s="142"/>
      <c r="EZ486" s="142"/>
      <c r="FF486" s="142"/>
      <c r="FL486" s="142"/>
      <c r="FR486" s="142"/>
      <c r="FX486" s="142"/>
      <c r="GD486" s="142"/>
      <c r="GJ486" s="142"/>
      <c r="GP486" s="142"/>
      <c r="GV486" s="142"/>
      <c r="HB486" s="142"/>
      <c r="HH486" s="142"/>
      <c r="HN486" s="142"/>
      <c r="HT486" s="142"/>
      <c r="HZ486" s="142"/>
    </row>
    <row r="487">
      <c r="F487" s="142"/>
      <c r="L487" s="142"/>
      <c r="R487" s="142"/>
      <c r="X487" s="142"/>
      <c r="AD487" s="142"/>
      <c r="AJ487" s="142"/>
      <c r="AP487" s="142"/>
      <c r="AV487" s="142"/>
      <c r="BA487" s="142"/>
      <c r="BH487" s="142"/>
      <c r="BN487" s="142"/>
      <c r="BT487" s="142"/>
      <c r="BZ487" s="142"/>
      <c r="CF487" s="142"/>
      <c r="CL487" s="142"/>
      <c r="CR487" s="142"/>
      <c r="CX487" s="142"/>
      <c r="DD487" s="142"/>
      <c r="DJ487" s="142"/>
      <c r="DP487" s="142"/>
      <c r="DV487" s="142"/>
      <c r="EB487" s="142"/>
      <c r="EH487" s="142"/>
      <c r="EN487" s="142"/>
      <c r="ET487" s="142"/>
      <c r="EZ487" s="142"/>
      <c r="FF487" s="142"/>
      <c r="FL487" s="142"/>
      <c r="FR487" s="142"/>
      <c r="FX487" s="142"/>
      <c r="GD487" s="142"/>
      <c r="GJ487" s="142"/>
      <c r="GP487" s="142"/>
      <c r="GV487" s="142"/>
      <c r="HB487" s="142"/>
      <c r="HH487" s="142"/>
      <c r="HN487" s="142"/>
      <c r="HT487" s="142"/>
      <c r="HZ487" s="142"/>
    </row>
    <row r="488">
      <c r="F488" s="142"/>
      <c r="L488" s="142"/>
      <c r="R488" s="142"/>
      <c r="X488" s="142"/>
      <c r="AD488" s="142"/>
      <c r="AJ488" s="142"/>
      <c r="AP488" s="142"/>
      <c r="AV488" s="142"/>
      <c r="BA488" s="142"/>
      <c r="BH488" s="142"/>
      <c r="BN488" s="142"/>
      <c r="BT488" s="142"/>
      <c r="BZ488" s="142"/>
      <c r="CF488" s="142"/>
      <c r="CL488" s="142"/>
      <c r="CR488" s="142"/>
      <c r="CX488" s="142"/>
      <c r="DD488" s="142"/>
      <c r="DJ488" s="142"/>
      <c r="DP488" s="142"/>
      <c r="DV488" s="142"/>
      <c r="EB488" s="142"/>
      <c r="EH488" s="142"/>
      <c r="EN488" s="142"/>
      <c r="ET488" s="142"/>
      <c r="EZ488" s="142"/>
      <c r="FF488" s="142"/>
      <c r="FL488" s="142"/>
      <c r="FR488" s="142"/>
      <c r="FX488" s="142"/>
      <c r="GD488" s="142"/>
      <c r="GJ488" s="142"/>
      <c r="GP488" s="142"/>
      <c r="GV488" s="142"/>
      <c r="HB488" s="142"/>
      <c r="HH488" s="142"/>
      <c r="HN488" s="142"/>
      <c r="HT488" s="142"/>
      <c r="HZ488" s="142"/>
    </row>
    <row r="489">
      <c r="F489" s="142"/>
      <c r="L489" s="142"/>
      <c r="R489" s="142"/>
      <c r="X489" s="142"/>
      <c r="AD489" s="142"/>
      <c r="AJ489" s="142"/>
      <c r="AP489" s="142"/>
      <c r="AV489" s="142"/>
      <c r="BA489" s="142"/>
      <c r="BH489" s="142"/>
      <c r="BN489" s="142"/>
      <c r="BT489" s="142"/>
      <c r="BZ489" s="142"/>
      <c r="CF489" s="142"/>
      <c r="CL489" s="142"/>
      <c r="CR489" s="142"/>
      <c r="CX489" s="142"/>
      <c r="DD489" s="142"/>
      <c r="DJ489" s="142"/>
      <c r="DP489" s="142"/>
      <c r="DV489" s="142"/>
      <c r="EB489" s="142"/>
      <c r="EH489" s="142"/>
      <c r="EN489" s="142"/>
      <c r="ET489" s="142"/>
      <c r="EZ489" s="142"/>
      <c r="FF489" s="142"/>
      <c r="FL489" s="142"/>
      <c r="FR489" s="142"/>
      <c r="FX489" s="142"/>
      <c r="GD489" s="142"/>
      <c r="GJ489" s="142"/>
      <c r="GP489" s="142"/>
      <c r="GV489" s="142"/>
      <c r="HB489" s="142"/>
      <c r="HH489" s="142"/>
      <c r="HN489" s="142"/>
      <c r="HT489" s="142"/>
      <c r="HZ489" s="142"/>
    </row>
    <row r="490">
      <c r="F490" s="142"/>
      <c r="L490" s="142"/>
      <c r="R490" s="142"/>
      <c r="X490" s="142"/>
      <c r="AD490" s="142"/>
      <c r="AJ490" s="142"/>
      <c r="AP490" s="142"/>
      <c r="AV490" s="142"/>
      <c r="BA490" s="142"/>
      <c r="BH490" s="142"/>
      <c r="BN490" s="142"/>
      <c r="BT490" s="142"/>
      <c r="BZ490" s="142"/>
      <c r="CF490" s="142"/>
      <c r="CL490" s="142"/>
      <c r="CR490" s="142"/>
      <c r="CX490" s="142"/>
      <c r="DD490" s="142"/>
      <c r="DJ490" s="142"/>
      <c r="DP490" s="142"/>
      <c r="DV490" s="142"/>
      <c r="EB490" s="142"/>
      <c r="EH490" s="142"/>
      <c r="EN490" s="142"/>
      <c r="ET490" s="142"/>
      <c r="EZ490" s="142"/>
      <c r="FF490" s="142"/>
      <c r="FL490" s="142"/>
      <c r="FR490" s="142"/>
      <c r="FX490" s="142"/>
      <c r="GD490" s="142"/>
      <c r="GJ490" s="142"/>
      <c r="GP490" s="142"/>
      <c r="GV490" s="142"/>
      <c r="HB490" s="142"/>
      <c r="HH490" s="142"/>
      <c r="HN490" s="142"/>
      <c r="HT490" s="142"/>
      <c r="HZ490" s="142"/>
    </row>
    <row r="491">
      <c r="F491" s="142"/>
      <c r="L491" s="142"/>
      <c r="R491" s="142"/>
      <c r="X491" s="142"/>
      <c r="AD491" s="142"/>
      <c r="AJ491" s="142"/>
      <c r="AP491" s="142"/>
      <c r="AV491" s="142"/>
      <c r="BA491" s="142"/>
      <c r="BH491" s="142"/>
      <c r="BN491" s="142"/>
      <c r="BT491" s="142"/>
      <c r="BZ491" s="142"/>
      <c r="CF491" s="142"/>
      <c r="CL491" s="142"/>
      <c r="CR491" s="142"/>
      <c r="CX491" s="142"/>
      <c r="DD491" s="142"/>
      <c r="DJ491" s="142"/>
      <c r="DP491" s="142"/>
      <c r="DV491" s="142"/>
      <c r="EB491" s="142"/>
      <c r="EH491" s="142"/>
      <c r="EN491" s="142"/>
      <c r="ET491" s="142"/>
      <c r="EZ491" s="142"/>
      <c r="FF491" s="142"/>
      <c r="FL491" s="142"/>
      <c r="FR491" s="142"/>
      <c r="FX491" s="142"/>
      <c r="GD491" s="142"/>
      <c r="GJ491" s="142"/>
      <c r="GP491" s="142"/>
      <c r="GV491" s="142"/>
      <c r="HB491" s="142"/>
      <c r="HH491" s="142"/>
      <c r="HN491" s="142"/>
      <c r="HT491" s="142"/>
      <c r="HZ491" s="142"/>
    </row>
    <row r="492">
      <c r="F492" s="142"/>
      <c r="L492" s="142"/>
      <c r="R492" s="142"/>
      <c r="X492" s="142"/>
      <c r="AD492" s="142"/>
      <c r="AJ492" s="142"/>
      <c r="AP492" s="142"/>
      <c r="AV492" s="142"/>
      <c r="BA492" s="142"/>
      <c r="BH492" s="142"/>
      <c r="BN492" s="142"/>
      <c r="BT492" s="142"/>
      <c r="BZ492" s="142"/>
      <c r="CF492" s="142"/>
      <c r="CL492" s="142"/>
      <c r="CR492" s="142"/>
      <c r="CX492" s="142"/>
      <c r="DD492" s="142"/>
      <c r="DJ492" s="142"/>
      <c r="DP492" s="142"/>
      <c r="DV492" s="142"/>
      <c r="EB492" s="142"/>
      <c r="EH492" s="142"/>
      <c r="EN492" s="142"/>
      <c r="ET492" s="142"/>
      <c r="EZ492" s="142"/>
      <c r="FF492" s="142"/>
      <c r="FL492" s="142"/>
      <c r="FR492" s="142"/>
      <c r="FX492" s="142"/>
      <c r="GD492" s="142"/>
      <c r="GJ492" s="142"/>
      <c r="GP492" s="142"/>
      <c r="GV492" s="142"/>
      <c r="HB492" s="142"/>
      <c r="HH492" s="142"/>
      <c r="HN492" s="142"/>
      <c r="HT492" s="142"/>
      <c r="HZ492" s="142"/>
    </row>
    <row r="493">
      <c r="F493" s="142"/>
      <c r="L493" s="142"/>
      <c r="R493" s="142"/>
      <c r="X493" s="142"/>
      <c r="AD493" s="142"/>
      <c r="AJ493" s="142"/>
      <c r="AP493" s="142"/>
      <c r="AV493" s="142"/>
      <c r="BA493" s="142"/>
      <c r="BH493" s="142"/>
      <c r="BN493" s="142"/>
      <c r="BT493" s="142"/>
      <c r="BZ493" s="142"/>
      <c r="CF493" s="142"/>
      <c r="CL493" s="142"/>
      <c r="CR493" s="142"/>
      <c r="CX493" s="142"/>
      <c r="DD493" s="142"/>
      <c r="DJ493" s="142"/>
      <c r="DP493" s="142"/>
      <c r="DV493" s="142"/>
      <c r="EB493" s="142"/>
      <c r="EH493" s="142"/>
      <c r="EN493" s="142"/>
      <c r="ET493" s="142"/>
      <c r="EZ493" s="142"/>
      <c r="FF493" s="142"/>
      <c r="FL493" s="142"/>
      <c r="FR493" s="142"/>
      <c r="FX493" s="142"/>
      <c r="GD493" s="142"/>
      <c r="GJ493" s="142"/>
      <c r="GP493" s="142"/>
      <c r="GV493" s="142"/>
      <c r="HB493" s="142"/>
      <c r="HH493" s="142"/>
      <c r="HN493" s="142"/>
      <c r="HT493" s="142"/>
      <c r="HZ493" s="142"/>
    </row>
    <row r="494">
      <c r="F494" s="142"/>
      <c r="L494" s="142"/>
      <c r="R494" s="142"/>
      <c r="X494" s="142"/>
      <c r="AD494" s="142"/>
      <c r="AJ494" s="142"/>
      <c r="AP494" s="142"/>
      <c r="AV494" s="142"/>
      <c r="BA494" s="142"/>
      <c r="BH494" s="142"/>
      <c r="BN494" s="142"/>
      <c r="BT494" s="142"/>
      <c r="BZ494" s="142"/>
      <c r="CF494" s="142"/>
      <c r="CL494" s="142"/>
      <c r="CR494" s="142"/>
      <c r="CX494" s="142"/>
      <c r="DD494" s="142"/>
      <c r="DJ494" s="142"/>
      <c r="DP494" s="142"/>
      <c r="DV494" s="142"/>
      <c r="EB494" s="142"/>
      <c r="EH494" s="142"/>
      <c r="EN494" s="142"/>
      <c r="ET494" s="142"/>
      <c r="EZ494" s="142"/>
      <c r="FF494" s="142"/>
      <c r="FL494" s="142"/>
      <c r="FR494" s="142"/>
      <c r="FX494" s="142"/>
      <c r="GD494" s="142"/>
      <c r="GJ494" s="142"/>
      <c r="GP494" s="142"/>
      <c r="GV494" s="142"/>
      <c r="HB494" s="142"/>
      <c r="HH494" s="142"/>
      <c r="HN494" s="142"/>
      <c r="HT494" s="142"/>
      <c r="HZ494" s="142"/>
    </row>
    <row r="495">
      <c r="F495" s="142"/>
      <c r="L495" s="142"/>
      <c r="R495" s="142"/>
      <c r="X495" s="142"/>
      <c r="AD495" s="142"/>
      <c r="AJ495" s="142"/>
      <c r="AP495" s="142"/>
      <c r="AV495" s="142"/>
      <c r="BA495" s="142"/>
      <c r="BH495" s="142"/>
      <c r="BN495" s="142"/>
      <c r="BT495" s="142"/>
      <c r="BZ495" s="142"/>
      <c r="CF495" s="142"/>
      <c r="CL495" s="142"/>
      <c r="CR495" s="142"/>
      <c r="CX495" s="142"/>
      <c r="DD495" s="142"/>
      <c r="DJ495" s="142"/>
      <c r="DP495" s="142"/>
      <c r="DV495" s="142"/>
      <c r="EB495" s="142"/>
      <c r="EH495" s="142"/>
      <c r="EN495" s="142"/>
      <c r="ET495" s="142"/>
      <c r="EZ495" s="142"/>
      <c r="FF495" s="142"/>
      <c r="FL495" s="142"/>
      <c r="FR495" s="142"/>
      <c r="FX495" s="142"/>
      <c r="GD495" s="142"/>
      <c r="GJ495" s="142"/>
      <c r="GP495" s="142"/>
      <c r="GV495" s="142"/>
      <c r="HB495" s="142"/>
      <c r="HH495" s="142"/>
      <c r="HN495" s="142"/>
      <c r="HT495" s="142"/>
      <c r="HZ495" s="142"/>
    </row>
    <row r="496">
      <c r="F496" s="142"/>
      <c r="L496" s="142"/>
      <c r="R496" s="142"/>
      <c r="X496" s="142"/>
      <c r="AD496" s="142"/>
      <c r="AJ496" s="142"/>
      <c r="AP496" s="142"/>
      <c r="AV496" s="142"/>
      <c r="BA496" s="142"/>
      <c r="BH496" s="142"/>
      <c r="BN496" s="142"/>
      <c r="BT496" s="142"/>
      <c r="BZ496" s="142"/>
      <c r="CF496" s="142"/>
      <c r="CL496" s="142"/>
      <c r="CR496" s="142"/>
      <c r="CX496" s="142"/>
      <c r="DD496" s="142"/>
      <c r="DJ496" s="142"/>
      <c r="DP496" s="142"/>
      <c r="DV496" s="142"/>
      <c r="EB496" s="142"/>
      <c r="EH496" s="142"/>
      <c r="EN496" s="142"/>
      <c r="ET496" s="142"/>
      <c r="EZ496" s="142"/>
      <c r="FF496" s="142"/>
      <c r="FL496" s="142"/>
      <c r="FR496" s="142"/>
      <c r="FX496" s="142"/>
      <c r="GD496" s="142"/>
      <c r="GJ496" s="142"/>
      <c r="GP496" s="142"/>
      <c r="GV496" s="142"/>
      <c r="HB496" s="142"/>
      <c r="HH496" s="142"/>
      <c r="HN496" s="142"/>
      <c r="HT496" s="142"/>
      <c r="HZ496" s="142"/>
    </row>
    <row r="497">
      <c r="F497" s="142"/>
      <c r="L497" s="142"/>
      <c r="R497" s="142"/>
      <c r="X497" s="142"/>
      <c r="AD497" s="142"/>
      <c r="AJ497" s="142"/>
      <c r="AP497" s="142"/>
      <c r="AV497" s="142"/>
      <c r="BA497" s="142"/>
      <c r="BH497" s="142"/>
      <c r="BN497" s="142"/>
      <c r="BT497" s="142"/>
      <c r="BZ497" s="142"/>
      <c r="CF497" s="142"/>
      <c r="CL497" s="142"/>
      <c r="CR497" s="142"/>
      <c r="CX497" s="142"/>
      <c r="DD497" s="142"/>
      <c r="DJ497" s="142"/>
      <c r="DP497" s="142"/>
      <c r="DV497" s="142"/>
      <c r="EB497" s="142"/>
      <c r="EH497" s="142"/>
      <c r="EN497" s="142"/>
      <c r="ET497" s="142"/>
      <c r="EZ497" s="142"/>
      <c r="FF497" s="142"/>
      <c r="FL497" s="142"/>
      <c r="FR497" s="142"/>
      <c r="FX497" s="142"/>
      <c r="GD497" s="142"/>
      <c r="GJ497" s="142"/>
      <c r="GP497" s="142"/>
      <c r="GV497" s="142"/>
      <c r="HB497" s="142"/>
      <c r="HH497" s="142"/>
      <c r="HN497" s="142"/>
      <c r="HT497" s="142"/>
      <c r="HZ497" s="142"/>
    </row>
    <row r="498">
      <c r="F498" s="142"/>
      <c r="L498" s="142"/>
      <c r="R498" s="142"/>
      <c r="X498" s="142"/>
      <c r="AD498" s="142"/>
      <c r="AJ498" s="142"/>
      <c r="AP498" s="142"/>
      <c r="AV498" s="142"/>
      <c r="BA498" s="142"/>
      <c r="BH498" s="142"/>
      <c r="BN498" s="142"/>
      <c r="BT498" s="142"/>
      <c r="BZ498" s="142"/>
      <c r="CF498" s="142"/>
      <c r="CL498" s="142"/>
      <c r="CR498" s="142"/>
      <c r="CX498" s="142"/>
      <c r="DD498" s="142"/>
      <c r="DJ498" s="142"/>
      <c r="DP498" s="142"/>
      <c r="DV498" s="142"/>
      <c r="EB498" s="142"/>
      <c r="EH498" s="142"/>
      <c r="EN498" s="142"/>
      <c r="ET498" s="142"/>
      <c r="EZ498" s="142"/>
      <c r="FF498" s="142"/>
      <c r="FL498" s="142"/>
      <c r="FR498" s="142"/>
      <c r="FX498" s="142"/>
      <c r="GD498" s="142"/>
      <c r="GJ498" s="142"/>
      <c r="GP498" s="142"/>
      <c r="GV498" s="142"/>
      <c r="HB498" s="142"/>
      <c r="HH498" s="142"/>
      <c r="HN498" s="142"/>
      <c r="HT498" s="142"/>
      <c r="HZ498" s="142"/>
    </row>
    <row r="499">
      <c r="F499" s="142"/>
      <c r="L499" s="142"/>
      <c r="R499" s="142"/>
      <c r="X499" s="142"/>
      <c r="AD499" s="142"/>
      <c r="AJ499" s="142"/>
      <c r="AP499" s="142"/>
      <c r="AV499" s="142"/>
      <c r="BA499" s="142"/>
      <c r="BH499" s="142"/>
      <c r="BN499" s="142"/>
      <c r="BT499" s="142"/>
      <c r="BZ499" s="142"/>
      <c r="CF499" s="142"/>
      <c r="CL499" s="142"/>
      <c r="CR499" s="142"/>
      <c r="CX499" s="142"/>
      <c r="DD499" s="142"/>
      <c r="DJ499" s="142"/>
      <c r="DP499" s="142"/>
      <c r="DV499" s="142"/>
      <c r="EB499" s="142"/>
      <c r="EH499" s="142"/>
      <c r="EN499" s="142"/>
      <c r="ET499" s="142"/>
      <c r="EZ499" s="142"/>
      <c r="FF499" s="142"/>
      <c r="FL499" s="142"/>
      <c r="FR499" s="142"/>
      <c r="FX499" s="142"/>
      <c r="GD499" s="142"/>
      <c r="GJ499" s="142"/>
      <c r="GP499" s="142"/>
      <c r="GV499" s="142"/>
      <c r="HB499" s="142"/>
      <c r="HH499" s="142"/>
      <c r="HN499" s="142"/>
      <c r="HT499" s="142"/>
      <c r="HZ499" s="142"/>
    </row>
    <row r="500">
      <c r="F500" s="142"/>
      <c r="L500" s="142"/>
      <c r="R500" s="142"/>
      <c r="X500" s="142"/>
      <c r="AD500" s="142"/>
      <c r="AJ500" s="142"/>
      <c r="AP500" s="142"/>
      <c r="AV500" s="142"/>
      <c r="BA500" s="142"/>
      <c r="BH500" s="142"/>
      <c r="BN500" s="142"/>
      <c r="BT500" s="142"/>
      <c r="BZ500" s="142"/>
      <c r="CF500" s="142"/>
      <c r="CL500" s="142"/>
      <c r="CR500" s="142"/>
      <c r="CX500" s="142"/>
      <c r="DD500" s="142"/>
      <c r="DJ500" s="142"/>
      <c r="DP500" s="142"/>
      <c r="DV500" s="142"/>
      <c r="EB500" s="142"/>
      <c r="EH500" s="142"/>
      <c r="EN500" s="142"/>
      <c r="ET500" s="142"/>
      <c r="EZ500" s="142"/>
      <c r="FF500" s="142"/>
      <c r="FL500" s="142"/>
      <c r="FR500" s="142"/>
      <c r="FX500" s="142"/>
      <c r="GD500" s="142"/>
      <c r="GJ500" s="142"/>
      <c r="GP500" s="142"/>
      <c r="GV500" s="142"/>
      <c r="HB500" s="142"/>
      <c r="HH500" s="142"/>
      <c r="HN500" s="142"/>
      <c r="HT500" s="142"/>
      <c r="HZ500" s="142"/>
    </row>
    <row r="501">
      <c r="F501" s="142"/>
      <c r="L501" s="142"/>
      <c r="R501" s="142"/>
      <c r="X501" s="142"/>
      <c r="AD501" s="142"/>
      <c r="AJ501" s="142"/>
      <c r="AP501" s="142"/>
      <c r="AV501" s="142"/>
      <c r="BA501" s="142"/>
      <c r="BH501" s="142"/>
      <c r="BN501" s="142"/>
      <c r="BT501" s="142"/>
      <c r="BZ501" s="142"/>
      <c r="CF501" s="142"/>
      <c r="CL501" s="142"/>
      <c r="CR501" s="142"/>
      <c r="CX501" s="142"/>
      <c r="DD501" s="142"/>
      <c r="DJ501" s="142"/>
      <c r="DP501" s="142"/>
      <c r="DV501" s="142"/>
      <c r="EB501" s="142"/>
      <c r="EH501" s="142"/>
      <c r="EN501" s="142"/>
      <c r="ET501" s="142"/>
      <c r="EZ501" s="142"/>
      <c r="FF501" s="142"/>
      <c r="FL501" s="142"/>
      <c r="FR501" s="142"/>
      <c r="FX501" s="142"/>
      <c r="GD501" s="142"/>
      <c r="GJ501" s="142"/>
      <c r="GP501" s="142"/>
      <c r="GV501" s="142"/>
      <c r="HB501" s="142"/>
      <c r="HH501" s="142"/>
      <c r="HN501" s="142"/>
      <c r="HT501" s="142"/>
      <c r="HZ501" s="142"/>
    </row>
    <row r="502">
      <c r="F502" s="142"/>
      <c r="L502" s="142"/>
      <c r="R502" s="142"/>
      <c r="X502" s="142"/>
      <c r="AD502" s="142"/>
      <c r="AJ502" s="142"/>
      <c r="AP502" s="142"/>
      <c r="AV502" s="142"/>
      <c r="BA502" s="142"/>
      <c r="BH502" s="142"/>
      <c r="BN502" s="142"/>
      <c r="BT502" s="142"/>
      <c r="BZ502" s="142"/>
      <c r="CF502" s="142"/>
      <c r="CL502" s="142"/>
      <c r="CR502" s="142"/>
      <c r="CX502" s="142"/>
      <c r="DD502" s="142"/>
      <c r="DJ502" s="142"/>
      <c r="DP502" s="142"/>
      <c r="DV502" s="142"/>
      <c r="EB502" s="142"/>
      <c r="EH502" s="142"/>
      <c r="EN502" s="142"/>
      <c r="ET502" s="142"/>
      <c r="EZ502" s="142"/>
      <c r="FF502" s="142"/>
      <c r="FL502" s="142"/>
      <c r="FR502" s="142"/>
      <c r="FX502" s="142"/>
      <c r="GD502" s="142"/>
      <c r="GJ502" s="142"/>
      <c r="GP502" s="142"/>
      <c r="GV502" s="142"/>
      <c r="HB502" s="142"/>
      <c r="HH502" s="142"/>
      <c r="HN502" s="142"/>
      <c r="HT502" s="142"/>
      <c r="HZ502" s="142"/>
    </row>
    <row r="503">
      <c r="F503" s="142"/>
      <c r="L503" s="142"/>
      <c r="R503" s="142"/>
      <c r="X503" s="142"/>
      <c r="AD503" s="142"/>
      <c r="AJ503" s="142"/>
      <c r="AP503" s="142"/>
      <c r="AV503" s="142"/>
      <c r="BA503" s="142"/>
      <c r="BH503" s="142"/>
      <c r="BN503" s="142"/>
      <c r="BT503" s="142"/>
      <c r="BZ503" s="142"/>
      <c r="CF503" s="142"/>
      <c r="CL503" s="142"/>
      <c r="CR503" s="142"/>
      <c r="CX503" s="142"/>
      <c r="DD503" s="142"/>
      <c r="DJ503" s="142"/>
      <c r="DP503" s="142"/>
      <c r="DV503" s="142"/>
      <c r="EB503" s="142"/>
      <c r="EH503" s="142"/>
      <c r="EN503" s="142"/>
      <c r="ET503" s="142"/>
      <c r="EZ503" s="142"/>
      <c r="FF503" s="142"/>
      <c r="FL503" s="142"/>
      <c r="FR503" s="142"/>
      <c r="FX503" s="142"/>
      <c r="GD503" s="142"/>
      <c r="GJ503" s="142"/>
      <c r="GP503" s="142"/>
      <c r="GV503" s="142"/>
      <c r="HB503" s="142"/>
      <c r="HH503" s="142"/>
      <c r="HN503" s="142"/>
      <c r="HT503" s="142"/>
      <c r="HZ503" s="142"/>
    </row>
    <row r="504">
      <c r="F504" s="142"/>
      <c r="L504" s="142"/>
      <c r="R504" s="142"/>
      <c r="X504" s="142"/>
      <c r="AD504" s="142"/>
      <c r="AJ504" s="142"/>
      <c r="AP504" s="142"/>
      <c r="AV504" s="142"/>
      <c r="BA504" s="142"/>
      <c r="BH504" s="142"/>
      <c r="BN504" s="142"/>
      <c r="BT504" s="142"/>
      <c r="BZ504" s="142"/>
      <c r="CF504" s="142"/>
      <c r="CL504" s="142"/>
      <c r="CR504" s="142"/>
      <c r="CX504" s="142"/>
      <c r="DD504" s="142"/>
      <c r="DJ504" s="142"/>
      <c r="DP504" s="142"/>
      <c r="DV504" s="142"/>
      <c r="EB504" s="142"/>
      <c r="EH504" s="142"/>
      <c r="EN504" s="142"/>
      <c r="ET504" s="142"/>
      <c r="EZ504" s="142"/>
      <c r="FF504" s="142"/>
      <c r="FL504" s="142"/>
      <c r="FR504" s="142"/>
      <c r="FX504" s="142"/>
      <c r="GD504" s="142"/>
      <c r="GJ504" s="142"/>
      <c r="GP504" s="142"/>
      <c r="GV504" s="142"/>
      <c r="HB504" s="142"/>
      <c r="HH504" s="142"/>
      <c r="HN504" s="142"/>
      <c r="HT504" s="142"/>
      <c r="HZ504" s="142"/>
    </row>
    <row r="505">
      <c r="F505" s="142"/>
      <c r="L505" s="142"/>
      <c r="R505" s="142"/>
      <c r="X505" s="142"/>
      <c r="AD505" s="142"/>
      <c r="AJ505" s="142"/>
      <c r="AP505" s="142"/>
      <c r="AV505" s="142"/>
      <c r="BA505" s="142"/>
      <c r="BH505" s="142"/>
      <c r="BN505" s="142"/>
      <c r="BT505" s="142"/>
      <c r="BZ505" s="142"/>
      <c r="CF505" s="142"/>
      <c r="CL505" s="142"/>
      <c r="CR505" s="142"/>
      <c r="CX505" s="142"/>
      <c r="DD505" s="142"/>
      <c r="DJ505" s="142"/>
      <c r="DP505" s="142"/>
      <c r="DV505" s="142"/>
      <c r="EB505" s="142"/>
      <c r="EH505" s="142"/>
      <c r="EN505" s="142"/>
      <c r="ET505" s="142"/>
      <c r="EZ505" s="142"/>
      <c r="FF505" s="142"/>
      <c r="FL505" s="142"/>
      <c r="FR505" s="142"/>
      <c r="FX505" s="142"/>
      <c r="GD505" s="142"/>
      <c r="GJ505" s="142"/>
      <c r="GP505" s="142"/>
      <c r="GV505" s="142"/>
      <c r="HB505" s="142"/>
      <c r="HH505" s="142"/>
      <c r="HN505" s="142"/>
      <c r="HT505" s="142"/>
      <c r="HZ505" s="142"/>
    </row>
    <row r="506">
      <c r="F506" s="142"/>
      <c r="L506" s="142"/>
      <c r="R506" s="142"/>
      <c r="X506" s="142"/>
      <c r="AD506" s="142"/>
      <c r="AJ506" s="142"/>
      <c r="AP506" s="142"/>
      <c r="AV506" s="142"/>
      <c r="BA506" s="142"/>
      <c r="BH506" s="142"/>
      <c r="BN506" s="142"/>
      <c r="BT506" s="142"/>
      <c r="BZ506" s="142"/>
      <c r="CF506" s="142"/>
      <c r="CL506" s="142"/>
      <c r="CR506" s="142"/>
      <c r="CX506" s="142"/>
      <c r="DD506" s="142"/>
      <c r="DJ506" s="142"/>
      <c r="DP506" s="142"/>
      <c r="DV506" s="142"/>
      <c r="EB506" s="142"/>
      <c r="EH506" s="142"/>
      <c r="EN506" s="142"/>
      <c r="ET506" s="142"/>
      <c r="EZ506" s="142"/>
      <c r="FF506" s="142"/>
      <c r="FL506" s="142"/>
      <c r="FR506" s="142"/>
      <c r="FX506" s="142"/>
      <c r="GD506" s="142"/>
      <c r="GJ506" s="142"/>
      <c r="GP506" s="142"/>
      <c r="GV506" s="142"/>
      <c r="HB506" s="142"/>
      <c r="HH506" s="142"/>
      <c r="HN506" s="142"/>
      <c r="HT506" s="142"/>
      <c r="HZ506" s="142"/>
    </row>
    <row r="507">
      <c r="F507" s="142"/>
      <c r="L507" s="142"/>
      <c r="R507" s="142"/>
      <c r="X507" s="142"/>
      <c r="AD507" s="142"/>
      <c r="AJ507" s="142"/>
      <c r="AP507" s="142"/>
      <c r="AV507" s="142"/>
      <c r="BA507" s="142"/>
      <c r="BH507" s="142"/>
      <c r="BN507" s="142"/>
      <c r="BT507" s="142"/>
      <c r="BZ507" s="142"/>
      <c r="CF507" s="142"/>
      <c r="CL507" s="142"/>
      <c r="CR507" s="142"/>
      <c r="CX507" s="142"/>
      <c r="DD507" s="142"/>
      <c r="DJ507" s="142"/>
      <c r="DP507" s="142"/>
      <c r="DV507" s="142"/>
      <c r="EB507" s="142"/>
      <c r="EH507" s="142"/>
      <c r="EN507" s="142"/>
      <c r="ET507" s="142"/>
      <c r="EZ507" s="142"/>
      <c r="FF507" s="142"/>
      <c r="FL507" s="142"/>
      <c r="FR507" s="142"/>
      <c r="FX507" s="142"/>
      <c r="GD507" s="142"/>
      <c r="GJ507" s="142"/>
      <c r="GP507" s="142"/>
      <c r="GV507" s="142"/>
      <c r="HB507" s="142"/>
      <c r="HH507" s="142"/>
      <c r="HN507" s="142"/>
      <c r="HT507" s="142"/>
      <c r="HZ507" s="142"/>
    </row>
    <row r="508">
      <c r="F508" s="142"/>
      <c r="L508" s="142"/>
      <c r="R508" s="142"/>
      <c r="X508" s="142"/>
      <c r="AD508" s="142"/>
      <c r="AJ508" s="142"/>
      <c r="AP508" s="142"/>
      <c r="AV508" s="142"/>
      <c r="BA508" s="142"/>
      <c r="BH508" s="142"/>
      <c r="BN508" s="142"/>
      <c r="BT508" s="142"/>
      <c r="BZ508" s="142"/>
      <c r="CF508" s="142"/>
      <c r="CL508" s="142"/>
      <c r="CR508" s="142"/>
      <c r="CX508" s="142"/>
      <c r="DD508" s="142"/>
      <c r="DJ508" s="142"/>
      <c r="DP508" s="142"/>
      <c r="DV508" s="142"/>
      <c r="EB508" s="142"/>
      <c r="EH508" s="142"/>
      <c r="EN508" s="142"/>
      <c r="ET508" s="142"/>
      <c r="EZ508" s="142"/>
      <c r="FF508" s="142"/>
      <c r="FL508" s="142"/>
      <c r="FR508" s="142"/>
      <c r="FX508" s="142"/>
      <c r="GD508" s="142"/>
      <c r="GJ508" s="142"/>
      <c r="GP508" s="142"/>
      <c r="GV508" s="142"/>
      <c r="HB508" s="142"/>
      <c r="HH508" s="142"/>
      <c r="HN508" s="142"/>
      <c r="HT508" s="142"/>
      <c r="HZ508" s="142"/>
    </row>
    <row r="509">
      <c r="F509" s="142"/>
      <c r="L509" s="142"/>
      <c r="R509" s="142"/>
      <c r="X509" s="142"/>
      <c r="AD509" s="142"/>
      <c r="AJ509" s="142"/>
      <c r="AP509" s="142"/>
      <c r="AV509" s="142"/>
      <c r="BA509" s="142"/>
      <c r="BH509" s="142"/>
      <c r="BN509" s="142"/>
      <c r="BT509" s="142"/>
      <c r="BZ509" s="142"/>
      <c r="CF509" s="142"/>
      <c r="CL509" s="142"/>
      <c r="CR509" s="142"/>
      <c r="CX509" s="142"/>
      <c r="DD509" s="142"/>
      <c r="DJ509" s="142"/>
      <c r="DP509" s="142"/>
      <c r="DV509" s="142"/>
      <c r="EB509" s="142"/>
      <c r="EH509" s="142"/>
      <c r="EN509" s="142"/>
      <c r="ET509" s="142"/>
      <c r="EZ509" s="142"/>
      <c r="FF509" s="142"/>
      <c r="FL509" s="142"/>
      <c r="FR509" s="142"/>
      <c r="FX509" s="142"/>
      <c r="GD509" s="142"/>
      <c r="GJ509" s="142"/>
      <c r="GP509" s="142"/>
      <c r="GV509" s="142"/>
      <c r="HB509" s="142"/>
      <c r="HH509" s="142"/>
      <c r="HN509" s="142"/>
      <c r="HT509" s="142"/>
      <c r="HZ509" s="142"/>
    </row>
    <row r="510">
      <c r="F510" s="142"/>
      <c r="L510" s="142"/>
      <c r="R510" s="142"/>
      <c r="X510" s="142"/>
      <c r="AD510" s="142"/>
      <c r="AJ510" s="142"/>
      <c r="AP510" s="142"/>
      <c r="AV510" s="142"/>
      <c r="BA510" s="142"/>
      <c r="BH510" s="142"/>
      <c r="BN510" s="142"/>
      <c r="BT510" s="142"/>
      <c r="BZ510" s="142"/>
      <c r="CF510" s="142"/>
      <c r="CL510" s="142"/>
      <c r="CR510" s="142"/>
      <c r="CX510" s="142"/>
      <c r="DD510" s="142"/>
      <c r="DJ510" s="142"/>
      <c r="DP510" s="142"/>
      <c r="DV510" s="142"/>
      <c r="EB510" s="142"/>
      <c r="EH510" s="142"/>
      <c r="EN510" s="142"/>
      <c r="ET510" s="142"/>
      <c r="EZ510" s="142"/>
      <c r="FF510" s="142"/>
      <c r="FL510" s="142"/>
      <c r="FR510" s="142"/>
      <c r="FX510" s="142"/>
      <c r="GD510" s="142"/>
      <c r="GJ510" s="142"/>
      <c r="GP510" s="142"/>
      <c r="GV510" s="142"/>
      <c r="HB510" s="142"/>
      <c r="HH510" s="142"/>
      <c r="HN510" s="142"/>
      <c r="HT510" s="142"/>
      <c r="HZ510" s="142"/>
    </row>
    <row r="511">
      <c r="F511" s="142"/>
      <c r="L511" s="142"/>
      <c r="R511" s="142"/>
      <c r="X511" s="142"/>
      <c r="AD511" s="142"/>
      <c r="AJ511" s="142"/>
      <c r="AP511" s="142"/>
      <c r="AV511" s="142"/>
      <c r="BA511" s="142"/>
      <c r="BH511" s="142"/>
      <c r="BN511" s="142"/>
      <c r="BT511" s="142"/>
      <c r="BZ511" s="142"/>
      <c r="CF511" s="142"/>
      <c r="CL511" s="142"/>
      <c r="CR511" s="142"/>
      <c r="CX511" s="142"/>
      <c r="DD511" s="142"/>
      <c r="DJ511" s="142"/>
      <c r="DP511" s="142"/>
      <c r="DV511" s="142"/>
      <c r="EB511" s="142"/>
      <c r="EH511" s="142"/>
      <c r="EN511" s="142"/>
      <c r="ET511" s="142"/>
      <c r="EZ511" s="142"/>
      <c r="FF511" s="142"/>
      <c r="FL511" s="142"/>
      <c r="FR511" s="142"/>
      <c r="FX511" s="142"/>
      <c r="GD511" s="142"/>
      <c r="GJ511" s="142"/>
      <c r="GP511" s="142"/>
      <c r="GV511" s="142"/>
      <c r="HB511" s="142"/>
      <c r="HH511" s="142"/>
      <c r="HN511" s="142"/>
      <c r="HT511" s="142"/>
      <c r="HZ511" s="142"/>
    </row>
    <row r="512">
      <c r="F512" s="142"/>
      <c r="L512" s="142"/>
      <c r="R512" s="142"/>
      <c r="X512" s="142"/>
      <c r="AD512" s="142"/>
      <c r="AJ512" s="142"/>
      <c r="AP512" s="142"/>
      <c r="AV512" s="142"/>
      <c r="BA512" s="142"/>
      <c r="BH512" s="142"/>
      <c r="BN512" s="142"/>
      <c r="BT512" s="142"/>
      <c r="BZ512" s="142"/>
      <c r="CF512" s="142"/>
      <c r="CL512" s="142"/>
      <c r="CR512" s="142"/>
      <c r="CX512" s="142"/>
      <c r="DD512" s="142"/>
      <c r="DJ512" s="142"/>
      <c r="DP512" s="142"/>
      <c r="DV512" s="142"/>
      <c r="EB512" s="142"/>
      <c r="EH512" s="142"/>
      <c r="EN512" s="142"/>
      <c r="ET512" s="142"/>
      <c r="EZ512" s="142"/>
      <c r="FF512" s="142"/>
      <c r="FL512" s="142"/>
      <c r="FR512" s="142"/>
      <c r="FX512" s="142"/>
      <c r="GD512" s="142"/>
      <c r="GJ512" s="142"/>
      <c r="GP512" s="142"/>
      <c r="GV512" s="142"/>
      <c r="HB512" s="142"/>
      <c r="HH512" s="142"/>
      <c r="HN512" s="142"/>
      <c r="HT512" s="142"/>
      <c r="HZ512" s="142"/>
    </row>
    <row r="513">
      <c r="F513" s="142"/>
      <c r="L513" s="142"/>
      <c r="R513" s="142"/>
      <c r="X513" s="142"/>
      <c r="AD513" s="142"/>
      <c r="AJ513" s="142"/>
      <c r="AP513" s="142"/>
      <c r="AV513" s="142"/>
      <c r="BA513" s="142"/>
      <c r="BH513" s="142"/>
      <c r="BN513" s="142"/>
      <c r="BT513" s="142"/>
      <c r="BZ513" s="142"/>
      <c r="CF513" s="142"/>
      <c r="CL513" s="142"/>
      <c r="CR513" s="142"/>
      <c r="CX513" s="142"/>
      <c r="DD513" s="142"/>
      <c r="DJ513" s="142"/>
      <c r="DP513" s="142"/>
      <c r="DV513" s="142"/>
      <c r="EB513" s="142"/>
      <c r="EH513" s="142"/>
      <c r="EN513" s="142"/>
      <c r="ET513" s="142"/>
      <c r="EZ513" s="142"/>
      <c r="FF513" s="142"/>
      <c r="FL513" s="142"/>
      <c r="FR513" s="142"/>
      <c r="FX513" s="142"/>
      <c r="GD513" s="142"/>
      <c r="GJ513" s="142"/>
      <c r="GP513" s="142"/>
      <c r="GV513" s="142"/>
      <c r="HB513" s="142"/>
      <c r="HH513" s="142"/>
      <c r="HN513" s="142"/>
      <c r="HT513" s="142"/>
      <c r="HZ513" s="142"/>
    </row>
    <row r="514">
      <c r="F514" s="142"/>
      <c r="L514" s="142"/>
      <c r="R514" s="142"/>
      <c r="X514" s="142"/>
      <c r="AD514" s="142"/>
      <c r="AJ514" s="142"/>
      <c r="AP514" s="142"/>
      <c r="AV514" s="142"/>
      <c r="BA514" s="142"/>
      <c r="BH514" s="142"/>
      <c r="BN514" s="142"/>
      <c r="BT514" s="142"/>
      <c r="BZ514" s="142"/>
      <c r="CF514" s="142"/>
      <c r="CL514" s="142"/>
      <c r="CR514" s="142"/>
      <c r="CX514" s="142"/>
      <c r="DD514" s="142"/>
      <c r="DJ514" s="142"/>
      <c r="DP514" s="142"/>
      <c r="DV514" s="142"/>
      <c r="EB514" s="142"/>
      <c r="EH514" s="142"/>
      <c r="EN514" s="142"/>
      <c r="ET514" s="142"/>
      <c r="EZ514" s="142"/>
      <c r="FF514" s="142"/>
      <c r="FL514" s="142"/>
      <c r="FR514" s="142"/>
      <c r="FX514" s="142"/>
      <c r="GD514" s="142"/>
      <c r="GJ514" s="142"/>
      <c r="GP514" s="142"/>
      <c r="GV514" s="142"/>
      <c r="HB514" s="142"/>
      <c r="HH514" s="142"/>
      <c r="HN514" s="142"/>
      <c r="HT514" s="142"/>
      <c r="HZ514" s="142"/>
    </row>
    <row r="515">
      <c r="F515" s="142"/>
      <c r="L515" s="142"/>
      <c r="R515" s="142"/>
      <c r="X515" s="142"/>
      <c r="AD515" s="142"/>
      <c r="AJ515" s="142"/>
      <c r="AP515" s="142"/>
      <c r="AV515" s="142"/>
      <c r="BA515" s="142"/>
      <c r="BH515" s="142"/>
      <c r="BN515" s="142"/>
      <c r="BT515" s="142"/>
      <c r="BZ515" s="142"/>
      <c r="CF515" s="142"/>
      <c r="CL515" s="142"/>
      <c r="CR515" s="142"/>
      <c r="CX515" s="142"/>
      <c r="DD515" s="142"/>
      <c r="DJ515" s="142"/>
      <c r="DP515" s="142"/>
      <c r="DV515" s="142"/>
      <c r="EB515" s="142"/>
      <c r="EH515" s="142"/>
      <c r="EN515" s="142"/>
      <c r="ET515" s="142"/>
      <c r="EZ515" s="142"/>
      <c r="FF515" s="142"/>
      <c r="FL515" s="142"/>
      <c r="FR515" s="142"/>
      <c r="FX515" s="142"/>
      <c r="GD515" s="142"/>
      <c r="GJ515" s="142"/>
      <c r="GP515" s="142"/>
      <c r="GV515" s="142"/>
      <c r="HB515" s="142"/>
      <c r="HH515" s="142"/>
      <c r="HN515" s="142"/>
      <c r="HT515" s="142"/>
      <c r="HZ515" s="142"/>
    </row>
    <row r="516">
      <c r="F516" s="142"/>
      <c r="L516" s="142"/>
      <c r="R516" s="142"/>
      <c r="X516" s="142"/>
      <c r="AD516" s="142"/>
      <c r="AJ516" s="142"/>
      <c r="AP516" s="142"/>
      <c r="AV516" s="142"/>
      <c r="BA516" s="142"/>
      <c r="BH516" s="142"/>
      <c r="BN516" s="142"/>
      <c r="BT516" s="142"/>
      <c r="BZ516" s="142"/>
      <c r="CF516" s="142"/>
      <c r="CL516" s="142"/>
      <c r="CR516" s="142"/>
      <c r="CX516" s="142"/>
      <c r="DD516" s="142"/>
      <c r="DJ516" s="142"/>
      <c r="DP516" s="142"/>
      <c r="DV516" s="142"/>
      <c r="EB516" s="142"/>
      <c r="EH516" s="142"/>
      <c r="EN516" s="142"/>
      <c r="ET516" s="142"/>
      <c r="EZ516" s="142"/>
      <c r="FF516" s="142"/>
      <c r="FL516" s="142"/>
      <c r="FR516" s="142"/>
      <c r="FX516" s="142"/>
      <c r="GD516" s="142"/>
      <c r="GJ516" s="142"/>
      <c r="GP516" s="142"/>
      <c r="GV516" s="142"/>
      <c r="HB516" s="142"/>
      <c r="HH516" s="142"/>
      <c r="HN516" s="142"/>
      <c r="HT516" s="142"/>
      <c r="HZ516" s="142"/>
    </row>
    <row r="517">
      <c r="F517" s="142"/>
      <c r="L517" s="142"/>
      <c r="R517" s="142"/>
      <c r="X517" s="142"/>
      <c r="AD517" s="142"/>
      <c r="AJ517" s="142"/>
      <c r="AP517" s="142"/>
      <c r="AV517" s="142"/>
      <c r="BA517" s="142"/>
      <c r="BH517" s="142"/>
      <c r="BN517" s="142"/>
      <c r="BT517" s="142"/>
      <c r="BZ517" s="142"/>
      <c r="CF517" s="142"/>
      <c r="CL517" s="142"/>
      <c r="CR517" s="142"/>
      <c r="CX517" s="142"/>
      <c r="DD517" s="142"/>
      <c r="DJ517" s="142"/>
      <c r="DP517" s="142"/>
      <c r="DV517" s="142"/>
      <c r="EB517" s="142"/>
      <c r="EH517" s="142"/>
      <c r="EN517" s="142"/>
      <c r="ET517" s="142"/>
      <c r="EZ517" s="142"/>
      <c r="FF517" s="142"/>
      <c r="FL517" s="142"/>
      <c r="FR517" s="142"/>
      <c r="FX517" s="142"/>
      <c r="GD517" s="142"/>
      <c r="GJ517" s="142"/>
      <c r="GP517" s="142"/>
      <c r="GV517" s="142"/>
      <c r="HB517" s="142"/>
      <c r="HH517" s="142"/>
      <c r="HN517" s="142"/>
      <c r="HT517" s="142"/>
      <c r="HZ517" s="142"/>
    </row>
    <row r="518">
      <c r="F518" s="142"/>
      <c r="L518" s="142"/>
      <c r="R518" s="142"/>
      <c r="X518" s="142"/>
      <c r="AD518" s="142"/>
      <c r="AJ518" s="142"/>
      <c r="AP518" s="142"/>
      <c r="AV518" s="142"/>
      <c r="BA518" s="142"/>
      <c r="BH518" s="142"/>
      <c r="BN518" s="142"/>
      <c r="BT518" s="142"/>
      <c r="BZ518" s="142"/>
      <c r="CF518" s="142"/>
      <c r="CL518" s="142"/>
      <c r="CR518" s="142"/>
      <c r="CX518" s="142"/>
      <c r="DD518" s="142"/>
      <c r="DJ518" s="142"/>
      <c r="DP518" s="142"/>
      <c r="DV518" s="142"/>
      <c r="EB518" s="142"/>
      <c r="EH518" s="142"/>
      <c r="EN518" s="142"/>
      <c r="ET518" s="142"/>
      <c r="EZ518" s="142"/>
      <c r="FF518" s="142"/>
      <c r="FL518" s="142"/>
      <c r="FR518" s="142"/>
      <c r="FX518" s="142"/>
      <c r="GD518" s="142"/>
      <c r="GJ518" s="142"/>
      <c r="GP518" s="142"/>
      <c r="GV518" s="142"/>
      <c r="HB518" s="142"/>
      <c r="HH518" s="142"/>
      <c r="HN518" s="142"/>
      <c r="HT518" s="142"/>
      <c r="HZ518" s="142"/>
    </row>
    <row r="519">
      <c r="F519" s="142"/>
      <c r="L519" s="142"/>
      <c r="R519" s="142"/>
      <c r="X519" s="142"/>
      <c r="AD519" s="142"/>
      <c r="AJ519" s="142"/>
      <c r="AP519" s="142"/>
      <c r="AV519" s="142"/>
      <c r="BA519" s="142"/>
      <c r="BH519" s="142"/>
      <c r="BN519" s="142"/>
      <c r="BT519" s="142"/>
      <c r="BZ519" s="142"/>
      <c r="CF519" s="142"/>
      <c r="CL519" s="142"/>
      <c r="CR519" s="142"/>
      <c r="CX519" s="142"/>
      <c r="DD519" s="142"/>
      <c r="DJ519" s="142"/>
      <c r="DP519" s="142"/>
      <c r="DV519" s="142"/>
      <c r="EB519" s="142"/>
      <c r="EH519" s="142"/>
      <c r="EN519" s="142"/>
      <c r="ET519" s="142"/>
      <c r="EZ519" s="142"/>
      <c r="FF519" s="142"/>
      <c r="FL519" s="142"/>
      <c r="FR519" s="142"/>
      <c r="FX519" s="142"/>
      <c r="GD519" s="142"/>
      <c r="GJ519" s="142"/>
      <c r="GP519" s="142"/>
      <c r="GV519" s="142"/>
      <c r="HB519" s="142"/>
      <c r="HH519" s="142"/>
      <c r="HN519" s="142"/>
      <c r="HT519" s="142"/>
      <c r="HZ519" s="142"/>
    </row>
    <row r="520">
      <c r="F520" s="142"/>
      <c r="L520" s="142"/>
      <c r="R520" s="142"/>
      <c r="X520" s="142"/>
      <c r="AD520" s="142"/>
      <c r="AJ520" s="142"/>
      <c r="AP520" s="142"/>
      <c r="AV520" s="142"/>
      <c r="BA520" s="142"/>
      <c r="BH520" s="142"/>
      <c r="BN520" s="142"/>
      <c r="BT520" s="142"/>
      <c r="BZ520" s="142"/>
      <c r="CF520" s="142"/>
      <c r="CL520" s="142"/>
      <c r="CR520" s="142"/>
      <c r="CX520" s="142"/>
      <c r="DD520" s="142"/>
      <c r="DJ520" s="142"/>
      <c r="DP520" s="142"/>
      <c r="DV520" s="142"/>
      <c r="EB520" s="142"/>
      <c r="EH520" s="142"/>
      <c r="EN520" s="142"/>
      <c r="ET520" s="142"/>
      <c r="EZ520" s="142"/>
      <c r="FF520" s="142"/>
      <c r="FL520" s="142"/>
      <c r="FR520" s="142"/>
      <c r="FX520" s="142"/>
      <c r="GD520" s="142"/>
      <c r="GJ520" s="142"/>
      <c r="GP520" s="142"/>
      <c r="GV520" s="142"/>
      <c r="HB520" s="142"/>
      <c r="HH520" s="142"/>
      <c r="HN520" s="142"/>
      <c r="HT520" s="142"/>
      <c r="HZ520" s="142"/>
    </row>
    <row r="521">
      <c r="F521" s="142"/>
      <c r="L521" s="142"/>
      <c r="R521" s="142"/>
      <c r="X521" s="142"/>
      <c r="AD521" s="142"/>
      <c r="AJ521" s="142"/>
      <c r="AP521" s="142"/>
      <c r="AV521" s="142"/>
      <c r="BA521" s="142"/>
      <c r="BH521" s="142"/>
      <c r="BN521" s="142"/>
      <c r="BT521" s="142"/>
      <c r="BZ521" s="142"/>
      <c r="CF521" s="142"/>
      <c r="CL521" s="142"/>
      <c r="CR521" s="142"/>
      <c r="CX521" s="142"/>
      <c r="DD521" s="142"/>
      <c r="DJ521" s="142"/>
      <c r="DP521" s="142"/>
      <c r="DV521" s="142"/>
      <c r="EB521" s="142"/>
      <c r="EH521" s="142"/>
      <c r="EN521" s="142"/>
      <c r="ET521" s="142"/>
      <c r="EZ521" s="142"/>
      <c r="FF521" s="142"/>
      <c r="FL521" s="142"/>
      <c r="FR521" s="142"/>
      <c r="FX521" s="142"/>
      <c r="GD521" s="142"/>
      <c r="GJ521" s="142"/>
      <c r="GP521" s="142"/>
      <c r="GV521" s="142"/>
      <c r="HB521" s="142"/>
      <c r="HH521" s="142"/>
      <c r="HN521" s="142"/>
      <c r="HT521" s="142"/>
      <c r="HZ521" s="142"/>
    </row>
    <row r="522">
      <c r="F522" s="142"/>
      <c r="L522" s="142"/>
      <c r="R522" s="142"/>
      <c r="X522" s="142"/>
      <c r="AD522" s="142"/>
      <c r="AJ522" s="142"/>
      <c r="AP522" s="142"/>
      <c r="AV522" s="142"/>
      <c r="BA522" s="142"/>
      <c r="BH522" s="142"/>
      <c r="BN522" s="142"/>
      <c r="BT522" s="142"/>
      <c r="BZ522" s="142"/>
      <c r="CF522" s="142"/>
      <c r="CL522" s="142"/>
      <c r="CR522" s="142"/>
      <c r="CX522" s="142"/>
      <c r="DD522" s="142"/>
      <c r="DJ522" s="142"/>
      <c r="DP522" s="142"/>
      <c r="DV522" s="142"/>
      <c r="EB522" s="142"/>
      <c r="EH522" s="142"/>
      <c r="EN522" s="142"/>
      <c r="ET522" s="142"/>
      <c r="EZ522" s="142"/>
      <c r="FF522" s="142"/>
      <c r="FL522" s="142"/>
      <c r="FR522" s="142"/>
      <c r="FX522" s="142"/>
      <c r="GD522" s="142"/>
      <c r="GJ522" s="142"/>
      <c r="GP522" s="142"/>
      <c r="GV522" s="142"/>
      <c r="HB522" s="142"/>
      <c r="HH522" s="142"/>
      <c r="HN522" s="142"/>
      <c r="HT522" s="142"/>
      <c r="HZ522" s="142"/>
    </row>
    <row r="523">
      <c r="F523" s="142"/>
      <c r="L523" s="142"/>
      <c r="R523" s="142"/>
      <c r="X523" s="142"/>
      <c r="AD523" s="142"/>
      <c r="AJ523" s="142"/>
      <c r="AP523" s="142"/>
      <c r="AV523" s="142"/>
      <c r="BA523" s="142"/>
      <c r="BH523" s="142"/>
      <c r="BN523" s="142"/>
      <c r="BT523" s="142"/>
      <c r="BZ523" s="142"/>
      <c r="CF523" s="142"/>
      <c r="CL523" s="142"/>
      <c r="CR523" s="142"/>
      <c r="CX523" s="142"/>
      <c r="DD523" s="142"/>
      <c r="DJ523" s="142"/>
      <c r="DP523" s="142"/>
      <c r="DV523" s="142"/>
      <c r="EB523" s="142"/>
      <c r="EH523" s="142"/>
      <c r="EN523" s="142"/>
      <c r="ET523" s="142"/>
      <c r="EZ523" s="142"/>
      <c r="FF523" s="142"/>
      <c r="FL523" s="142"/>
      <c r="FR523" s="142"/>
      <c r="FX523" s="142"/>
      <c r="GD523" s="142"/>
      <c r="GJ523" s="142"/>
      <c r="GP523" s="142"/>
      <c r="GV523" s="142"/>
      <c r="HB523" s="142"/>
      <c r="HH523" s="142"/>
      <c r="HN523" s="142"/>
      <c r="HT523" s="142"/>
      <c r="HZ523" s="142"/>
    </row>
    <row r="524">
      <c r="F524" s="142"/>
      <c r="L524" s="142"/>
      <c r="R524" s="142"/>
      <c r="X524" s="142"/>
      <c r="AD524" s="142"/>
      <c r="AJ524" s="142"/>
      <c r="AP524" s="142"/>
      <c r="AV524" s="142"/>
      <c r="BA524" s="142"/>
      <c r="BH524" s="142"/>
      <c r="BN524" s="142"/>
      <c r="BT524" s="142"/>
      <c r="BZ524" s="142"/>
      <c r="CF524" s="142"/>
      <c r="CL524" s="142"/>
      <c r="CR524" s="142"/>
      <c r="CX524" s="142"/>
      <c r="DD524" s="142"/>
      <c r="DJ524" s="142"/>
      <c r="DP524" s="142"/>
      <c r="DV524" s="142"/>
      <c r="EB524" s="142"/>
      <c r="EH524" s="142"/>
      <c r="EN524" s="142"/>
      <c r="ET524" s="142"/>
      <c r="EZ524" s="142"/>
      <c r="FF524" s="142"/>
      <c r="FL524" s="142"/>
      <c r="FR524" s="142"/>
      <c r="FX524" s="142"/>
      <c r="GD524" s="142"/>
      <c r="GJ524" s="142"/>
      <c r="GP524" s="142"/>
      <c r="GV524" s="142"/>
      <c r="HB524" s="142"/>
      <c r="HH524" s="142"/>
      <c r="HN524" s="142"/>
      <c r="HT524" s="142"/>
      <c r="HZ524" s="142"/>
    </row>
    <row r="525">
      <c r="F525" s="142"/>
      <c r="L525" s="142"/>
      <c r="R525" s="142"/>
      <c r="X525" s="142"/>
      <c r="AD525" s="142"/>
      <c r="AJ525" s="142"/>
      <c r="AP525" s="142"/>
      <c r="AV525" s="142"/>
      <c r="BA525" s="142"/>
      <c r="BH525" s="142"/>
      <c r="BN525" s="142"/>
      <c r="BT525" s="142"/>
      <c r="BZ525" s="142"/>
      <c r="CF525" s="142"/>
      <c r="CL525" s="142"/>
      <c r="CR525" s="142"/>
      <c r="CX525" s="142"/>
      <c r="DD525" s="142"/>
      <c r="DJ525" s="142"/>
      <c r="DP525" s="142"/>
      <c r="DV525" s="142"/>
      <c r="EB525" s="142"/>
      <c r="EH525" s="142"/>
      <c r="EN525" s="142"/>
      <c r="ET525" s="142"/>
      <c r="EZ525" s="142"/>
      <c r="FF525" s="142"/>
      <c r="FL525" s="142"/>
      <c r="FR525" s="142"/>
      <c r="FX525" s="142"/>
      <c r="GD525" s="142"/>
      <c r="GJ525" s="142"/>
      <c r="GP525" s="142"/>
      <c r="GV525" s="142"/>
      <c r="HB525" s="142"/>
      <c r="HH525" s="142"/>
      <c r="HN525" s="142"/>
      <c r="HT525" s="142"/>
      <c r="HZ525" s="142"/>
    </row>
    <row r="526">
      <c r="F526" s="142"/>
      <c r="L526" s="142"/>
      <c r="R526" s="142"/>
      <c r="X526" s="142"/>
      <c r="AD526" s="142"/>
      <c r="AJ526" s="142"/>
      <c r="AP526" s="142"/>
      <c r="AV526" s="142"/>
      <c r="BA526" s="142"/>
      <c r="BH526" s="142"/>
      <c r="BN526" s="142"/>
      <c r="BT526" s="142"/>
      <c r="BZ526" s="142"/>
      <c r="CF526" s="142"/>
      <c r="CL526" s="142"/>
      <c r="CR526" s="142"/>
      <c r="CX526" s="142"/>
      <c r="DD526" s="142"/>
      <c r="DJ526" s="142"/>
      <c r="DP526" s="142"/>
      <c r="DV526" s="142"/>
      <c r="EB526" s="142"/>
      <c r="EH526" s="142"/>
      <c r="EN526" s="142"/>
      <c r="ET526" s="142"/>
      <c r="EZ526" s="142"/>
      <c r="FF526" s="142"/>
      <c r="FL526" s="142"/>
      <c r="FR526" s="142"/>
      <c r="FX526" s="142"/>
      <c r="GD526" s="142"/>
      <c r="GJ526" s="142"/>
      <c r="GP526" s="142"/>
      <c r="GV526" s="142"/>
      <c r="HB526" s="142"/>
      <c r="HH526" s="142"/>
      <c r="HN526" s="142"/>
      <c r="HT526" s="142"/>
      <c r="HZ526" s="142"/>
    </row>
    <row r="527">
      <c r="F527" s="142"/>
      <c r="L527" s="142"/>
      <c r="R527" s="142"/>
      <c r="X527" s="142"/>
      <c r="AD527" s="142"/>
      <c r="AJ527" s="142"/>
      <c r="AP527" s="142"/>
      <c r="AV527" s="142"/>
      <c r="BA527" s="142"/>
      <c r="BH527" s="142"/>
      <c r="BN527" s="142"/>
      <c r="BT527" s="142"/>
      <c r="BZ527" s="142"/>
      <c r="CF527" s="142"/>
      <c r="CL527" s="142"/>
      <c r="CR527" s="142"/>
      <c r="CX527" s="142"/>
      <c r="DD527" s="142"/>
      <c r="DJ527" s="142"/>
      <c r="DP527" s="142"/>
      <c r="DV527" s="142"/>
      <c r="EB527" s="142"/>
      <c r="EH527" s="142"/>
      <c r="EN527" s="142"/>
      <c r="ET527" s="142"/>
      <c r="EZ527" s="142"/>
      <c r="FF527" s="142"/>
      <c r="FL527" s="142"/>
      <c r="FR527" s="142"/>
      <c r="FX527" s="142"/>
      <c r="GD527" s="142"/>
      <c r="GJ527" s="142"/>
      <c r="GP527" s="142"/>
      <c r="GV527" s="142"/>
      <c r="HB527" s="142"/>
      <c r="HH527" s="142"/>
      <c r="HN527" s="142"/>
      <c r="HT527" s="142"/>
      <c r="HZ527" s="142"/>
    </row>
    <row r="528">
      <c r="F528" s="142"/>
      <c r="L528" s="142"/>
      <c r="R528" s="142"/>
      <c r="X528" s="142"/>
      <c r="AD528" s="142"/>
      <c r="AJ528" s="142"/>
      <c r="AP528" s="142"/>
      <c r="AV528" s="142"/>
      <c r="BA528" s="142"/>
      <c r="BH528" s="142"/>
      <c r="BN528" s="142"/>
      <c r="BT528" s="142"/>
      <c r="BZ528" s="142"/>
      <c r="CF528" s="142"/>
      <c r="CL528" s="142"/>
      <c r="CR528" s="142"/>
      <c r="CX528" s="142"/>
      <c r="DD528" s="142"/>
      <c r="DJ528" s="142"/>
      <c r="DP528" s="142"/>
      <c r="DV528" s="142"/>
      <c r="EB528" s="142"/>
      <c r="EH528" s="142"/>
      <c r="EN528" s="142"/>
      <c r="ET528" s="142"/>
      <c r="EZ528" s="142"/>
      <c r="FF528" s="142"/>
      <c r="FL528" s="142"/>
      <c r="FR528" s="142"/>
      <c r="FX528" s="142"/>
      <c r="GD528" s="142"/>
      <c r="GJ528" s="142"/>
      <c r="GP528" s="142"/>
      <c r="GV528" s="142"/>
      <c r="HB528" s="142"/>
      <c r="HH528" s="142"/>
      <c r="HN528" s="142"/>
      <c r="HT528" s="142"/>
      <c r="HZ528" s="142"/>
    </row>
    <row r="529">
      <c r="F529" s="142"/>
      <c r="L529" s="142"/>
      <c r="R529" s="142"/>
      <c r="X529" s="142"/>
      <c r="AD529" s="142"/>
      <c r="AJ529" s="142"/>
      <c r="AP529" s="142"/>
      <c r="AV529" s="142"/>
      <c r="BA529" s="142"/>
      <c r="BH529" s="142"/>
      <c r="BN529" s="142"/>
      <c r="BT529" s="142"/>
      <c r="BZ529" s="142"/>
      <c r="CF529" s="142"/>
      <c r="CL529" s="142"/>
      <c r="CR529" s="142"/>
      <c r="CX529" s="142"/>
      <c r="DD529" s="142"/>
      <c r="DJ529" s="142"/>
      <c r="DP529" s="142"/>
      <c r="DV529" s="142"/>
      <c r="EB529" s="142"/>
      <c r="EH529" s="142"/>
      <c r="EN529" s="142"/>
      <c r="ET529" s="142"/>
      <c r="EZ529" s="142"/>
      <c r="FF529" s="142"/>
      <c r="FL529" s="142"/>
      <c r="FR529" s="142"/>
      <c r="FX529" s="142"/>
      <c r="GD529" s="142"/>
      <c r="GJ529" s="142"/>
      <c r="GP529" s="142"/>
      <c r="GV529" s="142"/>
      <c r="HB529" s="142"/>
      <c r="HH529" s="142"/>
      <c r="HN529" s="142"/>
      <c r="HT529" s="142"/>
      <c r="HZ529" s="142"/>
    </row>
    <row r="530">
      <c r="F530" s="142"/>
      <c r="L530" s="142"/>
      <c r="R530" s="142"/>
      <c r="X530" s="142"/>
      <c r="AD530" s="142"/>
      <c r="AJ530" s="142"/>
      <c r="AP530" s="142"/>
      <c r="AV530" s="142"/>
      <c r="BA530" s="142"/>
      <c r="BH530" s="142"/>
      <c r="BN530" s="142"/>
      <c r="BT530" s="142"/>
      <c r="BZ530" s="142"/>
      <c r="CF530" s="142"/>
      <c r="CL530" s="142"/>
      <c r="CR530" s="142"/>
      <c r="CX530" s="142"/>
      <c r="DD530" s="142"/>
      <c r="DJ530" s="142"/>
      <c r="DP530" s="142"/>
      <c r="DV530" s="142"/>
      <c r="EB530" s="142"/>
      <c r="EH530" s="142"/>
      <c r="EN530" s="142"/>
      <c r="ET530" s="142"/>
      <c r="EZ530" s="142"/>
      <c r="FF530" s="142"/>
      <c r="FL530" s="142"/>
      <c r="FR530" s="142"/>
      <c r="FX530" s="142"/>
      <c r="GD530" s="142"/>
      <c r="GJ530" s="142"/>
      <c r="GP530" s="142"/>
      <c r="GV530" s="142"/>
      <c r="HB530" s="142"/>
      <c r="HH530" s="142"/>
      <c r="HN530" s="142"/>
      <c r="HT530" s="142"/>
      <c r="HZ530" s="142"/>
    </row>
    <row r="531">
      <c r="F531" s="142"/>
      <c r="L531" s="142"/>
      <c r="R531" s="142"/>
      <c r="X531" s="142"/>
      <c r="AD531" s="142"/>
      <c r="AJ531" s="142"/>
      <c r="AP531" s="142"/>
      <c r="AV531" s="142"/>
      <c r="BA531" s="142"/>
      <c r="BH531" s="142"/>
      <c r="BN531" s="142"/>
      <c r="BT531" s="142"/>
      <c r="BZ531" s="142"/>
      <c r="CF531" s="142"/>
      <c r="CL531" s="142"/>
      <c r="CR531" s="142"/>
      <c r="CX531" s="142"/>
      <c r="DD531" s="142"/>
      <c r="DJ531" s="142"/>
      <c r="DP531" s="142"/>
      <c r="DV531" s="142"/>
      <c r="EB531" s="142"/>
      <c r="EH531" s="142"/>
      <c r="EN531" s="142"/>
      <c r="ET531" s="142"/>
      <c r="EZ531" s="142"/>
      <c r="FF531" s="142"/>
      <c r="FL531" s="142"/>
      <c r="FR531" s="142"/>
      <c r="FX531" s="142"/>
      <c r="GD531" s="142"/>
      <c r="GJ531" s="142"/>
      <c r="GP531" s="142"/>
      <c r="GV531" s="142"/>
      <c r="HB531" s="142"/>
      <c r="HH531" s="142"/>
      <c r="HN531" s="142"/>
      <c r="HT531" s="142"/>
      <c r="HZ531" s="142"/>
    </row>
    <row r="532">
      <c r="F532" s="142"/>
      <c r="L532" s="142"/>
      <c r="R532" s="142"/>
      <c r="X532" s="142"/>
      <c r="AD532" s="142"/>
      <c r="AJ532" s="142"/>
      <c r="AP532" s="142"/>
      <c r="AV532" s="142"/>
      <c r="BA532" s="142"/>
      <c r="BH532" s="142"/>
      <c r="BN532" s="142"/>
      <c r="BT532" s="142"/>
      <c r="BZ532" s="142"/>
      <c r="CF532" s="142"/>
      <c r="CL532" s="142"/>
      <c r="CR532" s="142"/>
      <c r="CX532" s="142"/>
      <c r="DD532" s="142"/>
      <c r="DJ532" s="142"/>
      <c r="DP532" s="142"/>
      <c r="DV532" s="142"/>
      <c r="EB532" s="142"/>
      <c r="EH532" s="142"/>
      <c r="EN532" s="142"/>
      <c r="ET532" s="142"/>
      <c r="EZ532" s="142"/>
      <c r="FF532" s="142"/>
      <c r="FL532" s="142"/>
      <c r="FR532" s="142"/>
      <c r="FX532" s="142"/>
      <c r="GD532" s="142"/>
      <c r="GJ532" s="142"/>
      <c r="GP532" s="142"/>
      <c r="GV532" s="142"/>
      <c r="HB532" s="142"/>
      <c r="HH532" s="142"/>
      <c r="HN532" s="142"/>
      <c r="HT532" s="142"/>
      <c r="HZ532" s="142"/>
    </row>
    <row r="533">
      <c r="F533" s="142"/>
      <c r="L533" s="142"/>
      <c r="R533" s="142"/>
      <c r="X533" s="142"/>
      <c r="AD533" s="142"/>
      <c r="AJ533" s="142"/>
      <c r="AP533" s="142"/>
      <c r="AV533" s="142"/>
      <c r="BA533" s="142"/>
      <c r="BH533" s="142"/>
      <c r="BN533" s="142"/>
      <c r="BT533" s="142"/>
      <c r="BZ533" s="142"/>
      <c r="CF533" s="142"/>
      <c r="CL533" s="142"/>
      <c r="CR533" s="142"/>
      <c r="CX533" s="142"/>
      <c r="DD533" s="142"/>
      <c r="DJ533" s="142"/>
      <c r="DP533" s="142"/>
      <c r="DV533" s="142"/>
      <c r="EB533" s="142"/>
      <c r="EH533" s="142"/>
      <c r="EN533" s="142"/>
      <c r="ET533" s="142"/>
      <c r="EZ533" s="142"/>
      <c r="FF533" s="142"/>
      <c r="FL533" s="142"/>
      <c r="FR533" s="142"/>
      <c r="FX533" s="142"/>
      <c r="GD533" s="142"/>
      <c r="GJ533" s="142"/>
      <c r="GP533" s="142"/>
      <c r="GV533" s="142"/>
      <c r="HB533" s="142"/>
      <c r="HH533" s="142"/>
      <c r="HN533" s="142"/>
      <c r="HT533" s="142"/>
      <c r="HZ533" s="142"/>
    </row>
    <row r="534">
      <c r="F534" s="142"/>
      <c r="L534" s="142"/>
      <c r="R534" s="142"/>
      <c r="X534" s="142"/>
      <c r="AD534" s="142"/>
      <c r="AJ534" s="142"/>
      <c r="AP534" s="142"/>
      <c r="AV534" s="142"/>
      <c r="BA534" s="142"/>
      <c r="BH534" s="142"/>
      <c r="BN534" s="142"/>
      <c r="BT534" s="142"/>
      <c r="BZ534" s="142"/>
      <c r="CF534" s="142"/>
      <c r="CL534" s="142"/>
      <c r="CR534" s="142"/>
      <c r="CX534" s="142"/>
      <c r="DD534" s="142"/>
      <c r="DJ534" s="142"/>
      <c r="DP534" s="142"/>
      <c r="DV534" s="142"/>
      <c r="EB534" s="142"/>
      <c r="EH534" s="142"/>
      <c r="EN534" s="142"/>
      <c r="ET534" s="142"/>
      <c r="EZ534" s="142"/>
      <c r="FF534" s="142"/>
      <c r="FL534" s="142"/>
      <c r="FR534" s="142"/>
      <c r="FX534" s="142"/>
      <c r="GD534" s="142"/>
      <c r="GJ534" s="142"/>
      <c r="GP534" s="142"/>
      <c r="GV534" s="142"/>
      <c r="HB534" s="142"/>
      <c r="HH534" s="142"/>
      <c r="HN534" s="142"/>
      <c r="HT534" s="142"/>
      <c r="HZ534" s="142"/>
    </row>
    <row r="535">
      <c r="F535" s="142"/>
      <c r="L535" s="142"/>
      <c r="R535" s="142"/>
      <c r="X535" s="142"/>
      <c r="AD535" s="142"/>
      <c r="AJ535" s="142"/>
      <c r="AP535" s="142"/>
      <c r="AV535" s="142"/>
      <c r="BA535" s="142"/>
      <c r="BH535" s="142"/>
      <c r="BN535" s="142"/>
      <c r="BT535" s="142"/>
      <c r="BZ535" s="142"/>
      <c r="CF535" s="142"/>
      <c r="CL535" s="142"/>
      <c r="CR535" s="142"/>
      <c r="CX535" s="142"/>
      <c r="DD535" s="142"/>
      <c r="DJ535" s="142"/>
      <c r="DP535" s="142"/>
      <c r="DV535" s="142"/>
      <c r="EB535" s="142"/>
      <c r="EH535" s="142"/>
      <c r="EN535" s="142"/>
      <c r="ET535" s="142"/>
      <c r="EZ535" s="142"/>
      <c r="FF535" s="142"/>
      <c r="FL535" s="142"/>
      <c r="FR535" s="142"/>
      <c r="FX535" s="142"/>
      <c r="GD535" s="142"/>
      <c r="GJ535" s="142"/>
      <c r="GP535" s="142"/>
      <c r="GV535" s="142"/>
      <c r="HB535" s="142"/>
      <c r="HH535" s="142"/>
      <c r="HN535" s="142"/>
      <c r="HT535" s="142"/>
      <c r="HZ535" s="142"/>
    </row>
    <row r="536">
      <c r="F536" s="142"/>
      <c r="L536" s="142"/>
      <c r="R536" s="142"/>
      <c r="X536" s="142"/>
      <c r="AD536" s="142"/>
      <c r="AJ536" s="142"/>
      <c r="AP536" s="142"/>
      <c r="AV536" s="142"/>
      <c r="BA536" s="142"/>
      <c r="BH536" s="142"/>
      <c r="BN536" s="142"/>
      <c r="BT536" s="142"/>
      <c r="BZ536" s="142"/>
      <c r="CF536" s="142"/>
      <c r="CL536" s="142"/>
      <c r="CR536" s="142"/>
      <c r="CX536" s="142"/>
      <c r="DD536" s="142"/>
      <c r="DJ536" s="142"/>
      <c r="DP536" s="142"/>
      <c r="DV536" s="142"/>
      <c r="EB536" s="142"/>
      <c r="EH536" s="142"/>
      <c r="EN536" s="142"/>
      <c r="ET536" s="142"/>
      <c r="EZ536" s="142"/>
      <c r="FF536" s="142"/>
      <c r="FL536" s="142"/>
      <c r="FR536" s="142"/>
      <c r="FX536" s="142"/>
      <c r="GD536" s="142"/>
      <c r="GJ536" s="142"/>
      <c r="GP536" s="142"/>
      <c r="GV536" s="142"/>
      <c r="HB536" s="142"/>
      <c r="HH536" s="142"/>
      <c r="HN536" s="142"/>
      <c r="HT536" s="142"/>
      <c r="HZ536" s="142"/>
    </row>
    <row r="537">
      <c r="F537" s="142"/>
      <c r="L537" s="142"/>
      <c r="R537" s="142"/>
      <c r="X537" s="142"/>
      <c r="AD537" s="142"/>
      <c r="AJ537" s="142"/>
      <c r="AP537" s="142"/>
      <c r="AV537" s="142"/>
      <c r="BA537" s="142"/>
      <c r="BH537" s="142"/>
      <c r="BN537" s="142"/>
      <c r="BT537" s="142"/>
      <c r="BZ537" s="142"/>
      <c r="CF537" s="142"/>
      <c r="CL537" s="142"/>
      <c r="CR537" s="142"/>
      <c r="CX537" s="142"/>
      <c r="DD537" s="142"/>
      <c r="DJ537" s="142"/>
      <c r="DP537" s="142"/>
      <c r="DV537" s="142"/>
      <c r="EB537" s="142"/>
      <c r="EH537" s="142"/>
      <c r="EN537" s="142"/>
      <c r="ET537" s="142"/>
      <c r="EZ537" s="142"/>
      <c r="FF537" s="142"/>
      <c r="FL537" s="142"/>
      <c r="FR537" s="142"/>
      <c r="FX537" s="142"/>
      <c r="GD537" s="142"/>
      <c r="GJ537" s="142"/>
      <c r="GP537" s="142"/>
      <c r="GV537" s="142"/>
      <c r="HB537" s="142"/>
      <c r="HH537" s="142"/>
      <c r="HN537" s="142"/>
      <c r="HT537" s="142"/>
      <c r="HZ537" s="142"/>
    </row>
    <row r="538">
      <c r="F538" s="142"/>
      <c r="L538" s="142"/>
      <c r="R538" s="142"/>
      <c r="X538" s="142"/>
      <c r="AD538" s="142"/>
      <c r="AJ538" s="142"/>
      <c r="AP538" s="142"/>
      <c r="AV538" s="142"/>
      <c r="BA538" s="142"/>
      <c r="BH538" s="142"/>
      <c r="BN538" s="142"/>
      <c r="BT538" s="142"/>
      <c r="BZ538" s="142"/>
      <c r="CF538" s="142"/>
      <c r="CL538" s="142"/>
      <c r="CR538" s="142"/>
      <c r="CX538" s="142"/>
      <c r="DD538" s="142"/>
      <c r="DJ538" s="142"/>
      <c r="DP538" s="142"/>
      <c r="DV538" s="142"/>
      <c r="EB538" s="142"/>
      <c r="EH538" s="142"/>
      <c r="EN538" s="142"/>
      <c r="ET538" s="142"/>
      <c r="EZ538" s="142"/>
      <c r="FF538" s="142"/>
      <c r="FL538" s="142"/>
      <c r="FR538" s="142"/>
      <c r="FX538" s="142"/>
      <c r="GD538" s="142"/>
      <c r="GJ538" s="142"/>
      <c r="GP538" s="142"/>
      <c r="GV538" s="142"/>
      <c r="HB538" s="142"/>
      <c r="HH538" s="142"/>
      <c r="HN538" s="142"/>
      <c r="HT538" s="142"/>
      <c r="HZ538" s="142"/>
    </row>
    <row r="539">
      <c r="F539" s="142"/>
      <c r="L539" s="142"/>
      <c r="R539" s="142"/>
      <c r="X539" s="142"/>
      <c r="AD539" s="142"/>
      <c r="AJ539" s="142"/>
      <c r="AP539" s="142"/>
      <c r="AV539" s="142"/>
      <c r="BA539" s="142"/>
      <c r="BH539" s="142"/>
      <c r="BN539" s="142"/>
      <c r="BT539" s="142"/>
      <c r="BZ539" s="142"/>
      <c r="CF539" s="142"/>
      <c r="CL539" s="142"/>
      <c r="CR539" s="142"/>
      <c r="CX539" s="142"/>
      <c r="DD539" s="142"/>
      <c r="DJ539" s="142"/>
      <c r="DP539" s="142"/>
      <c r="DV539" s="142"/>
      <c r="EB539" s="142"/>
      <c r="EH539" s="142"/>
      <c r="EN539" s="142"/>
      <c r="ET539" s="142"/>
      <c r="EZ539" s="142"/>
      <c r="FF539" s="142"/>
      <c r="FL539" s="142"/>
      <c r="FR539" s="142"/>
      <c r="FX539" s="142"/>
      <c r="GD539" s="142"/>
      <c r="GJ539" s="142"/>
      <c r="GP539" s="142"/>
      <c r="GV539" s="142"/>
      <c r="HB539" s="142"/>
      <c r="HH539" s="142"/>
      <c r="HN539" s="142"/>
      <c r="HT539" s="142"/>
      <c r="HZ539" s="142"/>
    </row>
    <row r="540">
      <c r="F540" s="142"/>
      <c r="L540" s="142"/>
      <c r="R540" s="142"/>
      <c r="X540" s="142"/>
      <c r="AD540" s="142"/>
      <c r="AJ540" s="142"/>
      <c r="AP540" s="142"/>
      <c r="AV540" s="142"/>
      <c r="BA540" s="142"/>
      <c r="BH540" s="142"/>
      <c r="BN540" s="142"/>
      <c r="BT540" s="142"/>
      <c r="BZ540" s="142"/>
      <c r="CF540" s="142"/>
      <c r="CL540" s="142"/>
      <c r="CR540" s="142"/>
      <c r="CX540" s="142"/>
      <c r="DD540" s="142"/>
      <c r="DJ540" s="142"/>
      <c r="DP540" s="142"/>
      <c r="DV540" s="142"/>
      <c r="EB540" s="142"/>
      <c r="EH540" s="142"/>
      <c r="EN540" s="142"/>
      <c r="ET540" s="142"/>
      <c r="EZ540" s="142"/>
      <c r="FF540" s="142"/>
      <c r="FL540" s="142"/>
      <c r="FR540" s="142"/>
      <c r="FX540" s="142"/>
      <c r="GD540" s="142"/>
      <c r="GJ540" s="142"/>
      <c r="GP540" s="142"/>
      <c r="GV540" s="142"/>
      <c r="HB540" s="142"/>
      <c r="HH540" s="142"/>
      <c r="HN540" s="142"/>
      <c r="HT540" s="142"/>
      <c r="HZ540" s="142"/>
    </row>
    <row r="541">
      <c r="F541" s="142"/>
      <c r="L541" s="142"/>
      <c r="R541" s="142"/>
      <c r="X541" s="142"/>
      <c r="AD541" s="142"/>
      <c r="AJ541" s="142"/>
      <c r="AP541" s="142"/>
      <c r="AV541" s="142"/>
      <c r="BA541" s="142"/>
      <c r="BH541" s="142"/>
      <c r="BN541" s="142"/>
      <c r="BT541" s="142"/>
      <c r="BZ541" s="142"/>
      <c r="CF541" s="142"/>
      <c r="CL541" s="142"/>
      <c r="CR541" s="142"/>
      <c r="CX541" s="142"/>
      <c r="DD541" s="142"/>
      <c r="DJ541" s="142"/>
      <c r="DP541" s="142"/>
      <c r="DV541" s="142"/>
      <c r="EB541" s="142"/>
      <c r="EH541" s="142"/>
      <c r="EN541" s="142"/>
      <c r="ET541" s="142"/>
      <c r="EZ541" s="142"/>
      <c r="FF541" s="142"/>
      <c r="FL541" s="142"/>
      <c r="FR541" s="142"/>
      <c r="FX541" s="142"/>
      <c r="GD541" s="142"/>
      <c r="GJ541" s="142"/>
      <c r="GP541" s="142"/>
      <c r="GV541" s="142"/>
      <c r="HB541" s="142"/>
      <c r="HH541" s="142"/>
      <c r="HN541" s="142"/>
      <c r="HT541" s="142"/>
      <c r="HZ541" s="142"/>
    </row>
    <row r="542">
      <c r="F542" s="142"/>
      <c r="L542" s="142"/>
      <c r="R542" s="142"/>
      <c r="X542" s="142"/>
      <c r="AD542" s="142"/>
      <c r="AJ542" s="142"/>
      <c r="AP542" s="142"/>
      <c r="AV542" s="142"/>
      <c r="BA542" s="142"/>
      <c r="BH542" s="142"/>
      <c r="BN542" s="142"/>
      <c r="BT542" s="142"/>
      <c r="BZ542" s="142"/>
      <c r="CF542" s="142"/>
      <c r="CL542" s="142"/>
      <c r="CR542" s="142"/>
      <c r="CX542" s="142"/>
      <c r="DD542" s="142"/>
      <c r="DJ542" s="142"/>
      <c r="DP542" s="142"/>
      <c r="DV542" s="142"/>
      <c r="EB542" s="142"/>
      <c r="EH542" s="142"/>
      <c r="EN542" s="142"/>
      <c r="ET542" s="142"/>
      <c r="EZ542" s="142"/>
      <c r="FF542" s="142"/>
      <c r="FL542" s="142"/>
      <c r="FR542" s="142"/>
      <c r="FX542" s="142"/>
      <c r="GD542" s="142"/>
      <c r="GJ542" s="142"/>
      <c r="GP542" s="142"/>
      <c r="GV542" s="142"/>
      <c r="HB542" s="142"/>
      <c r="HH542" s="142"/>
      <c r="HN542" s="142"/>
      <c r="HT542" s="142"/>
      <c r="HZ542" s="142"/>
    </row>
    <row r="543">
      <c r="F543" s="142"/>
      <c r="L543" s="142"/>
      <c r="R543" s="142"/>
      <c r="X543" s="142"/>
      <c r="AD543" s="142"/>
      <c r="AJ543" s="142"/>
      <c r="AP543" s="142"/>
      <c r="AV543" s="142"/>
      <c r="BA543" s="142"/>
      <c r="BH543" s="142"/>
      <c r="BN543" s="142"/>
      <c r="BT543" s="142"/>
      <c r="BZ543" s="142"/>
      <c r="CF543" s="142"/>
      <c r="CL543" s="142"/>
      <c r="CR543" s="142"/>
      <c r="CX543" s="142"/>
      <c r="DD543" s="142"/>
      <c r="DJ543" s="142"/>
      <c r="DP543" s="142"/>
      <c r="DV543" s="142"/>
      <c r="EB543" s="142"/>
      <c r="EH543" s="142"/>
      <c r="EN543" s="142"/>
      <c r="ET543" s="142"/>
      <c r="EZ543" s="142"/>
      <c r="FF543" s="142"/>
      <c r="FL543" s="142"/>
      <c r="FR543" s="142"/>
      <c r="FX543" s="142"/>
      <c r="GD543" s="142"/>
      <c r="GJ543" s="142"/>
      <c r="GP543" s="142"/>
      <c r="GV543" s="142"/>
      <c r="HB543" s="142"/>
      <c r="HH543" s="142"/>
      <c r="HN543" s="142"/>
      <c r="HT543" s="142"/>
      <c r="HZ543" s="142"/>
    </row>
    <row r="544">
      <c r="F544" s="142"/>
      <c r="L544" s="142"/>
      <c r="R544" s="142"/>
      <c r="X544" s="142"/>
      <c r="AD544" s="142"/>
      <c r="AJ544" s="142"/>
      <c r="AP544" s="142"/>
      <c r="AV544" s="142"/>
      <c r="BA544" s="142"/>
      <c r="BH544" s="142"/>
      <c r="BN544" s="142"/>
      <c r="BT544" s="142"/>
      <c r="BZ544" s="142"/>
      <c r="CF544" s="142"/>
      <c r="CL544" s="142"/>
      <c r="CR544" s="142"/>
      <c r="CX544" s="142"/>
      <c r="DD544" s="142"/>
      <c r="DJ544" s="142"/>
      <c r="DP544" s="142"/>
      <c r="DV544" s="142"/>
      <c r="EB544" s="142"/>
      <c r="EH544" s="142"/>
      <c r="EN544" s="142"/>
      <c r="ET544" s="142"/>
      <c r="EZ544" s="142"/>
      <c r="FF544" s="142"/>
      <c r="FL544" s="142"/>
      <c r="FR544" s="142"/>
      <c r="FX544" s="142"/>
      <c r="GD544" s="142"/>
      <c r="GJ544" s="142"/>
      <c r="GP544" s="142"/>
      <c r="GV544" s="142"/>
      <c r="HB544" s="142"/>
      <c r="HH544" s="142"/>
      <c r="HN544" s="142"/>
      <c r="HT544" s="142"/>
      <c r="HZ544" s="142"/>
    </row>
    <row r="545">
      <c r="F545" s="142"/>
      <c r="L545" s="142"/>
      <c r="R545" s="142"/>
      <c r="X545" s="142"/>
      <c r="AD545" s="142"/>
      <c r="AJ545" s="142"/>
      <c r="AP545" s="142"/>
      <c r="AV545" s="142"/>
      <c r="BA545" s="142"/>
      <c r="BH545" s="142"/>
      <c r="BN545" s="142"/>
      <c r="BT545" s="142"/>
      <c r="BZ545" s="142"/>
      <c r="CF545" s="142"/>
      <c r="CL545" s="142"/>
      <c r="CR545" s="142"/>
      <c r="CX545" s="142"/>
      <c r="DD545" s="142"/>
      <c r="DJ545" s="142"/>
      <c r="DP545" s="142"/>
      <c r="DV545" s="142"/>
      <c r="EB545" s="142"/>
      <c r="EH545" s="142"/>
      <c r="EN545" s="142"/>
      <c r="ET545" s="142"/>
      <c r="EZ545" s="142"/>
      <c r="FF545" s="142"/>
      <c r="FL545" s="142"/>
      <c r="FR545" s="142"/>
      <c r="FX545" s="142"/>
      <c r="GD545" s="142"/>
      <c r="GJ545" s="142"/>
      <c r="GP545" s="142"/>
      <c r="GV545" s="142"/>
      <c r="HB545" s="142"/>
      <c r="HH545" s="142"/>
      <c r="HN545" s="142"/>
      <c r="HT545" s="142"/>
      <c r="HZ545" s="142"/>
    </row>
    <row r="546">
      <c r="F546" s="142"/>
      <c r="L546" s="142"/>
      <c r="R546" s="142"/>
      <c r="X546" s="142"/>
      <c r="AD546" s="142"/>
      <c r="AJ546" s="142"/>
      <c r="AP546" s="142"/>
      <c r="AV546" s="142"/>
      <c r="BA546" s="142"/>
      <c r="BH546" s="142"/>
      <c r="BN546" s="142"/>
      <c r="BT546" s="142"/>
      <c r="BZ546" s="142"/>
      <c r="CF546" s="142"/>
      <c r="CL546" s="142"/>
      <c r="CR546" s="142"/>
      <c r="CX546" s="142"/>
      <c r="DD546" s="142"/>
      <c r="DJ546" s="142"/>
      <c r="DP546" s="142"/>
      <c r="DV546" s="142"/>
      <c r="EB546" s="142"/>
      <c r="EH546" s="142"/>
      <c r="EN546" s="142"/>
      <c r="ET546" s="142"/>
      <c r="EZ546" s="142"/>
      <c r="FF546" s="142"/>
      <c r="FL546" s="142"/>
      <c r="FR546" s="142"/>
      <c r="FX546" s="142"/>
      <c r="GD546" s="142"/>
      <c r="GJ546" s="142"/>
      <c r="GP546" s="142"/>
      <c r="GV546" s="142"/>
      <c r="HB546" s="142"/>
      <c r="HH546" s="142"/>
      <c r="HN546" s="142"/>
      <c r="HT546" s="142"/>
      <c r="HZ546" s="142"/>
    </row>
    <row r="547">
      <c r="F547" s="142"/>
      <c r="L547" s="142"/>
      <c r="R547" s="142"/>
      <c r="X547" s="142"/>
      <c r="AD547" s="142"/>
      <c r="AJ547" s="142"/>
      <c r="AP547" s="142"/>
      <c r="AV547" s="142"/>
      <c r="BA547" s="142"/>
      <c r="BH547" s="142"/>
      <c r="BN547" s="142"/>
      <c r="BT547" s="142"/>
      <c r="BZ547" s="142"/>
      <c r="CF547" s="142"/>
      <c r="CL547" s="142"/>
      <c r="CR547" s="142"/>
      <c r="CX547" s="142"/>
      <c r="DD547" s="142"/>
      <c r="DJ547" s="142"/>
      <c r="DP547" s="142"/>
      <c r="DV547" s="142"/>
      <c r="EB547" s="142"/>
      <c r="EH547" s="142"/>
      <c r="EN547" s="142"/>
      <c r="ET547" s="142"/>
      <c r="EZ547" s="142"/>
      <c r="FF547" s="142"/>
      <c r="FL547" s="142"/>
      <c r="FR547" s="142"/>
      <c r="FX547" s="142"/>
      <c r="GD547" s="142"/>
      <c r="GJ547" s="142"/>
      <c r="GP547" s="142"/>
      <c r="GV547" s="142"/>
      <c r="HB547" s="142"/>
      <c r="HH547" s="142"/>
      <c r="HN547" s="142"/>
      <c r="HT547" s="142"/>
      <c r="HZ547" s="142"/>
    </row>
    <row r="548">
      <c r="F548" s="142"/>
      <c r="L548" s="142"/>
      <c r="R548" s="142"/>
      <c r="X548" s="142"/>
      <c r="AD548" s="142"/>
      <c r="AJ548" s="142"/>
      <c r="AP548" s="142"/>
      <c r="AV548" s="142"/>
      <c r="BA548" s="142"/>
      <c r="BH548" s="142"/>
      <c r="BN548" s="142"/>
      <c r="BT548" s="142"/>
      <c r="BZ548" s="142"/>
      <c r="CF548" s="142"/>
      <c r="CL548" s="142"/>
      <c r="CR548" s="142"/>
      <c r="CX548" s="142"/>
      <c r="DD548" s="142"/>
      <c r="DJ548" s="142"/>
      <c r="DP548" s="142"/>
      <c r="DV548" s="142"/>
      <c r="EB548" s="142"/>
      <c r="EH548" s="142"/>
      <c r="EN548" s="142"/>
      <c r="ET548" s="142"/>
      <c r="EZ548" s="142"/>
      <c r="FF548" s="142"/>
      <c r="FL548" s="142"/>
      <c r="FR548" s="142"/>
      <c r="FX548" s="142"/>
      <c r="GD548" s="142"/>
      <c r="GJ548" s="142"/>
      <c r="GP548" s="142"/>
      <c r="GV548" s="142"/>
      <c r="HB548" s="142"/>
      <c r="HH548" s="142"/>
      <c r="HN548" s="142"/>
      <c r="HT548" s="142"/>
      <c r="HZ548" s="142"/>
    </row>
    <row r="549">
      <c r="F549" s="142"/>
      <c r="L549" s="142"/>
      <c r="R549" s="142"/>
      <c r="X549" s="142"/>
      <c r="AD549" s="142"/>
      <c r="AJ549" s="142"/>
      <c r="AP549" s="142"/>
      <c r="AV549" s="142"/>
      <c r="BA549" s="142"/>
      <c r="BH549" s="142"/>
      <c r="BN549" s="142"/>
      <c r="BT549" s="142"/>
      <c r="BZ549" s="142"/>
      <c r="CF549" s="142"/>
      <c r="CL549" s="142"/>
      <c r="CR549" s="142"/>
      <c r="CX549" s="142"/>
      <c r="DD549" s="142"/>
      <c r="DJ549" s="142"/>
      <c r="DP549" s="142"/>
      <c r="DV549" s="142"/>
      <c r="EB549" s="142"/>
      <c r="EH549" s="142"/>
      <c r="EN549" s="142"/>
      <c r="ET549" s="142"/>
      <c r="EZ549" s="142"/>
      <c r="FF549" s="142"/>
      <c r="FL549" s="142"/>
      <c r="FR549" s="142"/>
      <c r="FX549" s="142"/>
      <c r="GD549" s="142"/>
      <c r="GJ549" s="142"/>
      <c r="GP549" s="142"/>
      <c r="GV549" s="142"/>
      <c r="HB549" s="142"/>
      <c r="HH549" s="142"/>
      <c r="HN549" s="142"/>
      <c r="HT549" s="142"/>
      <c r="HZ549" s="142"/>
    </row>
    <row r="550">
      <c r="F550" s="142"/>
      <c r="L550" s="142"/>
      <c r="R550" s="142"/>
      <c r="X550" s="142"/>
      <c r="AD550" s="142"/>
      <c r="AJ550" s="142"/>
      <c r="AP550" s="142"/>
      <c r="AV550" s="142"/>
      <c r="BA550" s="142"/>
      <c r="BH550" s="142"/>
      <c r="BN550" s="142"/>
      <c r="BT550" s="142"/>
      <c r="BZ550" s="142"/>
      <c r="CF550" s="142"/>
      <c r="CL550" s="142"/>
      <c r="CR550" s="142"/>
      <c r="CX550" s="142"/>
      <c r="DD550" s="142"/>
      <c r="DJ550" s="142"/>
      <c r="DP550" s="142"/>
      <c r="DV550" s="142"/>
      <c r="EB550" s="142"/>
      <c r="EH550" s="142"/>
      <c r="EN550" s="142"/>
      <c r="ET550" s="142"/>
      <c r="EZ550" s="142"/>
      <c r="FF550" s="142"/>
      <c r="FL550" s="142"/>
      <c r="FR550" s="142"/>
      <c r="FX550" s="142"/>
      <c r="GD550" s="142"/>
      <c r="GJ550" s="142"/>
      <c r="GP550" s="142"/>
      <c r="GV550" s="142"/>
      <c r="HB550" s="142"/>
      <c r="HH550" s="142"/>
      <c r="HN550" s="142"/>
      <c r="HT550" s="142"/>
      <c r="HZ550" s="142"/>
    </row>
    <row r="551">
      <c r="F551" s="142"/>
      <c r="L551" s="142"/>
      <c r="R551" s="142"/>
      <c r="X551" s="142"/>
      <c r="AD551" s="142"/>
      <c r="AJ551" s="142"/>
      <c r="AP551" s="142"/>
      <c r="AV551" s="142"/>
      <c r="BA551" s="142"/>
      <c r="BH551" s="142"/>
      <c r="BN551" s="142"/>
      <c r="BT551" s="142"/>
      <c r="BZ551" s="142"/>
      <c r="CF551" s="142"/>
      <c r="CL551" s="142"/>
      <c r="CR551" s="142"/>
      <c r="CX551" s="142"/>
      <c r="DD551" s="142"/>
      <c r="DJ551" s="142"/>
      <c r="DP551" s="142"/>
      <c r="DV551" s="142"/>
      <c r="EB551" s="142"/>
      <c r="EH551" s="142"/>
      <c r="EN551" s="142"/>
      <c r="ET551" s="142"/>
      <c r="EZ551" s="142"/>
      <c r="FF551" s="142"/>
      <c r="FL551" s="142"/>
      <c r="FR551" s="142"/>
      <c r="FX551" s="142"/>
      <c r="GD551" s="142"/>
      <c r="GJ551" s="142"/>
      <c r="GP551" s="142"/>
      <c r="GV551" s="142"/>
      <c r="HB551" s="142"/>
      <c r="HH551" s="142"/>
      <c r="HN551" s="142"/>
      <c r="HT551" s="142"/>
      <c r="HZ551" s="142"/>
    </row>
    <row r="552">
      <c r="F552" s="142"/>
      <c r="L552" s="142"/>
      <c r="R552" s="142"/>
      <c r="X552" s="142"/>
      <c r="AD552" s="142"/>
      <c r="AJ552" s="142"/>
      <c r="AP552" s="142"/>
      <c r="AV552" s="142"/>
      <c r="BA552" s="142"/>
      <c r="BH552" s="142"/>
      <c r="BN552" s="142"/>
      <c r="BT552" s="142"/>
      <c r="BZ552" s="142"/>
      <c r="CF552" s="142"/>
      <c r="CL552" s="142"/>
      <c r="CR552" s="142"/>
      <c r="CX552" s="142"/>
      <c r="DD552" s="142"/>
      <c r="DJ552" s="142"/>
      <c r="DP552" s="142"/>
      <c r="DV552" s="142"/>
      <c r="EB552" s="142"/>
      <c r="EH552" s="142"/>
      <c r="EN552" s="142"/>
      <c r="ET552" s="142"/>
      <c r="EZ552" s="142"/>
      <c r="FF552" s="142"/>
      <c r="FL552" s="142"/>
      <c r="FR552" s="142"/>
      <c r="FX552" s="142"/>
      <c r="GD552" s="142"/>
      <c r="GJ552" s="142"/>
      <c r="GP552" s="142"/>
      <c r="GV552" s="142"/>
      <c r="HB552" s="142"/>
      <c r="HH552" s="142"/>
      <c r="HN552" s="142"/>
      <c r="HT552" s="142"/>
      <c r="HZ552" s="142"/>
    </row>
    <row r="553">
      <c r="F553" s="142"/>
      <c r="L553" s="142"/>
      <c r="R553" s="142"/>
      <c r="X553" s="142"/>
      <c r="AD553" s="142"/>
      <c r="AJ553" s="142"/>
      <c r="AP553" s="142"/>
      <c r="AV553" s="142"/>
      <c r="BA553" s="142"/>
      <c r="BH553" s="142"/>
      <c r="BN553" s="142"/>
      <c r="BT553" s="142"/>
      <c r="BZ553" s="142"/>
      <c r="CF553" s="142"/>
      <c r="CL553" s="142"/>
      <c r="CR553" s="142"/>
      <c r="CX553" s="142"/>
      <c r="DD553" s="142"/>
      <c r="DJ553" s="142"/>
      <c r="DP553" s="142"/>
      <c r="DV553" s="142"/>
      <c r="EB553" s="142"/>
      <c r="EH553" s="142"/>
      <c r="EN553" s="142"/>
      <c r="ET553" s="142"/>
      <c r="EZ553" s="142"/>
      <c r="FF553" s="142"/>
      <c r="FL553" s="142"/>
      <c r="FR553" s="142"/>
      <c r="FX553" s="142"/>
      <c r="GD553" s="142"/>
      <c r="GJ553" s="142"/>
      <c r="GP553" s="142"/>
      <c r="GV553" s="142"/>
      <c r="HB553" s="142"/>
      <c r="HH553" s="142"/>
      <c r="HN553" s="142"/>
      <c r="HT553" s="142"/>
      <c r="HZ553" s="142"/>
    </row>
    <row r="554">
      <c r="F554" s="142"/>
      <c r="L554" s="142"/>
      <c r="R554" s="142"/>
      <c r="X554" s="142"/>
      <c r="AD554" s="142"/>
      <c r="AJ554" s="142"/>
      <c r="AP554" s="142"/>
      <c r="AV554" s="142"/>
      <c r="BA554" s="142"/>
      <c r="BH554" s="142"/>
      <c r="BN554" s="142"/>
      <c r="BT554" s="142"/>
      <c r="BZ554" s="142"/>
      <c r="CF554" s="142"/>
      <c r="CL554" s="142"/>
      <c r="CR554" s="142"/>
      <c r="CX554" s="142"/>
      <c r="DD554" s="142"/>
      <c r="DJ554" s="142"/>
      <c r="DP554" s="142"/>
      <c r="DV554" s="142"/>
      <c r="EB554" s="142"/>
      <c r="EH554" s="142"/>
      <c r="EN554" s="142"/>
      <c r="ET554" s="142"/>
      <c r="EZ554" s="142"/>
      <c r="FF554" s="142"/>
      <c r="FL554" s="142"/>
      <c r="FR554" s="142"/>
      <c r="FX554" s="142"/>
      <c r="GD554" s="142"/>
      <c r="GJ554" s="142"/>
      <c r="GP554" s="142"/>
      <c r="GV554" s="142"/>
      <c r="HB554" s="142"/>
      <c r="HH554" s="142"/>
      <c r="HN554" s="142"/>
      <c r="HT554" s="142"/>
      <c r="HZ554" s="142"/>
    </row>
    <row r="555">
      <c r="F555" s="142"/>
      <c r="L555" s="142"/>
      <c r="R555" s="142"/>
      <c r="X555" s="142"/>
      <c r="AD555" s="142"/>
      <c r="AJ555" s="142"/>
      <c r="AP555" s="142"/>
      <c r="AV555" s="142"/>
      <c r="BA555" s="142"/>
      <c r="BH555" s="142"/>
      <c r="BN555" s="142"/>
      <c r="BT555" s="142"/>
      <c r="BZ555" s="142"/>
      <c r="CF555" s="142"/>
      <c r="CL555" s="142"/>
      <c r="CR555" s="142"/>
      <c r="CX555" s="142"/>
      <c r="DD555" s="142"/>
      <c r="DJ555" s="142"/>
      <c r="DP555" s="142"/>
      <c r="DV555" s="142"/>
      <c r="EB555" s="142"/>
      <c r="EH555" s="142"/>
      <c r="EN555" s="142"/>
      <c r="ET555" s="142"/>
      <c r="EZ555" s="142"/>
      <c r="FF555" s="142"/>
      <c r="FL555" s="142"/>
      <c r="FR555" s="142"/>
      <c r="FX555" s="142"/>
      <c r="GD555" s="142"/>
      <c r="GJ555" s="142"/>
      <c r="GP555" s="142"/>
      <c r="GV555" s="142"/>
      <c r="HB555" s="142"/>
      <c r="HH555" s="142"/>
      <c r="HN555" s="142"/>
      <c r="HT555" s="142"/>
      <c r="HZ555" s="142"/>
    </row>
    <row r="556">
      <c r="F556" s="142"/>
      <c r="L556" s="142"/>
      <c r="R556" s="142"/>
      <c r="X556" s="142"/>
      <c r="AD556" s="142"/>
      <c r="AJ556" s="142"/>
      <c r="AP556" s="142"/>
      <c r="AV556" s="142"/>
      <c r="BA556" s="142"/>
      <c r="BH556" s="142"/>
      <c r="BN556" s="142"/>
      <c r="BT556" s="142"/>
      <c r="BZ556" s="142"/>
      <c r="CF556" s="142"/>
      <c r="CL556" s="142"/>
      <c r="CR556" s="142"/>
      <c r="CX556" s="142"/>
      <c r="DD556" s="142"/>
      <c r="DJ556" s="142"/>
      <c r="DP556" s="142"/>
      <c r="DV556" s="142"/>
      <c r="EB556" s="142"/>
      <c r="EH556" s="142"/>
      <c r="EN556" s="142"/>
      <c r="ET556" s="142"/>
      <c r="EZ556" s="142"/>
      <c r="FF556" s="142"/>
      <c r="FL556" s="142"/>
      <c r="FR556" s="142"/>
      <c r="FX556" s="142"/>
      <c r="GD556" s="142"/>
      <c r="GJ556" s="142"/>
      <c r="GP556" s="142"/>
      <c r="GV556" s="142"/>
      <c r="HB556" s="142"/>
      <c r="HH556" s="142"/>
      <c r="HN556" s="142"/>
      <c r="HT556" s="142"/>
      <c r="HZ556" s="142"/>
    </row>
    <row r="557">
      <c r="F557" s="142"/>
      <c r="L557" s="142"/>
      <c r="R557" s="142"/>
      <c r="X557" s="142"/>
      <c r="AD557" s="142"/>
      <c r="AJ557" s="142"/>
      <c r="AP557" s="142"/>
      <c r="AV557" s="142"/>
      <c r="BA557" s="142"/>
      <c r="BH557" s="142"/>
      <c r="BN557" s="142"/>
      <c r="BT557" s="142"/>
      <c r="BZ557" s="142"/>
      <c r="CF557" s="142"/>
      <c r="CL557" s="142"/>
      <c r="CR557" s="142"/>
      <c r="CX557" s="142"/>
      <c r="DD557" s="142"/>
      <c r="DJ557" s="142"/>
      <c r="DP557" s="142"/>
      <c r="DV557" s="142"/>
      <c r="EB557" s="142"/>
      <c r="EH557" s="142"/>
      <c r="EN557" s="142"/>
      <c r="ET557" s="142"/>
      <c r="EZ557" s="142"/>
      <c r="FF557" s="142"/>
      <c r="FL557" s="142"/>
      <c r="FR557" s="142"/>
      <c r="FX557" s="142"/>
      <c r="GD557" s="142"/>
      <c r="GJ557" s="142"/>
      <c r="GP557" s="142"/>
      <c r="GV557" s="142"/>
      <c r="HB557" s="142"/>
      <c r="HH557" s="142"/>
      <c r="HN557" s="142"/>
      <c r="HT557" s="142"/>
      <c r="HZ557" s="142"/>
    </row>
    <row r="558">
      <c r="F558" s="142"/>
      <c r="L558" s="142"/>
      <c r="R558" s="142"/>
      <c r="X558" s="142"/>
      <c r="AD558" s="142"/>
      <c r="AJ558" s="142"/>
      <c r="AP558" s="142"/>
      <c r="AV558" s="142"/>
      <c r="BA558" s="142"/>
      <c r="BH558" s="142"/>
      <c r="BN558" s="142"/>
      <c r="BT558" s="142"/>
      <c r="BZ558" s="142"/>
      <c r="CF558" s="142"/>
      <c r="CL558" s="142"/>
      <c r="CR558" s="142"/>
      <c r="CX558" s="142"/>
      <c r="DD558" s="142"/>
      <c r="DJ558" s="142"/>
      <c r="DP558" s="142"/>
      <c r="DV558" s="142"/>
      <c r="EB558" s="142"/>
      <c r="EH558" s="142"/>
      <c r="EN558" s="142"/>
      <c r="ET558" s="142"/>
      <c r="EZ558" s="142"/>
      <c r="FF558" s="142"/>
      <c r="FL558" s="142"/>
      <c r="FR558" s="142"/>
      <c r="FX558" s="142"/>
      <c r="GD558" s="142"/>
      <c r="GJ558" s="142"/>
      <c r="GP558" s="142"/>
      <c r="GV558" s="142"/>
      <c r="HB558" s="142"/>
      <c r="HH558" s="142"/>
      <c r="HN558" s="142"/>
      <c r="HT558" s="142"/>
      <c r="HZ558" s="142"/>
    </row>
    <row r="559">
      <c r="F559" s="142"/>
      <c r="L559" s="142"/>
      <c r="R559" s="142"/>
      <c r="X559" s="142"/>
      <c r="AD559" s="142"/>
      <c r="AJ559" s="142"/>
      <c r="AP559" s="142"/>
      <c r="AV559" s="142"/>
      <c r="BA559" s="142"/>
      <c r="BH559" s="142"/>
      <c r="BN559" s="142"/>
      <c r="BT559" s="142"/>
      <c r="BZ559" s="142"/>
      <c r="CF559" s="142"/>
      <c r="CL559" s="142"/>
      <c r="CR559" s="142"/>
      <c r="CX559" s="142"/>
      <c r="DD559" s="142"/>
      <c r="DJ559" s="142"/>
      <c r="DP559" s="142"/>
      <c r="DV559" s="142"/>
      <c r="EB559" s="142"/>
      <c r="EH559" s="142"/>
      <c r="EN559" s="142"/>
      <c r="ET559" s="142"/>
      <c r="EZ559" s="142"/>
      <c r="FF559" s="142"/>
      <c r="FL559" s="142"/>
      <c r="FR559" s="142"/>
      <c r="FX559" s="142"/>
      <c r="GD559" s="142"/>
      <c r="GJ559" s="142"/>
      <c r="GP559" s="142"/>
      <c r="GV559" s="142"/>
      <c r="HB559" s="142"/>
      <c r="HH559" s="142"/>
      <c r="HN559" s="142"/>
      <c r="HT559" s="142"/>
      <c r="HZ559" s="142"/>
    </row>
    <row r="560">
      <c r="F560" s="142"/>
      <c r="L560" s="142"/>
      <c r="R560" s="142"/>
      <c r="X560" s="142"/>
      <c r="AD560" s="142"/>
      <c r="AJ560" s="142"/>
      <c r="AP560" s="142"/>
      <c r="AV560" s="142"/>
      <c r="BA560" s="142"/>
      <c r="BH560" s="142"/>
      <c r="BN560" s="142"/>
      <c r="BT560" s="142"/>
      <c r="BZ560" s="142"/>
      <c r="CF560" s="142"/>
      <c r="CL560" s="142"/>
      <c r="CR560" s="142"/>
      <c r="CX560" s="142"/>
      <c r="DD560" s="142"/>
      <c r="DJ560" s="142"/>
      <c r="DP560" s="142"/>
      <c r="DV560" s="142"/>
      <c r="EB560" s="142"/>
      <c r="EH560" s="142"/>
      <c r="EN560" s="142"/>
      <c r="ET560" s="142"/>
      <c r="EZ560" s="142"/>
      <c r="FF560" s="142"/>
      <c r="FL560" s="142"/>
      <c r="FR560" s="142"/>
      <c r="FX560" s="142"/>
      <c r="GD560" s="142"/>
      <c r="GJ560" s="142"/>
      <c r="GP560" s="142"/>
      <c r="GV560" s="142"/>
      <c r="HB560" s="142"/>
      <c r="HH560" s="142"/>
      <c r="HN560" s="142"/>
      <c r="HT560" s="142"/>
      <c r="HZ560" s="142"/>
    </row>
    <row r="561">
      <c r="F561" s="142"/>
      <c r="L561" s="142"/>
      <c r="R561" s="142"/>
      <c r="X561" s="142"/>
      <c r="AD561" s="142"/>
      <c r="AJ561" s="142"/>
      <c r="AP561" s="142"/>
      <c r="AV561" s="142"/>
      <c r="BA561" s="142"/>
      <c r="BH561" s="142"/>
      <c r="BN561" s="142"/>
      <c r="BT561" s="142"/>
      <c r="BZ561" s="142"/>
      <c r="CF561" s="142"/>
      <c r="CL561" s="142"/>
      <c r="CR561" s="142"/>
      <c r="CX561" s="142"/>
      <c r="DD561" s="142"/>
      <c r="DJ561" s="142"/>
      <c r="DP561" s="142"/>
      <c r="DV561" s="142"/>
      <c r="EB561" s="142"/>
      <c r="EH561" s="142"/>
      <c r="EN561" s="142"/>
      <c r="ET561" s="142"/>
      <c r="EZ561" s="142"/>
      <c r="FF561" s="142"/>
      <c r="FL561" s="142"/>
      <c r="FR561" s="142"/>
      <c r="FX561" s="142"/>
      <c r="GD561" s="142"/>
      <c r="GJ561" s="142"/>
      <c r="GP561" s="142"/>
      <c r="GV561" s="142"/>
      <c r="HB561" s="142"/>
      <c r="HH561" s="142"/>
      <c r="HN561" s="142"/>
      <c r="HT561" s="142"/>
      <c r="HZ561" s="142"/>
    </row>
    <row r="562">
      <c r="F562" s="142"/>
      <c r="L562" s="142"/>
      <c r="R562" s="142"/>
      <c r="X562" s="142"/>
      <c r="AD562" s="142"/>
      <c r="AJ562" s="142"/>
      <c r="AP562" s="142"/>
      <c r="AV562" s="142"/>
      <c r="BA562" s="142"/>
      <c r="BH562" s="142"/>
      <c r="BN562" s="142"/>
      <c r="BT562" s="142"/>
      <c r="BZ562" s="142"/>
      <c r="CF562" s="142"/>
      <c r="CL562" s="142"/>
      <c r="CR562" s="142"/>
      <c r="CX562" s="142"/>
      <c r="DD562" s="142"/>
      <c r="DJ562" s="142"/>
      <c r="DP562" s="142"/>
      <c r="DV562" s="142"/>
      <c r="EB562" s="142"/>
      <c r="EH562" s="142"/>
      <c r="EN562" s="142"/>
      <c r="ET562" s="142"/>
      <c r="EZ562" s="142"/>
      <c r="FF562" s="142"/>
      <c r="FL562" s="142"/>
      <c r="FR562" s="142"/>
      <c r="FX562" s="142"/>
      <c r="GD562" s="142"/>
      <c r="GJ562" s="142"/>
      <c r="GP562" s="142"/>
      <c r="GV562" s="142"/>
      <c r="HB562" s="142"/>
      <c r="HH562" s="142"/>
      <c r="HN562" s="142"/>
      <c r="HT562" s="142"/>
      <c r="HZ562" s="142"/>
    </row>
    <row r="563">
      <c r="F563" s="142"/>
      <c r="L563" s="142"/>
      <c r="R563" s="142"/>
      <c r="X563" s="142"/>
      <c r="AD563" s="142"/>
      <c r="AJ563" s="142"/>
      <c r="AP563" s="142"/>
      <c r="AV563" s="142"/>
      <c r="BA563" s="142"/>
      <c r="BH563" s="142"/>
      <c r="BN563" s="142"/>
      <c r="BT563" s="142"/>
      <c r="BZ563" s="142"/>
      <c r="CF563" s="142"/>
      <c r="CL563" s="142"/>
      <c r="CR563" s="142"/>
      <c r="CX563" s="142"/>
      <c r="DD563" s="142"/>
      <c r="DJ563" s="142"/>
      <c r="DP563" s="142"/>
      <c r="DV563" s="142"/>
      <c r="EB563" s="142"/>
      <c r="EH563" s="142"/>
      <c r="EN563" s="142"/>
      <c r="ET563" s="142"/>
      <c r="EZ563" s="142"/>
      <c r="FF563" s="142"/>
      <c r="FL563" s="142"/>
      <c r="FR563" s="142"/>
      <c r="FX563" s="142"/>
      <c r="GD563" s="142"/>
      <c r="GJ563" s="142"/>
      <c r="GP563" s="142"/>
      <c r="GV563" s="142"/>
      <c r="HB563" s="142"/>
      <c r="HH563" s="142"/>
      <c r="HN563" s="142"/>
      <c r="HT563" s="142"/>
      <c r="HZ563" s="142"/>
    </row>
    <row r="564">
      <c r="F564" s="142"/>
      <c r="L564" s="142"/>
      <c r="R564" s="142"/>
      <c r="X564" s="142"/>
      <c r="AD564" s="142"/>
      <c r="AJ564" s="142"/>
      <c r="AP564" s="142"/>
      <c r="AV564" s="142"/>
      <c r="BA564" s="142"/>
      <c r="BH564" s="142"/>
      <c r="BN564" s="142"/>
      <c r="BT564" s="142"/>
      <c r="BZ564" s="142"/>
      <c r="CF564" s="142"/>
      <c r="CL564" s="142"/>
      <c r="CR564" s="142"/>
      <c r="CX564" s="142"/>
      <c r="DD564" s="142"/>
      <c r="DJ564" s="142"/>
      <c r="DP564" s="142"/>
      <c r="DV564" s="142"/>
      <c r="EB564" s="142"/>
      <c r="EH564" s="142"/>
      <c r="EN564" s="142"/>
      <c r="ET564" s="142"/>
      <c r="EZ564" s="142"/>
      <c r="FF564" s="142"/>
      <c r="FL564" s="142"/>
      <c r="FR564" s="142"/>
      <c r="FX564" s="142"/>
      <c r="GD564" s="142"/>
      <c r="GJ564" s="142"/>
      <c r="GP564" s="142"/>
      <c r="GV564" s="142"/>
      <c r="HB564" s="142"/>
      <c r="HH564" s="142"/>
      <c r="HN564" s="142"/>
      <c r="HT564" s="142"/>
      <c r="HZ564" s="142"/>
    </row>
    <row r="565">
      <c r="F565" s="142"/>
      <c r="L565" s="142"/>
      <c r="R565" s="142"/>
      <c r="X565" s="142"/>
      <c r="AD565" s="142"/>
      <c r="AJ565" s="142"/>
      <c r="AP565" s="142"/>
      <c r="AV565" s="142"/>
      <c r="BA565" s="142"/>
      <c r="BH565" s="142"/>
      <c r="BN565" s="142"/>
      <c r="BT565" s="142"/>
      <c r="BZ565" s="142"/>
      <c r="CF565" s="142"/>
      <c r="CL565" s="142"/>
      <c r="CR565" s="142"/>
      <c r="CX565" s="142"/>
      <c r="DD565" s="142"/>
      <c r="DJ565" s="142"/>
      <c r="DP565" s="142"/>
      <c r="DV565" s="142"/>
      <c r="EB565" s="142"/>
      <c r="EH565" s="142"/>
      <c r="EN565" s="142"/>
      <c r="ET565" s="142"/>
      <c r="EZ565" s="142"/>
      <c r="FF565" s="142"/>
      <c r="FL565" s="142"/>
      <c r="FR565" s="142"/>
      <c r="FX565" s="142"/>
      <c r="GD565" s="142"/>
      <c r="GJ565" s="142"/>
      <c r="GP565" s="142"/>
      <c r="GV565" s="142"/>
      <c r="HB565" s="142"/>
      <c r="HH565" s="142"/>
      <c r="HN565" s="142"/>
      <c r="HT565" s="142"/>
      <c r="HZ565" s="142"/>
    </row>
    <row r="566">
      <c r="F566" s="142"/>
      <c r="L566" s="142"/>
      <c r="R566" s="142"/>
      <c r="X566" s="142"/>
      <c r="AD566" s="142"/>
      <c r="AJ566" s="142"/>
      <c r="AP566" s="142"/>
      <c r="AV566" s="142"/>
      <c r="BA566" s="142"/>
      <c r="BH566" s="142"/>
      <c r="BN566" s="142"/>
      <c r="BT566" s="142"/>
      <c r="BZ566" s="142"/>
      <c r="CF566" s="142"/>
      <c r="CL566" s="142"/>
      <c r="CR566" s="142"/>
      <c r="CX566" s="142"/>
      <c r="DD566" s="142"/>
      <c r="DJ566" s="142"/>
      <c r="DP566" s="142"/>
      <c r="DV566" s="142"/>
      <c r="EB566" s="142"/>
      <c r="EH566" s="142"/>
      <c r="EN566" s="142"/>
      <c r="ET566" s="142"/>
      <c r="EZ566" s="142"/>
      <c r="FF566" s="142"/>
      <c r="FL566" s="142"/>
      <c r="FR566" s="142"/>
      <c r="FX566" s="142"/>
      <c r="GD566" s="142"/>
      <c r="GJ566" s="142"/>
      <c r="GP566" s="142"/>
      <c r="GV566" s="142"/>
      <c r="HB566" s="142"/>
      <c r="HH566" s="142"/>
      <c r="HN566" s="142"/>
      <c r="HT566" s="142"/>
      <c r="HZ566" s="142"/>
    </row>
    <row r="567">
      <c r="F567" s="142"/>
      <c r="L567" s="142"/>
      <c r="R567" s="142"/>
      <c r="X567" s="142"/>
      <c r="AD567" s="142"/>
      <c r="AJ567" s="142"/>
      <c r="AP567" s="142"/>
      <c r="AV567" s="142"/>
      <c r="BA567" s="142"/>
      <c r="BH567" s="142"/>
      <c r="BN567" s="142"/>
      <c r="BT567" s="142"/>
      <c r="BZ567" s="142"/>
      <c r="CF567" s="142"/>
      <c r="CL567" s="142"/>
      <c r="CR567" s="142"/>
      <c r="CX567" s="142"/>
      <c r="DD567" s="142"/>
      <c r="DJ567" s="142"/>
      <c r="DP567" s="142"/>
      <c r="DV567" s="142"/>
      <c r="EB567" s="142"/>
      <c r="EH567" s="142"/>
      <c r="EN567" s="142"/>
      <c r="ET567" s="142"/>
      <c r="EZ567" s="142"/>
      <c r="FF567" s="142"/>
      <c r="FL567" s="142"/>
      <c r="FR567" s="142"/>
      <c r="FX567" s="142"/>
      <c r="GD567" s="142"/>
      <c r="GJ567" s="142"/>
      <c r="GP567" s="142"/>
      <c r="GV567" s="142"/>
      <c r="HB567" s="142"/>
      <c r="HH567" s="142"/>
      <c r="HN567" s="142"/>
      <c r="HT567" s="142"/>
      <c r="HZ567" s="142"/>
    </row>
    <row r="568">
      <c r="F568" s="142"/>
      <c r="L568" s="142"/>
      <c r="R568" s="142"/>
      <c r="X568" s="142"/>
      <c r="AD568" s="142"/>
      <c r="AJ568" s="142"/>
      <c r="AP568" s="142"/>
      <c r="AV568" s="142"/>
      <c r="BA568" s="142"/>
      <c r="BH568" s="142"/>
      <c r="BN568" s="142"/>
      <c r="BT568" s="142"/>
      <c r="BZ568" s="142"/>
      <c r="CF568" s="142"/>
      <c r="CL568" s="142"/>
      <c r="CR568" s="142"/>
      <c r="CX568" s="142"/>
      <c r="DD568" s="142"/>
      <c r="DJ568" s="142"/>
      <c r="DP568" s="142"/>
      <c r="DV568" s="142"/>
      <c r="EB568" s="142"/>
      <c r="EH568" s="142"/>
      <c r="EN568" s="142"/>
      <c r="ET568" s="142"/>
      <c r="EZ568" s="142"/>
      <c r="FF568" s="142"/>
      <c r="FL568" s="142"/>
      <c r="FR568" s="142"/>
      <c r="FX568" s="142"/>
      <c r="GD568" s="142"/>
      <c r="GJ568" s="142"/>
      <c r="GP568" s="142"/>
      <c r="GV568" s="142"/>
      <c r="HB568" s="142"/>
      <c r="HH568" s="142"/>
      <c r="HN568" s="142"/>
      <c r="HT568" s="142"/>
      <c r="HZ568" s="142"/>
    </row>
    <row r="569">
      <c r="F569" s="142"/>
      <c r="L569" s="142"/>
      <c r="R569" s="142"/>
      <c r="X569" s="142"/>
      <c r="AD569" s="142"/>
      <c r="AJ569" s="142"/>
      <c r="AP569" s="142"/>
      <c r="AV569" s="142"/>
      <c r="BA569" s="142"/>
      <c r="BH569" s="142"/>
      <c r="BN569" s="142"/>
      <c r="BT569" s="142"/>
      <c r="BZ569" s="142"/>
      <c r="CF569" s="142"/>
      <c r="CL569" s="142"/>
      <c r="CR569" s="142"/>
      <c r="CX569" s="142"/>
      <c r="DD569" s="142"/>
      <c r="DJ569" s="142"/>
      <c r="DP569" s="142"/>
      <c r="DV569" s="142"/>
      <c r="EB569" s="142"/>
      <c r="EH569" s="142"/>
      <c r="EN569" s="142"/>
      <c r="ET569" s="142"/>
      <c r="EZ569" s="142"/>
      <c r="FF569" s="142"/>
      <c r="FL569" s="142"/>
      <c r="FR569" s="142"/>
      <c r="FX569" s="142"/>
      <c r="GD569" s="142"/>
      <c r="GJ569" s="142"/>
      <c r="GP569" s="142"/>
      <c r="GV569" s="142"/>
      <c r="HB569" s="142"/>
      <c r="HH569" s="142"/>
      <c r="HN569" s="142"/>
      <c r="HT569" s="142"/>
      <c r="HZ569" s="142"/>
    </row>
    <row r="570">
      <c r="F570" s="142"/>
      <c r="L570" s="142"/>
      <c r="R570" s="142"/>
      <c r="X570" s="142"/>
      <c r="AD570" s="142"/>
      <c r="AJ570" s="142"/>
      <c r="AP570" s="142"/>
      <c r="AV570" s="142"/>
      <c r="BA570" s="142"/>
      <c r="BH570" s="142"/>
      <c r="BN570" s="142"/>
      <c r="BT570" s="142"/>
      <c r="BZ570" s="142"/>
      <c r="CF570" s="142"/>
      <c r="CL570" s="142"/>
      <c r="CR570" s="142"/>
      <c r="CX570" s="142"/>
      <c r="DD570" s="142"/>
      <c r="DJ570" s="142"/>
      <c r="DP570" s="142"/>
      <c r="DV570" s="142"/>
      <c r="EB570" s="142"/>
      <c r="EH570" s="142"/>
      <c r="EN570" s="142"/>
      <c r="ET570" s="142"/>
      <c r="EZ570" s="142"/>
      <c r="FF570" s="142"/>
      <c r="FL570" s="142"/>
      <c r="FR570" s="142"/>
      <c r="FX570" s="142"/>
      <c r="GD570" s="142"/>
      <c r="GJ570" s="142"/>
      <c r="GP570" s="142"/>
      <c r="GV570" s="142"/>
      <c r="HB570" s="142"/>
      <c r="HH570" s="142"/>
      <c r="HN570" s="142"/>
      <c r="HT570" s="142"/>
      <c r="HZ570" s="142"/>
    </row>
    <row r="571">
      <c r="F571" s="142"/>
      <c r="L571" s="142"/>
      <c r="R571" s="142"/>
      <c r="X571" s="142"/>
      <c r="AD571" s="142"/>
      <c r="AJ571" s="142"/>
      <c r="AP571" s="142"/>
      <c r="AV571" s="142"/>
      <c r="BA571" s="142"/>
      <c r="BH571" s="142"/>
      <c r="BN571" s="142"/>
      <c r="BT571" s="142"/>
      <c r="BZ571" s="142"/>
      <c r="CF571" s="142"/>
      <c r="CL571" s="142"/>
      <c r="CR571" s="142"/>
      <c r="CX571" s="142"/>
      <c r="DD571" s="142"/>
      <c r="DJ571" s="142"/>
      <c r="DP571" s="142"/>
      <c r="DV571" s="142"/>
      <c r="EB571" s="142"/>
      <c r="EH571" s="142"/>
      <c r="EN571" s="142"/>
      <c r="ET571" s="142"/>
      <c r="EZ571" s="142"/>
      <c r="FF571" s="142"/>
      <c r="FL571" s="142"/>
      <c r="FR571" s="142"/>
      <c r="FX571" s="142"/>
      <c r="GD571" s="142"/>
      <c r="GJ571" s="142"/>
      <c r="GP571" s="142"/>
      <c r="GV571" s="142"/>
      <c r="HB571" s="142"/>
      <c r="HH571" s="142"/>
      <c r="HN571" s="142"/>
      <c r="HT571" s="142"/>
      <c r="HZ571" s="142"/>
    </row>
    <row r="572">
      <c r="F572" s="142"/>
      <c r="L572" s="142"/>
      <c r="R572" s="142"/>
      <c r="X572" s="142"/>
      <c r="AD572" s="142"/>
      <c r="AJ572" s="142"/>
      <c r="AP572" s="142"/>
      <c r="AV572" s="142"/>
      <c r="BA572" s="142"/>
      <c r="BH572" s="142"/>
      <c r="BN572" s="142"/>
      <c r="BT572" s="142"/>
      <c r="BZ572" s="142"/>
      <c r="CF572" s="142"/>
      <c r="CL572" s="142"/>
      <c r="CR572" s="142"/>
      <c r="CX572" s="142"/>
      <c r="DD572" s="142"/>
      <c r="DJ572" s="142"/>
      <c r="DP572" s="142"/>
      <c r="DV572" s="142"/>
      <c r="EB572" s="142"/>
      <c r="EH572" s="142"/>
      <c r="EN572" s="142"/>
      <c r="ET572" s="142"/>
      <c r="EZ572" s="142"/>
      <c r="FF572" s="142"/>
      <c r="FL572" s="142"/>
      <c r="FR572" s="142"/>
      <c r="FX572" s="142"/>
      <c r="GD572" s="142"/>
      <c r="GJ572" s="142"/>
      <c r="GP572" s="142"/>
      <c r="GV572" s="142"/>
      <c r="HB572" s="142"/>
      <c r="HH572" s="142"/>
      <c r="HN572" s="142"/>
      <c r="HT572" s="142"/>
      <c r="HZ572" s="142"/>
    </row>
    <row r="573">
      <c r="F573" s="142"/>
      <c r="L573" s="142"/>
      <c r="R573" s="142"/>
      <c r="X573" s="142"/>
      <c r="AD573" s="142"/>
      <c r="AJ573" s="142"/>
      <c r="AP573" s="142"/>
      <c r="AV573" s="142"/>
      <c r="BA573" s="142"/>
      <c r="BH573" s="142"/>
      <c r="BN573" s="142"/>
      <c r="BT573" s="142"/>
      <c r="BZ573" s="142"/>
      <c r="CF573" s="142"/>
      <c r="CL573" s="142"/>
      <c r="CR573" s="142"/>
      <c r="CX573" s="142"/>
      <c r="DD573" s="142"/>
      <c r="DJ573" s="142"/>
      <c r="DP573" s="142"/>
      <c r="DV573" s="142"/>
      <c r="EB573" s="142"/>
      <c r="EH573" s="142"/>
      <c r="EN573" s="142"/>
      <c r="ET573" s="142"/>
      <c r="EZ573" s="142"/>
      <c r="FF573" s="142"/>
      <c r="FL573" s="142"/>
      <c r="FR573" s="142"/>
      <c r="FX573" s="142"/>
      <c r="GD573" s="142"/>
      <c r="GJ573" s="142"/>
      <c r="GP573" s="142"/>
      <c r="GV573" s="142"/>
      <c r="HB573" s="142"/>
      <c r="HH573" s="142"/>
      <c r="HN573" s="142"/>
      <c r="HT573" s="142"/>
      <c r="HZ573" s="142"/>
    </row>
    <row r="574">
      <c r="F574" s="142"/>
      <c r="L574" s="142"/>
      <c r="R574" s="142"/>
      <c r="X574" s="142"/>
      <c r="AD574" s="142"/>
      <c r="AJ574" s="142"/>
      <c r="AP574" s="142"/>
      <c r="AV574" s="142"/>
      <c r="BA574" s="142"/>
      <c r="BH574" s="142"/>
      <c r="BN574" s="142"/>
      <c r="BT574" s="142"/>
      <c r="BZ574" s="142"/>
      <c r="CF574" s="142"/>
      <c r="CL574" s="142"/>
      <c r="CR574" s="142"/>
      <c r="CX574" s="142"/>
      <c r="DD574" s="142"/>
      <c r="DJ574" s="142"/>
      <c r="DP574" s="142"/>
      <c r="DV574" s="142"/>
      <c r="EB574" s="142"/>
      <c r="EH574" s="142"/>
      <c r="EN574" s="142"/>
      <c r="ET574" s="142"/>
      <c r="EZ574" s="142"/>
      <c r="FF574" s="142"/>
      <c r="FL574" s="142"/>
      <c r="FR574" s="142"/>
      <c r="FX574" s="142"/>
      <c r="GD574" s="142"/>
      <c r="GJ574" s="142"/>
      <c r="GP574" s="142"/>
      <c r="GV574" s="142"/>
      <c r="HB574" s="142"/>
      <c r="HH574" s="142"/>
      <c r="HN574" s="142"/>
      <c r="HT574" s="142"/>
      <c r="HZ574" s="142"/>
    </row>
    <row r="575">
      <c r="F575" s="142"/>
      <c r="L575" s="142"/>
      <c r="R575" s="142"/>
      <c r="X575" s="142"/>
      <c r="AD575" s="142"/>
      <c r="AJ575" s="142"/>
      <c r="AP575" s="142"/>
      <c r="AV575" s="142"/>
      <c r="BA575" s="142"/>
      <c r="BH575" s="142"/>
      <c r="BN575" s="142"/>
      <c r="BT575" s="142"/>
      <c r="BZ575" s="142"/>
      <c r="CF575" s="142"/>
      <c r="CL575" s="142"/>
      <c r="CR575" s="142"/>
      <c r="CX575" s="142"/>
      <c r="DD575" s="142"/>
      <c r="DJ575" s="142"/>
      <c r="DP575" s="142"/>
      <c r="DV575" s="142"/>
      <c r="EB575" s="142"/>
      <c r="EH575" s="142"/>
      <c r="EN575" s="142"/>
      <c r="ET575" s="142"/>
      <c r="EZ575" s="142"/>
      <c r="FF575" s="142"/>
      <c r="FL575" s="142"/>
      <c r="FR575" s="142"/>
      <c r="FX575" s="142"/>
      <c r="GD575" s="142"/>
      <c r="GJ575" s="142"/>
      <c r="GP575" s="142"/>
      <c r="GV575" s="142"/>
      <c r="HB575" s="142"/>
      <c r="HH575" s="142"/>
      <c r="HN575" s="142"/>
      <c r="HT575" s="142"/>
      <c r="HZ575" s="142"/>
    </row>
    <row r="576">
      <c r="F576" s="142"/>
      <c r="L576" s="142"/>
      <c r="R576" s="142"/>
      <c r="X576" s="142"/>
      <c r="AD576" s="142"/>
      <c r="AJ576" s="142"/>
      <c r="AP576" s="142"/>
      <c r="AV576" s="142"/>
      <c r="BA576" s="142"/>
      <c r="BH576" s="142"/>
      <c r="BN576" s="142"/>
      <c r="BT576" s="142"/>
      <c r="BZ576" s="142"/>
      <c r="CF576" s="142"/>
      <c r="CL576" s="142"/>
      <c r="CR576" s="142"/>
      <c r="CX576" s="142"/>
      <c r="DD576" s="142"/>
      <c r="DJ576" s="142"/>
      <c r="DP576" s="142"/>
      <c r="DV576" s="142"/>
      <c r="EB576" s="142"/>
      <c r="EH576" s="142"/>
      <c r="EN576" s="142"/>
      <c r="ET576" s="142"/>
      <c r="EZ576" s="142"/>
      <c r="FF576" s="142"/>
      <c r="FL576" s="142"/>
      <c r="FR576" s="142"/>
      <c r="FX576" s="142"/>
      <c r="GD576" s="142"/>
      <c r="GJ576" s="142"/>
      <c r="GP576" s="142"/>
      <c r="GV576" s="142"/>
      <c r="HB576" s="142"/>
      <c r="HH576" s="142"/>
      <c r="HN576" s="142"/>
      <c r="HT576" s="142"/>
      <c r="HZ576" s="142"/>
    </row>
    <row r="577">
      <c r="F577" s="142"/>
      <c r="L577" s="142"/>
      <c r="R577" s="142"/>
      <c r="X577" s="142"/>
      <c r="AD577" s="142"/>
      <c r="AJ577" s="142"/>
      <c r="AP577" s="142"/>
      <c r="AV577" s="142"/>
      <c r="BA577" s="142"/>
      <c r="BH577" s="142"/>
      <c r="BN577" s="142"/>
      <c r="BT577" s="142"/>
      <c r="BZ577" s="142"/>
      <c r="CF577" s="142"/>
      <c r="CL577" s="142"/>
      <c r="CR577" s="142"/>
      <c r="CX577" s="142"/>
      <c r="DD577" s="142"/>
      <c r="DJ577" s="142"/>
      <c r="DP577" s="142"/>
      <c r="DV577" s="142"/>
      <c r="EB577" s="142"/>
      <c r="EH577" s="142"/>
      <c r="EN577" s="142"/>
      <c r="ET577" s="142"/>
      <c r="EZ577" s="142"/>
      <c r="FF577" s="142"/>
      <c r="FL577" s="142"/>
      <c r="FR577" s="142"/>
      <c r="FX577" s="142"/>
      <c r="GD577" s="142"/>
      <c r="GJ577" s="142"/>
      <c r="GP577" s="142"/>
      <c r="GV577" s="142"/>
      <c r="HB577" s="142"/>
      <c r="HH577" s="142"/>
      <c r="HN577" s="142"/>
      <c r="HT577" s="142"/>
      <c r="HZ577" s="142"/>
    </row>
    <row r="578">
      <c r="F578" s="142"/>
      <c r="L578" s="142"/>
      <c r="R578" s="142"/>
      <c r="X578" s="142"/>
      <c r="AD578" s="142"/>
      <c r="AJ578" s="142"/>
      <c r="AP578" s="142"/>
      <c r="AV578" s="142"/>
      <c r="BA578" s="142"/>
      <c r="BH578" s="142"/>
      <c r="BN578" s="142"/>
      <c r="BT578" s="142"/>
      <c r="BZ578" s="142"/>
      <c r="CF578" s="142"/>
      <c r="CL578" s="142"/>
      <c r="CR578" s="142"/>
      <c r="CX578" s="142"/>
      <c r="DD578" s="142"/>
      <c r="DJ578" s="142"/>
      <c r="DP578" s="142"/>
      <c r="DV578" s="142"/>
      <c r="EB578" s="142"/>
      <c r="EH578" s="142"/>
      <c r="EN578" s="142"/>
      <c r="ET578" s="142"/>
      <c r="EZ578" s="142"/>
      <c r="FF578" s="142"/>
      <c r="FL578" s="142"/>
      <c r="FR578" s="142"/>
      <c r="FX578" s="142"/>
      <c r="GD578" s="142"/>
      <c r="GJ578" s="142"/>
      <c r="GP578" s="142"/>
      <c r="GV578" s="142"/>
      <c r="HB578" s="142"/>
      <c r="HH578" s="142"/>
      <c r="HN578" s="142"/>
      <c r="HT578" s="142"/>
      <c r="HZ578" s="142"/>
    </row>
    <row r="579">
      <c r="F579" s="142"/>
      <c r="L579" s="142"/>
      <c r="R579" s="142"/>
      <c r="X579" s="142"/>
      <c r="AD579" s="142"/>
      <c r="AJ579" s="142"/>
      <c r="AP579" s="142"/>
      <c r="AV579" s="142"/>
      <c r="BA579" s="142"/>
      <c r="BH579" s="142"/>
      <c r="BN579" s="142"/>
      <c r="BT579" s="142"/>
      <c r="BZ579" s="142"/>
      <c r="CF579" s="142"/>
      <c r="CL579" s="142"/>
      <c r="CR579" s="142"/>
      <c r="CX579" s="142"/>
      <c r="DD579" s="142"/>
      <c r="DJ579" s="142"/>
      <c r="DP579" s="142"/>
      <c r="DV579" s="142"/>
      <c r="EB579" s="142"/>
      <c r="EH579" s="142"/>
      <c r="EN579" s="142"/>
      <c r="ET579" s="142"/>
      <c r="EZ579" s="142"/>
      <c r="FF579" s="142"/>
      <c r="FL579" s="142"/>
      <c r="FR579" s="142"/>
      <c r="FX579" s="142"/>
      <c r="GD579" s="142"/>
      <c r="GJ579" s="142"/>
      <c r="GP579" s="142"/>
      <c r="GV579" s="142"/>
      <c r="HB579" s="142"/>
      <c r="HH579" s="142"/>
      <c r="HN579" s="142"/>
      <c r="HT579" s="142"/>
      <c r="HZ579" s="142"/>
    </row>
    <row r="580">
      <c r="F580" s="142"/>
      <c r="L580" s="142"/>
      <c r="R580" s="142"/>
      <c r="X580" s="142"/>
      <c r="AD580" s="142"/>
      <c r="AJ580" s="142"/>
      <c r="AP580" s="142"/>
      <c r="AV580" s="142"/>
      <c r="BA580" s="142"/>
      <c r="BH580" s="142"/>
      <c r="BN580" s="142"/>
      <c r="BT580" s="142"/>
      <c r="BZ580" s="142"/>
      <c r="CF580" s="142"/>
      <c r="CL580" s="142"/>
      <c r="CR580" s="142"/>
      <c r="CX580" s="142"/>
      <c r="DD580" s="142"/>
      <c r="DJ580" s="142"/>
      <c r="DP580" s="142"/>
      <c r="DV580" s="142"/>
      <c r="EB580" s="142"/>
      <c r="EH580" s="142"/>
      <c r="EN580" s="142"/>
      <c r="ET580" s="142"/>
      <c r="EZ580" s="142"/>
      <c r="FF580" s="142"/>
      <c r="FL580" s="142"/>
      <c r="FR580" s="142"/>
      <c r="FX580" s="142"/>
      <c r="GD580" s="142"/>
      <c r="GJ580" s="142"/>
      <c r="GP580" s="142"/>
      <c r="GV580" s="142"/>
      <c r="HB580" s="142"/>
      <c r="HH580" s="142"/>
      <c r="HN580" s="142"/>
      <c r="HT580" s="142"/>
      <c r="HZ580" s="142"/>
    </row>
    <row r="581">
      <c r="F581" s="142"/>
      <c r="L581" s="142"/>
      <c r="R581" s="142"/>
      <c r="X581" s="142"/>
      <c r="AD581" s="142"/>
      <c r="AJ581" s="142"/>
      <c r="AP581" s="142"/>
      <c r="AV581" s="142"/>
      <c r="BA581" s="142"/>
      <c r="BH581" s="142"/>
      <c r="BN581" s="142"/>
      <c r="BT581" s="142"/>
      <c r="BZ581" s="142"/>
      <c r="CF581" s="142"/>
      <c r="CL581" s="142"/>
      <c r="CR581" s="142"/>
      <c r="CX581" s="142"/>
      <c r="DD581" s="142"/>
      <c r="DJ581" s="142"/>
      <c r="DP581" s="142"/>
      <c r="DV581" s="142"/>
      <c r="EB581" s="142"/>
      <c r="EH581" s="142"/>
      <c r="EN581" s="142"/>
      <c r="ET581" s="142"/>
      <c r="EZ581" s="142"/>
      <c r="FF581" s="142"/>
      <c r="FL581" s="142"/>
      <c r="FR581" s="142"/>
      <c r="FX581" s="142"/>
      <c r="GD581" s="142"/>
      <c r="GJ581" s="142"/>
      <c r="GP581" s="142"/>
      <c r="GV581" s="142"/>
      <c r="HB581" s="142"/>
      <c r="HH581" s="142"/>
      <c r="HN581" s="142"/>
      <c r="HT581" s="142"/>
      <c r="HZ581" s="142"/>
    </row>
    <row r="582">
      <c r="F582" s="142"/>
      <c r="L582" s="142"/>
      <c r="R582" s="142"/>
      <c r="X582" s="142"/>
      <c r="AD582" s="142"/>
      <c r="AJ582" s="142"/>
      <c r="AP582" s="142"/>
      <c r="AV582" s="142"/>
      <c r="BA582" s="142"/>
      <c r="BH582" s="142"/>
      <c r="BN582" s="142"/>
      <c r="BT582" s="142"/>
      <c r="BZ582" s="142"/>
      <c r="CF582" s="142"/>
      <c r="CL582" s="142"/>
      <c r="CR582" s="142"/>
      <c r="CX582" s="142"/>
      <c r="DD582" s="142"/>
      <c r="DJ582" s="142"/>
      <c r="DP582" s="142"/>
      <c r="DV582" s="142"/>
      <c r="EB582" s="142"/>
      <c r="EH582" s="142"/>
      <c r="EN582" s="142"/>
      <c r="ET582" s="142"/>
      <c r="EZ582" s="142"/>
      <c r="FF582" s="142"/>
      <c r="FL582" s="142"/>
      <c r="FR582" s="142"/>
      <c r="FX582" s="142"/>
      <c r="GD582" s="142"/>
      <c r="GJ582" s="142"/>
      <c r="GP582" s="142"/>
      <c r="GV582" s="142"/>
      <c r="HB582" s="142"/>
      <c r="HH582" s="142"/>
      <c r="HN582" s="142"/>
      <c r="HT582" s="142"/>
      <c r="HZ582" s="142"/>
    </row>
    <row r="583">
      <c r="F583" s="142"/>
      <c r="L583" s="142"/>
      <c r="R583" s="142"/>
      <c r="X583" s="142"/>
      <c r="AD583" s="142"/>
      <c r="AJ583" s="142"/>
      <c r="AP583" s="142"/>
      <c r="AV583" s="142"/>
      <c r="BA583" s="142"/>
      <c r="BH583" s="142"/>
      <c r="BN583" s="142"/>
      <c r="BT583" s="142"/>
      <c r="BZ583" s="142"/>
      <c r="CF583" s="142"/>
      <c r="CL583" s="142"/>
      <c r="CR583" s="142"/>
      <c r="CX583" s="142"/>
      <c r="DD583" s="142"/>
      <c r="DJ583" s="142"/>
      <c r="DP583" s="142"/>
      <c r="DV583" s="142"/>
      <c r="EB583" s="142"/>
      <c r="EH583" s="142"/>
      <c r="EN583" s="142"/>
      <c r="ET583" s="142"/>
      <c r="EZ583" s="142"/>
      <c r="FF583" s="142"/>
      <c r="FL583" s="142"/>
      <c r="FR583" s="142"/>
      <c r="FX583" s="142"/>
      <c r="GD583" s="142"/>
      <c r="GJ583" s="142"/>
      <c r="GP583" s="142"/>
      <c r="GV583" s="142"/>
      <c r="HB583" s="142"/>
      <c r="HH583" s="142"/>
      <c r="HN583" s="142"/>
      <c r="HT583" s="142"/>
      <c r="HZ583" s="142"/>
    </row>
    <row r="584">
      <c r="F584" s="142"/>
      <c r="L584" s="142"/>
      <c r="R584" s="142"/>
      <c r="X584" s="142"/>
      <c r="AD584" s="142"/>
      <c r="AJ584" s="142"/>
      <c r="AP584" s="142"/>
      <c r="AV584" s="142"/>
      <c r="BA584" s="142"/>
      <c r="BH584" s="142"/>
      <c r="BN584" s="142"/>
      <c r="BT584" s="142"/>
      <c r="BZ584" s="142"/>
      <c r="CF584" s="142"/>
      <c r="CL584" s="142"/>
      <c r="CR584" s="142"/>
      <c r="CX584" s="142"/>
      <c r="DD584" s="142"/>
      <c r="DJ584" s="142"/>
      <c r="DP584" s="142"/>
      <c r="DV584" s="142"/>
      <c r="EB584" s="142"/>
      <c r="EH584" s="142"/>
      <c r="EN584" s="142"/>
      <c r="ET584" s="142"/>
      <c r="EZ584" s="142"/>
      <c r="FF584" s="142"/>
      <c r="FL584" s="142"/>
      <c r="FR584" s="142"/>
      <c r="FX584" s="142"/>
      <c r="GD584" s="142"/>
      <c r="GJ584" s="142"/>
      <c r="GP584" s="142"/>
      <c r="GV584" s="142"/>
      <c r="HB584" s="142"/>
      <c r="HH584" s="142"/>
      <c r="HN584" s="142"/>
      <c r="HT584" s="142"/>
      <c r="HZ584" s="142"/>
    </row>
    <row r="585">
      <c r="F585" s="142"/>
      <c r="L585" s="142"/>
      <c r="R585" s="142"/>
      <c r="X585" s="142"/>
      <c r="AD585" s="142"/>
      <c r="AJ585" s="142"/>
      <c r="AP585" s="142"/>
      <c r="AV585" s="142"/>
      <c r="BA585" s="142"/>
      <c r="BH585" s="142"/>
      <c r="BN585" s="142"/>
      <c r="BT585" s="142"/>
      <c r="BZ585" s="142"/>
      <c r="CF585" s="142"/>
      <c r="CL585" s="142"/>
      <c r="CR585" s="142"/>
      <c r="CX585" s="142"/>
      <c r="DD585" s="142"/>
      <c r="DJ585" s="142"/>
      <c r="DP585" s="142"/>
      <c r="DV585" s="142"/>
      <c r="EB585" s="142"/>
      <c r="EH585" s="142"/>
      <c r="EN585" s="142"/>
      <c r="ET585" s="142"/>
      <c r="EZ585" s="142"/>
      <c r="FF585" s="142"/>
      <c r="FL585" s="142"/>
      <c r="FR585" s="142"/>
      <c r="FX585" s="142"/>
      <c r="GD585" s="142"/>
      <c r="GJ585" s="142"/>
      <c r="GP585" s="142"/>
      <c r="GV585" s="142"/>
      <c r="HB585" s="142"/>
      <c r="HH585" s="142"/>
      <c r="HN585" s="142"/>
      <c r="HT585" s="142"/>
      <c r="HZ585" s="142"/>
    </row>
    <row r="586">
      <c r="F586" s="142"/>
      <c r="L586" s="142"/>
      <c r="R586" s="142"/>
      <c r="X586" s="142"/>
      <c r="AD586" s="142"/>
      <c r="AJ586" s="142"/>
      <c r="AP586" s="142"/>
      <c r="AV586" s="142"/>
      <c r="BA586" s="142"/>
      <c r="BH586" s="142"/>
      <c r="BN586" s="142"/>
      <c r="BT586" s="142"/>
      <c r="BZ586" s="142"/>
      <c r="CF586" s="142"/>
      <c r="CL586" s="142"/>
      <c r="CR586" s="142"/>
      <c r="CX586" s="142"/>
      <c r="DD586" s="142"/>
      <c r="DJ586" s="142"/>
      <c r="DP586" s="142"/>
      <c r="DV586" s="142"/>
      <c r="EB586" s="142"/>
      <c r="EH586" s="142"/>
      <c r="EN586" s="142"/>
      <c r="ET586" s="142"/>
      <c r="EZ586" s="142"/>
      <c r="FF586" s="142"/>
      <c r="FL586" s="142"/>
      <c r="FR586" s="142"/>
      <c r="FX586" s="142"/>
      <c r="GD586" s="142"/>
      <c r="GJ586" s="142"/>
      <c r="GP586" s="142"/>
      <c r="GV586" s="142"/>
      <c r="HB586" s="142"/>
      <c r="HH586" s="142"/>
      <c r="HN586" s="142"/>
      <c r="HT586" s="142"/>
      <c r="HZ586" s="142"/>
    </row>
    <row r="587">
      <c r="F587" s="142"/>
      <c r="L587" s="142"/>
      <c r="R587" s="142"/>
      <c r="X587" s="142"/>
      <c r="AD587" s="142"/>
      <c r="AJ587" s="142"/>
      <c r="AP587" s="142"/>
      <c r="AV587" s="142"/>
      <c r="BA587" s="142"/>
      <c r="BH587" s="142"/>
      <c r="BN587" s="142"/>
      <c r="BT587" s="142"/>
      <c r="BZ587" s="142"/>
      <c r="CF587" s="142"/>
      <c r="CL587" s="142"/>
      <c r="CR587" s="142"/>
      <c r="CX587" s="142"/>
      <c r="DD587" s="142"/>
      <c r="DJ587" s="142"/>
      <c r="DP587" s="142"/>
      <c r="DV587" s="142"/>
      <c r="EB587" s="142"/>
      <c r="EH587" s="142"/>
      <c r="EN587" s="142"/>
      <c r="ET587" s="142"/>
      <c r="EZ587" s="142"/>
      <c r="FF587" s="142"/>
      <c r="FL587" s="142"/>
      <c r="FR587" s="142"/>
      <c r="FX587" s="142"/>
      <c r="GD587" s="142"/>
      <c r="GJ587" s="142"/>
      <c r="GP587" s="142"/>
      <c r="GV587" s="142"/>
      <c r="HB587" s="142"/>
      <c r="HH587" s="142"/>
      <c r="HN587" s="142"/>
      <c r="HT587" s="142"/>
      <c r="HZ587" s="142"/>
    </row>
    <row r="588">
      <c r="F588" s="142"/>
      <c r="L588" s="142"/>
      <c r="R588" s="142"/>
      <c r="X588" s="142"/>
      <c r="AD588" s="142"/>
      <c r="AJ588" s="142"/>
      <c r="AP588" s="142"/>
      <c r="AV588" s="142"/>
      <c r="BA588" s="142"/>
      <c r="BH588" s="142"/>
      <c r="BN588" s="142"/>
      <c r="BT588" s="142"/>
      <c r="BZ588" s="142"/>
      <c r="CF588" s="142"/>
      <c r="CL588" s="142"/>
      <c r="CR588" s="142"/>
      <c r="CX588" s="142"/>
      <c r="DD588" s="142"/>
      <c r="DJ588" s="142"/>
      <c r="DP588" s="142"/>
      <c r="DV588" s="142"/>
      <c r="EB588" s="142"/>
      <c r="EH588" s="142"/>
      <c r="EN588" s="142"/>
      <c r="ET588" s="142"/>
      <c r="EZ588" s="142"/>
      <c r="FF588" s="142"/>
      <c r="FL588" s="142"/>
      <c r="FR588" s="142"/>
      <c r="FX588" s="142"/>
      <c r="GD588" s="142"/>
      <c r="GJ588" s="142"/>
      <c r="GP588" s="142"/>
      <c r="GV588" s="142"/>
      <c r="HB588" s="142"/>
      <c r="HH588" s="142"/>
      <c r="HN588" s="142"/>
      <c r="HT588" s="142"/>
      <c r="HZ588" s="142"/>
    </row>
    <row r="589">
      <c r="F589" s="142"/>
      <c r="L589" s="142"/>
      <c r="R589" s="142"/>
      <c r="X589" s="142"/>
      <c r="AD589" s="142"/>
      <c r="AJ589" s="142"/>
      <c r="AP589" s="142"/>
      <c r="AV589" s="142"/>
      <c r="BA589" s="142"/>
      <c r="BH589" s="142"/>
      <c r="BN589" s="142"/>
      <c r="BT589" s="142"/>
      <c r="BZ589" s="142"/>
      <c r="CF589" s="142"/>
      <c r="CL589" s="142"/>
      <c r="CR589" s="142"/>
      <c r="CX589" s="142"/>
      <c r="DD589" s="142"/>
      <c r="DJ589" s="142"/>
      <c r="DP589" s="142"/>
      <c r="DV589" s="142"/>
      <c r="EB589" s="142"/>
      <c r="EH589" s="142"/>
      <c r="EN589" s="142"/>
      <c r="ET589" s="142"/>
      <c r="EZ589" s="142"/>
      <c r="FF589" s="142"/>
      <c r="FL589" s="142"/>
      <c r="FR589" s="142"/>
      <c r="FX589" s="142"/>
      <c r="GD589" s="142"/>
      <c r="GJ589" s="142"/>
      <c r="GP589" s="142"/>
      <c r="GV589" s="142"/>
      <c r="HB589" s="142"/>
      <c r="HH589" s="142"/>
      <c r="HN589" s="142"/>
      <c r="HT589" s="142"/>
      <c r="HZ589" s="142"/>
    </row>
    <row r="590">
      <c r="F590" s="142"/>
      <c r="L590" s="142"/>
      <c r="R590" s="142"/>
      <c r="X590" s="142"/>
      <c r="AD590" s="142"/>
      <c r="AJ590" s="142"/>
      <c r="AP590" s="142"/>
      <c r="AV590" s="142"/>
      <c r="BA590" s="142"/>
      <c r="BH590" s="142"/>
      <c r="BN590" s="142"/>
      <c r="BT590" s="142"/>
      <c r="BZ590" s="142"/>
      <c r="CF590" s="142"/>
      <c r="CL590" s="142"/>
      <c r="CR590" s="142"/>
      <c r="CX590" s="142"/>
      <c r="DD590" s="142"/>
      <c r="DJ590" s="142"/>
      <c r="DP590" s="142"/>
      <c r="DV590" s="142"/>
      <c r="EB590" s="142"/>
      <c r="EH590" s="142"/>
      <c r="EN590" s="142"/>
      <c r="ET590" s="142"/>
      <c r="EZ590" s="142"/>
      <c r="FF590" s="142"/>
      <c r="FL590" s="142"/>
      <c r="FR590" s="142"/>
      <c r="FX590" s="142"/>
      <c r="GD590" s="142"/>
      <c r="GJ590" s="142"/>
      <c r="GP590" s="142"/>
      <c r="GV590" s="142"/>
      <c r="HB590" s="142"/>
      <c r="HH590" s="142"/>
      <c r="HN590" s="142"/>
      <c r="HT590" s="142"/>
      <c r="HZ590" s="142"/>
    </row>
    <row r="591">
      <c r="F591" s="142"/>
      <c r="L591" s="142"/>
      <c r="R591" s="142"/>
      <c r="X591" s="142"/>
      <c r="AD591" s="142"/>
      <c r="AJ591" s="142"/>
      <c r="AP591" s="142"/>
      <c r="AV591" s="142"/>
      <c r="BA591" s="142"/>
      <c r="BH591" s="142"/>
      <c r="BN591" s="142"/>
      <c r="BT591" s="142"/>
      <c r="BZ591" s="142"/>
      <c r="CF591" s="142"/>
      <c r="CL591" s="142"/>
      <c r="CR591" s="142"/>
      <c r="CX591" s="142"/>
      <c r="DD591" s="142"/>
      <c r="DJ591" s="142"/>
      <c r="DP591" s="142"/>
      <c r="DV591" s="142"/>
      <c r="EB591" s="142"/>
      <c r="EH591" s="142"/>
      <c r="EN591" s="142"/>
      <c r="ET591" s="142"/>
      <c r="EZ591" s="142"/>
      <c r="FF591" s="142"/>
      <c r="FL591" s="142"/>
      <c r="FR591" s="142"/>
      <c r="FX591" s="142"/>
      <c r="GD591" s="142"/>
      <c r="GJ591" s="142"/>
      <c r="GP591" s="142"/>
      <c r="GV591" s="142"/>
      <c r="HB591" s="142"/>
      <c r="HH591" s="142"/>
      <c r="HN591" s="142"/>
      <c r="HT591" s="142"/>
      <c r="HZ591" s="142"/>
    </row>
    <row r="592">
      <c r="F592" s="142"/>
      <c r="L592" s="142"/>
      <c r="R592" s="142"/>
      <c r="X592" s="142"/>
      <c r="AD592" s="142"/>
      <c r="AJ592" s="142"/>
      <c r="AP592" s="142"/>
      <c r="AV592" s="142"/>
      <c r="BA592" s="142"/>
      <c r="BH592" s="142"/>
      <c r="BN592" s="142"/>
      <c r="BT592" s="142"/>
      <c r="BZ592" s="142"/>
      <c r="CF592" s="142"/>
      <c r="CL592" s="142"/>
      <c r="CR592" s="142"/>
      <c r="CX592" s="142"/>
      <c r="DD592" s="142"/>
      <c r="DJ592" s="142"/>
      <c r="DP592" s="142"/>
      <c r="DV592" s="142"/>
      <c r="EB592" s="142"/>
      <c r="EH592" s="142"/>
      <c r="EN592" s="142"/>
      <c r="ET592" s="142"/>
      <c r="EZ592" s="142"/>
      <c r="FF592" s="142"/>
      <c r="FL592" s="142"/>
      <c r="FR592" s="142"/>
      <c r="FX592" s="142"/>
      <c r="GD592" s="142"/>
      <c r="GJ592" s="142"/>
      <c r="GP592" s="142"/>
      <c r="GV592" s="142"/>
      <c r="HB592" s="142"/>
      <c r="HH592" s="142"/>
      <c r="HN592" s="142"/>
      <c r="HT592" s="142"/>
      <c r="HZ592" s="142"/>
    </row>
    <row r="593">
      <c r="F593" s="142"/>
      <c r="L593" s="142"/>
      <c r="R593" s="142"/>
      <c r="X593" s="142"/>
      <c r="AD593" s="142"/>
      <c r="AJ593" s="142"/>
      <c r="AP593" s="142"/>
      <c r="AV593" s="142"/>
      <c r="BA593" s="142"/>
      <c r="BH593" s="142"/>
      <c r="BN593" s="142"/>
      <c r="BT593" s="142"/>
      <c r="BZ593" s="142"/>
      <c r="CF593" s="142"/>
      <c r="CL593" s="142"/>
      <c r="CR593" s="142"/>
      <c r="CX593" s="142"/>
      <c r="DD593" s="142"/>
      <c r="DJ593" s="142"/>
      <c r="DP593" s="142"/>
      <c r="DV593" s="142"/>
      <c r="EB593" s="142"/>
      <c r="EH593" s="142"/>
      <c r="EN593" s="142"/>
      <c r="ET593" s="142"/>
      <c r="EZ593" s="142"/>
      <c r="FF593" s="142"/>
      <c r="FL593" s="142"/>
      <c r="FR593" s="142"/>
      <c r="FX593" s="142"/>
      <c r="GD593" s="142"/>
      <c r="GJ593" s="142"/>
      <c r="GP593" s="142"/>
      <c r="GV593" s="142"/>
      <c r="HB593" s="142"/>
      <c r="HH593" s="142"/>
      <c r="HN593" s="142"/>
      <c r="HT593" s="142"/>
      <c r="HZ593" s="142"/>
    </row>
    <row r="594">
      <c r="F594" s="142"/>
      <c r="L594" s="142"/>
      <c r="R594" s="142"/>
      <c r="X594" s="142"/>
      <c r="AD594" s="142"/>
      <c r="AJ594" s="142"/>
      <c r="AP594" s="142"/>
      <c r="AV594" s="142"/>
      <c r="BA594" s="142"/>
      <c r="BH594" s="142"/>
      <c r="BN594" s="142"/>
      <c r="BT594" s="142"/>
      <c r="BZ594" s="142"/>
      <c r="CF594" s="142"/>
      <c r="CL594" s="142"/>
      <c r="CR594" s="142"/>
      <c r="CX594" s="142"/>
      <c r="DD594" s="142"/>
      <c r="DJ594" s="142"/>
      <c r="DP594" s="142"/>
      <c r="DV594" s="142"/>
      <c r="EB594" s="142"/>
      <c r="EH594" s="142"/>
      <c r="EN594" s="142"/>
      <c r="ET594" s="142"/>
      <c r="EZ594" s="142"/>
      <c r="FF594" s="142"/>
      <c r="FL594" s="142"/>
      <c r="FR594" s="142"/>
      <c r="FX594" s="142"/>
      <c r="GD594" s="142"/>
      <c r="GJ594" s="142"/>
      <c r="GP594" s="142"/>
      <c r="GV594" s="142"/>
      <c r="HB594" s="142"/>
      <c r="HH594" s="142"/>
      <c r="HN594" s="142"/>
      <c r="HT594" s="142"/>
      <c r="HZ594" s="142"/>
    </row>
    <row r="595">
      <c r="F595" s="142"/>
      <c r="L595" s="142"/>
      <c r="R595" s="142"/>
      <c r="X595" s="142"/>
      <c r="AD595" s="142"/>
      <c r="AJ595" s="142"/>
      <c r="AP595" s="142"/>
      <c r="AV595" s="142"/>
      <c r="BA595" s="142"/>
      <c r="BH595" s="142"/>
      <c r="BN595" s="142"/>
      <c r="BT595" s="142"/>
      <c r="BZ595" s="142"/>
      <c r="CF595" s="142"/>
      <c r="CL595" s="142"/>
      <c r="CR595" s="142"/>
      <c r="CX595" s="142"/>
      <c r="DD595" s="142"/>
      <c r="DJ595" s="142"/>
      <c r="DP595" s="142"/>
      <c r="DV595" s="142"/>
      <c r="EB595" s="142"/>
      <c r="EH595" s="142"/>
      <c r="EN595" s="142"/>
      <c r="ET595" s="142"/>
      <c r="EZ595" s="142"/>
      <c r="FF595" s="142"/>
      <c r="FL595" s="142"/>
      <c r="FR595" s="142"/>
      <c r="FX595" s="142"/>
      <c r="GD595" s="142"/>
      <c r="GJ595" s="142"/>
      <c r="GP595" s="142"/>
      <c r="GV595" s="142"/>
      <c r="HB595" s="142"/>
      <c r="HH595" s="142"/>
      <c r="HN595" s="142"/>
      <c r="HT595" s="142"/>
      <c r="HZ595" s="142"/>
    </row>
    <row r="596">
      <c r="F596" s="142"/>
      <c r="L596" s="142"/>
      <c r="R596" s="142"/>
      <c r="X596" s="142"/>
      <c r="AD596" s="142"/>
      <c r="AJ596" s="142"/>
      <c r="AP596" s="142"/>
      <c r="AV596" s="142"/>
      <c r="BA596" s="142"/>
      <c r="BH596" s="142"/>
      <c r="BN596" s="142"/>
      <c r="BT596" s="142"/>
      <c r="BZ596" s="142"/>
      <c r="CF596" s="142"/>
      <c r="CL596" s="142"/>
      <c r="CR596" s="142"/>
      <c r="CX596" s="142"/>
      <c r="DD596" s="142"/>
      <c r="DJ596" s="142"/>
      <c r="DP596" s="142"/>
      <c r="DV596" s="142"/>
      <c r="EB596" s="142"/>
      <c r="EH596" s="142"/>
      <c r="EN596" s="142"/>
      <c r="ET596" s="142"/>
      <c r="EZ596" s="142"/>
      <c r="FF596" s="142"/>
      <c r="FL596" s="142"/>
      <c r="FR596" s="142"/>
      <c r="FX596" s="142"/>
      <c r="GD596" s="142"/>
      <c r="GJ596" s="142"/>
      <c r="GP596" s="142"/>
      <c r="GV596" s="142"/>
      <c r="HB596" s="142"/>
      <c r="HH596" s="142"/>
      <c r="HN596" s="142"/>
      <c r="HT596" s="142"/>
      <c r="HZ596" s="142"/>
    </row>
    <row r="597">
      <c r="F597" s="142"/>
      <c r="L597" s="142"/>
      <c r="R597" s="142"/>
      <c r="X597" s="142"/>
      <c r="AD597" s="142"/>
      <c r="AJ597" s="142"/>
      <c r="AP597" s="142"/>
      <c r="AV597" s="142"/>
      <c r="BA597" s="142"/>
      <c r="BH597" s="142"/>
      <c r="BN597" s="142"/>
      <c r="BT597" s="142"/>
      <c r="BZ597" s="142"/>
      <c r="CF597" s="142"/>
      <c r="CL597" s="142"/>
      <c r="CR597" s="142"/>
      <c r="CX597" s="142"/>
      <c r="DD597" s="142"/>
      <c r="DJ597" s="142"/>
      <c r="DP597" s="142"/>
      <c r="DV597" s="142"/>
      <c r="EB597" s="142"/>
      <c r="EH597" s="142"/>
      <c r="EN597" s="142"/>
      <c r="ET597" s="142"/>
      <c r="EZ597" s="142"/>
      <c r="FF597" s="142"/>
      <c r="FL597" s="142"/>
      <c r="FR597" s="142"/>
      <c r="FX597" s="142"/>
      <c r="GD597" s="142"/>
      <c r="GJ597" s="142"/>
      <c r="GP597" s="142"/>
      <c r="GV597" s="142"/>
      <c r="HB597" s="142"/>
      <c r="HH597" s="142"/>
      <c r="HN597" s="142"/>
      <c r="HT597" s="142"/>
      <c r="HZ597" s="142"/>
    </row>
    <row r="598">
      <c r="F598" s="142"/>
      <c r="L598" s="142"/>
      <c r="R598" s="142"/>
      <c r="X598" s="142"/>
      <c r="AD598" s="142"/>
      <c r="AJ598" s="142"/>
      <c r="AP598" s="142"/>
      <c r="AV598" s="142"/>
      <c r="BA598" s="142"/>
      <c r="BH598" s="142"/>
      <c r="BN598" s="142"/>
      <c r="BT598" s="142"/>
      <c r="BZ598" s="142"/>
      <c r="CF598" s="142"/>
      <c r="CL598" s="142"/>
      <c r="CR598" s="142"/>
      <c r="CX598" s="142"/>
      <c r="DD598" s="142"/>
      <c r="DJ598" s="142"/>
      <c r="DP598" s="142"/>
      <c r="DV598" s="142"/>
      <c r="EB598" s="142"/>
      <c r="EH598" s="142"/>
      <c r="EN598" s="142"/>
      <c r="ET598" s="142"/>
      <c r="EZ598" s="142"/>
      <c r="FF598" s="142"/>
      <c r="FL598" s="142"/>
      <c r="FR598" s="142"/>
      <c r="FX598" s="142"/>
      <c r="GD598" s="142"/>
      <c r="GJ598" s="142"/>
      <c r="GP598" s="142"/>
      <c r="GV598" s="142"/>
      <c r="HB598" s="142"/>
      <c r="HH598" s="142"/>
      <c r="HN598" s="142"/>
      <c r="HT598" s="142"/>
      <c r="HZ598" s="142"/>
    </row>
    <row r="599">
      <c r="F599" s="142"/>
      <c r="L599" s="142"/>
      <c r="R599" s="142"/>
      <c r="X599" s="142"/>
      <c r="AD599" s="142"/>
      <c r="AJ599" s="142"/>
      <c r="AP599" s="142"/>
      <c r="AV599" s="142"/>
      <c r="BA599" s="142"/>
      <c r="BH599" s="142"/>
      <c r="BN599" s="142"/>
      <c r="BT599" s="142"/>
      <c r="BZ599" s="142"/>
      <c r="CF599" s="142"/>
      <c r="CL599" s="142"/>
      <c r="CR599" s="142"/>
      <c r="CX599" s="142"/>
      <c r="DD599" s="142"/>
      <c r="DJ599" s="142"/>
      <c r="DP599" s="142"/>
      <c r="DV599" s="142"/>
      <c r="EB599" s="142"/>
      <c r="EH599" s="142"/>
      <c r="EN599" s="142"/>
      <c r="ET599" s="142"/>
      <c r="EZ599" s="142"/>
      <c r="FF599" s="142"/>
      <c r="FL599" s="142"/>
      <c r="FR599" s="142"/>
      <c r="FX599" s="142"/>
      <c r="GD599" s="142"/>
      <c r="GJ599" s="142"/>
      <c r="GP599" s="142"/>
      <c r="GV599" s="142"/>
      <c r="HB599" s="142"/>
      <c r="HH599" s="142"/>
      <c r="HN599" s="142"/>
      <c r="HT599" s="142"/>
      <c r="HZ599" s="142"/>
    </row>
    <row r="600">
      <c r="F600" s="142"/>
      <c r="L600" s="142"/>
      <c r="R600" s="142"/>
      <c r="X600" s="142"/>
      <c r="AD600" s="142"/>
      <c r="AJ600" s="142"/>
      <c r="AP600" s="142"/>
      <c r="AV600" s="142"/>
      <c r="BA600" s="142"/>
      <c r="BH600" s="142"/>
      <c r="BN600" s="142"/>
      <c r="BT600" s="142"/>
      <c r="BZ600" s="142"/>
      <c r="CF600" s="142"/>
      <c r="CL600" s="142"/>
      <c r="CR600" s="142"/>
      <c r="CX600" s="142"/>
      <c r="DD600" s="142"/>
      <c r="DJ600" s="142"/>
      <c r="DP600" s="142"/>
      <c r="DV600" s="142"/>
      <c r="EB600" s="142"/>
      <c r="EH600" s="142"/>
      <c r="EN600" s="142"/>
      <c r="ET600" s="142"/>
      <c r="EZ600" s="142"/>
      <c r="FF600" s="142"/>
      <c r="FL600" s="142"/>
      <c r="FR600" s="142"/>
      <c r="FX600" s="142"/>
      <c r="GD600" s="142"/>
      <c r="GJ600" s="142"/>
      <c r="GP600" s="142"/>
      <c r="GV600" s="142"/>
      <c r="HB600" s="142"/>
      <c r="HH600" s="142"/>
      <c r="HN600" s="142"/>
      <c r="HT600" s="142"/>
      <c r="HZ600" s="142"/>
    </row>
    <row r="601">
      <c r="F601" s="142"/>
      <c r="L601" s="142"/>
      <c r="R601" s="142"/>
      <c r="X601" s="142"/>
      <c r="AD601" s="142"/>
      <c r="AJ601" s="142"/>
      <c r="AP601" s="142"/>
      <c r="AV601" s="142"/>
      <c r="BA601" s="142"/>
      <c r="BH601" s="142"/>
      <c r="BN601" s="142"/>
      <c r="BT601" s="142"/>
      <c r="BZ601" s="142"/>
      <c r="CF601" s="142"/>
      <c r="CL601" s="142"/>
      <c r="CR601" s="142"/>
      <c r="CX601" s="142"/>
      <c r="DD601" s="142"/>
      <c r="DJ601" s="142"/>
      <c r="DP601" s="142"/>
      <c r="DV601" s="142"/>
      <c r="EB601" s="142"/>
      <c r="EH601" s="142"/>
      <c r="EN601" s="142"/>
      <c r="ET601" s="142"/>
      <c r="EZ601" s="142"/>
      <c r="FF601" s="142"/>
      <c r="FL601" s="142"/>
      <c r="FR601" s="142"/>
      <c r="FX601" s="142"/>
      <c r="GD601" s="142"/>
      <c r="GJ601" s="142"/>
      <c r="GP601" s="142"/>
      <c r="GV601" s="142"/>
      <c r="HB601" s="142"/>
      <c r="HH601" s="142"/>
      <c r="HN601" s="142"/>
      <c r="HT601" s="142"/>
      <c r="HZ601" s="142"/>
    </row>
    <row r="602">
      <c r="F602" s="142"/>
      <c r="L602" s="142"/>
      <c r="R602" s="142"/>
      <c r="X602" s="142"/>
      <c r="AD602" s="142"/>
      <c r="AJ602" s="142"/>
      <c r="AP602" s="142"/>
      <c r="AV602" s="142"/>
      <c r="BA602" s="142"/>
      <c r="BH602" s="142"/>
      <c r="BN602" s="142"/>
      <c r="BT602" s="142"/>
      <c r="BZ602" s="142"/>
      <c r="CF602" s="142"/>
      <c r="CL602" s="142"/>
      <c r="CR602" s="142"/>
      <c r="CX602" s="142"/>
      <c r="DD602" s="142"/>
      <c r="DJ602" s="142"/>
      <c r="DP602" s="142"/>
      <c r="DV602" s="142"/>
      <c r="EB602" s="142"/>
      <c r="EH602" s="142"/>
      <c r="EN602" s="142"/>
      <c r="ET602" s="142"/>
      <c r="EZ602" s="142"/>
      <c r="FF602" s="142"/>
      <c r="FL602" s="142"/>
      <c r="FR602" s="142"/>
      <c r="FX602" s="142"/>
      <c r="GD602" s="142"/>
      <c r="GJ602" s="142"/>
      <c r="GP602" s="142"/>
      <c r="GV602" s="142"/>
      <c r="HB602" s="142"/>
      <c r="HH602" s="142"/>
      <c r="HN602" s="142"/>
      <c r="HT602" s="142"/>
      <c r="HZ602" s="142"/>
    </row>
    <row r="603">
      <c r="F603" s="142"/>
      <c r="L603" s="142"/>
      <c r="R603" s="142"/>
      <c r="X603" s="142"/>
      <c r="AD603" s="142"/>
      <c r="AJ603" s="142"/>
      <c r="AP603" s="142"/>
      <c r="AV603" s="142"/>
      <c r="BA603" s="142"/>
      <c r="BH603" s="142"/>
      <c r="BN603" s="142"/>
      <c r="BT603" s="142"/>
      <c r="BZ603" s="142"/>
      <c r="CF603" s="142"/>
      <c r="CL603" s="142"/>
      <c r="CR603" s="142"/>
      <c r="CX603" s="142"/>
      <c r="DD603" s="142"/>
      <c r="DJ603" s="142"/>
      <c r="DP603" s="142"/>
      <c r="DV603" s="142"/>
      <c r="EB603" s="142"/>
      <c r="EH603" s="142"/>
      <c r="EN603" s="142"/>
      <c r="ET603" s="142"/>
      <c r="EZ603" s="142"/>
      <c r="FF603" s="142"/>
      <c r="FL603" s="142"/>
      <c r="FR603" s="142"/>
      <c r="FX603" s="142"/>
      <c r="GD603" s="142"/>
      <c r="GJ603" s="142"/>
      <c r="GP603" s="142"/>
      <c r="GV603" s="142"/>
      <c r="HB603" s="142"/>
      <c r="HH603" s="142"/>
      <c r="HN603" s="142"/>
      <c r="HT603" s="142"/>
      <c r="HZ603" s="142"/>
    </row>
    <row r="604">
      <c r="F604" s="142"/>
      <c r="L604" s="142"/>
      <c r="R604" s="142"/>
      <c r="X604" s="142"/>
      <c r="AD604" s="142"/>
      <c r="AJ604" s="142"/>
      <c r="AP604" s="142"/>
      <c r="AV604" s="142"/>
      <c r="BA604" s="142"/>
      <c r="BH604" s="142"/>
      <c r="BN604" s="142"/>
      <c r="BT604" s="142"/>
      <c r="BZ604" s="142"/>
      <c r="CF604" s="142"/>
      <c r="CL604" s="142"/>
      <c r="CR604" s="142"/>
      <c r="CX604" s="142"/>
      <c r="DD604" s="142"/>
      <c r="DJ604" s="142"/>
      <c r="DP604" s="142"/>
      <c r="DV604" s="142"/>
      <c r="EB604" s="142"/>
      <c r="EH604" s="142"/>
      <c r="EN604" s="142"/>
      <c r="ET604" s="142"/>
      <c r="EZ604" s="142"/>
      <c r="FF604" s="142"/>
      <c r="FL604" s="142"/>
      <c r="FR604" s="142"/>
      <c r="FX604" s="142"/>
      <c r="GD604" s="142"/>
      <c r="GJ604" s="142"/>
      <c r="GP604" s="142"/>
      <c r="GV604" s="142"/>
      <c r="HB604" s="142"/>
      <c r="HH604" s="142"/>
      <c r="HN604" s="142"/>
      <c r="HT604" s="142"/>
      <c r="HZ604" s="142"/>
    </row>
    <row r="605">
      <c r="F605" s="142"/>
      <c r="L605" s="142"/>
      <c r="R605" s="142"/>
      <c r="X605" s="142"/>
      <c r="AD605" s="142"/>
      <c r="AJ605" s="142"/>
      <c r="AP605" s="142"/>
      <c r="AV605" s="142"/>
      <c r="BA605" s="142"/>
      <c r="BH605" s="142"/>
      <c r="BN605" s="142"/>
      <c r="BT605" s="142"/>
      <c r="BZ605" s="142"/>
      <c r="CF605" s="142"/>
      <c r="CL605" s="142"/>
      <c r="CR605" s="142"/>
      <c r="CX605" s="142"/>
      <c r="DD605" s="142"/>
      <c r="DJ605" s="142"/>
      <c r="DP605" s="142"/>
      <c r="DV605" s="142"/>
      <c r="EB605" s="142"/>
      <c r="EH605" s="142"/>
      <c r="EN605" s="142"/>
      <c r="ET605" s="142"/>
      <c r="EZ605" s="142"/>
      <c r="FF605" s="142"/>
      <c r="FL605" s="142"/>
      <c r="FR605" s="142"/>
      <c r="FX605" s="142"/>
      <c r="GD605" s="142"/>
      <c r="GJ605" s="142"/>
      <c r="GP605" s="142"/>
      <c r="GV605" s="142"/>
      <c r="HB605" s="142"/>
      <c r="HH605" s="142"/>
      <c r="HN605" s="142"/>
      <c r="HT605" s="142"/>
      <c r="HZ605" s="142"/>
    </row>
    <row r="606">
      <c r="F606" s="142"/>
      <c r="L606" s="142"/>
      <c r="R606" s="142"/>
      <c r="X606" s="142"/>
      <c r="AD606" s="142"/>
      <c r="AJ606" s="142"/>
      <c r="AP606" s="142"/>
      <c r="AV606" s="142"/>
      <c r="BA606" s="142"/>
      <c r="BH606" s="142"/>
      <c r="BN606" s="142"/>
      <c r="BT606" s="142"/>
      <c r="BZ606" s="142"/>
      <c r="CF606" s="142"/>
      <c r="CL606" s="142"/>
      <c r="CR606" s="142"/>
      <c r="CX606" s="142"/>
      <c r="DD606" s="142"/>
      <c r="DJ606" s="142"/>
      <c r="DP606" s="142"/>
      <c r="DV606" s="142"/>
      <c r="EB606" s="142"/>
      <c r="EH606" s="142"/>
      <c r="EN606" s="142"/>
      <c r="ET606" s="142"/>
      <c r="EZ606" s="142"/>
      <c r="FF606" s="142"/>
      <c r="FL606" s="142"/>
      <c r="FR606" s="142"/>
      <c r="FX606" s="142"/>
      <c r="GD606" s="142"/>
      <c r="GJ606" s="142"/>
      <c r="GP606" s="142"/>
      <c r="GV606" s="142"/>
      <c r="HB606" s="142"/>
      <c r="HH606" s="142"/>
      <c r="HN606" s="142"/>
      <c r="HT606" s="142"/>
      <c r="HZ606" s="142"/>
    </row>
    <row r="607">
      <c r="F607" s="142"/>
      <c r="L607" s="142"/>
      <c r="R607" s="142"/>
      <c r="X607" s="142"/>
      <c r="AD607" s="142"/>
      <c r="AJ607" s="142"/>
      <c r="AP607" s="142"/>
      <c r="AV607" s="142"/>
      <c r="BA607" s="142"/>
      <c r="BH607" s="142"/>
      <c r="BN607" s="142"/>
      <c r="BT607" s="142"/>
      <c r="BZ607" s="142"/>
      <c r="CF607" s="142"/>
      <c r="CL607" s="142"/>
      <c r="CR607" s="142"/>
      <c r="CX607" s="142"/>
      <c r="DD607" s="142"/>
      <c r="DJ607" s="142"/>
      <c r="DP607" s="142"/>
      <c r="DV607" s="142"/>
      <c r="EB607" s="142"/>
      <c r="EH607" s="142"/>
      <c r="EN607" s="142"/>
      <c r="ET607" s="142"/>
      <c r="EZ607" s="142"/>
      <c r="FF607" s="142"/>
      <c r="FL607" s="142"/>
      <c r="FR607" s="142"/>
      <c r="FX607" s="142"/>
      <c r="GD607" s="142"/>
      <c r="GJ607" s="142"/>
      <c r="GP607" s="142"/>
      <c r="GV607" s="142"/>
      <c r="HB607" s="142"/>
      <c r="HH607" s="142"/>
      <c r="HN607" s="142"/>
      <c r="HT607" s="142"/>
      <c r="HZ607" s="142"/>
    </row>
    <row r="608">
      <c r="F608" s="142"/>
      <c r="L608" s="142"/>
      <c r="R608" s="142"/>
      <c r="X608" s="142"/>
      <c r="AD608" s="142"/>
      <c r="AJ608" s="142"/>
      <c r="AP608" s="142"/>
      <c r="AV608" s="142"/>
      <c r="BA608" s="142"/>
      <c r="BH608" s="142"/>
      <c r="BN608" s="142"/>
      <c r="BT608" s="142"/>
      <c r="BZ608" s="142"/>
      <c r="CF608" s="142"/>
      <c r="CL608" s="142"/>
      <c r="CR608" s="142"/>
      <c r="CX608" s="142"/>
      <c r="DD608" s="142"/>
      <c r="DJ608" s="142"/>
      <c r="DP608" s="142"/>
      <c r="DV608" s="142"/>
      <c r="EB608" s="142"/>
      <c r="EH608" s="142"/>
      <c r="EN608" s="142"/>
      <c r="ET608" s="142"/>
      <c r="EZ608" s="142"/>
      <c r="FF608" s="142"/>
      <c r="FL608" s="142"/>
      <c r="FR608" s="142"/>
      <c r="FX608" s="142"/>
      <c r="GD608" s="142"/>
      <c r="GJ608" s="142"/>
      <c r="GP608" s="142"/>
      <c r="GV608" s="142"/>
      <c r="HB608" s="142"/>
      <c r="HH608" s="142"/>
      <c r="HN608" s="142"/>
      <c r="HT608" s="142"/>
      <c r="HZ608" s="142"/>
    </row>
    <row r="609">
      <c r="F609" s="142"/>
      <c r="L609" s="142"/>
      <c r="R609" s="142"/>
      <c r="X609" s="142"/>
      <c r="AD609" s="142"/>
      <c r="AJ609" s="142"/>
      <c r="AP609" s="142"/>
      <c r="AV609" s="142"/>
      <c r="BA609" s="142"/>
      <c r="BH609" s="142"/>
      <c r="BN609" s="142"/>
      <c r="BT609" s="142"/>
      <c r="BZ609" s="142"/>
      <c r="CF609" s="142"/>
      <c r="CL609" s="142"/>
      <c r="CR609" s="142"/>
      <c r="CX609" s="142"/>
      <c r="DD609" s="142"/>
      <c r="DJ609" s="142"/>
      <c r="DP609" s="142"/>
      <c r="DV609" s="142"/>
      <c r="EB609" s="142"/>
      <c r="EH609" s="142"/>
      <c r="EN609" s="142"/>
      <c r="ET609" s="142"/>
      <c r="EZ609" s="142"/>
      <c r="FF609" s="142"/>
      <c r="FL609" s="142"/>
      <c r="FR609" s="142"/>
      <c r="FX609" s="142"/>
      <c r="GD609" s="142"/>
      <c r="GJ609" s="142"/>
      <c r="GP609" s="142"/>
      <c r="GV609" s="142"/>
      <c r="HB609" s="142"/>
      <c r="HH609" s="142"/>
      <c r="HN609" s="142"/>
      <c r="HT609" s="142"/>
      <c r="HZ609" s="142"/>
    </row>
    <row r="610">
      <c r="F610" s="142"/>
      <c r="L610" s="142"/>
      <c r="R610" s="142"/>
      <c r="X610" s="142"/>
      <c r="AD610" s="142"/>
      <c r="AJ610" s="142"/>
      <c r="AP610" s="142"/>
      <c r="AV610" s="142"/>
      <c r="BA610" s="142"/>
      <c r="BH610" s="142"/>
      <c r="BN610" s="142"/>
      <c r="BT610" s="142"/>
      <c r="BZ610" s="142"/>
      <c r="CF610" s="142"/>
      <c r="CL610" s="142"/>
      <c r="CR610" s="142"/>
      <c r="CX610" s="142"/>
      <c r="DD610" s="142"/>
      <c r="DJ610" s="142"/>
      <c r="DP610" s="142"/>
      <c r="DV610" s="142"/>
      <c r="EB610" s="142"/>
      <c r="EH610" s="142"/>
      <c r="EN610" s="142"/>
      <c r="ET610" s="142"/>
      <c r="EZ610" s="142"/>
      <c r="FF610" s="142"/>
      <c r="FL610" s="142"/>
      <c r="FR610" s="142"/>
      <c r="FX610" s="142"/>
      <c r="GD610" s="142"/>
      <c r="GJ610" s="142"/>
      <c r="GP610" s="142"/>
      <c r="GV610" s="142"/>
      <c r="HB610" s="142"/>
      <c r="HH610" s="142"/>
      <c r="HN610" s="142"/>
      <c r="HT610" s="142"/>
      <c r="HZ610" s="142"/>
    </row>
    <row r="611">
      <c r="F611" s="142"/>
      <c r="L611" s="142"/>
      <c r="R611" s="142"/>
      <c r="X611" s="142"/>
      <c r="AD611" s="142"/>
      <c r="AJ611" s="142"/>
      <c r="AP611" s="142"/>
      <c r="AV611" s="142"/>
      <c r="BA611" s="142"/>
      <c r="BH611" s="142"/>
      <c r="BN611" s="142"/>
      <c r="BT611" s="142"/>
      <c r="BZ611" s="142"/>
      <c r="CF611" s="142"/>
      <c r="CL611" s="142"/>
      <c r="CR611" s="142"/>
      <c r="CX611" s="142"/>
      <c r="DD611" s="142"/>
      <c r="DJ611" s="142"/>
      <c r="DP611" s="142"/>
      <c r="DV611" s="142"/>
      <c r="EB611" s="142"/>
      <c r="EH611" s="142"/>
      <c r="EN611" s="142"/>
      <c r="ET611" s="142"/>
      <c r="EZ611" s="142"/>
      <c r="FF611" s="142"/>
      <c r="FL611" s="142"/>
      <c r="FR611" s="142"/>
      <c r="FX611" s="142"/>
      <c r="GD611" s="142"/>
      <c r="GJ611" s="142"/>
      <c r="GP611" s="142"/>
      <c r="GV611" s="142"/>
      <c r="HB611" s="142"/>
      <c r="HH611" s="142"/>
      <c r="HN611" s="142"/>
      <c r="HT611" s="142"/>
      <c r="HZ611" s="142"/>
    </row>
    <row r="612">
      <c r="F612" s="142"/>
      <c r="L612" s="142"/>
      <c r="R612" s="142"/>
      <c r="X612" s="142"/>
      <c r="AD612" s="142"/>
      <c r="AJ612" s="142"/>
      <c r="AP612" s="142"/>
      <c r="AV612" s="142"/>
      <c r="BA612" s="142"/>
      <c r="BH612" s="142"/>
      <c r="BN612" s="142"/>
      <c r="BT612" s="142"/>
      <c r="BZ612" s="142"/>
      <c r="CF612" s="142"/>
      <c r="CL612" s="142"/>
      <c r="CR612" s="142"/>
      <c r="CX612" s="142"/>
      <c r="DD612" s="142"/>
      <c r="DJ612" s="142"/>
      <c r="DP612" s="142"/>
      <c r="DV612" s="142"/>
      <c r="EB612" s="142"/>
      <c r="EH612" s="142"/>
      <c r="EN612" s="142"/>
      <c r="ET612" s="142"/>
      <c r="EZ612" s="142"/>
      <c r="FF612" s="142"/>
      <c r="FL612" s="142"/>
      <c r="FR612" s="142"/>
      <c r="FX612" s="142"/>
      <c r="GD612" s="142"/>
      <c r="GJ612" s="142"/>
      <c r="GP612" s="142"/>
      <c r="GV612" s="142"/>
      <c r="HB612" s="142"/>
      <c r="HH612" s="142"/>
      <c r="HN612" s="142"/>
      <c r="HT612" s="142"/>
      <c r="HZ612" s="142"/>
    </row>
    <row r="613">
      <c r="F613" s="142"/>
      <c r="L613" s="142"/>
      <c r="R613" s="142"/>
      <c r="X613" s="142"/>
      <c r="AD613" s="142"/>
      <c r="AJ613" s="142"/>
      <c r="AP613" s="142"/>
      <c r="AV613" s="142"/>
      <c r="BA613" s="142"/>
      <c r="BH613" s="142"/>
      <c r="BN613" s="142"/>
      <c r="BT613" s="142"/>
      <c r="BZ613" s="142"/>
      <c r="CF613" s="142"/>
      <c r="CL613" s="142"/>
      <c r="CR613" s="142"/>
      <c r="CX613" s="142"/>
      <c r="DD613" s="142"/>
      <c r="DJ613" s="142"/>
      <c r="DP613" s="142"/>
      <c r="DV613" s="142"/>
      <c r="EB613" s="142"/>
      <c r="EH613" s="142"/>
      <c r="EN613" s="142"/>
      <c r="ET613" s="142"/>
      <c r="EZ613" s="142"/>
      <c r="FF613" s="142"/>
      <c r="FL613" s="142"/>
      <c r="FR613" s="142"/>
      <c r="FX613" s="142"/>
      <c r="GD613" s="142"/>
      <c r="GJ613" s="142"/>
      <c r="GP613" s="142"/>
      <c r="GV613" s="142"/>
      <c r="HB613" s="142"/>
      <c r="HH613" s="142"/>
      <c r="HN613" s="142"/>
      <c r="HT613" s="142"/>
      <c r="HZ613" s="142"/>
    </row>
    <row r="614">
      <c r="F614" s="142"/>
      <c r="L614" s="142"/>
      <c r="R614" s="142"/>
      <c r="X614" s="142"/>
      <c r="AD614" s="142"/>
      <c r="AJ614" s="142"/>
      <c r="AP614" s="142"/>
      <c r="AV614" s="142"/>
      <c r="BA614" s="142"/>
      <c r="BH614" s="142"/>
      <c r="BN614" s="142"/>
      <c r="BT614" s="142"/>
      <c r="BZ614" s="142"/>
      <c r="CF614" s="142"/>
      <c r="CL614" s="142"/>
      <c r="CR614" s="142"/>
      <c r="CX614" s="142"/>
      <c r="DD614" s="142"/>
      <c r="DJ614" s="142"/>
      <c r="DP614" s="142"/>
      <c r="DV614" s="142"/>
      <c r="EB614" s="142"/>
      <c r="EH614" s="142"/>
      <c r="EN614" s="142"/>
      <c r="ET614" s="142"/>
      <c r="EZ614" s="142"/>
      <c r="FF614" s="142"/>
      <c r="FL614" s="142"/>
      <c r="FR614" s="142"/>
      <c r="FX614" s="142"/>
      <c r="GD614" s="142"/>
      <c r="GJ614" s="142"/>
      <c r="GP614" s="142"/>
      <c r="GV614" s="142"/>
      <c r="HB614" s="142"/>
      <c r="HH614" s="142"/>
      <c r="HN614" s="142"/>
      <c r="HT614" s="142"/>
      <c r="HZ614" s="142"/>
    </row>
    <row r="615">
      <c r="F615" s="142"/>
      <c r="L615" s="142"/>
      <c r="R615" s="142"/>
      <c r="X615" s="142"/>
      <c r="AD615" s="142"/>
      <c r="AJ615" s="142"/>
      <c r="AP615" s="142"/>
      <c r="AV615" s="142"/>
      <c r="BA615" s="142"/>
      <c r="BH615" s="142"/>
      <c r="BN615" s="142"/>
      <c r="BT615" s="142"/>
      <c r="BZ615" s="142"/>
      <c r="CF615" s="142"/>
      <c r="CL615" s="142"/>
      <c r="CR615" s="142"/>
      <c r="CX615" s="142"/>
      <c r="DD615" s="142"/>
      <c r="DJ615" s="142"/>
      <c r="DP615" s="142"/>
      <c r="DV615" s="142"/>
      <c r="EB615" s="142"/>
      <c r="EH615" s="142"/>
      <c r="EN615" s="142"/>
      <c r="ET615" s="142"/>
      <c r="EZ615" s="142"/>
      <c r="FF615" s="142"/>
      <c r="FL615" s="142"/>
      <c r="FR615" s="142"/>
      <c r="FX615" s="142"/>
      <c r="GD615" s="142"/>
      <c r="GJ615" s="142"/>
      <c r="GP615" s="142"/>
      <c r="GV615" s="142"/>
      <c r="HB615" s="142"/>
      <c r="HH615" s="142"/>
      <c r="HN615" s="142"/>
      <c r="HT615" s="142"/>
      <c r="HZ615" s="142"/>
    </row>
    <row r="616">
      <c r="F616" s="142"/>
      <c r="L616" s="142"/>
      <c r="R616" s="142"/>
      <c r="X616" s="142"/>
      <c r="AD616" s="142"/>
      <c r="AJ616" s="142"/>
      <c r="AP616" s="142"/>
      <c r="AV616" s="142"/>
      <c r="BA616" s="142"/>
      <c r="BH616" s="142"/>
      <c r="BN616" s="142"/>
      <c r="BT616" s="142"/>
      <c r="BZ616" s="142"/>
      <c r="CF616" s="142"/>
      <c r="CL616" s="142"/>
      <c r="CR616" s="142"/>
      <c r="CX616" s="142"/>
      <c r="DD616" s="142"/>
      <c r="DJ616" s="142"/>
      <c r="DP616" s="142"/>
      <c r="DV616" s="142"/>
      <c r="EB616" s="142"/>
      <c r="EH616" s="142"/>
      <c r="EN616" s="142"/>
      <c r="ET616" s="142"/>
      <c r="EZ616" s="142"/>
      <c r="FF616" s="142"/>
      <c r="FL616" s="142"/>
      <c r="FR616" s="142"/>
      <c r="FX616" s="142"/>
      <c r="GD616" s="142"/>
      <c r="GJ616" s="142"/>
      <c r="GP616" s="142"/>
      <c r="GV616" s="142"/>
      <c r="HB616" s="142"/>
      <c r="HH616" s="142"/>
      <c r="HN616" s="142"/>
      <c r="HT616" s="142"/>
      <c r="HZ616" s="142"/>
    </row>
    <row r="617">
      <c r="F617" s="142"/>
      <c r="L617" s="142"/>
      <c r="R617" s="142"/>
      <c r="X617" s="142"/>
      <c r="AD617" s="142"/>
      <c r="AJ617" s="142"/>
      <c r="AP617" s="142"/>
      <c r="AV617" s="142"/>
      <c r="BA617" s="142"/>
      <c r="BH617" s="142"/>
      <c r="BN617" s="142"/>
      <c r="BT617" s="142"/>
      <c r="BZ617" s="142"/>
      <c r="CF617" s="142"/>
      <c r="CL617" s="142"/>
      <c r="CR617" s="142"/>
      <c r="CX617" s="142"/>
      <c r="DD617" s="142"/>
      <c r="DJ617" s="142"/>
      <c r="DP617" s="142"/>
      <c r="DV617" s="142"/>
      <c r="EB617" s="142"/>
      <c r="EH617" s="142"/>
      <c r="EN617" s="142"/>
      <c r="ET617" s="142"/>
      <c r="EZ617" s="142"/>
      <c r="FF617" s="142"/>
      <c r="FL617" s="142"/>
      <c r="FR617" s="142"/>
      <c r="FX617" s="142"/>
      <c r="GD617" s="142"/>
      <c r="GJ617" s="142"/>
      <c r="GP617" s="142"/>
      <c r="GV617" s="142"/>
      <c r="HB617" s="142"/>
      <c r="HH617" s="142"/>
      <c r="HN617" s="142"/>
      <c r="HT617" s="142"/>
      <c r="HZ617" s="142"/>
    </row>
    <row r="618">
      <c r="F618" s="142"/>
      <c r="L618" s="142"/>
      <c r="R618" s="142"/>
      <c r="X618" s="142"/>
      <c r="AD618" s="142"/>
      <c r="AJ618" s="142"/>
      <c r="AP618" s="142"/>
      <c r="AV618" s="142"/>
      <c r="BA618" s="142"/>
      <c r="BH618" s="142"/>
      <c r="BN618" s="142"/>
      <c r="BT618" s="142"/>
      <c r="BZ618" s="142"/>
      <c r="CF618" s="142"/>
      <c r="CL618" s="142"/>
      <c r="CR618" s="142"/>
      <c r="CX618" s="142"/>
      <c r="DD618" s="142"/>
      <c r="DJ618" s="142"/>
      <c r="DP618" s="142"/>
      <c r="DV618" s="142"/>
      <c r="EB618" s="142"/>
      <c r="EH618" s="142"/>
      <c r="EN618" s="142"/>
      <c r="ET618" s="142"/>
      <c r="EZ618" s="142"/>
      <c r="FF618" s="142"/>
      <c r="FL618" s="142"/>
      <c r="FR618" s="142"/>
      <c r="FX618" s="142"/>
      <c r="GD618" s="142"/>
      <c r="GJ618" s="142"/>
      <c r="GP618" s="142"/>
      <c r="GV618" s="142"/>
      <c r="HB618" s="142"/>
      <c r="HH618" s="142"/>
      <c r="HN618" s="142"/>
      <c r="HT618" s="142"/>
      <c r="HZ618" s="142"/>
    </row>
    <row r="619">
      <c r="F619" s="142"/>
      <c r="L619" s="142"/>
      <c r="R619" s="142"/>
      <c r="X619" s="142"/>
      <c r="AD619" s="142"/>
      <c r="AJ619" s="142"/>
      <c r="AP619" s="142"/>
      <c r="AV619" s="142"/>
      <c r="BA619" s="142"/>
      <c r="BH619" s="142"/>
      <c r="BN619" s="142"/>
      <c r="BT619" s="142"/>
      <c r="BZ619" s="142"/>
      <c r="CF619" s="142"/>
      <c r="CL619" s="142"/>
      <c r="CR619" s="142"/>
      <c r="CX619" s="142"/>
      <c r="DD619" s="142"/>
      <c r="DJ619" s="142"/>
      <c r="DP619" s="142"/>
      <c r="DV619" s="142"/>
      <c r="EB619" s="142"/>
      <c r="EH619" s="142"/>
      <c r="EN619" s="142"/>
      <c r="ET619" s="142"/>
      <c r="EZ619" s="142"/>
      <c r="FF619" s="142"/>
      <c r="FL619" s="142"/>
      <c r="FR619" s="142"/>
      <c r="FX619" s="142"/>
      <c r="GD619" s="142"/>
      <c r="GJ619" s="142"/>
      <c r="GP619" s="142"/>
      <c r="GV619" s="142"/>
      <c r="HB619" s="142"/>
      <c r="HH619" s="142"/>
      <c r="HN619" s="142"/>
      <c r="HT619" s="142"/>
      <c r="HZ619" s="142"/>
    </row>
    <row r="620">
      <c r="F620" s="142"/>
      <c r="L620" s="142"/>
      <c r="R620" s="142"/>
      <c r="X620" s="142"/>
      <c r="AD620" s="142"/>
      <c r="AJ620" s="142"/>
      <c r="AP620" s="142"/>
      <c r="AV620" s="142"/>
      <c r="BA620" s="142"/>
      <c r="BH620" s="142"/>
      <c r="BN620" s="142"/>
      <c r="BT620" s="142"/>
      <c r="BZ620" s="142"/>
      <c r="CF620" s="142"/>
      <c r="CL620" s="142"/>
      <c r="CR620" s="142"/>
      <c r="CX620" s="142"/>
      <c r="DD620" s="142"/>
      <c r="DJ620" s="142"/>
      <c r="DP620" s="142"/>
      <c r="DV620" s="142"/>
      <c r="EB620" s="142"/>
      <c r="EH620" s="142"/>
      <c r="EN620" s="142"/>
      <c r="ET620" s="142"/>
      <c r="EZ620" s="142"/>
      <c r="FF620" s="142"/>
      <c r="FL620" s="142"/>
      <c r="FR620" s="142"/>
      <c r="FX620" s="142"/>
      <c r="GD620" s="142"/>
      <c r="GJ620" s="142"/>
      <c r="GP620" s="142"/>
      <c r="GV620" s="142"/>
      <c r="HB620" s="142"/>
      <c r="HH620" s="142"/>
      <c r="HN620" s="142"/>
      <c r="HT620" s="142"/>
      <c r="HZ620" s="142"/>
    </row>
    <row r="621">
      <c r="F621" s="142"/>
      <c r="L621" s="142"/>
      <c r="R621" s="142"/>
      <c r="X621" s="142"/>
      <c r="AD621" s="142"/>
      <c r="AJ621" s="142"/>
      <c r="AP621" s="142"/>
      <c r="AV621" s="142"/>
      <c r="BA621" s="142"/>
      <c r="BH621" s="142"/>
      <c r="BN621" s="142"/>
      <c r="BT621" s="142"/>
      <c r="BZ621" s="142"/>
      <c r="CF621" s="142"/>
      <c r="CL621" s="142"/>
      <c r="CR621" s="142"/>
      <c r="CX621" s="142"/>
      <c r="DD621" s="142"/>
      <c r="DJ621" s="142"/>
      <c r="DP621" s="142"/>
      <c r="DV621" s="142"/>
      <c r="EB621" s="142"/>
      <c r="EH621" s="142"/>
      <c r="EN621" s="142"/>
      <c r="ET621" s="142"/>
      <c r="EZ621" s="142"/>
      <c r="FF621" s="142"/>
      <c r="FL621" s="142"/>
      <c r="FR621" s="142"/>
      <c r="FX621" s="142"/>
      <c r="GD621" s="142"/>
      <c r="GJ621" s="142"/>
      <c r="GP621" s="142"/>
      <c r="GV621" s="142"/>
      <c r="HB621" s="142"/>
      <c r="HH621" s="142"/>
      <c r="HN621" s="142"/>
      <c r="HT621" s="142"/>
      <c r="HZ621" s="142"/>
    </row>
    <row r="622">
      <c r="F622" s="142"/>
      <c r="L622" s="142"/>
      <c r="R622" s="142"/>
      <c r="X622" s="142"/>
      <c r="AD622" s="142"/>
      <c r="AJ622" s="142"/>
      <c r="AP622" s="142"/>
      <c r="AV622" s="142"/>
      <c r="BA622" s="142"/>
      <c r="BH622" s="142"/>
      <c r="BN622" s="142"/>
      <c r="BT622" s="142"/>
      <c r="BZ622" s="142"/>
      <c r="CF622" s="142"/>
      <c r="CL622" s="142"/>
      <c r="CR622" s="142"/>
      <c r="CX622" s="142"/>
      <c r="DD622" s="142"/>
      <c r="DJ622" s="142"/>
      <c r="DP622" s="142"/>
      <c r="DV622" s="142"/>
      <c r="EB622" s="142"/>
      <c r="EH622" s="142"/>
      <c r="EN622" s="142"/>
      <c r="ET622" s="142"/>
      <c r="EZ622" s="142"/>
      <c r="FF622" s="142"/>
      <c r="FL622" s="142"/>
      <c r="FR622" s="142"/>
      <c r="FX622" s="142"/>
      <c r="GD622" s="142"/>
      <c r="GJ622" s="142"/>
      <c r="GP622" s="142"/>
      <c r="GV622" s="142"/>
      <c r="HB622" s="142"/>
      <c r="HH622" s="142"/>
      <c r="HN622" s="142"/>
      <c r="HT622" s="142"/>
      <c r="HZ622" s="142"/>
    </row>
    <row r="623">
      <c r="F623" s="142"/>
      <c r="L623" s="142"/>
      <c r="R623" s="142"/>
      <c r="X623" s="142"/>
      <c r="AD623" s="142"/>
      <c r="AJ623" s="142"/>
      <c r="AP623" s="142"/>
      <c r="AV623" s="142"/>
      <c r="BA623" s="142"/>
      <c r="BH623" s="142"/>
      <c r="BN623" s="142"/>
      <c r="BT623" s="142"/>
      <c r="BZ623" s="142"/>
      <c r="CF623" s="142"/>
      <c r="CL623" s="142"/>
      <c r="CR623" s="142"/>
      <c r="CX623" s="142"/>
      <c r="DD623" s="142"/>
      <c r="DJ623" s="142"/>
      <c r="DP623" s="142"/>
      <c r="DV623" s="142"/>
      <c r="EB623" s="142"/>
      <c r="EH623" s="142"/>
      <c r="EN623" s="142"/>
      <c r="ET623" s="142"/>
      <c r="EZ623" s="142"/>
      <c r="FF623" s="142"/>
      <c r="FL623" s="142"/>
      <c r="FR623" s="142"/>
      <c r="FX623" s="142"/>
      <c r="GD623" s="142"/>
      <c r="GJ623" s="142"/>
      <c r="GP623" s="142"/>
      <c r="GV623" s="142"/>
      <c r="HB623" s="142"/>
      <c r="HH623" s="142"/>
      <c r="HN623" s="142"/>
      <c r="HT623" s="142"/>
      <c r="HZ623" s="142"/>
    </row>
    <row r="624">
      <c r="F624" s="142"/>
      <c r="L624" s="142"/>
      <c r="R624" s="142"/>
      <c r="X624" s="142"/>
      <c r="AD624" s="142"/>
      <c r="AJ624" s="142"/>
      <c r="AP624" s="142"/>
      <c r="AV624" s="142"/>
      <c r="BA624" s="142"/>
      <c r="BH624" s="142"/>
      <c r="BN624" s="142"/>
      <c r="BT624" s="142"/>
      <c r="BZ624" s="142"/>
      <c r="CF624" s="142"/>
      <c r="CL624" s="142"/>
      <c r="CR624" s="142"/>
      <c r="CX624" s="142"/>
      <c r="DD624" s="142"/>
      <c r="DJ624" s="142"/>
      <c r="DP624" s="142"/>
      <c r="DV624" s="142"/>
      <c r="EB624" s="142"/>
      <c r="EH624" s="142"/>
      <c r="EN624" s="142"/>
      <c r="ET624" s="142"/>
      <c r="EZ624" s="142"/>
      <c r="FF624" s="142"/>
      <c r="FL624" s="142"/>
      <c r="FR624" s="142"/>
      <c r="FX624" s="142"/>
      <c r="GD624" s="142"/>
      <c r="GJ624" s="142"/>
      <c r="GP624" s="142"/>
      <c r="GV624" s="142"/>
      <c r="HB624" s="142"/>
      <c r="HH624" s="142"/>
      <c r="HN624" s="142"/>
      <c r="HT624" s="142"/>
      <c r="HZ624" s="142"/>
    </row>
    <row r="625">
      <c r="F625" s="142"/>
      <c r="L625" s="142"/>
      <c r="R625" s="142"/>
      <c r="X625" s="142"/>
      <c r="AD625" s="142"/>
      <c r="AJ625" s="142"/>
      <c r="AP625" s="142"/>
      <c r="AV625" s="142"/>
      <c r="BA625" s="142"/>
      <c r="BH625" s="142"/>
      <c r="BN625" s="142"/>
      <c r="BT625" s="142"/>
      <c r="BZ625" s="142"/>
      <c r="CF625" s="142"/>
      <c r="CL625" s="142"/>
      <c r="CR625" s="142"/>
      <c r="CX625" s="142"/>
      <c r="DD625" s="142"/>
      <c r="DJ625" s="142"/>
      <c r="DP625" s="142"/>
      <c r="DV625" s="142"/>
      <c r="EB625" s="142"/>
      <c r="EH625" s="142"/>
      <c r="EN625" s="142"/>
      <c r="ET625" s="142"/>
      <c r="EZ625" s="142"/>
      <c r="FF625" s="142"/>
      <c r="FL625" s="142"/>
      <c r="FR625" s="142"/>
      <c r="FX625" s="142"/>
      <c r="GD625" s="142"/>
      <c r="GJ625" s="142"/>
      <c r="GP625" s="142"/>
      <c r="GV625" s="142"/>
      <c r="HB625" s="142"/>
      <c r="HH625" s="142"/>
      <c r="HN625" s="142"/>
      <c r="HT625" s="142"/>
      <c r="HZ625" s="142"/>
    </row>
    <row r="626">
      <c r="F626" s="142"/>
      <c r="L626" s="142"/>
      <c r="R626" s="142"/>
      <c r="X626" s="142"/>
      <c r="AD626" s="142"/>
      <c r="AJ626" s="142"/>
      <c r="AP626" s="142"/>
      <c r="AV626" s="142"/>
      <c r="BA626" s="142"/>
      <c r="BH626" s="142"/>
      <c r="BN626" s="142"/>
      <c r="BT626" s="142"/>
      <c r="BZ626" s="142"/>
      <c r="CF626" s="142"/>
      <c r="CL626" s="142"/>
      <c r="CR626" s="142"/>
      <c r="CX626" s="142"/>
      <c r="DD626" s="142"/>
      <c r="DJ626" s="142"/>
      <c r="DP626" s="142"/>
      <c r="DV626" s="142"/>
      <c r="EB626" s="142"/>
      <c r="EH626" s="142"/>
      <c r="EN626" s="142"/>
      <c r="ET626" s="142"/>
      <c r="EZ626" s="142"/>
      <c r="FF626" s="142"/>
      <c r="FL626" s="142"/>
      <c r="FR626" s="142"/>
      <c r="FX626" s="142"/>
      <c r="GD626" s="142"/>
      <c r="GJ626" s="142"/>
      <c r="GP626" s="142"/>
      <c r="GV626" s="142"/>
      <c r="HB626" s="142"/>
      <c r="HH626" s="142"/>
      <c r="HN626" s="142"/>
      <c r="HT626" s="142"/>
      <c r="HZ626" s="142"/>
    </row>
    <row r="627">
      <c r="F627" s="142"/>
      <c r="L627" s="142"/>
      <c r="R627" s="142"/>
      <c r="X627" s="142"/>
      <c r="AD627" s="142"/>
      <c r="AJ627" s="142"/>
      <c r="AP627" s="142"/>
      <c r="AV627" s="142"/>
      <c r="BA627" s="142"/>
      <c r="BH627" s="142"/>
      <c r="BN627" s="142"/>
      <c r="BT627" s="142"/>
      <c r="BZ627" s="142"/>
      <c r="CF627" s="142"/>
      <c r="CL627" s="142"/>
      <c r="CR627" s="142"/>
      <c r="CX627" s="142"/>
      <c r="DD627" s="142"/>
      <c r="DJ627" s="142"/>
      <c r="DP627" s="142"/>
      <c r="DV627" s="142"/>
      <c r="EB627" s="142"/>
      <c r="EH627" s="142"/>
      <c r="EN627" s="142"/>
      <c r="ET627" s="142"/>
      <c r="EZ627" s="142"/>
      <c r="FF627" s="142"/>
      <c r="FL627" s="142"/>
      <c r="FR627" s="142"/>
      <c r="FX627" s="142"/>
      <c r="GD627" s="142"/>
      <c r="GJ627" s="142"/>
      <c r="GP627" s="142"/>
      <c r="GV627" s="142"/>
      <c r="HB627" s="142"/>
      <c r="HH627" s="142"/>
      <c r="HN627" s="142"/>
      <c r="HT627" s="142"/>
      <c r="HZ627" s="142"/>
    </row>
    <row r="628">
      <c r="F628" s="142"/>
      <c r="L628" s="142"/>
      <c r="R628" s="142"/>
      <c r="X628" s="142"/>
      <c r="AD628" s="142"/>
      <c r="AJ628" s="142"/>
      <c r="AP628" s="142"/>
      <c r="AV628" s="142"/>
      <c r="BA628" s="142"/>
      <c r="BH628" s="142"/>
      <c r="BN628" s="142"/>
      <c r="BT628" s="142"/>
      <c r="BZ628" s="142"/>
      <c r="CF628" s="142"/>
      <c r="CL628" s="142"/>
      <c r="CR628" s="142"/>
      <c r="CX628" s="142"/>
      <c r="DD628" s="142"/>
      <c r="DJ628" s="142"/>
      <c r="DP628" s="142"/>
      <c r="DV628" s="142"/>
      <c r="EB628" s="142"/>
      <c r="EH628" s="142"/>
      <c r="EN628" s="142"/>
      <c r="ET628" s="142"/>
      <c r="EZ628" s="142"/>
      <c r="FF628" s="142"/>
      <c r="FL628" s="142"/>
      <c r="FR628" s="142"/>
      <c r="FX628" s="142"/>
      <c r="GD628" s="142"/>
      <c r="GJ628" s="142"/>
      <c r="GP628" s="142"/>
      <c r="GV628" s="142"/>
      <c r="HB628" s="142"/>
      <c r="HH628" s="142"/>
      <c r="HN628" s="142"/>
      <c r="HT628" s="142"/>
      <c r="HZ628" s="142"/>
    </row>
    <row r="629">
      <c r="F629" s="142"/>
      <c r="L629" s="142"/>
      <c r="R629" s="142"/>
      <c r="X629" s="142"/>
      <c r="AD629" s="142"/>
      <c r="AJ629" s="142"/>
      <c r="AP629" s="142"/>
      <c r="AV629" s="142"/>
      <c r="BA629" s="142"/>
      <c r="BH629" s="142"/>
      <c r="BN629" s="142"/>
      <c r="BT629" s="142"/>
      <c r="BZ629" s="142"/>
      <c r="CF629" s="142"/>
      <c r="CL629" s="142"/>
      <c r="CR629" s="142"/>
      <c r="CX629" s="142"/>
      <c r="DD629" s="142"/>
      <c r="DJ629" s="142"/>
      <c r="DP629" s="142"/>
      <c r="DV629" s="142"/>
      <c r="EB629" s="142"/>
      <c r="EH629" s="142"/>
      <c r="EN629" s="142"/>
      <c r="ET629" s="142"/>
      <c r="EZ629" s="142"/>
      <c r="FF629" s="142"/>
      <c r="FL629" s="142"/>
      <c r="FR629" s="142"/>
      <c r="FX629" s="142"/>
      <c r="GD629" s="142"/>
      <c r="GJ629" s="142"/>
      <c r="GP629" s="142"/>
      <c r="GV629" s="142"/>
      <c r="HB629" s="142"/>
      <c r="HH629" s="142"/>
      <c r="HN629" s="142"/>
      <c r="HT629" s="142"/>
      <c r="HZ629" s="142"/>
    </row>
    <row r="630">
      <c r="F630" s="142"/>
      <c r="L630" s="142"/>
      <c r="R630" s="142"/>
      <c r="X630" s="142"/>
      <c r="AD630" s="142"/>
      <c r="AJ630" s="142"/>
      <c r="AP630" s="142"/>
      <c r="AV630" s="142"/>
      <c r="BA630" s="142"/>
      <c r="BH630" s="142"/>
      <c r="BN630" s="142"/>
      <c r="BT630" s="142"/>
      <c r="BZ630" s="142"/>
      <c r="CF630" s="142"/>
      <c r="CL630" s="142"/>
      <c r="CR630" s="142"/>
      <c r="CX630" s="142"/>
      <c r="DD630" s="142"/>
      <c r="DJ630" s="142"/>
      <c r="DP630" s="142"/>
      <c r="DV630" s="142"/>
      <c r="EB630" s="142"/>
      <c r="EH630" s="142"/>
      <c r="EN630" s="142"/>
      <c r="ET630" s="142"/>
      <c r="EZ630" s="142"/>
      <c r="FF630" s="142"/>
      <c r="FL630" s="142"/>
      <c r="FR630" s="142"/>
      <c r="FX630" s="142"/>
      <c r="GD630" s="142"/>
      <c r="GJ630" s="142"/>
      <c r="GP630" s="142"/>
      <c r="GV630" s="142"/>
      <c r="HB630" s="142"/>
      <c r="HH630" s="142"/>
      <c r="HN630" s="142"/>
      <c r="HT630" s="142"/>
      <c r="HZ630" s="142"/>
    </row>
    <row r="631">
      <c r="F631" s="142"/>
      <c r="L631" s="142"/>
      <c r="R631" s="142"/>
      <c r="X631" s="142"/>
      <c r="AD631" s="142"/>
      <c r="AJ631" s="142"/>
      <c r="AP631" s="142"/>
      <c r="AV631" s="142"/>
      <c r="BA631" s="142"/>
      <c r="BH631" s="142"/>
      <c r="BN631" s="142"/>
      <c r="BT631" s="142"/>
      <c r="BZ631" s="142"/>
      <c r="CF631" s="142"/>
      <c r="CL631" s="142"/>
      <c r="CR631" s="142"/>
      <c r="CX631" s="142"/>
      <c r="DD631" s="142"/>
      <c r="DJ631" s="142"/>
      <c r="DP631" s="142"/>
      <c r="DV631" s="142"/>
      <c r="EB631" s="142"/>
      <c r="EH631" s="142"/>
      <c r="EN631" s="142"/>
      <c r="ET631" s="142"/>
      <c r="EZ631" s="142"/>
      <c r="FF631" s="142"/>
      <c r="FL631" s="142"/>
      <c r="FR631" s="142"/>
      <c r="FX631" s="142"/>
      <c r="GD631" s="142"/>
      <c r="GJ631" s="142"/>
      <c r="GP631" s="142"/>
      <c r="GV631" s="142"/>
      <c r="HB631" s="142"/>
      <c r="HH631" s="142"/>
      <c r="HN631" s="142"/>
      <c r="HT631" s="142"/>
      <c r="HZ631" s="142"/>
    </row>
    <row r="632">
      <c r="F632" s="142"/>
      <c r="L632" s="142"/>
      <c r="R632" s="142"/>
      <c r="X632" s="142"/>
      <c r="AD632" s="142"/>
      <c r="AJ632" s="142"/>
      <c r="AP632" s="142"/>
      <c r="AV632" s="142"/>
      <c r="BA632" s="142"/>
      <c r="BH632" s="142"/>
      <c r="BN632" s="142"/>
      <c r="BT632" s="142"/>
      <c r="BZ632" s="142"/>
      <c r="CF632" s="142"/>
      <c r="CL632" s="142"/>
      <c r="CR632" s="142"/>
      <c r="CX632" s="142"/>
      <c r="DD632" s="142"/>
      <c r="DJ632" s="142"/>
      <c r="DP632" s="142"/>
      <c r="DV632" s="142"/>
      <c r="EB632" s="142"/>
      <c r="EH632" s="142"/>
      <c r="EN632" s="142"/>
      <c r="ET632" s="142"/>
      <c r="EZ632" s="142"/>
      <c r="FF632" s="142"/>
      <c r="FL632" s="142"/>
      <c r="FR632" s="142"/>
      <c r="FX632" s="142"/>
      <c r="GD632" s="142"/>
      <c r="GJ632" s="142"/>
      <c r="GP632" s="142"/>
      <c r="GV632" s="142"/>
      <c r="HB632" s="142"/>
      <c r="HH632" s="142"/>
      <c r="HN632" s="142"/>
      <c r="HT632" s="142"/>
      <c r="HZ632" s="142"/>
    </row>
    <row r="633">
      <c r="F633" s="142"/>
      <c r="L633" s="142"/>
      <c r="R633" s="142"/>
      <c r="X633" s="142"/>
      <c r="AD633" s="142"/>
      <c r="AJ633" s="142"/>
      <c r="AP633" s="142"/>
      <c r="AV633" s="142"/>
      <c r="BA633" s="142"/>
      <c r="BH633" s="142"/>
      <c r="BN633" s="142"/>
      <c r="BT633" s="142"/>
      <c r="BZ633" s="142"/>
      <c r="CF633" s="142"/>
      <c r="CL633" s="142"/>
      <c r="CR633" s="142"/>
      <c r="CX633" s="142"/>
      <c r="DD633" s="142"/>
      <c r="DJ633" s="142"/>
      <c r="DP633" s="142"/>
      <c r="DV633" s="142"/>
      <c r="EB633" s="142"/>
      <c r="EH633" s="142"/>
      <c r="EN633" s="142"/>
      <c r="ET633" s="142"/>
      <c r="EZ633" s="142"/>
      <c r="FF633" s="142"/>
      <c r="FL633" s="142"/>
      <c r="FR633" s="142"/>
      <c r="FX633" s="142"/>
      <c r="GD633" s="142"/>
      <c r="GJ633" s="142"/>
      <c r="GP633" s="142"/>
      <c r="GV633" s="142"/>
      <c r="HB633" s="142"/>
      <c r="HH633" s="142"/>
      <c r="HN633" s="142"/>
      <c r="HT633" s="142"/>
      <c r="HZ633" s="142"/>
    </row>
    <row r="634">
      <c r="F634" s="142"/>
      <c r="L634" s="142"/>
      <c r="R634" s="142"/>
      <c r="X634" s="142"/>
      <c r="AD634" s="142"/>
      <c r="AJ634" s="142"/>
      <c r="AP634" s="142"/>
      <c r="AV634" s="142"/>
      <c r="BA634" s="142"/>
      <c r="BH634" s="142"/>
      <c r="BN634" s="142"/>
      <c r="BT634" s="142"/>
      <c r="BZ634" s="142"/>
      <c r="CF634" s="142"/>
      <c r="CL634" s="142"/>
      <c r="CR634" s="142"/>
      <c r="CX634" s="142"/>
      <c r="DD634" s="142"/>
      <c r="DJ634" s="142"/>
      <c r="DP634" s="142"/>
      <c r="DV634" s="142"/>
      <c r="EB634" s="142"/>
      <c r="EH634" s="142"/>
      <c r="EN634" s="142"/>
      <c r="ET634" s="142"/>
      <c r="EZ634" s="142"/>
      <c r="FF634" s="142"/>
      <c r="FL634" s="142"/>
      <c r="FR634" s="142"/>
      <c r="FX634" s="142"/>
      <c r="GD634" s="142"/>
      <c r="GJ634" s="142"/>
      <c r="GP634" s="142"/>
      <c r="GV634" s="142"/>
      <c r="HB634" s="142"/>
      <c r="HH634" s="142"/>
      <c r="HN634" s="142"/>
      <c r="HT634" s="142"/>
      <c r="HZ634" s="142"/>
    </row>
    <row r="635">
      <c r="F635" s="142"/>
      <c r="L635" s="142"/>
      <c r="R635" s="142"/>
      <c r="X635" s="142"/>
      <c r="AD635" s="142"/>
      <c r="AJ635" s="142"/>
      <c r="AP635" s="142"/>
      <c r="AV635" s="142"/>
      <c r="BA635" s="142"/>
      <c r="BH635" s="142"/>
      <c r="BN635" s="142"/>
      <c r="BT635" s="142"/>
      <c r="BZ635" s="142"/>
      <c r="CF635" s="142"/>
      <c r="CL635" s="142"/>
      <c r="CR635" s="142"/>
      <c r="CX635" s="142"/>
      <c r="DD635" s="142"/>
      <c r="DJ635" s="142"/>
      <c r="DP635" s="142"/>
      <c r="DV635" s="142"/>
      <c r="EB635" s="142"/>
      <c r="EH635" s="142"/>
      <c r="EN635" s="142"/>
      <c r="ET635" s="142"/>
      <c r="EZ635" s="142"/>
      <c r="FF635" s="142"/>
      <c r="FL635" s="142"/>
      <c r="FR635" s="142"/>
      <c r="FX635" s="142"/>
      <c r="GD635" s="142"/>
      <c r="GJ635" s="142"/>
      <c r="GP635" s="142"/>
      <c r="GV635" s="142"/>
      <c r="HB635" s="142"/>
      <c r="HH635" s="142"/>
      <c r="HN635" s="142"/>
      <c r="HT635" s="142"/>
      <c r="HZ635" s="142"/>
    </row>
    <row r="636">
      <c r="F636" s="142"/>
      <c r="L636" s="142"/>
      <c r="R636" s="142"/>
      <c r="X636" s="142"/>
      <c r="AD636" s="142"/>
      <c r="AJ636" s="142"/>
      <c r="AP636" s="142"/>
      <c r="AV636" s="142"/>
      <c r="BA636" s="142"/>
      <c r="BH636" s="142"/>
      <c r="BN636" s="142"/>
      <c r="BT636" s="142"/>
      <c r="BZ636" s="142"/>
      <c r="CF636" s="142"/>
      <c r="CL636" s="142"/>
      <c r="CR636" s="142"/>
      <c r="CX636" s="142"/>
      <c r="DD636" s="142"/>
      <c r="DJ636" s="142"/>
      <c r="DP636" s="142"/>
      <c r="DV636" s="142"/>
      <c r="EB636" s="142"/>
      <c r="EH636" s="142"/>
      <c r="EN636" s="142"/>
      <c r="ET636" s="142"/>
      <c r="EZ636" s="142"/>
      <c r="FF636" s="142"/>
      <c r="FL636" s="142"/>
      <c r="FR636" s="142"/>
      <c r="FX636" s="142"/>
      <c r="GD636" s="142"/>
      <c r="GJ636" s="142"/>
      <c r="GP636" s="142"/>
      <c r="GV636" s="142"/>
      <c r="HB636" s="142"/>
      <c r="HH636" s="142"/>
      <c r="HN636" s="142"/>
      <c r="HT636" s="142"/>
      <c r="HZ636" s="142"/>
    </row>
    <row r="637">
      <c r="F637" s="142"/>
      <c r="L637" s="142"/>
      <c r="R637" s="142"/>
      <c r="X637" s="142"/>
      <c r="AD637" s="142"/>
      <c r="AJ637" s="142"/>
      <c r="AP637" s="142"/>
      <c r="AV637" s="142"/>
      <c r="BA637" s="142"/>
      <c r="BH637" s="142"/>
      <c r="BN637" s="142"/>
      <c r="BT637" s="142"/>
      <c r="BZ637" s="142"/>
      <c r="CF637" s="142"/>
      <c r="CL637" s="142"/>
      <c r="CR637" s="142"/>
      <c r="CX637" s="142"/>
      <c r="DD637" s="142"/>
      <c r="DJ637" s="142"/>
      <c r="DP637" s="142"/>
      <c r="DV637" s="142"/>
      <c r="EB637" s="142"/>
      <c r="EH637" s="142"/>
      <c r="EN637" s="142"/>
      <c r="ET637" s="142"/>
      <c r="EZ637" s="142"/>
      <c r="FF637" s="142"/>
      <c r="FL637" s="142"/>
      <c r="FR637" s="142"/>
      <c r="FX637" s="142"/>
      <c r="GD637" s="142"/>
      <c r="GJ637" s="142"/>
      <c r="GP637" s="142"/>
      <c r="GV637" s="142"/>
      <c r="HB637" s="142"/>
      <c r="HH637" s="142"/>
      <c r="HN637" s="142"/>
      <c r="HT637" s="142"/>
      <c r="HZ637" s="142"/>
    </row>
    <row r="638">
      <c r="F638" s="142"/>
      <c r="L638" s="142"/>
      <c r="R638" s="142"/>
      <c r="X638" s="142"/>
      <c r="AD638" s="142"/>
      <c r="AJ638" s="142"/>
      <c r="AP638" s="142"/>
      <c r="AV638" s="142"/>
      <c r="BA638" s="142"/>
      <c r="BH638" s="142"/>
      <c r="BN638" s="142"/>
      <c r="BT638" s="142"/>
      <c r="BZ638" s="142"/>
      <c r="CF638" s="142"/>
      <c r="CL638" s="142"/>
      <c r="CR638" s="142"/>
      <c r="CX638" s="142"/>
      <c r="DD638" s="142"/>
      <c r="DJ638" s="142"/>
      <c r="DP638" s="142"/>
      <c r="DV638" s="142"/>
      <c r="EB638" s="142"/>
      <c r="EH638" s="142"/>
      <c r="EN638" s="142"/>
      <c r="ET638" s="142"/>
      <c r="EZ638" s="142"/>
      <c r="FF638" s="142"/>
      <c r="FL638" s="142"/>
      <c r="FR638" s="142"/>
      <c r="FX638" s="142"/>
      <c r="GD638" s="142"/>
      <c r="GJ638" s="142"/>
      <c r="GP638" s="142"/>
      <c r="GV638" s="142"/>
      <c r="HB638" s="142"/>
      <c r="HH638" s="142"/>
      <c r="HN638" s="142"/>
      <c r="HT638" s="142"/>
      <c r="HZ638" s="142"/>
    </row>
    <row r="639">
      <c r="F639" s="142"/>
      <c r="L639" s="142"/>
      <c r="R639" s="142"/>
      <c r="X639" s="142"/>
      <c r="AD639" s="142"/>
      <c r="AJ639" s="142"/>
      <c r="AP639" s="142"/>
      <c r="AV639" s="142"/>
      <c r="BA639" s="142"/>
      <c r="BH639" s="142"/>
      <c r="BN639" s="142"/>
      <c r="BT639" s="142"/>
      <c r="BZ639" s="142"/>
      <c r="CF639" s="142"/>
      <c r="CL639" s="142"/>
      <c r="CR639" s="142"/>
      <c r="CX639" s="142"/>
      <c r="DD639" s="142"/>
      <c r="DJ639" s="142"/>
      <c r="DP639" s="142"/>
      <c r="DV639" s="142"/>
      <c r="EB639" s="142"/>
      <c r="EH639" s="142"/>
      <c r="EN639" s="142"/>
      <c r="ET639" s="142"/>
      <c r="EZ639" s="142"/>
      <c r="FF639" s="142"/>
      <c r="FL639" s="142"/>
      <c r="FR639" s="142"/>
      <c r="FX639" s="142"/>
      <c r="GD639" s="142"/>
      <c r="GJ639" s="142"/>
      <c r="GP639" s="142"/>
      <c r="GV639" s="142"/>
      <c r="HB639" s="142"/>
      <c r="HH639" s="142"/>
      <c r="HN639" s="142"/>
      <c r="HT639" s="142"/>
      <c r="HZ639" s="142"/>
    </row>
    <row r="640">
      <c r="F640" s="142"/>
      <c r="L640" s="142"/>
      <c r="R640" s="142"/>
      <c r="X640" s="142"/>
      <c r="AD640" s="142"/>
      <c r="AJ640" s="142"/>
      <c r="AP640" s="142"/>
      <c r="AV640" s="142"/>
      <c r="BA640" s="142"/>
      <c r="BH640" s="142"/>
      <c r="BN640" s="142"/>
      <c r="BT640" s="142"/>
      <c r="BZ640" s="142"/>
      <c r="CF640" s="142"/>
      <c r="CL640" s="142"/>
      <c r="CR640" s="142"/>
      <c r="CX640" s="142"/>
      <c r="DD640" s="142"/>
      <c r="DJ640" s="142"/>
      <c r="DP640" s="142"/>
      <c r="DV640" s="142"/>
      <c r="EB640" s="142"/>
      <c r="EH640" s="142"/>
      <c r="EN640" s="142"/>
      <c r="ET640" s="142"/>
      <c r="EZ640" s="142"/>
      <c r="FF640" s="142"/>
      <c r="FL640" s="142"/>
      <c r="FR640" s="142"/>
      <c r="FX640" s="142"/>
      <c r="GD640" s="142"/>
      <c r="GJ640" s="142"/>
      <c r="GP640" s="142"/>
      <c r="GV640" s="142"/>
      <c r="HB640" s="142"/>
      <c r="HH640" s="142"/>
      <c r="HN640" s="142"/>
      <c r="HT640" s="142"/>
      <c r="HZ640" s="142"/>
    </row>
    <row r="641">
      <c r="F641" s="142"/>
      <c r="L641" s="142"/>
      <c r="R641" s="142"/>
      <c r="X641" s="142"/>
      <c r="AD641" s="142"/>
      <c r="AJ641" s="142"/>
      <c r="AP641" s="142"/>
      <c r="AV641" s="142"/>
      <c r="BA641" s="142"/>
      <c r="BH641" s="142"/>
      <c r="BN641" s="142"/>
      <c r="BT641" s="142"/>
      <c r="BZ641" s="142"/>
      <c r="CF641" s="142"/>
      <c r="CL641" s="142"/>
      <c r="CR641" s="142"/>
      <c r="CX641" s="142"/>
      <c r="DD641" s="142"/>
      <c r="DJ641" s="142"/>
      <c r="DP641" s="142"/>
      <c r="DV641" s="142"/>
      <c r="EB641" s="142"/>
      <c r="EH641" s="142"/>
      <c r="EN641" s="142"/>
      <c r="ET641" s="142"/>
      <c r="EZ641" s="142"/>
      <c r="FF641" s="142"/>
      <c r="FL641" s="142"/>
      <c r="FR641" s="142"/>
      <c r="FX641" s="142"/>
      <c r="GD641" s="142"/>
      <c r="GJ641" s="142"/>
      <c r="GP641" s="142"/>
      <c r="GV641" s="142"/>
      <c r="HB641" s="142"/>
      <c r="HH641" s="142"/>
      <c r="HN641" s="142"/>
      <c r="HT641" s="142"/>
      <c r="HZ641" s="142"/>
    </row>
    <row r="642">
      <c r="F642" s="142"/>
      <c r="L642" s="142"/>
      <c r="R642" s="142"/>
      <c r="X642" s="142"/>
      <c r="AD642" s="142"/>
      <c r="AJ642" s="142"/>
      <c r="AP642" s="142"/>
      <c r="AV642" s="142"/>
      <c r="BA642" s="142"/>
      <c r="BH642" s="142"/>
      <c r="BN642" s="142"/>
      <c r="BT642" s="142"/>
      <c r="BZ642" s="142"/>
      <c r="CF642" s="142"/>
      <c r="CL642" s="142"/>
      <c r="CR642" s="142"/>
      <c r="CX642" s="142"/>
      <c r="DD642" s="142"/>
      <c r="DJ642" s="142"/>
      <c r="DP642" s="142"/>
      <c r="DV642" s="142"/>
      <c r="EB642" s="142"/>
      <c r="EH642" s="142"/>
      <c r="EN642" s="142"/>
      <c r="ET642" s="142"/>
      <c r="EZ642" s="142"/>
      <c r="FF642" s="142"/>
      <c r="FL642" s="142"/>
      <c r="FR642" s="142"/>
      <c r="FX642" s="142"/>
      <c r="GD642" s="142"/>
      <c r="GJ642" s="142"/>
      <c r="GP642" s="142"/>
      <c r="GV642" s="142"/>
      <c r="HB642" s="142"/>
      <c r="HH642" s="142"/>
      <c r="HN642" s="142"/>
      <c r="HT642" s="142"/>
      <c r="HZ642" s="142"/>
    </row>
    <row r="643">
      <c r="F643" s="142"/>
      <c r="L643" s="142"/>
      <c r="R643" s="142"/>
      <c r="X643" s="142"/>
      <c r="AD643" s="142"/>
      <c r="AJ643" s="142"/>
      <c r="AP643" s="142"/>
      <c r="AV643" s="142"/>
      <c r="BA643" s="142"/>
      <c r="BH643" s="142"/>
      <c r="BN643" s="142"/>
      <c r="BT643" s="142"/>
      <c r="BZ643" s="142"/>
      <c r="CF643" s="142"/>
      <c r="CL643" s="142"/>
      <c r="CR643" s="142"/>
      <c r="CX643" s="142"/>
      <c r="DD643" s="142"/>
      <c r="DJ643" s="142"/>
      <c r="DP643" s="142"/>
      <c r="DV643" s="142"/>
      <c r="EB643" s="142"/>
      <c r="EH643" s="142"/>
      <c r="EN643" s="142"/>
      <c r="ET643" s="142"/>
      <c r="EZ643" s="142"/>
      <c r="FF643" s="142"/>
      <c r="FL643" s="142"/>
      <c r="FR643" s="142"/>
      <c r="FX643" s="142"/>
      <c r="GD643" s="142"/>
      <c r="GJ643" s="142"/>
      <c r="GP643" s="142"/>
      <c r="GV643" s="142"/>
      <c r="HB643" s="142"/>
      <c r="HH643" s="142"/>
      <c r="HN643" s="142"/>
      <c r="HT643" s="142"/>
      <c r="HZ643" s="142"/>
    </row>
    <row r="644">
      <c r="F644" s="142"/>
      <c r="L644" s="142"/>
      <c r="R644" s="142"/>
      <c r="X644" s="142"/>
      <c r="AD644" s="142"/>
      <c r="AJ644" s="142"/>
      <c r="AP644" s="142"/>
      <c r="AV644" s="142"/>
      <c r="BA644" s="142"/>
      <c r="BH644" s="142"/>
      <c r="BN644" s="142"/>
      <c r="BT644" s="142"/>
      <c r="BZ644" s="142"/>
      <c r="CF644" s="142"/>
      <c r="CL644" s="142"/>
      <c r="CR644" s="142"/>
      <c r="CX644" s="142"/>
      <c r="DD644" s="142"/>
      <c r="DJ644" s="142"/>
      <c r="DP644" s="142"/>
      <c r="DV644" s="142"/>
      <c r="EB644" s="142"/>
      <c r="EH644" s="142"/>
      <c r="EN644" s="142"/>
      <c r="ET644" s="142"/>
      <c r="EZ644" s="142"/>
      <c r="FF644" s="142"/>
      <c r="FL644" s="142"/>
      <c r="FR644" s="142"/>
      <c r="FX644" s="142"/>
      <c r="GD644" s="142"/>
      <c r="GJ644" s="142"/>
      <c r="GP644" s="142"/>
      <c r="GV644" s="142"/>
      <c r="HB644" s="142"/>
      <c r="HH644" s="142"/>
      <c r="HN644" s="142"/>
      <c r="HT644" s="142"/>
      <c r="HZ644" s="142"/>
    </row>
    <row r="645">
      <c r="F645" s="142"/>
      <c r="L645" s="142"/>
      <c r="R645" s="142"/>
      <c r="X645" s="142"/>
      <c r="AD645" s="142"/>
      <c r="AJ645" s="142"/>
      <c r="AP645" s="142"/>
      <c r="AV645" s="142"/>
      <c r="BA645" s="142"/>
      <c r="BH645" s="142"/>
      <c r="BN645" s="142"/>
      <c r="BT645" s="142"/>
      <c r="BZ645" s="142"/>
      <c r="CF645" s="142"/>
      <c r="CL645" s="142"/>
      <c r="CR645" s="142"/>
      <c r="CX645" s="142"/>
      <c r="DD645" s="142"/>
      <c r="DJ645" s="142"/>
      <c r="DP645" s="142"/>
      <c r="DV645" s="142"/>
      <c r="EB645" s="142"/>
      <c r="EH645" s="142"/>
      <c r="EN645" s="142"/>
      <c r="ET645" s="142"/>
      <c r="EZ645" s="142"/>
      <c r="FF645" s="142"/>
      <c r="FL645" s="142"/>
      <c r="FR645" s="142"/>
      <c r="FX645" s="142"/>
      <c r="GD645" s="142"/>
      <c r="GJ645" s="142"/>
      <c r="GP645" s="142"/>
      <c r="GV645" s="142"/>
      <c r="HB645" s="142"/>
      <c r="HH645" s="142"/>
      <c r="HN645" s="142"/>
      <c r="HT645" s="142"/>
      <c r="HZ645" s="142"/>
    </row>
    <row r="646">
      <c r="F646" s="142"/>
      <c r="L646" s="142"/>
      <c r="R646" s="142"/>
      <c r="X646" s="142"/>
      <c r="AD646" s="142"/>
      <c r="AJ646" s="142"/>
      <c r="AP646" s="142"/>
      <c r="AV646" s="142"/>
      <c r="BA646" s="142"/>
      <c r="BH646" s="142"/>
      <c r="BN646" s="142"/>
      <c r="BT646" s="142"/>
      <c r="BZ646" s="142"/>
      <c r="CF646" s="142"/>
      <c r="CL646" s="142"/>
      <c r="CR646" s="142"/>
      <c r="CX646" s="142"/>
      <c r="DD646" s="142"/>
      <c r="DJ646" s="142"/>
      <c r="DP646" s="142"/>
      <c r="DV646" s="142"/>
      <c r="EB646" s="142"/>
      <c r="EH646" s="142"/>
      <c r="EN646" s="142"/>
      <c r="ET646" s="142"/>
      <c r="EZ646" s="142"/>
      <c r="FF646" s="142"/>
      <c r="FL646" s="142"/>
      <c r="FR646" s="142"/>
      <c r="FX646" s="142"/>
      <c r="GD646" s="142"/>
      <c r="GJ646" s="142"/>
      <c r="GP646" s="142"/>
      <c r="GV646" s="142"/>
      <c r="HB646" s="142"/>
      <c r="HH646" s="142"/>
      <c r="HN646" s="142"/>
      <c r="HT646" s="142"/>
      <c r="HZ646" s="142"/>
    </row>
    <row r="647">
      <c r="F647" s="142"/>
      <c r="L647" s="142"/>
      <c r="R647" s="142"/>
      <c r="X647" s="142"/>
      <c r="AD647" s="142"/>
      <c r="AJ647" s="142"/>
      <c r="AP647" s="142"/>
      <c r="AV647" s="142"/>
      <c r="BA647" s="142"/>
      <c r="BH647" s="142"/>
      <c r="BN647" s="142"/>
      <c r="BT647" s="142"/>
      <c r="BZ647" s="142"/>
      <c r="CF647" s="142"/>
      <c r="CL647" s="142"/>
      <c r="CR647" s="142"/>
      <c r="CX647" s="142"/>
      <c r="DD647" s="142"/>
      <c r="DJ647" s="142"/>
      <c r="DP647" s="142"/>
      <c r="DV647" s="142"/>
      <c r="EB647" s="142"/>
      <c r="EH647" s="142"/>
      <c r="EN647" s="142"/>
      <c r="ET647" s="142"/>
      <c r="EZ647" s="142"/>
      <c r="FF647" s="142"/>
      <c r="FL647" s="142"/>
      <c r="FR647" s="142"/>
      <c r="FX647" s="142"/>
      <c r="GD647" s="142"/>
      <c r="GJ647" s="142"/>
      <c r="GP647" s="142"/>
      <c r="GV647" s="142"/>
      <c r="HB647" s="142"/>
      <c r="HH647" s="142"/>
      <c r="HN647" s="142"/>
      <c r="HT647" s="142"/>
      <c r="HZ647" s="142"/>
    </row>
    <row r="648">
      <c r="F648" s="142"/>
      <c r="L648" s="142"/>
      <c r="R648" s="142"/>
      <c r="X648" s="142"/>
      <c r="AD648" s="142"/>
      <c r="AJ648" s="142"/>
      <c r="AP648" s="142"/>
      <c r="AV648" s="142"/>
      <c r="BA648" s="142"/>
      <c r="BH648" s="142"/>
      <c r="BN648" s="142"/>
      <c r="BT648" s="142"/>
      <c r="BZ648" s="142"/>
      <c r="CF648" s="142"/>
      <c r="CL648" s="142"/>
      <c r="CR648" s="142"/>
      <c r="CX648" s="142"/>
      <c r="DD648" s="142"/>
      <c r="DJ648" s="142"/>
      <c r="DP648" s="142"/>
      <c r="DV648" s="142"/>
      <c r="EB648" s="142"/>
      <c r="EH648" s="142"/>
      <c r="EN648" s="142"/>
      <c r="ET648" s="142"/>
      <c r="EZ648" s="142"/>
      <c r="FF648" s="142"/>
      <c r="FL648" s="142"/>
      <c r="FR648" s="142"/>
      <c r="FX648" s="142"/>
      <c r="GD648" s="142"/>
      <c r="GJ648" s="142"/>
      <c r="GP648" s="142"/>
      <c r="GV648" s="142"/>
      <c r="HB648" s="142"/>
      <c r="HH648" s="142"/>
      <c r="HN648" s="142"/>
      <c r="HT648" s="142"/>
      <c r="HZ648" s="142"/>
    </row>
    <row r="649">
      <c r="F649" s="142"/>
      <c r="L649" s="142"/>
      <c r="R649" s="142"/>
      <c r="X649" s="142"/>
      <c r="AD649" s="142"/>
      <c r="AJ649" s="142"/>
      <c r="AP649" s="142"/>
      <c r="AV649" s="142"/>
      <c r="BA649" s="142"/>
      <c r="BH649" s="142"/>
      <c r="BN649" s="142"/>
      <c r="BT649" s="142"/>
      <c r="BZ649" s="142"/>
      <c r="CF649" s="142"/>
      <c r="CL649" s="142"/>
      <c r="CR649" s="142"/>
      <c r="CX649" s="142"/>
      <c r="DD649" s="142"/>
      <c r="DJ649" s="142"/>
      <c r="DP649" s="142"/>
      <c r="DV649" s="142"/>
      <c r="EB649" s="142"/>
      <c r="EH649" s="142"/>
      <c r="EN649" s="142"/>
      <c r="ET649" s="142"/>
      <c r="EZ649" s="142"/>
      <c r="FF649" s="142"/>
      <c r="FL649" s="142"/>
      <c r="FR649" s="142"/>
      <c r="FX649" s="142"/>
      <c r="GD649" s="142"/>
      <c r="GJ649" s="142"/>
      <c r="GP649" s="142"/>
      <c r="GV649" s="142"/>
      <c r="HB649" s="142"/>
      <c r="HH649" s="142"/>
      <c r="HN649" s="142"/>
      <c r="HT649" s="142"/>
      <c r="HZ649" s="142"/>
    </row>
    <row r="650">
      <c r="F650" s="142"/>
      <c r="L650" s="142"/>
      <c r="R650" s="142"/>
      <c r="X650" s="142"/>
      <c r="AD650" s="142"/>
      <c r="AJ650" s="142"/>
      <c r="AP650" s="142"/>
      <c r="AV650" s="142"/>
      <c r="BA650" s="142"/>
      <c r="BH650" s="142"/>
      <c r="BN650" s="142"/>
      <c r="BT650" s="142"/>
      <c r="BZ650" s="142"/>
      <c r="CF650" s="142"/>
      <c r="CL650" s="142"/>
      <c r="CR650" s="142"/>
      <c r="CX650" s="142"/>
      <c r="DD650" s="142"/>
      <c r="DJ650" s="142"/>
      <c r="DP650" s="142"/>
      <c r="DV650" s="142"/>
      <c r="EB650" s="142"/>
      <c r="EH650" s="142"/>
      <c r="EN650" s="142"/>
      <c r="ET650" s="142"/>
      <c r="EZ650" s="142"/>
      <c r="FF650" s="142"/>
      <c r="FL650" s="142"/>
      <c r="FR650" s="142"/>
      <c r="FX650" s="142"/>
      <c r="GD650" s="142"/>
      <c r="GJ650" s="142"/>
      <c r="GP650" s="142"/>
      <c r="GV650" s="142"/>
      <c r="HB650" s="142"/>
      <c r="HH650" s="142"/>
      <c r="HN650" s="142"/>
      <c r="HT650" s="142"/>
      <c r="HZ650" s="142"/>
    </row>
    <row r="651">
      <c r="F651" s="142"/>
      <c r="L651" s="142"/>
      <c r="R651" s="142"/>
      <c r="X651" s="142"/>
      <c r="AD651" s="142"/>
      <c r="AJ651" s="142"/>
      <c r="AP651" s="142"/>
      <c r="AV651" s="142"/>
      <c r="BA651" s="142"/>
      <c r="BH651" s="142"/>
      <c r="BN651" s="142"/>
      <c r="BT651" s="142"/>
      <c r="BZ651" s="142"/>
      <c r="CF651" s="142"/>
      <c r="CL651" s="142"/>
      <c r="CR651" s="142"/>
      <c r="CX651" s="142"/>
      <c r="DD651" s="142"/>
      <c r="DJ651" s="142"/>
      <c r="DP651" s="142"/>
      <c r="DV651" s="142"/>
      <c r="EB651" s="142"/>
      <c r="EH651" s="142"/>
      <c r="EN651" s="142"/>
      <c r="ET651" s="142"/>
      <c r="EZ651" s="142"/>
      <c r="FF651" s="142"/>
      <c r="FL651" s="142"/>
      <c r="FR651" s="142"/>
      <c r="FX651" s="142"/>
      <c r="GD651" s="142"/>
      <c r="GJ651" s="142"/>
      <c r="GP651" s="142"/>
      <c r="GV651" s="142"/>
      <c r="HB651" s="142"/>
      <c r="HH651" s="142"/>
      <c r="HN651" s="142"/>
      <c r="HT651" s="142"/>
      <c r="HZ651" s="142"/>
    </row>
    <row r="652">
      <c r="F652" s="142"/>
      <c r="L652" s="142"/>
      <c r="R652" s="142"/>
      <c r="X652" s="142"/>
      <c r="AD652" s="142"/>
      <c r="AJ652" s="142"/>
      <c r="AP652" s="142"/>
      <c r="AV652" s="142"/>
      <c r="BA652" s="142"/>
      <c r="BH652" s="142"/>
      <c r="BN652" s="142"/>
      <c r="BT652" s="142"/>
      <c r="BZ652" s="142"/>
      <c r="CF652" s="142"/>
      <c r="CL652" s="142"/>
      <c r="CR652" s="142"/>
      <c r="CX652" s="142"/>
      <c r="DD652" s="142"/>
      <c r="DJ652" s="142"/>
      <c r="DP652" s="142"/>
      <c r="DV652" s="142"/>
      <c r="EB652" s="142"/>
      <c r="EH652" s="142"/>
      <c r="EN652" s="142"/>
      <c r="ET652" s="142"/>
      <c r="EZ652" s="142"/>
      <c r="FF652" s="142"/>
      <c r="FL652" s="142"/>
      <c r="FR652" s="142"/>
      <c r="FX652" s="142"/>
      <c r="GD652" s="142"/>
      <c r="GJ652" s="142"/>
      <c r="GP652" s="142"/>
      <c r="GV652" s="142"/>
      <c r="HB652" s="142"/>
      <c r="HH652" s="142"/>
      <c r="HN652" s="142"/>
      <c r="HT652" s="142"/>
      <c r="HZ652" s="142"/>
    </row>
    <row r="653">
      <c r="F653" s="142"/>
      <c r="L653" s="142"/>
      <c r="R653" s="142"/>
      <c r="X653" s="142"/>
      <c r="AD653" s="142"/>
      <c r="AJ653" s="142"/>
      <c r="AP653" s="142"/>
      <c r="AV653" s="142"/>
      <c r="BA653" s="142"/>
      <c r="BH653" s="142"/>
      <c r="BN653" s="142"/>
      <c r="BT653" s="142"/>
      <c r="BZ653" s="142"/>
      <c r="CF653" s="142"/>
      <c r="CL653" s="142"/>
      <c r="CR653" s="142"/>
      <c r="CX653" s="142"/>
      <c r="DD653" s="142"/>
      <c r="DJ653" s="142"/>
      <c r="DP653" s="142"/>
      <c r="DV653" s="142"/>
      <c r="EB653" s="142"/>
      <c r="EH653" s="142"/>
      <c r="EN653" s="142"/>
      <c r="ET653" s="142"/>
      <c r="EZ653" s="142"/>
      <c r="FF653" s="142"/>
      <c r="FL653" s="142"/>
      <c r="FR653" s="142"/>
      <c r="FX653" s="142"/>
      <c r="GD653" s="142"/>
      <c r="GJ653" s="142"/>
      <c r="GP653" s="142"/>
      <c r="GV653" s="142"/>
      <c r="HB653" s="142"/>
      <c r="HH653" s="142"/>
      <c r="HN653" s="142"/>
      <c r="HT653" s="142"/>
      <c r="HZ653" s="142"/>
    </row>
    <row r="654">
      <c r="F654" s="142"/>
      <c r="L654" s="142"/>
      <c r="R654" s="142"/>
      <c r="X654" s="142"/>
      <c r="AD654" s="142"/>
      <c r="AJ654" s="142"/>
      <c r="AP654" s="142"/>
      <c r="AV654" s="142"/>
      <c r="BA654" s="142"/>
      <c r="BH654" s="142"/>
      <c r="BN654" s="142"/>
      <c r="BT654" s="142"/>
      <c r="BZ654" s="142"/>
      <c r="CF654" s="142"/>
      <c r="CL654" s="142"/>
      <c r="CR654" s="142"/>
      <c r="CX654" s="142"/>
      <c r="DD654" s="142"/>
      <c r="DJ654" s="142"/>
      <c r="DP654" s="142"/>
      <c r="DV654" s="142"/>
      <c r="EB654" s="142"/>
      <c r="EH654" s="142"/>
      <c r="EN654" s="142"/>
      <c r="ET654" s="142"/>
      <c r="EZ654" s="142"/>
      <c r="FF654" s="142"/>
      <c r="FL654" s="142"/>
      <c r="FR654" s="142"/>
      <c r="FX654" s="142"/>
      <c r="GD654" s="142"/>
      <c r="GJ654" s="142"/>
      <c r="GP654" s="142"/>
      <c r="GV654" s="142"/>
      <c r="HB654" s="142"/>
      <c r="HH654" s="142"/>
      <c r="HN654" s="142"/>
      <c r="HT654" s="142"/>
      <c r="HZ654" s="142"/>
    </row>
    <row r="655">
      <c r="F655" s="142"/>
      <c r="L655" s="142"/>
      <c r="R655" s="142"/>
      <c r="X655" s="142"/>
      <c r="AD655" s="142"/>
      <c r="AJ655" s="142"/>
      <c r="AP655" s="142"/>
      <c r="AV655" s="142"/>
      <c r="BA655" s="142"/>
      <c r="BH655" s="142"/>
      <c r="BN655" s="142"/>
      <c r="BT655" s="142"/>
      <c r="BZ655" s="142"/>
      <c r="CF655" s="142"/>
      <c r="CL655" s="142"/>
      <c r="CR655" s="142"/>
      <c r="CX655" s="142"/>
      <c r="DD655" s="142"/>
      <c r="DJ655" s="142"/>
      <c r="DP655" s="142"/>
      <c r="DV655" s="142"/>
      <c r="EB655" s="142"/>
      <c r="EH655" s="142"/>
      <c r="EN655" s="142"/>
      <c r="ET655" s="142"/>
      <c r="EZ655" s="142"/>
      <c r="FF655" s="142"/>
      <c r="FL655" s="142"/>
      <c r="FR655" s="142"/>
      <c r="FX655" s="142"/>
      <c r="GD655" s="142"/>
      <c r="GJ655" s="142"/>
      <c r="GP655" s="142"/>
      <c r="GV655" s="142"/>
      <c r="HB655" s="142"/>
      <c r="HH655" s="142"/>
      <c r="HN655" s="142"/>
      <c r="HT655" s="142"/>
      <c r="HZ655" s="142"/>
    </row>
    <row r="656">
      <c r="F656" s="142"/>
      <c r="L656" s="142"/>
      <c r="R656" s="142"/>
      <c r="X656" s="142"/>
      <c r="AD656" s="142"/>
      <c r="AJ656" s="142"/>
      <c r="AP656" s="142"/>
      <c r="AV656" s="142"/>
      <c r="BA656" s="142"/>
      <c r="BH656" s="142"/>
      <c r="BN656" s="142"/>
      <c r="BT656" s="142"/>
      <c r="BZ656" s="142"/>
      <c r="CF656" s="142"/>
      <c r="CL656" s="142"/>
      <c r="CR656" s="142"/>
      <c r="CX656" s="142"/>
      <c r="DD656" s="142"/>
      <c r="DJ656" s="142"/>
      <c r="DP656" s="142"/>
      <c r="DV656" s="142"/>
      <c r="EB656" s="142"/>
      <c r="EH656" s="142"/>
      <c r="EN656" s="142"/>
      <c r="ET656" s="142"/>
      <c r="EZ656" s="142"/>
      <c r="FF656" s="142"/>
      <c r="FL656" s="142"/>
      <c r="FR656" s="142"/>
      <c r="FX656" s="142"/>
      <c r="GD656" s="142"/>
      <c r="GJ656" s="142"/>
      <c r="GP656" s="142"/>
      <c r="GV656" s="142"/>
      <c r="HB656" s="142"/>
      <c r="HH656" s="142"/>
      <c r="HN656" s="142"/>
      <c r="HT656" s="142"/>
      <c r="HZ656" s="142"/>
    </row>
    <row r="657">
      <c r="F657" s="142"/>
      <c r="L657" s="142"/>
      <c r="R657" s="142"/>
      <c r="X657" s="142"/>
      <c r="AD657" s="142"/>
      <c r="AJ657" s="142"/>
      <c r="AP657" s="142"/>
      <c r="AV657" s="142"/>
      <c r="BA657" s="142"/>
      <c r="BH657" s="142"/>
      <c r="BN657" s="142"/>
      <c r="BT657" s="142"/>
      <c r="BZ657" s="142"/>
      <c r="CF657" s="142"/>
      <c r="CL657" s="142"/>
      <c r="CR657" s="142"/>
      <c r="CX657" s="142"/>
      <c r="DD657" s="142"/>
      <c r="DJ657" s="142"/>
      <c r="DP657" s="142"/>
      <c r="DV657" s="142"/>
      <c r="EB657" s="142"/>
      <c r="EH657" s="142"/>
      <c r="EN657" s="142"/>
      <c r="ET657" s="142"/>
      <c r="EZ657" s="142"/>
      <c r="FF657" s="142"/>
      <c r="FL657" s="142"/>
      <c r="FR657" s="142"/>
      <c r="FX657" s="142"/>
      <c r="GD657" s="142"/>
      <c r="GJ657" s="142"/>
      <c r="GP657" s="142"/>
      <c r="GV657" s="142"/>
      <c r="HB657" s="142"/>
      <c r="HH657" s="142"/>
      <c r="HN657" s="142"/>
      <c r="HT657" s="142"/>
      <c r="HZ657" s="142"/>
    </row>
    <row r="658">
      <c r="F658" s="142"/>
      <c r="L658" s="142"/>
      <c r="R658" s="142"/>
      <c r="X658" s="142"/>
      <c r="AD658" s="142"/>
      <c r="AJ658" s="142"/>
      <c r="AP658" s="142"/>
      <c r="AV658" s="142"/>
      <c r="BA658" s="142"/>
      <c r="BH658" s="142"/>
      <c r="BN658" s="142"/>
      <c r="BT658" s="142"/>
      <c r="BZ658" s="142"/>
      <c r="CF658" s="142"/>
      <c r="CL658" s="142"/>
      <c r="CR658" s="142"/>
      <c r="CX658" s="142"/>
      <c r="DD658" s="142"/>
      <c r="DJ658" s="142"/>
      <c r="DP658" s="142"/>
      <c r="DV658" s="142"/>
      <c r="EB658" s="142"/>
      <c r="EH658" s="142"/>
      <c r="EN658" s="142"/>
      <c r="ET658" s="142"/>
      <c r="EZ658" s="142"/>
      <c r="FF658" s="142"/>
      <c r="FL658" s="142"/>
      <c r="FR658" s="142"/>
      <c r="FX658" s="142"/>
      <c r="GD658" s="142"/>
      <c r="GJ658" s="142"/>
      <c r="GP658" s="142"/>
      <c r="GV658" s="142"/>
      <c r="HB658" s="142"/>
      <c r="HH658" s="142"/>
      <c r="HN658" s="142"/>
      <c r="HT658" s="142"/>
      <c r="HZ658" s="142"/>
    </row>
    <row r="659">
      <c r="F659" s="142"/>
      <c r="L659" s="142"/>
      <c r="R659" s="142"/>
      <c r="X659" s="142"/>
      <c r="AD659" s="142"/>
      <c r="AJ659" s="142"/>
      <c r="AP659" s="142"/>
      <c r="AV659" s="142"/>
      <c r="BA659" s="142"/>
      <c r="BH659" s="142"/>
      <c r="BN659" s="142"/>
      <c r="BT659" s="142"/>
      <c r="BZ659" s="142"/>
      <c r="CF659" s="142"/>
      <c r="CL659" s="142"/>
      <c r="CR659" s="142"/>
      <c r="CX659" s="142"/>
      <c r="DD659" s="142"/>
      <c r="DJ659" s="142"/>
      <c r="DP659" s="142"/>
      <c r="DV659" s="142"/>
      <c r="EB659" s="142"/>
      <c r="EH659" s="142"/>
      <c r="EN659" s="142"/>
      <c r="ET659" s="142"/>
      <c r="EZ659" s="142"/>
      <c r="FF659" s="142"/>
      <c r="FL659" s="142"/>
      <c r="FR659" s="142"/>
      <c r="FX659" s="142"/>
      <c r="GD659" s="142"/>
      <c r="GJ659" s="142"/>
      <c r="GP659" s="142"/>
      <c r="GV659" s="142"/>
      <c r="HB659" s="142"/>
      <c r="HH659" s="142"/>
      <c r="HN659" s="142"/>
      <c r="HT659" s="142"/>
      <c r="HZ659" s="142"/>
    </row>
    <row r="660">
      <c r="F660" s="142"/>
      <c r="L660" s="142"/>
      <c r="R660" s="142"/>
      <c r="X660" s="142"/>
      <c r="AD660" s="142"/>
      <c r="AJ660" s="142"/>
      <c r="AP660" s="142"/>
      <c r="AV660" s="142"/>
      <c r="BA660" s="142"/>
      <c r="BH660" s="142"/>
      <c r="BN660" s="142"/>
      <c r="BT660" s="142"/>
      <c r="BZ660" s="142"/>
      <c r="CF660" s="142"/>
      <c r="CL660" s="142"/>
      <c r="CR660" s="142"/>
      <c r="CX660" s="142"/>
      <c r="DD660" s="142"/>
      <c r="DJ660" s="142"/>
      <c r="DP660" s="142"/>
      <c r="DV660" s="142"/>
      <c r="EB660" s="142"/>
      <c r="EH660" s="142"/>
      <c r="EN660" s="142"/>
      <c r="ET660" s="142"/>
      <c r="EZ660" s="142"/>
      <c r="FF660" s="142"/>
      <c r="FL660" s="142"/>
      <c r="FR660" s="142"/>
      <c r="FX660" s="142"/>
      <c r="GD660" s="142"/>
      <c r="GJ660" s="142"/>
      <c r="GP660" s="142"/>
      <c r="GV660" s="142"/>
      <c r="HB660" s="142"/>
      <c r="HH660" s="142"/>
      <c r="HN660" s="142"/>
      <c r="HT660" s="142"/>
      <c r="HZ660" s="142"/>
    </row>
    <row r="661">
      <c r="F661" s="142"/>
      <c r="L661" s="142"/>
      <c r="R661" s="142"/>
      <c r="X661" s="142"/>
      <c r="AD661" s="142"/>
      <c r="AJ661" s="142"/>
      <c r="AP661" s="142"/>
      <c r="AV661" s="142"/>
      <c r="BA661" s="142"/>
      <c r="BH661" s="142"/>
      <c r="BN661" s="142"/>
      <c r="BT661" s="142"/>
      <c r="BZ661" s="142"/>
      <c r="CF661" s="142"/>
      <c r="CL661" s="142"/>
      <c r="CR661" s="142"/>
      <c r="CX661" s="142"/>
      <c r="DD661" s="142"/>
      <c r="DJ661" s="142"/>
      <c r="DP661" s="142"/>
      <c r="DV661" s="142"/>
      <c r="EB661" s="142"/>
      <c r="EH661" s="142"/>
      <c r="EN661" s="142"/>
      <c r="ET661" s="142"/>
      <c r="EZ661" s="142"/>
      <c r="FF661" s="142"/>
      <c r="FL661" s="142"/>
      <c r="FR661" s="142"/>
      <c r="FX661" s="142"/>
      <c r="GD661" s="142"/>
      <c r="GJ661" s="142"/>
      <c r="GP661" s="142"/>
      <c r="GV661" s="142"/>
      <c r="HB661" s="142"/>
      <c r="HH661" s="142"/>
      <c r="HN661" s="142"/>
      <c r="HT661" s="142"/>
      <c r="HZ661" s="142"/>
    </row>
    <row r="662">
      <c r="F662" s="142"/>
      <c r="L662" s="142"/>
      <c r="R662" s="142"/>
      <c r="X662" s="142"/>
      <c r="AD662" s="142"/>
      <c r="AJ662" s="142"/>
      <c r="AP662" s="142"/>
      <c r="AV662" s="142"/>
      <c r="BA662" s="142"/>
      <c r="BH662" s="142"/>
      <c r="BN662" s="142"/>
      <c r="BT662" s="142"/>
      <c r="BZ662" s="142"/>
      <c r="CF662" s="142"/>
      <c r="CL662" s="142"/>
      <c r="CR662" s="142"/>
      <c r="CX662" s="142"/>
      <c r="DD662" s="142"/>
      <c r="DJ662" s="142"/>
      <c r="DP662" s="142"/>
      <c r="DV662" s="142"/>
      <c r="EB662" s="142"/>
      <c r="EH662" s="142"/>
      <c r="EN662" s="142"/>
      <c r="ET662" s="142"/>
      <c r="EZ662" s="142"/>
      <c r="FF662" s="142"/>
      <c r="FL662" s="142"/>
      <c r="FR662" s="142"/>
      <c r="FX662" s="142"/>
      <c r="GD662" s="142"/>
      <c r="GJ662" s="142"/>
      <c r="GP662" s="142"/>
      <c r="GV662" s="142"/>
      <c r="HB662" s="142"/>
      <c r="HH662" s="142"/>
      <c r="HN662" s="142"/>
      <c r="HT662" s="142"/>
      <c r="HZ662" s="142"/>
    </row>
    <row r="663">
      <c r="F663" s="142"/>
      <c r="L663" s="142"/>
      <c r="R663" s="142"/>
      <c r="X663" s="142"/>
      <c r="AD663" s="142"/>
      <c r="AJ663" s="142"/>
      <c r="AP663" s="142"/>
      <c r="AV663" s="142"/>
      <c r="BA663" s="142"/>
      <c r="BH663" s="142"/>
      <c r="BN663" s="142"/>
      <c r="BT663" s="142"/>
      <c r="BZ663" s="142"/>
      <c r="CF663" s="142"/>
      <c r="CL663" s="142"/>
      <c r="CR663" s="142"/>
      <c r="CX663" s="142"/>
      <c r="DD663" s="142"/>
      <c r="DJ663" s="142"/>
      <c r="DP663" s="142"/>
      <c r="DV663" s="142"/>
      <c r="EB663" s="142"/>
      <c r="EH663" s="142"/>
      <c r="EN663" s="142"/>
      <c r="ET663" s="142"/>
      <c r="EZ663" s="142"/>
      <c r="FF663" s="142"/>
      <c r="FL663" s="142"/>
      <c r="FR663" s="142"/>
      <c r="FX663" s="142"/>
      <c r="GD663" s="142"/>
      <c r="GJ663" s="142"/>
      <c r="GP663" s="142"/>
      <c r="GV663" s="142"/>
      <c r="HB663" s="142"/>
      <c r="HH663" s="142"/>
      <c r="HN663" s="142"/>
      <c r="HT663" s="142"/>
      <c r="HZ663" s="142"/>
    </row>
    <row r="664">
      <c r="F664" s="142"/>
      <c r="L664" s="142"/>
      <c r="R664" s="142"/>
      <c r="X664" s="142"/>
      <c r="AD664" s="142"/>
      <c r="AJ664" s="142"/>
      <c r="AP664" s="142"/>
      <c r="AV664" s="142"/>
      <c r="BA664" s="142"/>
      <c r="BH664" s="142"/>
      <c r="BN664" s="142"/>
      <c r="BT664" s="142"/>
      <c r="BZ664" s="142"/>
      <c r="CF664" s="142"/>
      <c r="CL664" s="142"/>
      <c r="CR664" s="142"/>
      <c r="CX664" s="142"/>
      <c r="DD664" s="142"/>
      <c r="DJ664" s="142"/>
      <c r="DP664" s="142"/>
      <c r="DV664" s="142"/>
      <c r="EB664" s="142"/>
      <c r="EH664" s="142"/>
      <c r="EN664" s="142"/>
      <c r="ET664" s="142"/>
      <c r="EZ664" s="142"/>
      <c r="FF664" s="142"/>
      <c r="FL664" s="142"/>
      <c r="FR664" s="142"/>
      <c r="FX664" s="142"/>
      <c r="GD664" s="142"/>
      <c r="GJ664" s="142"/>
      <c r="GP664" s="142"/>
      <c r="GV664" s="142"/>
      <c r="HB664" s="142"/>
      <c r="HH664" s="142"/>
      <c r="HN664" s="142"/>
      <c r="HT664" s="142"/>
      <c r="HZ664" s="142"/>
    </row>
    <row r="665">
      <c r="F665" s="142"/>
      <c r="L665" s="142"/>
      <c r="R665" s="142"/>
      <c r="X665" s="142"/>
      <c r="AD665" s="142"/>
      <c r="AJ665" s="142"/>
      <c r="AP665" s="142"/>
      <c r="AV665" s="142"/>
      <c r="BA665" s="142"/>
      <c r="BH665" s="142"/>
      <c r="BN665" s="142"/>
      <c r="BT665" s="142"/>
      <c r="BZ665" s="142"/>
      <c r="CF665" s="142"/>
      <c r="CL665" s="142"/>
      <c r="CR665" s="142"/>
      <c r="CX665" s="142"/>
      <c r="DD665" s="142"/>
      <c r="DJ665" s="142"/>
      <c r="DP665" s="142"/>
      <c r="DV665" s="142"/>
      <c r="EB665" s="142"/>
      <c r="EH665" s="142"/>
      <c r="EN665" s="142"/>
      <c r="ET665" s="142"/>
      <c r="EZ665" s="142"/>
      <c r="FF665" s="142"/>
      <c r="FL665" s="142"/>
      <c r="FR665" s="142"/>
      <c r="FX665" s="142"/>
      <c r="GD665" s="142"/>
      <c r="GJ665" s="142"/>
      <c r="GP665" s="142"/>
      <c r="GV665" s="142"/>
      <c r="HB665" s="142"/>
      <c r="HH665" s="142"/>
      <c r="HN665" s="142"/>
      <c r="HT665" s="142"/>
      <c r="HZ665" s="142"/>
    </row>
    <row r="666">
      <c r="F666" s="142"/>
      <c r="L666" s="142"/>
      <c r="R666" s="142"/>
      <c r="X666" s="142"/>
      <c r="AD666" s="142"/>
      <c r="AJ666" s="142"/>
      <c r="AP666" s="142"/>
      <c r="AV666" s="142"/>
      <c r="BA666" s="142"/>
      <c r="BH666" s="142"/>
      <c r="BN666" s="142"/>
      <c r="BT666" s="142"/>
      <c r="BZ666" s="142"/>
      <c r="CF666" s="142"/>
      <c r="CL666" s="142"/>
      <c r="CR666" s="142"/>
      <c r="CX666" s="142"/>
      <c r="DD666" s="142"/>
      <c r="DJ666" s="142"/>
      <c r="DP666" s="142"/>
      <c r="DV666" s="142"/>
      <c r="EB666" s="142"/>
      <c r="EH666" s="142"/>
      <c r="EN666" s="142"/>
      <c r="ET666" s="142"/>
      <c r="EZ666" s="142"/>
      <c r="FF666" s="142"/>
      <c r="FL666" s="142"/>
      <c r="FR666" s="142"/>
      <c r="FX666" s="142"/>
      <c r="GD666" s="142"/>
      <c r="GJ666" s="142"/>
      <c r="GP666" s="142"/>
      <c r="GV666" s="142"/>
      <c r="HB666" s="142"/>
      <c r="HH666" s="142"/>
      <c r="HN666" s="142"/>
      <c r="HT666" s="142"/>
      <c r="HZ666" s="142"/>
    </row>
    <row r="667">
      <c r="F667" s="142"/>
      <c r="L667" s="142"/>
      <c r="R667" s="142"/>
      <c r="X667" s="142"/>
      <c r="AD667" s="142"/>
      <c r="AJ667" s="142"/>
      <c r="AP667" s="142"/>
      <c r="AV667" s="142"/>
      <c r="BA667" s="142"/>
      <c r="BH667" s="142"/>
      <c r="BN667" s="142"/>
      <c r="BT667" s="142"/>
      <c r="BZ667" s="142"/>
      <c r="CF667" s="142"/>
      <c r="CL667" s="142"/>
      <c r="CR667" s="142"/>
      <c r="CX667" s="142"/>
      <c r="DD667" s="142"/>
      <c r="DJ667" s="142"/>
      <c r="DP667" s="142"/>
      <c r="DV667" s="142"/>
      <c r="EB667" s="142"/>
      <c r="EH667" s="142"/>
      <c r="EN667" s="142"/>
      <c r="ET667" s="142"/>
      <c r="EZ667" s="142"/>
      <c r="FF667" s="142"/>
      <c r="FL667" s="142"/>
      <c r="FR667" s="142"/>
      <c r="FX667" s="142"/>
      <c r="GD667" s="142"/>
      <c r="GJ667" s="142"/>
      <c r="GP667" s="142"/>
      <c r="GV667" s="142"/>
      <c r="HB667" s="142"/>
      <c r="HH667" s="142"/>
      <c r="HN667" s="142"/>
      <c r="HT667" s="142"/>
      <c r="HZ667" s="142"/>
    </row>
    <row r="668">
      <c r="F668" s="142"/>
      <c r="L668" s="142"/>
      <c r="R668" s="142"/>
      <c r="X668" s="142"/>
      <c r="AD668" s="142"/>
      <c r="AJ668" s="142"/>
      <c r="AP668" s="142"/>
      <c r="AV668" s="142"/>
      <c r="BA668" s="142"/>
      <c r="BH668" s="142"/>
      <c r="BN668" s="142"/>
      <c r="BT668" s="142"/>
      <c r="BZ668" s="142"/>
      <c r="CF668" s="142"/>
      <c r="CL668" s="142"/>
      <c r="CR668" s="142"/>
      <c r="CX668" s="142"/>
      <c r="DD668" s="142"/>
      <c r="DJ668" s="142"/>
      <c r="DP668" s="142"/>
      <c r="DV668" s="142"/>
      <c r="EB668" s="142"/>
      <c r="EH668" s="142"/>
      <c r="EN668" s="142"/>
      <c r="ET668" s="142"/>
      <c r="EZ668" s="142"/>
      <c r="FF668" s="142"/>
      <c r="FL668" s="142"/>
      <c r="FR668" s="142"/>
      <c r="FX668" s="142"/>
      <c r="GD668" s="142"/>
      <c r="GJ668" s="142"/>
      <c r="GP668" s="142"/>
      <c r="GV668" s="142"/>
      <c r="HB668" s="142"/>
      <c r="HH668" s="142"/>
      <c r="HN668" s="142"/>
      <c r="HT668" s="142"/>
      <c r="HZ668" s="142"/>
    </row>
    <row r="669">
      <c r="F669" s="142"/>
      <c r="L669" s="142"/>
      <c r="R669" s="142"/>
      <c r="X669" s="142"/>
      <c r="AD669" s="142"/>
      <c r="AJ669" s="142"/>
      <c r="AP669" s="142"/>
      <c r="AV669" s="142"/>
      <c r="BA669" s="142"/>
      <c r="BH669" s="142"/>
      <c r="BN669" s="142"/>
      <c r="BT669" s="142"/>
      <c r="BZ669" s="142"/>
      <c r="CF669" s="142"/>
      <c r="CL669" s="142"/>
      <c r="CR669" s="142"/>
      <c r="CX669" s="142"/>
      <c r="DD669" s="142"/>
      <c r="DJ669" s="142"/>
      <c r="DP669" s="142"/>
      <c r="DV669" s="142"/>
      <c r="EB669" s="142"/>
      <c r="EH669" s="142"/>
      <c r="EN669" s="142"/>
      <c r="ET669" s="142"/>
      <c r="EZ669" s="142"/>
      <c r="FF669" s="142"/>
      <c r="FL669" s="142"/>
      <c r="FR669" s="142"/>
      <c r="FX669" s="142"/>
      <c r="GD669" s="142"/>
      <c r="GJ669" s="142"/>
      <c r="GP669" s="142"/>
      <c r="GV669" s="142"/>
      <c r="HB669" s="142"/>
      <c r="HH669" s="142"/>
      <c r="HN669" s="142"/>
      <c r="HT669" s="142"/>
      <c r="HZ669" s="142"/>
    </row>
    <row r="670">
      <c r="F670" s="142"/>
      <c r="L670" s="142"/>
      <c r="R670" s="142"/>
      <c r="X670" s="142"/>
      <c r="AD670" s="142"/>
      <c r="AJ670" s="142"/>
      <c r="AP670" s="142"/>
      <c r="AV670" s="142"/>
      <c r="BA670" s="142"/>
      <c r="BH670" s="142"/>
      <c r="BN670" s="142"/>
      <c r="BT670" s="142"/>
      <c r="BZ670" s="142"/>
      <c r="CF670" s="142"/>
      <c r="CL670" s="142"/>
      <c r="CR670" s="142"/>
      <c r="CX670" s="142"/>
      <c r="DD670" s="142"/>
      <c r="DJ670" s="142"/>
      <c r="DP670" s="142"/>
      <c r="DV670" s="142"/>
      <c r="EB670" s="142"/>
      <c r="EH670" s="142"/>
      <c r="EN670" s="142"/>
      <c r="ET670" s="142"/>
      <c r="EZ670" s="142"/>
      <c r="FF670" s="142"/>
      <c r="FL670" s="142"/>
      <c r="FR670" s="142"/>
      <c r="FX670" s="142"/>
      <c r="GD670" s="142"/>
      <c r="GJ670" s="142"/>
      <c r="GP670" s="142"/>
      <c r="GV670" s="142"/>
      <c r="HB670" s="142"/>
      <c r="HH670" s="142"/>
      <c r="HN670" s="142"/>
      <c r="HT670" s="142"/>
      <c r="HZ670" s="142"/>
    </row>
    <row r="671">
      <c r="F671" s="142"/>
      <c r="L671" s="142"/>
      <c r="R671" s="142"/>
      <c r="X671" s="142"/>
      <c r="AD671" s="142"/>
      <c r="AJ671" s="142"/>
      <c r="AP671" s="142"/>
      <c r="AV671" s="142"/>
      <c r="BA671" s="142"/>
      <c r="BH671" s="142"/>
      <c r="BN671" s="142"/>
      <c r="BT671" s="142"/>
      <c r="BZ671" s="142"/>
      <c r="CF671" s="142"/>
      <c r="CL671" s="142"/>
      <c r="CR671" s="142"/>
      <c r="CX671" s="142"/>
      <c r="DD671" s="142"/>
      <c r="DJ671" s="142"/>
      <c r="DP671" s="142"/>
      <c r="DV671" s="142"/>
      <c r="EB671" s="142"/>
      <c r="EH671" s="142"/>
      <c r="EN671" s="142"/>
      <c r="ET671" s="142"/>
      <c r="EZ671" s="142"/>
      <c r="FF671" s="142"/>
      <c r="FL671" s="142"/>
      <c r="FR671" s="142"/>
      <c r="FX671" s="142"/>
      <c r="GD671" s="142"/>
      <c r="GJ671" s="142"/>
      <c r="GP671" s="142"/>
      <c r="GV671" s="142"/>
      <c r="HB671" s="142"/>
      <c r="HH671" s="142"/>
      <c r="HN671" s="142"/>
      <c r="HT671" s="142"/>
      <c r="HZ671" s="142"/>
    </row>
    <row r="672">
      <c r="F672" s="142"/>
      <c r="L672" s="142"/>
      <c r="R672" s="142"/>
      <c r="X672" s="142"/>
      <c r="AD672" s="142"/>
      <c r="AJ672" s="142"/>
      <c r="AP672" s="142"/>
      <c r="AV672" s="142"/>
      <c r="BA672" s="142"/>
      <c r="BH672" s="142"/>
      <c r="BN672" s="142"/>
      <c r="BT672" s="142"/>
      <c r="BZ672" s="142"/>
      <c r="CF672" s="142"/>
      <c r="CL672" s="142"/>
      <c r="CR672" s="142"/>
      <c r="CX672" s="142"/>
      <c r="DD672" s="142"/>
      <c r="DJ672" s="142"/>
      <c r="DP672" s="142"/>
      <c r="DV672" s="142"/>
      <c r="EB672" s="142"/>
      <c r="EH672" s="142"/>
      <c r="EN672" s="142"/>
      <c r="ET672" s="142"/>
      <c r="EZ672" s="142"/>
      <c r="FF672" s="142"/>
      <c r="FL672" s="142"/>
      <c r="FR672" s="142"/>
      <c r="FX672" s="142"/>
      <c r="GD672" s="142"/>
      <c r="GJ672" s="142"/>
      <c r="GP672" s="142"/>
      <c r="GV672" s="142"/>
      <c r="HB672" s="142"/>
      <c r="HH672" s="142"/>
      <c r="HN672" s="142"/>
      <c r="HT672" s="142"/>
      <c r="HZ672" s="142"/>
    </row>
    <row r="673">
      <c r="F673" s="142"/>
      <c r="L673" s="142"/>
      <c r="R673" s="142"/>
      <c r="X673" s="142"/>
      <c r="AD673" s="142"/>
      <c r="AJ673" s="142"/>
      <c r="AP673" s="142"/>
      <c r="AV673" s="142"/>
      <c r="BA673" s="142"/>
      <c r="BH673" s="142"/>
      <c r="BN673" s="142"/>
      <c r="BT673" s="142"/>
      <c r="BZ673" s="142"/>
      <c r="CF673" s="142"/>
      <c r="CL673" s="142"/>
      <c r="CR673" s="142"/>
      <c r="CX673" s="142"/>
      <c r="DD673" s="142"/>
      <c r="DJ673" s="142"/>
      <c r="DP673" s="142"/>
      <c r="DV673" s="142"/>
      <c r="EB673" s="142"/>
      <c r="EH673" s="142"/>
      <c r="EN673" s="142"/>
      <c r="ET673" s="142"/>
      <c r="EZ673" s="142"/>
      <c r="FF673" s="142"/>
      <c r="FL673" s="142"/>
      <c r="FR673" s="142"/>
      <c r="FX673" s="142"/>
      <c r="GD673" s="142"/>
      <c r="GJ673" s="142"/>
      <c r="GP673" s="142"/>
      <c r="GV673" s="142"/>
      <c r="HB673" s="142"/>
      <c r="HH673" s="142"/>
      <c r="HN673" s="142"/>
      <c r="HT673" s="142"/>
      <c r="HZ673" s="142"/>
    </row>
    <row r="674">
      <c r="F674" s="142"/>
      <c r="L674" s="142"/>
      <c r="R674" s="142"/>
      <c r="X674" s="142"/>
      <c r="AD674" s="142"/>
      <c r="AJ674" s="142"/>
      <c r="AP674" s="142"/>
      <c r="AV674" s="142"/>
      <c r="BA674" s="142"/>
      <c r="BH674" s="142"/>
      <c r="BN674" s="142"/>
      <c r="BT674" s="142"/>
      <c r="BZ674" s="142"/>
      <c r="CF674" s="142"/>
      <c r="CL674" s="142"/>
      <c r="CR674" s="142"/>
      <c r="CX674" s="142"/>
      <c r="DD674" s="142"/>
      <c r="DJ674" s="142"/>
      <c r="DP674" s="142"/>
      <c r="DV674" s="142"/>
      <c r="EB674" s="142"/>
      <c r="EH674" s="142"/>
      <c r="EN674" s="142"/>
      <c r="ET674" s="142"/>
      <c r="EZ674" s="142"/>
      <c r="FF674" s="142"/>
      <c r="FL674" s="142"/>
      <c r="FR674" s="142"/>
      <c r="FX674" s="142"/>
      <c r="GD674" s="142"/>
      <c r="GJ674" s="142"/>
      <c r="GP674" s="142"/>
      <c r="GV674" s="142"/>
      <c r="HB674" s="142"/>
      <c r="HH674" s="142"/>
      <c r="HN674" s="142"/>
      <c r="HT674" s="142"/>
      <c r="HZ674" s="142"/>
    </row>
    <row r="675">
      <c r="F675" s="142"/>
      <c r="L675" s="142"/>
      <c r="R675" s="142"/>
      <c r="X675" s="142"/>
      <c r="AD675" s="142"/>
      <c r="AJ675" s="142"/>
      <c r="AP675" s="142"/>
      <c r="AV675" s="142"/>
      <c r="BA675" s="142"/>
      <c r="BH675" s="142"/>
      <c r="BN675" s="142"/>
      <c r="BT675" s="142"/>
      <c r="BZ675" s="142"/>
      <c r="CF675" s="142"/>
      <c r="CL675" s="142"/>
      <c r="CR675" s="142"/>
      <c r="CX675" s="142"/>
      <c r="DD675" s="142"/>
      <c r="DJ675" s="142"/>
      <c r="DP675" s="142"/>
      <c r="DV675" s="142"/>
      <c r="EB675" s="142"/>
      <c r="EH675" s="142"/>
      <c r="EN675" s="142"/>
      <c r="ET675" s="142"/>
      <c r="EZ675" s="142"/>
      <c r="FF675" s="142"/>
      <c r="FL675" s="142"/>
      <c r="FR675" s="142"/>
      <c r="FX675" s="142"/>
      <c r="GD675" s="142"/>
      <c r="GJ675" s="142"/>
      <c r="GP675" s="142"/>
      <c r="GV675" s="142"/>
      <c r="HB675" s="142"/>
      <c r="HH675" s="142"/>
      <c r="HN675" s="142"/>
      <c r="HT675" s="142"/>
      <c r="HZ675" s="142"/>
    </row>
    <row r="676">
      <c r="F676" s="142"/>
      <c r="L676" s="142"/>
      <c r="R676" s="142"/>
      <c r="X676" s="142"/>
      <c r="AD676" s="142"/>
      <c r="AJ676" s="142"/>
      <c r="AP676" s="142"/>
      <c r="AV676" s="142"/>
      <c r="BA676" s="142"/>
      <c r="BH676" s="142"/>
      <c r="BN676" s="142"/>
      <c r="BT676" s="142"/>
      <c r="BZ676" s="142"/>
      <c r="CF676" s="142"/>
      <c r="CL676" s="142"/>
      <c r="CR676" s="142"/>
      <c r="CX676" s="142"/>
      <c r="DD676" s="142"/>
      <c r="DJ676" s="142"/>
      <c r="DP676" s="142"/>
      <c r="DV676" s="142"/>
      <c r="EB676" s="142"/>
      <c r="EH676" s="142"/>
      <c r="EN676" s="142"/>
      <c r="ET676" s="142"/>
      <c r="EZ676" s="142"/>
      <c r="FF676" s="142"/>
      <c r="FL676" s="142"/>
      <c r="FR676" s="142"/>
      <c r="FX676" s="142"/>
      <c r="GD676" s="142"/>
      <c r="GJ676" s="142"/>
      <c r="GP676" s="142"/>
      <c r="GV676" s="142"/>
      <c r="HB676" s="142"/>
      <c r="HH676" s="142"/>
      <c r="HN676" s="142"/>
      <c r="HT676" s="142"/>
      <c r="HZ676" s="142"/>
    </row>
    <row r="677">
      <c r="F677" s="142"/>
      <c r="L677" s="142"/>
      <c r="R677" s="142"/>
      <c r="X677" s="142"/>
      <c r="AD677" s="142"/>
      <c r="AJ677" s="142"/>
      <c r="AP677" s="142"/>
      <c r="AV677" s="142"/>
      <c r="BA677" s="142"/>
      <c r="BH677" s="142"/>
      <c r="BN677" s="142"/>
      <c r="BT677" s="142"/>
      <c r="BZ677" s="142"/>
      <c r="CF677" s="142"/>
      <c r="CL677" s="142"/>
      <c r="CR677" s="142"/>
      <c r="CX677" s="142"/>
      <c r="DD677" s="142"/>
      <c r="DJ677" s="142"/>
      <c r="DP677" s="142"/>
      <c r="DV677" s="142"/>
      <c r="EB677" s="142"/>
      <c r="EH677" s="142"/>
      <c r="EN677" s="142"/>
      <c r="ET677" s="142"/>
      <c r="EZ677" s="142"/>
      <c r="FF677" s="142"/>
      <c r="FL677" s="142"/>
      <c r="FR677" s="142"/>
      <c r="FX677" s="142"/>
      <c r="GD677" s="142"/>
      <c r="GJ677" s="142"/>
      <c r="GP677" s="142"/>
      <c r="GV677" s="142"/>
      <c r="HB677" s="142"/>
      <c r="HH677" s="142"/>
      <c r="HN677" s="142"/>
      <c r="HT677" s="142"/>
      <c r="HZ677" s="142"/>
    </row>
    <row r="678">
      <c r="F678" s="142"/>
      <c r="L678" s="142"/>
      <c r="R678" s="142"/>
      <c r="X678" s="142"/>
      <c r="AD678" s="142"/>
      <c r="AJ678" s="142"/>
      <c r="AP678" s="142"/>
      <c r="AV678" s="142"/>
      <c r="BA678" s="142"/>
      <c r="BH678" s="142"/>
      <c r="BN678" s="142"/>
      <c r="BT678" s="142"/>
      <c r="BZ678" s="142"/>
      <c r="CF678" s="142"/>
      <c r="CL678" s="142"/>
      <c r="CR678" s="142"/>
      <c r="CX678" s="142"/>
      <c r="DD678" s="142"/>
      <c r="DJ678" s="142"/>
      <c r="DP678" s="142"/>
      <c r="DV678" s="142"/>
      <c r="EB678" s="142"/>
      <c r="EH678" s="142"/>
      <c r="EN678" s="142"/>
      <c r="ET678" s="142"/>
      <c r="EZ678" s="142"/>
      <c r="FF678" s="142"/>
      <c r="FL678" s="142"/>
      <c r="FR678" s="142"/>
      <c r="FX678" s="142"/>
      <c r="GD678" s="142"/>
      <c r="GJ678" s="142"/>
      <c r="GP678" s="142"/>
      <c r="GV678" s="142"/>
      <c r="HB678" s="142"/>
      <c r="HH678" s="142"/>
      <c r="HN678" s="142"/>
      <c r="HT678" s="142"/>
      <c r="HZ678" s="142"/>
    </row>
    <row r="679">
      <c r="F679" s="142"/>
      <c r="L679" s="142"/>
      <c r="R679" s="142"/>
      <c r="X679" s="142"/>
      <c r="AD679" s="142"/>
      <c r="AJ679" s="142"/>
      <c r="AP679" s="142"/>
      <c r="AV679" s="142"/>
      <c r="BA679" s="142"/>
      <c r="BH679" s="142"/>
      <c r="BN679" s="142"/>
      <c r="BT679" s="142"/>
      <c r="BZ679" s="142"/>
      <c r="CF679" s="142"/>
      <c r="CL679" s="142"/>
      <c r="CR679" s="142"/>
      <c r="CX679" s="142"/>
      <c r="DD679" s="142"/>
      <c r="DJ679" s="142"/>
      <c r="DP679" s="142"/>
      <c r="DV679" s="142"/>
      <c r="EB679" s="142"/>
      <c r="EH679" s="142"/>
      <c r="EN679" s="142"/>
      <c r="ET679" s="142"/>
      <c r="EZ679" s="142"/>
      <c r="FF679" s="142"/>
      <c r="FL679" s="142"/>
      <c r="FR679" s="142"/>
      <c r="FX679" s="142"/>
      <c r="GD679" s="142"/>
      <c r="GJ679" s="142"/>
      <c r="GP679" s="142"/>
      <c r="GV679" s="142"/>
      <c r="HB679" s="142"/>
      <c r="HH679" s="142"/>
      <c r="HN679" s="142"/>
      <c r="HT679" s="142"/>
      <c r="HZ679" s="142"/>
    </row>
    <row r="680">
      <c r="F680" s="142"/>
      <c r="L680" s="142"/>
      <c r="R680" s="142"/>
      <c r="X680" s="142"/>
      <c r="AD680" s="142"/>
      <c r="AJ680" s="142"/>
      <c r="AP680" s="142"/>
      <c r="AV680" s="142"/>
      <c r="BA680" s="142"/>
      <c r="BH680" s="142"/>
      <c r="BN680" s="142"/>
      <c r="BT680" s="142"/>
      <c r="BZ680" s="142"/>
      <c r="CF680" s="142"/>
      <c r="CL680" s="142"/>
      <c r="CR680" s="142"/>
      <c r="CX680" s="142"/>
      <c r="DD680" s="142"/>
      <c r="DJ680" s="142"/>
      <c r="DP680" s="142"/>
      <c r="DV680" s="142"/>
      <c r="EB680" s="142"/>
      <c r="EH680" s="142"/>
      <c r="EN680" s="142"/>
      <c r="ET680" s="142"/>
      <c r="EZ680" s="142"/>
      <c r="FF680" s="142"/>
      <c r="FL680" s="142"/>
      <c r="FR680" s="142"/>
      <c r="FX680" s="142"/>
      <c r="GD680" s="142"/>
      <c r="GJ680" s="142"/>
      <c r="GP680" s="142"/>
      <c r="GV680" s="142"/>
      <c r="HB680" s="142"/>
      <c r="HH680" s="142"/>
      <c r="HN680" s="142"/>
      <c r="HT680" s="142"/>
      <c r="HZ680" s="142"/>
    </row>
    <row r="681">
      <c r="F681" s="142"/>
      <c r="L681" s="142"/>
      <c r="R681" s="142"/>
      <c r="X681" s="142"/>
      <c r="AD681" s="142"/>
      <c r="AJ681" s="142"/>
      <c r="AP681" s="142"/>
      <c r="AV681" s="142"/>
      <c r="BA681" s="142"/>
      <c r="BH681" s="142"/>
      <c r="BN681" s="142"/>
      <c r="BT681" s="142"/>
      <c r="BZ681" s="142"/>
      <c r="CF681" s="142"/>
      <c r="CL681" s="142"/>
      <c r="CR681" s="142"/>
      <c r="CX681" s="142"/>
      <c r="DD681" s="142"/>
      <c r="DJ681" s="142"/>
      <c r="DP681" s="142"/>
      <c r="DV681" s="142"/>
      <c r="EB681" s="142"/>
      <c r="EH681" s="142"/>
      <c r="EN681" s="142"/>
      <c r="ET681" s="142"/>
      <c r="EZ681" s="142"/>
      <c r="FF681" s="142"/>
      <c r="FL681" s="142"/>
      <c r="FR681" s="142"/>
      <c r="FX681" s="142"/>
      <c r="GD681" s="142"/>
      <c r="GJ681" s="142"/>
      <c r="GP681" s="142"/>
      <c r="GV681" s="142"/>
      <c r="HB681" s="142"/>
      <c r="HH681" s="142"/>
      <c r="HN681" s="142"/>
      <c r="HT681" s="142"/>
      <c r="HZ681" s="142"/>
    </row>
    <row r="682">
      <c r="F682" s="142"/>
      <c r="L682" s="142"/>
      <c r="R682" s="142"/>
      <c r="X682" s="142"/>
      <c r="AD682" s="142"/>
      <c r="AJ682" s="142"/>
      <c r="AP682" s="142"/>
      <c r="AV682" s="142"/>
      <c r="BA682" s="142"/>
      <c r="BH682" s="142"/>
      <c r="BN682" s="142"/>
      <c r="BT682" s="142"/>
      <c r="BZ682" s="142"/>
      <c r="CF682" s="142"/>
      <c r="CL682" s="142"/>
      <c r="CR682" s="142"/>
      <c r="CX682" s="142"/>
      <c r="DD682" s="142"/>
      <c r="DJ682" s="142"/>
      <c r="DP682" s="142"/>
      <c r="DV682" s="142"/>
      <c r="EB682" s="142"/>
      <c r="EH682" s="142"/>
      <c r="EN682" s="142"/>
      <c r="ET682" s="142"/>
      <c r="EZ682" s="142"/>
      <c r="FF682" s="142"/>
      <c r="FL682" s="142"/>
      <c r="FR682" s="142"/>
      <c r="FX682" s="142"/>
      <c r="GD682" s="142"/>
      <c r="GJ682" s="142"/>
      <c r="GP682" s="142"/>
      <c r="GV682" s="142"/>
      <c r="HB682" s="142"/>
      <c r="HH682" s="142"/>
      <c r="HN682" s="142"/>
      <c r="HT682" s="142"/>
      <c r="HZ682" s="142"/>
    </row>
    <row r="683">
      <c r="F683" s="142"/>
      <c r="L683" s="142"/>
      <c r="R683" s="142"/>
      <c r="X683" s="142"/>
      <c r="AD683" s="142"/>
      <c r="AJ683" s="142"/>
      <c r="AP683" s="142"/>
      <c r="AV683" s="142"/>
      <c r="BA683" s="142"/>
      <c r="BH683" s="142"/>
      <c r="BN683" s="142"/>
      <c r="BT683" s="142"/>
      <c r="BZ683" s="142"/>
      <c r="CF683" s="142"/>
      <c r="CL683" s="142"/>
      <c r="CR683" s="142"/>
      <c r="CX683" s="142"/>
      <c r="DD683" s="142"/>
      <c r="DJ683" s="142"/>
      <c r="DP683" s="142"/>
      <c r="DV683" s="142"/>
      <c r="EB683" s="142"/>
      <c r="EH683" s="142"/>
      <c r="EN683" s="142"/>
      <c r="ET683" s="142"/>
      <c r="EZ683" s="142"/>
      <c r="FF683" s="142"/>
      <c r="FL683" s="142"/>
      <c r="FR683" s="142"/>
      <c r="FX683" s="142"/>
      <c r="GD683" s="142"/>
      <c r="GJ683" s="142"/>
      <c r="GP683" s="142"/>
      <c r="GV683" s="142"/>
      <c r="HB683" s="142"/>
      <c r="HH683" s="142"/>
      <c r="HN683" s="142"/>
      <c r="HT683" s="142"/>
      <c r="HZ683" s="142"/>
    </row>
    <row r="684">
      <c r="F684" s="142"/>
      <c r="L684" s="142"/>
      <c r="R684" s="142"/>
      <c r="X684" s="142"/>
      <c r="AD684" s="142"/>
      <c r="AJ684" s="142"/>
      <c r="AP684" s="142"/>
      <c r="AV684" s="142"/>
      <c r="BA684" s="142"/>
      <c r="BH684" s="142"/>
      <c r="BN684" s="142"/>
      <c r="BT684" s="142"/>
      <c r="BZ684" s="142"/>
      <c r="CF684" s="142"/>
      <c r="CL684" s="142"/>
      <c r="CR684" s="142"/>
      <c r="CX684" s="142"/>
      <c r="DD684" s="142"/>
      <c r="DJ684" s="142"/>
      <c r="DP684" s="142"/>
      <c r="DV684" s="142"/>
      <c r="EB684" s="142"/>
      <c r="EH684" s="142"/>
      <c r="EN684" s="142"/>
      <c r="ET684" s="142"/>
      <c r="EZ684" s="142"/>
      <c r="FF684" s="142"/>
      <c r="FL684" s="142"/>
      <c r="FR684" s="142"/>
      <c r="FX684" s="142"/>
      <c r="GD684" s="142"/>
      <c r="GJ684" s="142"/>
      <c r="GP684" s="142"/>
      <c r="GV684" s="142"/>
      <c r="HB684" s="142"/>
      <c r="HH684" s="142"/>
      <c r="HN684" s="142"/>
      <c r="HT684" s="142"/>
      <c r="HZ684" s="142"/>
    </row>
    <row r="685">
      <c r="F685" s="142"/>
      <c r="L685" s="142"/>
      <c r="R685" s="142"/>
      <c r="X685" s="142"/>
      <c r="AD685" s="142"/>
      <c r="AJ685" s="142"/>
      <c r="AP685" s="142"/>
      <c r="AV685" s="142"/>
      <c r="BA685" s="142"/>
      <c r="BH685" s="142"/>
      <c r="BN685" s="142"/>
      <c r="BT685" s="142"/>
      <c r="BZ685" s="142"/>
      <c r="CF685" s="142"/>
      <c r="CL685" s="142"/>
      <c r="CR685" s="142"/>
      <c r="CX685" s="142"/>
      <c r="DD685" s="142"/>
      <c r="DJ685" s="142"/>
      <c r="DP685" s="142"/>
      <c r="DV685" s="142"/>
      <c r="EB685" s="142"/>
      <c r="EH685" s="142"/>
      <c r="EN685" s="142"/>
      <c r="ET685" s="142"/>
      <c r="EZ685" s="142"/>
      <c r="FF685" s="142"/>
      <c r="FL685" s="142"/>
      <c r="FR685" s="142"/>
      <c r="FX685" s="142"/>
      <c r="GD685" s="142"/>
      <c r="GJ685" s="142"/>
      <c r="GP685" s="142"/>
      <c r="GV685" s="142"/>
      <c r="HB685" s="142"/>
      <c r="HH685" s="142"/>
      <c r="HN685" s="142"/>
      <c r="HT685" s="142"/>
      <c r="HZ685" s="142"/>
    </row>
    <row r="686">
      <c r="F686" s="142"/>
      <c r="L686" s="142"/>
      <c r="R686" s="142"/>
      <c r="X686" s="142"/>
      <c r="AD686" s="142"/>
      <c r="AJ686" s="142"/>
      <c r="AP686" s="142"/>
      <c r="AV686" s="142"/>
      <c r="BA686" s="142"/>
      <c r="BH686" s="142"/>
      <c r="BN686" s="142"/>
      <c r="BT686" s="142"/>
      <c r="BZ686" s="142"/>
      <c r="CF686" s="142"/>
      <c r="CL686" s="142"/>
      <c r="CR686" s="142"/>
      <c r="CX686" s="142"/>
      <c r="DD686" s="142"/>
      <c r="DJ686" s="142"/>
      <c r="DP686" s="142"/>
      <c r="DV686" s="142"/>
      <c r="EB686" s="142"/>
      <c r="EH686" s="142"/>
      <c r="EN686" s="142"/>
      <c r="ET686" s="142"/>
      <c r="EZ686" s="142"/>
      <c r="FF686" s="142"/>
      <c r="FL686" s="142"/>
      <c r="FR686" s="142"/>
      <c r="FX686" s="142"/>
      <c r="GD686" s="142"/>
      <c r="GJ686" s="142"/>
      <c r="GP686" s="142"/>
      <c r="GV686" s="142"/>
      <c r="HB686" s="142"/>
      <c r="HH686" s="142"/>
      <c r="HN686" s="142"/>
      <c r="HT686" s="142"/>
      <c r="HZ686" s="142"/>
    </row>
    <row r="687">
      <c r="F687" s="142"/>
      <c r="L687" s="142"/>
      <c r="R687" s="142"/>
      <c r="X687" s="142"/>
      <c r="AD687" s="142"/>
      <c r="AJ687" s="142"/>
      <c r="AP687" s="142"/>
      <c r="AV687" s="142"/>
      <c r="BA687" s="142"/>
      <c r="BH687" s="142"/>
      <c r="BN687" s="142"/>
      <c r="BT687" s="142"/>
      <c r="BZ687" s="142"/>
      <c r="CF687" s="142"/>
      <c r="CL687" s="142"/>
      <c r="CR687" s="142"/>
      <c r="CX687" s="142"/>
      <c r="DD687" s="142"/>
      <c r="DJ687" s="142"/>
      <c r="DP687" s="142"/>
      <c r="DV687" s="142"/>
      <c r="EB687" s="142"/>
      <c r="EH687" s="142"/>
      <c r="EN687" s="142"/>
      <c r="ET687" s="142"/>
      <c r="EZ687" s="142"/>
      <c r="FF687" s="142"/>
      <c r="FL687" s="142"/>
      <c r="FR687" s="142"/>
      <c r="FX687" s="142"/>
      <c r="GD687" s="142"/>
      <c r="GJ687" s="142"/>
      <c r="GP687" s="142"/>
      <c r="GV687" s="142"/>
      <c r="HB687" s="142"/>
      <c r="HH687" s="142"/>
      <c r="HN687" s="142"/>
      <c r="HT687" s="142"/>
      <c r="HZ687" s="142"/>
    </row>
    <row r="688">
      <c r="F688" s="142"/>
      <c r="L688" s="142"/>
      <c r="R688" s="142"/>
      <c r="X688" s="142"/>
      <c r="AD688" s="142"/>
      <c r="AJ688" s="142"/>
      <c r="AP688" s="142"/>
      <c r="AV688" s="142"/>
      <c r="BA688" s="142"/>
      <c r="BH688" s="142"/>
      <c r="BN688" s="142"/>
      <c r="BT688" s="142"/>
      <c r="BZ688" s="142"/>
      <c r="CF688" s="142"/>
      <c r="CL688" s="142"/>
      <c r="CR688" s="142"/>
      <c r="CX688" s="142"/>
      <c r="DD688" s="142"/>
      <c r="DJ688" s="142"/>
      <c r="DP688" s="142"/>
      <c r="DV688" s="142"/>
      <c r="EB688" s="142"/>
      <c r="EH688" s="142"/>
      <c r="EN688" s="142"/>
      <c r="ET688" s="142"/>
      <c r="EZ688" s="142"/>
      <c r="FF688" s="142"/>
      <c r="FL688" s="142"/>
      <c r="FR688" s="142"/>
      <c r="FX688" s="142"/>
      <c r="GD688" s="142"/>
      <c r="GJ688" s="142"/>
      <c r="GP688" s="142"/>
      <c r="GV688" s="142"/>
      <c r="HB688" s="142"/>
      <c r="HH688" s="142"/>
      <c r="HN688" s="142"/>
      <c r="HT688" s="142"/>
      <c r="HZ688" s="142"/>
    </row>
    <row r="689">
      <c r="F689" s="142"/>
      <c r="L689" s="142"/>
      <c r="R689" s="142"/>
      <c r="X689" s="142"/>
      <c r="AD689" s="142"/>
      <c r="AJ689" s="142"/>
      <c r="AP689" s="142"/>
      <c r="AV689" s="142"/>
      <c r="BA689" s="142"/>
      <c r="BH689" s="142"/>
      <c r="BN689" s="142"/>
      <c r="BT689" s="142"/>
      <c r="BZ689" s="142"/>
      <c r="CF689" s="142"/>
      <c r="CL689" s="142"/>
      <c r="CR689" s="142"/>
      <c r="CX689" s="142"/>
      <c r="DD689" s="142"/>
      <c r="DJ689" s="142"/>
      <c r="DP689" s="142"/>
      <c r="DV689" s="142"/>
      <c r="EB689" s="142"/>
      <c r="EH689" s="142"/>
      <c r="EN689" s="142"/>
      <c r="ET689" s="142"/>
      <c r="EZ689" s="142"/>
      <c r="FF689" s="142"/>
      <c r="FL689" s="142"/>
      <c r="FR689" s="142"/>
      <c r="FX689" s="142"/>
      <c r="GD689" s="142"/>
      <c r="GJ689" s="142"/>
      <c r="GP689" s="142"/>
      <c r="GV689" s="142"/>
      <c r="HB689" s="142"/>
      <c r="HH689" s="142"/>
      <c r="HN689" s="142"/>
      <c r="HT689" s="142"/>
      <c r="HZ689" s="142"/>
    </row>
    <row r="690">
      <c r="F690" s="142"/>
      <c r="L690" s="142"/>
      <c r="R690" s="142"/>
      <c r="X690" s="142"/>
      <c r="AD690" s="142"/>
      <c r="AJ690" s="142"/>
      <c r="AP690" s="142"/>
      <c r="AV690" s="142"/>
      <c r="BA690" s="142"/>
      <c r="BH690" s="142"/>
      <c r="BN690" s="142"/>
      <c r="BT690" s="142"/>
      <c r="BZ690" s="142"/>
      <c r="CF690" s="142"/>
      <c r="CL690" s="142"/>
      <c r="CR690" s="142"/>
      <c r="CX690" s="142"/>
      <c r="DD690" s="142"/>
      <c r="DJ690" s="142"/>
      <c r="DP690" s="142"/>
      <c r="DV690" s="142"/>
      <c r="EB690" s="142"/>
      <c r="EH690" s="142"/>
      <c r="EN690" s="142"/>
      <c r="ET690" s="142"/>
      <c r="EZ690" s="142"/>
      <c r="FF690" s="142"/>
      <c r="FL690" s="142"/>
      <c r="FR690" s="142"/>
      <c r="FX690" s="142"/>
      <c r="GD690" s="142"/>
      <c r="GJ690" s="142"/>
      <c r="GP690" s="142"/>
      <c r="GV690" s="142"/>
      <c r="HB690" s="142"/>
      <c r="HH690" s="142"/>
      <c r="HN690" s="142"/>
      <c r="HT690" s="142"/>
      <c r="HZ690" s="142"/>
    </row>
    <row r="691">
      <c r="F691" s="142"/>
      <c r="L691" s="142"/>
      <c r="R691" s="142"/>
      <c r="X691" s="142"/>
      <c r="AD691" s="142"/>
      <c r="AJ691" s="142"/>
      <c r="AP691" s="142"/>
      <c r="AV691" s="142"/>
      <c r="BA691" s="142"/>
      <c r="BH691" s="142"/>
      <c r="BN691" s="142"/>
      <c r="BT691" s="142"/>
      <c r="BZ691" s="142"/>
      <c r="CF691" s="142"/>
      <c r="CL691" s="142"/>
      <c r="CR691" s="142"/>
      <c r="CX691" s="142"/>
      <c r="DD691" s="142"/>
      <c r="DJ691" s="142"/>
      <c r="DP691" s="142"/>
      <c r="DV691" s="142"/>
      <c r="EB691" s="142"/>
      <c r="EH691" s="142"/>
      <c r="EN691" s="142"/>
      <c r="ET691" s="142"/>
      <c r="EZ691" s="142"/>
      <c r="FF691" s="142"/>
      <c r="FL691" s="142"/>
      <c r="FR691" s="142"/>
      <c r="FX691" s="142"/>
      <c r="GD691" s="142"/>
      <c r="GJ691" s="142"/>
      <c r="GP691" s="142"/>
      <c r="GV691" s="142"/>
      <c r="HB691" s="142"/>
      <c r="HH691" s="142"/>
      <c r="HN691" s="142"/>
      <c r="HT691" s="142"/>
      <c r="HZ691" s="142"/>
    </row>
    <row r="692">
      <c r="F692" s="142"/>
      <c r="L692" s="142"/>
      <c r="R692" s="142"/>
      <c r="X692" s="142"/>
      <c r="AD692" s="142"/>
      <c r="AJ692" s="142"/>
      <c r="AP692" s="142"/>
      <c r="AV692" s="142"/>
      <c r="BA692" s="142"/>
      <c r="BH692" s="142"/>
      <c r="BN692" s="142"/>
      <c r="BT692" s="142"/>
      <c r="BZ692" s="142"/>
      <c r="CF692" s="142"/>
      <c r="CL692" s="142"/>
      <c r="CR692" s="142"/>
      <c r="CX692" s="142"/>
      <c r="DD692" s="142"/>
      <c r="DJ692" s="142"/>
      <c r="DP692" s="142"/>
      <c r="DV692" s="142"/>
      <c r="EB692" s="142"/>
      <c r="EH692" s="142"/>
      <c r="EN692" s="142"/>
      <c r="ET692" s="142"/>
      <c r="EZ692" s="142"/>
      <c r="FF692" s="142"/>
      <c r="FL692" s="142"/>
      <c r="FR692" s="142"/>
      <c r="FX692" s="142"/>
      <c r="GD692" s="142"/>
      <c r="GJ692" s="142"/>
      <c r="GP692" s="142"/>
      <c r="GV692" s="142"/>
      <c r="HB692" s="142"/>
      <c r="HH692" s="142"/>
      <c r="HN692" s="142"/>
      <c r="HT692" s="142"/>
      <c r="HZ692" s="142"/>
    </row>
    <row r="693">
      <c r="F693" s="142"/>
      <c r="L693" s="142"/>
      <c r="R693" s="142"/>
      <c r="X693" s="142"/>
      <c r="AD693" s="142"/>
      <c r="AJ693" s="142"/>
      <c r="AP693" s="142"/>
      <c r="AV693" s="142"/>
      <c r="BA693" s="142"/>
      <c r="BH693" s="142"/>
      <c r="BN693" s="142"/>
      <c r="BT693" s="142"/>
      <c r="BZ693" s="142"/>
      <c r="CF693" s="142"/>
      <c r="CL693" s="142"/>
      <c r="CR693" s="142"/>
      <c r="CX693" s="142"/>
      <c r="DD693" s="142"/>
      <c r="DJ693" s="142"/>
      <c r="DP693" s="142"/>
      <c r="DV693" s="142"/>
      <c r="EB693" s="142"/>
      <c r="EH693" s="142"/>
      <c r="EN693" s="142"/>
      <c r="ET693" s="142"/>
      <c r="EZ693" s="142"/>
      <c r="FF693" s="142"/>
      <c r="FL693" s="142"/>
      <c r="FR693" s="142"/>
      <c r="FX693" s="142"/>
      <c r="GD693" s="142"/>
      <c r="GJ693" s="142"/>
      <c r="GP693" s="142"/>
      <c r="GV693" s="142"/>
      <c r="HB693" s="142"/>
      <c r="HH693" s="142"/>
      <c r="HN693" s="142"/>
      <c r="HT693" s="142"/>
      <c r="HZ693" s="142"/>
    </row>
    <row r="694">
      <c r="F694" s="142"/>
      <c r="L694" s="142"/>
      <c r="R694" s="142"/>
      <c r="X694" s="142"/>
      <c r="AD694" s="142"/>
      <c r="AJ694" s="142"/>
      <c r="AP694" s="142"/>
      <c r="AV694" s="142"/>
      <c r="BA694" s="142"/>
      <c r="BH694" s="142"/>
      <c r="BN694" s="142"/>
      <c r="BT694" s="142"/>
      <c r="BZ694" s="142"/>
      <c r="CF694" s="142"/>
      <c r="CL694" s="142"/>
      <c r="CR694" s="142"/>
      <c r="CX694" s="142"/>
      <c r="DD694" s="142"/>
      <c r="DJ694" s="142"/>
      <c r="DP694" s="142"/>
      <c r="DV694" s="142"/>
      <c r="EB694" s="142"/>
      <c r="EH694" s="142"/>
      <c r="EN694" s="142"/>
      <c r="ET694" s="142"/>
      <c r="EZ694" s="142"/>
      <c r="FF694" s="142"/>
      <c r="FL694" s="142"/>
      <c r="FR694" s="142"/>
      <c r="FX694" s="142"/>
      <c r="GD694" s="142"/>
      <c r="GJ694" s="142"/>
      <c r="GP694" s="142"/>
      <c r="GV694" s="142"/>
      <c r="HB694" s="142"/>
      <c r="HH694" s="142"/>
      <c r="HN694" s="142"/>
      <c r="HT694" s="142"/>
      <c r="HZ694" s="142"/>
    </row>
    <row r="695">
      <c r="F695" s="142"/>
      <c r="L695" s="142"/>
      <c r="R695" s="142"/>
      <c r="X695" s="142"/>
      <c r="AD695" s="142"/>
      <c r="AJ695" s="142"/>
      <c r="AP695" s="142"/>
      <c r="AV695" s="142"/>
      <c r="BA695" s="142"/>
      <c r="BH695" s="142"/>
      <c r="BN695" s="142"/>
      <c r="BT695" s="142"/>
      <c r="BZ695" s="142"/>
      <c r="CF695" s="142"/>
      <c r="CL695" s="142"/>
      <c r="CR695" s="142"/>
      <c r="CX695" s="142"/>
      <c r="DD695" s="142"/>
      <c r="DJ695" s="142"/>
      <c r="DP695" s="142"/>
      <c r="DV695" s="142"/>
      <c r="EB695" s="142"/>
      <c r="EH695" s="142"/>
      <c r="EN695" s="142"/>
      <c r="ET695" s="142"/>
      <c r="EZ695" s="142"/>
      <c r="FF695" s="142"/>
      <c r="FL695" s="142"/>
      <c r="FR695" s="142"/>
      <c r="FX695" s="142"/>
      <c r="GD695" s="142"/>
      <c r="GJ695" s="142"/>
      <c r="GP695" s="142"/>
      <c r="GV695" s="142"/>
      <c r="HB695" s="142"/>
      <c r="HH695" s="142"/>
      <c r="HN695" s="142"/>
      <c r="HT695" s="142"/>
      <c r="HZ695" s="142"/>
    </row>
    <row r="696">
      <c r="F696" s="142"/>
      <c r="L696" s="142"/>
      <c r="R696" s="142"/>
      <c r="X696" s="142"/>
      <c r="AD696" s="142"/>
      <c r="AJ696" s="142"/>
      <c r="AP696" s="142"/>
      <c r="AV696" s="142"/>
      <c r="BA696" s="142"/>
      <c r="BH696" s="142"/>
      <c r="BN696" s="142"/>
      <c r="BT696" s="142"/>
      <c r="BZ696" s="142"/>
      <c r="CF696" s="142"/>
      <c r="CL696" s="142"/>
      <c r="CR696" s="142"/>
      <c r="CX696" s="142"/>
      <c r="DD696" s="142"/>
      <c r="DJ696" s="142"/>
      <c r="DP696" s="142"/>
      <c r="DV696" s="142"/>
      <c r="EB696" s="142"/>
      <c r="EH696" s="142"/>
      <c r="EN696" s="142"/>
      <c r="ET696" s="142"/>
      <c r="EZ696" s="142"/>
      <c r="FF696" s="142"/>
      <c r="FL696" s="142"/>
      <c r="FR696" s="142"/>
      <c r="FX696" s="142"/>
      <c r="GD696" s="142"/>
      <c r="GJ696" s="142"/>
      <c r="GP696" s="142"/>
      <c r="GV696" s="142"/>
      <c r="HB696" s="142"/>
      <c r="HH696" s="142"/>
      <c r="HN696" s="142"/>
      <c r="HT696" s="142"/>
      <c r="HZ696" s="142"/>
    </row>
    <row r="697">
      <c r="F697" s="142"/>
      <c r="L697" s="142"/>
      <c r="R697" s="142"/>
      <c r="X697" s="142"/>
      <c r="AD697" s="142"/>
      <c r="AJ697" s="142"/>
      <c r="AP697" s="142"/>
      <c r="AV697" s="142"/>
      <c r="BA697" s="142"/>
      <c r="BH697" s="142"/>
      <c r="BN697" s="142"/>
      <c r="BT697" s="142"/>
      <c r="BZ697" s="142"/>
      <c r="CF697" s="142"/>
      <c r="CL697" s="142"/>
      <c r="CR697" s="142"/>
      <c r="CX697" s="142"/>
      <c r="DD697" s="142"/>
      <c r="DJ697" s="142"/>
      <c r="DP697" s="142"/>
      <c r="DV697" s="142"/>
      <c r="EB697" s="142"/>
      <c r="EH697" s="142"/>
      <c r="EN697" s="142"/>
      <c r="ET697" s="142"/>
      <c r="EZ697" s="142"/>
      <c r="FF697" s="142"/>
      <c r="FL697" s="142"/>
      <c r="FR697" s="142"/>
      <c r="FX697" s="142"/>
      <c r="GD697" s="142"/>
      <c r="GJ697" s="142"/>
      <c r="GP697" s="142"/>
      <c r="GV697" s="142"/>
      <c r="HB697" s="142"/>
      <c r="HH697" s="142"/>
      <c r="HN697" s="142"/>
      <c r="HT697" s="142"/>
      <c r="HZ697" s="142"/>
    </row>
    <row r="698">
      <c r="F698" s="142"/>
      <c r="L698" s="142"/>
      <c r="R698" s="142"/>
      <c r="X698" s="142"/>
      <c r="AD698" s="142"/>
      <c r="AJ698" s="142"/>
      <c r="AP698" s="142"/>
      <c r="AV698" s="142"/>
      <c r="BA698" s="142"/>
      <c r="BH698" s="142"/>
      <c r="BN698" s="142"/>
      <c r="BT698" s="142"/>
      <c r="BZ698" s="142"/>
      <c r="CF698" s="142"/>
      <c r="CL698" s="142"/>
      <c r="CR698" s="142"/>
      <c r="CX698" s="142"/>
      <c r="DD698" s="142"/>
      <c r="DJ698" s="142"/>
      <c r="DP698" s="142"/>
      <c r="DV698" s="142"/>
      <c r="EB698" s="142"/>
      <c r="EH698" s="142"/>
      <c r="EN698" s="142"/>
      <c r="ET698" s="142"/>
      <c r="EZ698" s="142"/>
      <c r="FF698" s="142"/>
      <c r="FL698" s="142"/>
      <c r="FR698" s="142"/>
      <c r="FX698" s="142"/>
      <c r="GD698" s="142"/>
      <c r="GJ698" s="142"/>
      <c r="GP698" s="142"/>
      <c r="GV698" s="142"/>
      <c r="HB698" s="142"/>
      <c r="HH698" s="142"/>
      <c r="HN698" s="142"/>
      <c r="HT698" s="142"/>
      <c r="HZ698" s="142"/>
    </row>
    <row r="699">
      <c r="F699" s="142"/>
      <c r="L699" s="142"/>
      <c r="R699" s="142"/>
      <c r="X699" s="142"/>
      <c r="AD699" s="142"/>
      <c r="AJ699" s="142"/>
      <c r="AP699" s="142"/>
      <c r="AV699" s="142"/>
      <c r="BA699" s="142"/>
      <c r="BH699" s="142"/>
      <c r="BN699" s="142"/>
      <c r="BT699" s="142"/>
      <c r="BZ699" s="142"/>
      <c r="CF699" s="142"/>
      <c r="CL699" s="142"/>
      <c r="CR699" s="142"/>
      <c r="CX699" s="142"/>
      <c r="DD699" s="142"/>
      <c r="DJ699" s="142"/>
      <c r="DP699" s="142"/>
      <c r="DV699" s="142"/>
      <c r="EB699" s="142"/>
      <c r="EH699" s="142"/>
      <c r="EN699" s="142"/>
      <c r="ET699" s="142"/>
      <c r="EZ699" s="142"/>
      <c r="FF699" s="142"/>
      <c r="FL699" s="142"/>
      <c r="FR699" s="142"/>
      <c r="FX699" s="142"/>
      <c r="GD699" s="142"/>
      <c r="GJ699" s="142"/>
      <c r="GP699" s="142"/>
      <c r="GV699" s="142"/>
      <c r="HB699" s="142"/>
      <c r="HH699" s="142"/>
      <c r="HN699" s="142"/>
      <c r="HT699" s="142"/>
      <c r="HZ699" s="142"/>
    </row>
    <row r="700">
      <c r="F700" s="142"/>
      <c r="L700" s="142"/>
      <c r="R700" s="142"/>
      <c r="X700" s="142"/>
      <c r="AD700" s="142"/>
      <c r="AJ700" s="142"/>
      <c r="AP700" s="142"/>
      <c r="AV700" s="142"/>
      <c r="BA700" s="142"/>
      <c r="BH700" s="142"/>
      <c r="BN700" s="142"/>
      <c r="BT700" s="142"/>
      <c r="BZ700" s="142"/>
      <c r="CF700" s="142"/>
      <c r="CL700" s="142"/>
      <c r="CR700" s="142"/>
      <c r="CX700" s="142"/>
      <c r="DD700" s="142"/>
      <c r="DJ700" s="142"/>
      <c r="DP700" s="142"/>
      <c r="DV700" s="142"/>
      <c r="EB700" s="142"/>
      <c r="EH700" s="142"/>
      <c r="EN700" s="142"/>
      <c r="ET700" s="142"/>
      <c r="EZ700" s="142"/>
      <c r="FF700" s="142"/>
      <c r="FL700" s="142"/>
      <c r="FR700" s="142"/>
      <c r="FX700" s="142"/>
      <c r="GD700" s="142"/>
      <c r="GJ700" s="142"/>
      <c r="GP700" s="142"/>
      <c r="GV700" s="142"/>
      <c r="HB700" s="142"/>
      <c r="HH700" s="142"/>
      <c r="HN700" s="142"/>
      <c r="HT700" s="142"/>
      <c r="HZ700" s="142"/>
    </row>
    <row r="701">
      <c r="F701" s="142"/>
      <c r="L701" s="142"/>
      <c r="R701" s="142"/>
      <c r="X701" s="142"/>
      <c r="AD701" s="142"/>
      <c r="AJ701" s="142"/>
      <c r="AP701" s="142"/>
      <c r="AV701" s="142"/>
      <c r="BA701" s="142"/>
      <c r="BH701" s="142"/>
      <c r="BN701" s="142"/>
      <c r="BT701" s="142"/>
      <c r="BZ701" s="142"/>
      <c r="CF701" s="142"/>
      <c r="CL701" s="142"/>
      <c r="CR701" s="142"/>
      <c r="CX701" s="142"/>
      <c r="DD701" s="142"/>
      <c r="DJ701" s="142"/>
      <c r="DP701" s="142"/>
      <c r="DV701" s="142"/>
      <c r="EB701" s="142"/>
      <c r="EH701" s="142"/>
      <c r="EN701" s="142"/>
      <c r="ET701" s="142"/>
      <c r="EZ701" s="142"/>
      <c r="FF701" s="142"/>
      <c r="FL701" s="142"/>
      <c r="FR701" s="142"/>
      <c r="FX701" s="142"/>
      <c r="GD701" s="142"/>
      <c r="GJ701" s="142"/>
      <c r="GP701" s="142"/>
      <c r="GV701" s="142"/>
      <c r="HB701" s="142"/>
      <c r="HH701" s="142"/>
      <c r="HN701" s="142"/>
      <c r="HT701" s="142"/>
      <c r="HZ701" s="142"/>
    </row>
    <row r="702">
      <c r="F702" s="142"/>
      <c r="L702" s="142"/>
      <c r="R702" s="142"/>
      <c r="X702" s="142"/>
      <c r="AD702" s="142"/>
      <c r="AJ702" s="142"/>
      <c r="AP702" s="142"/>
      <c r="AV702" s="142"/>
      <c r="BA702" s="142"/>
      <c r="BH702" s="142"/>
      <c r="BN702" s="142"/>
      <c r="BT702" s="142"/>
      <c r="BZ702" s="142"/>
      <c r="CF702" s="142"/>
      <c r="CL702" s="142"/>
      <c r="CR702" s="142"/>
      <c r="CX702" s="142"/>
      <c r="DD702" s="142"/>
      <c r="DJ702" s="142"/>
      <c r="DP702" s="142"/>
      <c r="DV702" s="142"/>
      <c r="EB702" s="142"/>
      <c r="EH702" s="142"/>
      <c r="EN702" s="142"/>
      <c r="ET702" s="142"/>
      <c r="EZ702" s="142"/>
      <c r="FF702" s="142"/>
      <c r="FL702" s="142"/>
      <c r="FR702" s="142"/>
      <c r="FX702" s="142"/>
      <c r="GD702" s="142"/>
      <c r="GJ702" s="142"/>
      <c r="GP702" s="142"/>
      <c r="GV702" s="142"/>
      <c r="HB702" s="142"/>
      <c r="HH702" s="142"/>
      <c r="HN702" s="142"/>
      <c r="HT702" s="142"/>
      <c r="HZ702" s="142"/>
    </row>
    <row r="703">
      <c r="F703" s="142"/>
      <c r="L703" s="142"/>
      <c r="R703" s="142"/>
      <c r="X703" s="142"/>
      <c r="AD703" s="142"/>
      <c r="AJ703" s="142"/>
      <c r="AP703" s="142"/>
      <c r="AV703" s="142"/>
      <c r="BA703" s="142"/>
      <c r="BH703" s="142"/>
      <c r="BN703" s="142"/>
      <c r="BT703" s="142"/>
      <c r="BZ703" s="142"/>
      <c r="CF703" s="142"/>
      <c r="CL703" s="142"/>
      <c r="CR703" s="142"/>
      <c r="CX703" s="142"/>
      <c r="DD703" s="142"/>
      <c r="DJ703" s="142"/>
      <c r="DP703" s="142"/>
      <c r="DV703" s="142"/>
      <c r="EB703" s="142"/>
      <c r="EH703" s="142"/>
      <c r="EN703" s="142"/>
      <c r="ET703" s="142"/>
      <c r="EZ703" s="142"/>
      <c r="FF703" s="142"/>
      <c r="FL703" s="142"/>
      <c r="FR703" s="142"/>
      <c r="FX703" s="142"/>
      <c r="GD703" s="142"/>
      <c r="GJ703" s="142"/>
      <c r="GP703" s="142"/>
      <c r="GV703" s="142"/>
      <c r="HB703" s="142"/>
      <c r="HH703" s="142"/>
      <c r="HN703" s="142"/>
      <c r="HT703" s="142"/>
      <c r="HZ703" s="142"/>
    </row>
    <row r="704">
      <c r="F704" s="142"/>
      <c r="L704" s="142"/>
      <c r="R704" s="142"/>
      <c r="X704" s="142"/>
      <c r="AD704" s="142"/>
      <c r="AJ704" s="142"/>
      <c r="AP704" s="142"/>
      <c r="AV704" s="142"/>
      <c r="BA704" s="142"/>
      <c r="BH704" s="142"/>
      <c r="BN704" s="142"/>
      <c r="BT704" s="142"/>
      <c r="BZ704" s="142"/>
      <c r="CF704" s="142"/>
      <c r="CL704" s="142"/>
      <c r="CR704" s="142"/>
      <c r="CX704" s="142"/>
      <c r="DD704" s="142"/>
      <c r="DJ704" s="142"/>
      <c r="DP704" s="142"/>
      <c r="DV704" s="142"/>
      <c r="EB704" s="142"/>
      <c r="EH704" s="142"/>
      <c r="EN704" s="142"/>
      <c r="ET704" s="142"/>
      <c r="EZ704" s="142"/>
      <c r="FF704" s="142"/>
      <c r="FL704" s="142"/>
      <c r="FR704" s="142"/>
      <c r="FX704" s="142"/>
      <c r="GD704" s="142"/>
      <c r="GJ704" s="142"/>
      <c r="GP704" s="142"/>
      <c r="GV704" s="142"/>
      <c r="HB704" s="142"/>
      <c r="HH704" s="142"/>
      <c r="HN704" s="142"/>
      <c r="HT704" s="142"/>
      <c r="HZ704" s="142"/>
    </row>
    <row r="705">
      <c r="F705" s="142"/>
      <c r="L705" s="142"/>
      <c r="R705" s="142"/>
      <c r="X705" s="142"/>
      <c r="AD705" s="142"/>
      <c r="AJ705" s="142"/>
      <c r="AP705" s="142"/>
      <c r="AV705" s="142"/>
      <c r="BA705" s="142"/>
      <c r="BH705" s="142"/>
      <c r="BN705" s="142"/>
      <c r="BT705" s="142"/>
      <c r="BZ705" s="142"/>
      <c r="CF705" s="142"/>
      <c r="CL705" s="142"/>
      <c r="CR705" s="142"/>
      <c r="CX705" s="142"/>
      <c r="DD705" s="142"/>
      <c r="DJ705" s="142"/>
      <c r="DP705" s="142"/>
      <c r="DV705" s="142"/>
      <c r="EB705" s="142"/>
      <c r="EH705" s="142"/>
      <c r="EN705" s="142"/>
      <c r="ET705" s="142"/>
      <c r="EZ705" s="142"/>
      <c r="FF705" s="142"/>
      <c r="FL705" s="142"/>
      <c r="FR705" s="142"/>
      <c r="FX705" s="142"/>
      <c r="GD705" s="142"/>
      <c r="GJ705" s="142"/>
      <c r="GP705" s="142"/>
      <c r="GV705" s="142"/>
      <c r="HB705" s="142"/>
      <c r="HH705" s="142"/>
      <c r="HN705" s="142"/>
      <c r="HT705" s="142"/>
      <c r="HZ705" s="142"/>
    </row>
    <row r="706">
      <c r="F706" s="142"/>
      <c r="L706" s="142"/>
      <c r="R706" s="142"/>
      <c r="X706" s="142"/>
      <c r="AD706" s="142"/>
      <c r="AJ706" s="142"/>
      <c r="AP706" s="142"/>
      <c r="AV706" s="142"/>
      <c r="BA706" s="142"/>
      <c r="BH706" s="142"/>
      <c r="BN706" s="142"/>
      <c r="BT706" s="142"/>
      <c r="BZ706" s="142"/>
      <c r="CF706" s="142"/>
      <c r="CL706" s="142"/>
      <c r="CR706" s="142"/>
      <c r="CX706" s="142"/>
      <c r="DD706" s="142"/>
      <c r="DJ706" s="142"/>
      <c r="DP706" s="142"/>
      <c r="DV706" s="142"/>
      <c r="EB706" s="142"/>
      <c r="EH706" s="142"/>
      <c r="EN706" s="142"/>
      <c r="ET706" s="142"/>
      <c r="EZ706" s="142"/>
      <c r="FF706" s="142"/>
      <c r="FL706" s="142"/>
      <c r="FR706" s="142"/>
      <c r="FX706" s="142"/>
      <c r="GD706" s="142"/>
      <c r="GJ706" s="142"/>
      <c r="GP706" s="142"/>
      <c r="GV706" s="142"/>
      <c r="HB706" s="142"/>
      <c r="HH706" s="142"/>
      <c r="HN706" s="142"/>
      <c r="HT706" s="142"/>
      <c r="HZ706" s="142"/>
    </row>
    <row r="707">
      <c r="F707" s="142"/>
      <c r="L707" s="142"/>
      <c r="R707" s="142"/>
      <c r="X707" s="142"/>
      <c r="AD707" s="142"/>
      <c r="AJ707" s="142"/>
      <c r="AP707" s="142"/>
      <c r="AV707" s="142"/>
      <c r="BA707" s="142"/>
      <c r="BH707" s="142"/>
      <c r="BN707" s="142"/>
      <c r="BT707" s="142"/>
      <c r="BZ707" s="142"/>
      <c r="CF707" s="142"/>
      <c r="CL707" s="142"/>
      <c r="CR707" s="142"/>
      <c r="CX707" s="142"/>
      <c r="DD707" s="142"/>
      <c r="DJ707" s="142"/>
      <c r="DP707" s="142"/>
      <c r="DV707" s="142"/>
      <c r="EB707" s="142"/>
      <c r="EH707" s="142"/>
      <c r="EN707" s="142"/>
      <c r="ET707" s="142"/>
      <c r="EZ707" s="142"/>
      <c r="FF707" s="142"/>
      <c r="FL707" s="142"/>
      <c r="FR707" s="142"/>
      <c r="FX707" s="142"/>
      <c r="GD707" s="142"/>
      <c r="GJ707" s="142"/>
      <c r="GP707" s="142"/>
      <c r="GV707" s="142"/>
      <c r="HB707" s="142"/>
      <c r="HH707" s="142"/>
      <c r="HN707" s="142"/>
      <c r="HT707" s="142"/>
      <c r="HZ707" s="142"/>
    </row>
    <row r="708">
      <c r="F708" s="142"/>
      <c r="L708" s="142"/>
      <c r="R708" s="142"/>
      <c r="X708" s="142"/>
      <c r="AD708" s="142"/>
      <c r="AJ708" s="142"/>
      <c r="AP708" s="142"/>
      <c r="AV708" s="142"/>
      <c r="BA708" s="142"/>
      <c r="BH708" s="142"/>
      <c r="BN708" s="142"/>
      <c r="BT708" s="142"/>
      <c r="BZ708" s="142"/>
      <c r="CF708" s="142"/>
      <c r="CL708" s="142"/>
      <c r="CR708" s="142"/>
      <c r="CX708" s="142"/>
      <c r="DD708" s="142"/>
      <c r="DJ708" s="142"/>
      <c r="DP708" s="142"/>
      <c r="DV708" s="142"/>
      <c r="EB708" s="142"/>
      <c r="EH708" s="142"/>
      <c r="EN708" s="142"/>
      <c r="ET708" s="142"/>
      <c r="EZ708" s="142"/>
      <c r="FF708" s="142"/>
      <c r="FL708" s="142"/>
      <c r="FR708" s="142"/>
      <c r="FX708" s="142"/>
      <c r="GD708" s="142"/>
      <c r="GJ708" s="142"/>
      <c r="GP708" s="142"/>
      <c r="GV708" s="142"/>
      <c r="HB708" s="142"/>
      <c r="HH708" s="142"/>
      <c r="HN708" s="142"/>
      <c r="HT708" s="142"/>
      <c r="HZ708" s="142"/>
    </row>
    <row r="709">
      <c r="F709" s="142"/>
      <c r="L709" s="142"/>
      <c r="R709" s="142"/>
      <c r="X709" s="142"/>
      <c r="AD709" s="142"/>
      <c r="AJ709" s="142"/>
      <c r="AP709" s="142"/>
      <c r="AV709" s="142"/>
      <c r="BA709" s="142"/>
      <c r="BH709" s="142"/>
      <c r="BN709" s="142"/>
      <c r="BT709" s="142"/>
      <c r="BZ709" s="142"/>
      <c r="CF709" s="142"/>
      <c r="CL709" s="142"/>
      <c r="CR709" s="142"/>
      <c r="CX709" s="142"/>
      <c r="DD709" s="142"/>
      <c r="DJ709" s="142"/>
      <c r="DP709" s="142"/>
      <c r="DV709" s="142"/>
      <c r="EB709" s="142"/>
      <c r="EH709" s="142"/>
      <c r="EN709" s="142"/>
      <c r="ET709" s="142"/>
      <c r="EZ709" s="142"/>
      <c r="FF709" s="142"/>
      <c r="FL709" s="142"/>
      <c r="FR709" s="142"/>
      <c r="FX709" s="142"/>
      <c r="GD709" s="142"/>
      <c r="GJ709" s="142"/>
      <c r="GP709" s="142"/>
      <c r="GV709" s="142"/>
      <c r="HB709" s="142"/>
      <c r="HH709" s="142"/>
      <c r="HN709" s="142"/>
      <c r="HT709" s="142"/>
      <c r="HZ709" s="142"/>
    </row>
    <row r="710">
      <c r="F710" s="142"/>
      <c r="L710" s="142"/>
      <c r="R710" s="142"/>
      <c r="X710" s="142"/>
      <c r="AD710" s="142"/>
      <c r="AJ710" s="142"/>
      <c r="AP710" s="142"/>
      <c r="AV710" s="142"/>
      <c r="BA710" s="142"/>
      <c r="BH710" s="142"/>
      <c r="BN710" s="142"/>
      <c r="BT710" s="142"/>
      <c r="BZ710" s="142"/>
      <c r="CF710" s="142"/>
      <c r="CL710" s="142"/>
      <c r="CR710" s="142"/>
      <c r="CX710" s="142"/>
      <c r="DD710" s="142"/>
      <c r="DJ710" s="142"/>
      <c r="DP710" s="142"/>
      <c r="DV710" s="142"/>
      <c r="EB710" s="142"/>
      <c r="EH710" s="142"/>
      <c r="EN710" s="142"/>
      <c r="ET710" s="142"/>
      <c r="EZ710" s="142"/>
      <c r="FF710" s="142"/>
      <c r="FL710" s="142"/>
      <c r="FR710" s="142"/>
      <c r="FX710" s="142"/>
      <c r="GD710" s="142"/>
      <c r="GJ710" s="142"/>
      <c r="GP710" s="142"/>
      <c r="GV710" s="142"/>
      <c r="HB710" s="142"/>
      <c r="HH710" s="142"/>
      <c r="HN710" s="142"/>
      <c r="HT710" s="142"/>
      <c r="HZ710" s="142"/>
    </row>
    <row r="711">
      <c r="F711" s="142"/>
      <c r="L711" s="142"/>
      <c r="R711" s="142"/>
      <c r="X711" s="142"/>
      <c r="AD711" s="142"/>
      <c r="AJ711" s="142"/>
      <c r="AP711" s="142"/>
      <c r="AV711" s="142"/>
      <c r="BA711" s="142"/>
      <c r="BH711" s="142"/>
      <c r="BN711" s="142"/>
      <c r="BT711" s="142"/>
      <c r="BZ711" s="142"/>
      <c r="CF711" s="142"/>
      <c r="CL711" s="142"/>
      <c r="CR711" s="142"/>
      <c r="CX711" s="142"/>
      <c r="DD711" s="142"/>
      <c r="DJ711" s="142"/>
      <c r="DP711" s="142"/>
      <c r="DV711" s="142"/>
      <c r="EB711" s="142"/>
      <c r="EH711" s="142"/>
      <c r="EN711" s="142"/>
      <c r="ET711" s="142"/>
      <c r="EZ711" s="142"/>
      <c r="FF711" s="142"/>
      <c r="FL711" s="142"/>
      <c r="FR711" s="142"/>
      <c r="FX711" s="142"/>
      <c r="GD711" s="142"/>
      <c r="GJ711" s="142"/>
      <c r="GP711" s="142"/>
      <c r="GV711" s="142"/>
      <c r="HB711" s="142"/>
      <c r="HH711" s="142"/>
      <c r="HN711" s="142"/>
      <c r="HT711" s="142"/>
      <c r="HZ711" s="142"/>
    </row>
    <row r="712">
      <c r="F712" s="142"/>
      <c r="L712" s="142"/>
      <c r="R712" s="142"/>
      <c r="X712" s="142"/>
      <c r="AD712" s="142"/>
      <c r="AJ712" s="142"/>
      <c r="AP712" s="142"/>
      <c r="AV712" s="142"/>
      <c r="BA712" s="142"/>
      <c r="BH712" s="142"/>
      <c r="BN712" s="142"/>
      <c r="BT712" s="142"/>
      <c r="BZ712" s="142"/>
      <c r="CF712" s="142"/>
      <c r="CL712" s="142"/>
      <c r="CR712" s="142"/>
      <c r="CX712" s="142"/>
      <c r="DD712" s="142"/>
      <c r="DJ712" s="142"/>
      <c r="DP712" s="142"/>
      <c r="DV712" s="142"/>
      <c r="EB712" s="142"/>
      <c r="EH712" s="142"/>
      <c r="EN712" s="142"/>
      <c r="ET712" s="142"/>
      <c r="EZ712" s="142"/>
      <c r="FF712" s="142"/>
      <c r="FL712" s="142"/>
      <c r="FR712" s="142"/>
      <c r="FX712" s="142"/>
      <c r="GD712" s="142"/>
      <c r="GJ712" s="142"/>
      <c r="GP712" s="142"/>
      <c r="GV712" s="142"/>
      <c r="HB712" s="142"/>
      <c r="HH712" s="142"/>
      <c r="HN712" s="142"/>
      <c r="HT712" s="142"/>
      <c r="HZ712" s="142"/>
    </row>
    <row r="713">
      <c r="F713" s="142"/>
      <c r="L713" s="142"/>
      <c r="R713" s="142"/>
      <c r="X713" s="142"/>
      <c r="AD713" s="142"/>
      <c r="AJ713" s="142"/>
      <c r="AP713" s="142"/>
      <c r="AV713" s="142"/>
      <c r="BA713" s="142"/>
      <c r="BH713" s="142"/>
      <c r="BN713" s="142"/>
      <c r="BT713" s="142"/>
      <c r="BZ713" s="142"/>
      <c r="CF713" s="142"/>
      <c r="CL713" s="142"/>
      <c r="CR713" s="142"/>
      <c r="CX713" s="142"/>
      <c r="DD713" s="142"/>
      <c r="DJ713" s="142"/>
      <c r="DP713" s="142"/>
      <c r="DV713" s="142"/>
      <c r="EB713" s="142"/>
      <c r="EH713" s="142"/>
      <c r="EN713" s="142"/>
      <c r="ET713" s="142"/>
      <c r="EZ713" s="142"/>
      <c r="FF713" s="142"/>
      <c r="FL713" s="142"/>
      <c r="FR713" s="142"/>
      <c r="FX713" s="142"/>
      <c r="GD713" s="142"/>
      <c r="GJ713" s="142"/>
      <c r="GP713" s="142"/>
      <c r="GV713" s="142"/>
      <c r="HB713" s="142"/>
      <c r="HH713" s="142"/>
      <c r="HN713" s="142"/>
      <c r="HT713" s="142"/>
      <c r="HZ713" s="142"/>
    </row>
    <row r="714">
      <c r="F714" s="142"/>
      <c r="L714" s="142"/>
      <c r="R714" s="142"/>
      <c r="X714" s="142"/>
      <c r="AD714" s="142"/>
      <c r="AJ714" s="142"/>
      <c r="AP714" s="142"/>
      <c r="AV714" s="142"/>
      <c r="BA714" s="142"/>
      <c r="BH714" s="142"/>
      <c r="BN714" s="142"/>
      <c r="BT714" s="142"/>
      <c r="BZ714" s="142"/>
      <c r="CF714" s="142"/>
      <c r="CL714" s="142"/>
      <c r="CR714" s="142"/>
      <c r="CX714" s="142"/>
      <c r="DD714" s="142"/>
      <c r="DJ714" s="142"/>
      <c r="DP714" s="142"/>
      <c r="DV714" s="142"/>
      <c r="EB714" s="142"/>
      <c r="EH714" s="142"/>
      <c r="EN714" s="142"/>
      <c r="ET714" s="142"/>
      <c r="EZ714" s="142"/>
      <c r="FF714" s="142"/>
      <c r="FL714" s="142"/>
      <c r="FR714" s="142"/>
      <c r="FX714" s="142"/>
      <c r="GD714" s="142"/>
      <c r="GJ714" s="142"/>
      <c r="GP714" s="142"/>
      <c r="GV714" s="142"/>
      <c r="HB714" s="142"/>
      <c r="HH714" s="142"/>
      <c r="HN714" s="142"/>
      <c r="HT714" s="142"/>
      <c r="HZ714" s="142"/>
    </row>
    <row r="715">
      <c r="F715" s="142"/>
      <c r="L715" s="142"/>
      <c r="R715" s="142"/>
      <c r="X715" s="142"/>
      <c r="AD715" s="142"/>
      <c r="AJ715" s="142"/>
      <c r="AP715" s="142"/>
      <c r="AV715" s="142"/>
      <c r="BA715" s="142"/>
      <c r="BH715" s="142"/>
      <c r="BN715" s="142"/>
      <c r="BT715" s="142"/>
      <c r="BZ715" s="142"/>
      <c r="CF715" s="142"/>
      <c r="CL715" s="142"/>
      <c r="CR715" s="142"/>
      <c r="CX715" s="142"/>
      <c r="DD715" s="142"/>
      <c r="DJ715" s="142"/>
      <c r="DP715" s="142"/>
      <c r="DV715" s="142"/>
      <c r="EB715" s="142"/>
      <c r="EH715" s="142"/>
      <c r="EN715" s="142"/>
      <c r="ET715" s="142"/>
      <c r="EZ715" s="142"/>
      <c r="FF715" s="142"/>
      <c r="FL715" s="142"/>
      <c r="FR715" s="142"/>
      <c r="FX715" s="142"/>
      <c r="GD715" s="142"/>
      <c r="GJ715" s="142"/>
      <c r="GP715" s="142"/>
      <c r="GV715" s="142"/>
      <c r="HB715" s="142"/>
      <c r="HH715" s="142"/>
      <c r="HN715" s="142"/>
      <c r="HT715" s="142"/>
      <c r="HZ715" s="142"/>
    </row>
    <row r="716">
      <c r="F716" s="142"/>
      <c r="L716" s="142"/>
      <c r="R716" s="142"/>
      <c r="X716" s="142"/>
      <c r="AD716" s="142"/>
      <c r="AJ716" s="142"/>
      <c r="AP716" s="142"/>
      <c r="AV716" s="142"/>
      <c r="BA716" s="142"/>
      <c r="BH716" s="142"/>
      <c r="BN716" s="142"/>
      <c r="BT716" s="142"/>
      <c r="BZ716" s="142"/>
      <c r="CF716" s="142"/>
      <c r="CL716" s="142"/>
      <c r="CR716" s="142"/>
      <c r="CX716" s="142"/>
      <c r="DD716" s="142"/>
      <c r="DJ716" s="142"/>
      <c r="DP716" s="142"/>
      <c r="DV716" s="142"/>
      <c r="EB716" s="142"/>
      <c r="EH716" s="142"/>
      <c r="EN716" s="142"/>
      <c r="ET716" s="142"/>
      <c r="EZ716" s="142"/>
      <c r="FF716" s="142"/>
      <c r="FL716" s="142"/>
      <c r="FR716" s="142"/>
      <c r="FX716" s="142"/>
      <c r="GD716" s="142"/>
      <c r="GJ716" s="142"/>
      <c r="GP716" s="142"/>
      <c r="GV716" s="142"/>
      <c r="HB716" s="142"/>
      <c r="HH716" s="142"/>
      <c r="HN716" s="142"/>
      <c r="HT716" s="142"/>
      <c r="HZ716" s="142"/>
    </row>
    <row r="717">
      <c r="F717" s="142"/>
      <c r="L717" s="142"/>
      <c r="R717" s="142"/>
      <c r="X717" s="142"/>
      <c r="AD717" s="142"/>
      <c r="AJ717" s="142"/>
      <c r="AP717" s="142"/>
      <c r="AV717" s="142"/>
      <c r="BA717" s="142"/>
      <c r="BH717" s="142"/>
      <c r="BN717" s="142"/>
      <c r="BT717" s="142"/>
      <c r="BZ717" s="142"/>
      <c r="CF717" s="142"/>
      <c r="CL717" s="142"/>
      <c r="CR717" s="142"/>
      <c r="CX717" s="142"/>
      <c r="DD717" s="142"/>
      <c r="DJ717" s="142"/>
      <c r="DP717" s="142"/>
      <c r="DV717" s="142"/>
      <c r="EB717" s="142"/>
      <c r="EH717" s="142"/>
      <c r="EN717" s="142"/>
      <c r="ET717" s="142"/>
      <c r="EZ717" s="142"/>
      <c r="FF717" s="142"/>
      <c r="FL717" s="142"/>
      <c r="FR717" s="142"/>
      <c r="FX717" s="142"/>
      <c r="GD717" s="142"/>
      <c r="GJ717" s="142"/>
      <c r="GP717" s="142"/>
      <c r="GV717" s="142"/>
      <c r="HB717" s="142"/>
      <c r="HH717" s="142"/>
      <c r="HN717" s="142"/>
      <c r="HT717" s="142"/>
      <c r="HZ717" s="142"/>
    </row>
    <row r="718">
      <c r="F718" s="142"/>
      <c r="L718" s="142"/>
      <c r="R718" s="142"/>
      <c r="X718" s="142"/>
      <c r="AD718" s="142"/>
      <c r="AJ718" s="142"/>
      <c r="AP718" s="142"/>
      <c r="AV718" s="142"/>
      <c r="BA718" s="142"/>
      <c r="BH718" s="142"/>
      <c r="BN718" s="142"/>
      <c r="BT718" s="142"/>
      <c r="BZ718" s="142"/>
      <c r="CF718" s="142"/>
      <c r="CL718" s="142"/>
      <c r="CR718" s="142"/>
      <c r="CX718" s="142"/>
      <c r="DD718" s="142"/>
      <c r="DJ718" s="142"/>
      <c r="DP718" s="142"/>
      <c r="DV718" s="142"/>
      <c r="EB718" s="142"/>
      <c r="EH718" s="142"/>
      <c r="EN718" s="142"/>
      <c r="ET718" s="142"/>
      <c r="EZ718" s="142"/>
      <c r="FF718" s="142"/>
      <c r="FL718" s="142"/>
      <c r="FR718" s="142"/>
      <c r="FX718" s="142"/>
      <c r="GD718" s="142"/>
      <c r="GJ718" s="142"/>
      <c r="GP718" s="142"/>
      <c r="GV718" s="142"/>
      <c r="HB718" s="142"/>
      <c r="HH718" s="142"/>
      <c r="HN718" s="142"/>
      <c r="HT718" s="142"/>
      <c r="HZ718" s="142"/>
    </row>
    <row r="719">
      <c r="F719" s="142"/>
      <c r="L719" s="142"/>
      <c r="R719" s="142"/>
      <c r="X719" s="142"/>
      <c r="AD719" s="142"/>
      <c r="AJ719" s="142"/>
      <c r="AP719" s="142"/>
      <c r="AV719" s="142"/>
      <c r="BA719" s="142"/>
      <c r="BH719" s="142"/>
      <c r="BN719" s="142"/>
      <c r="BT719" s="142"/>
      <c r="BZ719" s="142"/>
      <c r="CF719" s="142"/>
      <c r="CL719" s="142"/>
      <c r="CR719" s="142"/>
      <c r="CX719" s="142"/>
      <c r="DD719" s="142"/>
      <c r="DJ719" s="142"/>
      <c r="DP719" s="142"/>
      <c r="DV719" s="142"/>
      <c r="EB719" s="142"/>
      <c r="EH719" s="142"/>
      <c r="EN719" s="142"/>
      <c r="ET719" s="142"/>
      <c r="EZ719" s="142"/>
      <c r="FF719" s="142"/>
      <c r="FL719" s="142"/>
      <c r="FR719" s="142"/>
      <c r="FX719" s="142"/>
      <c r="GD719" s="142"/>
      <c r="GJ719" s="142"/>
      <c r="GP719" s="142"/>
      <c r="GV719" s="142"/>
      <c r="HB719" s="142"/>
      <c r="HH719" s="142"/>
      <c r="HN719" s="142"/>
      <c r="HT719" s="142"/>
      <c r="HZ719" s="142"/>
    </row>
    <row r="720">
      <c r="F720" s="142"/>
      <c r="L720" s="142"/>
      <c r="R720" s="142"/>
      <c r="X720" s="142"/>
      <c r="AD720" s="142"/>
      <c r="AJ720" s="142"/>
      <c r="AP720" s="142"/>
      <c r="AV720" s="142"/>
      <c r="BA720" s="142"/>
      <c r="BH720" s="142"/>
      <c r="BN720" s="142"/>
      <c r="BT720" s="142"/>
      <c r="BZ720" s="142"/>
      <c r="CF720" s="142"/>
      <c r="CL720" s="142"/>
      <c r="CR720" s="142"/>
      <c r="CX720" s="142"/>
      <c r="DD720" s="142"/>
      <c r="DJ720" s="142"/>
      <c r="DP720" s="142"/>
      <c r="DV720" s="142"/>
      <c r="EB720" s="142"/>
      <c r="EH720" s="142"/>
      <c r="EN720" s="142"/>
      <c r="ET720" s="142"/>
      <c r="EZ720" s="142"/>
      <c r="FF720" s="142"/>
      <c r="FL720" s="142"/>
      <c r="FR720" s="142"/>
      <c r="FX720" s="142"/>
      <c r="GD720" s="142"/>
      <c r="GJ720" s="142"/>
      <c r="GP720" s="142"/>
      <c r="GV720" s="142"/>
      <c r="HB720" s="142"/>
      <c r="HH720" s="142"/>
      <c r="HN720" s="142"/>
      <c r="HT720" s="142"/>
      <c r="HZ720" s="142"/>
    </row>
    <row r="721">
      <c r="F721" s="142"/>
      <c r="L721" s="142"/>
      <c r="R721" s="142"/>
      <c r="X721" s="142"/>
      <c r="AD721" s="142"/>
      <c r="AJ721" s="142"/>
      <c r="AP721" s="142"/>
      <c r="AV721" s="142"/>
      <c r="BA721" s="142"/>
      <c r="BH721" s="142"/>
      <c r="BN721" s="142"/>
      <c r="BT721" s="142"/>
      <c r="BZ721" s="142"/>
      <c r="CF721" s="142"/>
      <c r="CL721" s="142"/>
      <c r="CR721" s="142"/>
      <c r="CX721" s="142"/>
      <c r="DD721" s="142"/>
      <c r="DJ721" s="142"/>
      <c r="DP721" s="142"/>
      <c r="DV721" s="142"/>
      <c r="EB721" s="142"/>
      <c r="EH721" s="142"/>
      <c r="EN721" s="142"/>
      <c r="ET721" s="142"/>
      <c r="EZ721" s="142"/>
      <c r="FF721" s="142"/>
      <c r="FL721" s="142"/>
      <c r="FR721" s="142"/>
      <c r="FX721" s="142"/>
      <c r="GD721" s="142"/>
      <c r="GJ721" s="142"/>
      <c r="GP721" s="142"/>
      <c r="GV721" s="142"/>
      <c r="HB721" s="142"/>
      <c r="HH721" s="142"/>
      <c r="HN721" s="142"/>
      <c r="HT721" s="142"/>
      <c r="HZ721" s="142"/>
    </row>
    <row r="722">
      <c r="F722" s="142"/>
      <c r="L722" s="142"/>
      <c r="R722" s="142"/>
      <c r="X722" s="142"/>
      <c r="AD722" s="142"/>
      <c r="AJ722" s="142"/>
      <c r="AP722" s="142"/>
      <c r="AV722" s="142"/>
      <c r="BA722" s="142"/>
      <c r="BH722" s="142"/>
      <c r="BN722" s="142"/>
      <c r="BT722" s="142"/>
      <c r="BZ722" s="142"/>
      <c r="CF722" s="142"/>
      <c r="CL722" s="142"/>
      <c r="CR722" s="142"/>
      <c r="CX722" s="142"/>
      <c r="DD722" s="142"/>
      <c r="DJ722" s="142"/>
      <c r="DP722" s="142"/>
      <c r="DV722" s="142"/>
      <c r="EB722" s="142"/>
      <c r="EH722" s="142"/>
      <c r="EN722" s="142"/>
      <c r="ET722" s="142"/>
      <c r="EZ722" s="142"/>
      <c r="FF722" s="142"/>
      <c r="FL722" s="142"/>
      <c r="FR722" s="142"/>
      <c r="FX722" s="142"/>
      <c r="GD722" s="142"/>
      <c r="GJ722" s="142"/>
      <c r="GP722" s="142"/>
      <c r="GV722" s="142"/>
      <c r="HB722" s="142"/>
      <c r="HH722" s="142"/>
      <c r="HN722" s="142"/>
      <c r="HT722" s="142"/>
      <c r="HZ722" s="142"/>
    </row>
    <row r="723">
      <c r="F723" s="142"/>
      <c r="L723" s="142"/>
      <c r="R723" s="142"/>
      <c r="X723" s="142"/>
      <c r="AD723" s="142"/>
      <c r="AJ723" s="142"/>
      <c r="AP723" s="142"/>
      <c r="AV723" s="142"/>
      <c r="BA723" s="142"/>
      <c r="BH723" s="142"/>
      <c r="BN723" s="142"/>
      <c r="BT723" s="142"/>
      <c r="BZ723" s="142"/>
      <c r="CF723" s="142"/>
      <c r="CL723" s="142"/>
      <c r="CR723" s="142"/>
      <c r="CX723" s="142"/>
      <c r="DD723" s="142"/>
      <c r="DJ723" s="142"/>
      <c r="DP723" s="142"/>
      <c r="DV723" s="142"/>
      <c r="EB723" s="142"/>
      <c r="EH723" s="142"/>
      <c r="EN723" s="142"/>
      <c r="ET723" s="142"/>
      <c r="EZ723" s="142"/>
      <c r="FF723" s="142"/>
      <c r="FL723" s="142"/>
      <c r="FR723" s="142"/>
      <c r="FX723" s="142"/>
      <c r="GD723" s="142"/>
      <c r="GJ723" s="142"/>
      <c r="GP723" s="142"/>
      <c r="GV723" s="142"/>
      <c r="HB723" s="142"/>
      <c r="HH723" s="142"/>
      <c r="HN723" s="142"/>
      <c r="HT723" s="142"/>
      <c r="HZ723" s="142"/>
    </row>
    <row r="724">
      <c r="F724" s="142"/>
      <c r="L724" s="142"/>
      <c r="R724" s="142"/>
      <c r="X724" s="142"/>
      <c r="AD724" s="142"/>
      <c r="AJ724" s="142"/>
      <c r="AP724" s="142"/>
      <c r="AV724" s="142"/>
      <c r="BA724" s="142"/>
      <c r="BH724" s="142"/>
      <c r="BN724" s="142"/>
      <c r="BT724" s="142"/>
      <c r="BZ724" s="142"/>
      <c r="CF724" s="142"/>
      <c r="CL724" s="142"/>
      <c r="CR724" s="142"/>
      <c r="CX724" s="142"/>
      <c r="DD724" s="142"/>
      <c r="DJ724" s="142"/>
      <c r="DP724" s="142"/>
      <c r="DV724" s="142"/>
      <c r="EB724" s="142"/>
      <c r="EH724" s="142"/>
      <c r="EN724" s="142"/>
      <c r="ET724" s="142"/>
      <c r="EZ724" s="142"/>
      <c r="FF724" s="142"/>
      <c r="FL724" s="142"/>
      <c r="FR724" s="142"/>
      <c r="FX724" s="142"/>
      <c r="GD724" s="142"/>
      <c r="GJ724" s="142"/>
      <c r="GP724" s="142"/>
      <c r="GV724" s="142"/>
      <c r="HB724" s="142"/>
      <c r="HH724" s="142"/>
      <c r="HN724" s="142"/>
      <c r="HT724" s="142"/>
      <c r="HZ724" s="142"/>
    </row>
    <row r="725">
      <c r="F725" s="142"/>
      <c r="L725" s="142"/>
      <c r="R725" s="142"/>
      <c r="X725" s="142"/>
      <c r="AD725" s="142"/>
      <c r="AJ725" s="142"/>
      <c r="AP725" s="142"/>
      <c r="AV725" s="142"/>
      <c r="BA725" s="142"/>
      <c r="BH725" s="142"/>
      <c r="BN725" s="142"/>
      <c r="BT725" s="142"/>
      <c r="BZ725" s="142"/>
      <c r="CF725" s="142"/>
      <c r="CL725" s="142"/>
      <c r="CR725" s="142"/>
      <c r="CX725" s="142"/>
      <c r="DD725" s="142"/>
      <c r="DJ725" s="142"/>
      <c r="DP725" s="142"/>
      <c r="DV725" s="142"/>
      <c r="EB725" s="142"/>
      <c r="EH725" s="142"/>
      <c r="EN725" s="142"/>
      <c r="ET725" s="142"/>
      <c r="EZ725" s="142"/>
      <c r="FF725" s="142"/>
      <c r="FL725" s="142"/>
      <c r="FR725" s="142"/>
      <c r="FX725" s="142"/>
      <c r="GD725" s="142"/>
      <c r="GJ725" s="142"/>
      <c r="GP725" s="142"/>
      <c r="GV725" s="142"/>
      <c r="HB725" s="142"/>
      <c r="HH725" s="142"/>
      <c r="HN725" s="142"/>
      <c r="HT725" s="142"/>
      <c r="HZ725" s="142"/>
    </row>
    <row r="726">
      <c r="F726" s="142"/>
      <c r="L726" s="142"/>
      <c r="R726" s="142"/>
      <c r="X726" s="142"/>
      <c r="AD726" s="142"/>
      <c r="AJ726" s="142"/>
      <c r="AP726" s="142"/>
      <c r="AV726" s="142"/>
      <c r="BA726" s="142"/>
      <c r="BH726" s="142"/>
      <c r="BN726" s="142"/>
      <c r="BT726" s="142"/>
      <c r="BZ726" s="142"/>
      <c r="CF726" s="142"/>
      <c r="CL726" s="142"/>
      <c r="CR726" s="142"/>
      <c r="CX726" s="142"/>
      <c r="DD726" s="142"/>
      <c r="DJ726" s="142"/>
      <c r="DP726" s="142"/>
      <c r="DV726" s="142"/>
      <c r="EB726" s="142"/>
      <c r="EH726" s="142"/>
      <c r="EN726" s="142"/>
      <c r="ET726" s="142"/>
      <c r="EZ726" s="142"/>
      <c r="FF726" s="142"/>
      <c r="FL726" s="142"/>
      <c r="FR726" s="142"/>
      <c r="FX726" s="142"/>
      <c r="GD726" s="142"/>
      <c r="GJ726" s="142"/>
      <c r="GP726" s="142"/>
      <c r="GV726" s="142"/>
      <c r="HB726" s="142"/>
      <c r="HH726" s="142"/>
      <c r="HN726" s="142"/>
      <c r="HT726" s="142"/>
      <c r="HZ726" s="142"/>
    </row>
    <row r="727">
      <c r="F727" s="142"/>
      <c r="L727" s="142"/>
      <c r="R727" s="142"/>
      <c r="X727" s="142"/>
      <c r="AD727" s="142"/>
      <c r="AJ727" s="142"/>
      <c r="AP727" s="142"/>
      <c r="AV727" s="142"/>
      <c r="BA727" s="142"/>
      <c r="BH727" s="142"/>
      <c r="BN727" s="142"/>
      <c r="BT727" s="142"/>
      <c r="BZ727" s="142"/>
      <c r="CF727" s="142"/>
      <c r="CL727" s="142"/>
      <c r="CR727" s="142"/>
      <c r="CX727" s="142"/>
      <c r="DD727" s="142"/>
      <c r="DJ727" s="142"/>
      <c r="DP727" s="142"/>
      <c r="DV727" s="142"/>
      <c r="EB727" s="142"/>
      <c r="EH727" s="142"/>
      <c r="EN727" s="142"/>
      <c r="ET727" s="142"/>
      <c r="EZ727" s="142"/>
      <c r="FF727" s="142"/>
      <c r="FL727" s="142"/>
      <c r="FR727" s="142"/>
      <c r="FX727" s="142"/>
      <c r="GD727" s="142"/>
      <c r="GJ727" s="142"/>
      <c r="GP727" s="142"/>
      <c r="GV727" s="142"/>
      <c r="HB727" s="142"/>
      <c r="HH727" s="142"/>
      <c r="HN727" s="142"/>
      <c r="HT727" s="142"/>
      <c r="HZ727" s="142"/>
    </row>
    <row r="728">
      <c r="F728" s="142"/>
      <c r="L728" s="142"/>
      <c r="R728" s="142"/>
      <c r="X728" s="142"/>
      <c r="AD728" s="142"/>
      <c r="AJ728" s="142"/>
      <c r="AP728" s="142"/>
      <c r="AV728" s="142"/>
      <c r="BA728" s="142"/>
      <c r="BH728" s="142"/>
      <c r="BN728" s="142"/>
      <c r="BT728" s="142"/>
      <c r="BZ728" s="142"/>
      <c r="CF728" s="142"/>
      <c r="CL728" s="142"/>
      <c r="CR728" s="142"/>
      <c r="CX728" s="142"/>
      <c r="DD728" s="142"/>
      <c r="DJ728" s="142"/>
      <c r="DP728" s="142"/>
      <c r="DV728" s="142"/>
      <c r="EB728" s="142"/>
      <c r="EH728" s="142"/>
      <c r="EN728" s="142"/>
      <c r="ET728" s="142"/>
      <c r="EZ728" s="142"/>
      <c r="FF728" s="142"/>
      <c r="FL728" s="142"/>
      <c r="FR728" s="142"/>
      <c r="FX728" s="142"/>
      <c r="GD728" s="142"/>
      <c r="GJ728" s="142"/>
      <c r="GP728" s="142"/>
      <c r="GV728" s="142"/>
      <c r="HB728" s="142"/>
      <c r="HH728" s="142"/>
      <c r="HN728" s="142"/>
      <c r="HT728" s="142"/>
      <c r="HZ728" s="142"/>
    </row>
    <row r="729">
      <c r="F729" s="142"/>
      <c r="L729" s="142"/>
      <c r="R729" s="142"/>
      <c r="X729" s="142"/>
      <c r="AD729" s="142"/>
      <c r="AJ729" s="142"/>
      <c r="AP729" s="142"/>
      <c r="AV729" s="142"/>
      <c r="BA729" s="142"/>
      <c r="BH729" s="142"/>
      <c r="BN729" s="142"/>
      <c r="BT729" s="142"/>
      <c r="BZ729" s="142"/>
      <c r="CF729" s="142"/>
      <c r="CL729" s="142"/>
      <c r="CR729" s="142"/>
      <c r="CX729" s="142"/>
      <c r="DD729" s="142"/>
      <c r="DJ729" s="142"/>
      <c r="DP729" s="142"/>
      <c r="DV729" s="142"/>
      <c r="EB729" s="142"/>
      <c r="EH729" s="142"/>
      <c r="EN729" s="142"/>
      <c r="ET729" s="142"/>
      <c r="EZ729" s="142"/>
      <c r="FF729" s="142"/>
      <c r="FL729" s="142"/>
      <c r="FR729" s="142"/>
      <c r="FX729" s="142"/>
      <c r="GD729" s="142"/>
      <c r="GJ729" s="142"/>
      <c r="GP729" s="142"/>
      <c r="GV729" s="142"/>
      <c r="HB729" s="142"/>
      <c r="HH729" s="142"/>
      <c r="HN729" s="142"/>
      <c r="HT729" s="142"/>
      <c r="HZ729" s="142"/>
    </row>
    <row r="730">
      <c r="F730" s="142"/>
      <c r="L730" s="142"/>
      <c r="R730" s="142"/>
      <c r="X730" s="142"/>
      <c r="AD730" s="142"/>
      <c r="AJ730" s="142"/>
      <c r="AP730" s="142"/>
      <c r="AV730" s="142"/>
      <c r="BA730" s="142"/>
      <c r="BH730" s="142"/>
      <c r="BN730" s="142"/>
      <c r="BT730" s="142"/>
      <c r="BZ730" s="142"/>
      <c r="CF730" s="142"/>
      <c r="CL730" s="142"/>
      <c r="CR730" s="142"/>
      <c r="CX730" s="142"/>
      <c r="DD730" s="142"/>
      <c r="DJ730" s="142"/>
      <c r="DP730" s="142"/>
      <c r="DV730" s="142"/>
      <c r="EB730" s="142"/>
      <c r="EH730" s="142"/>
      <c r="EN730" s="142"/>
      <c r="ET730" s="142"/>
      <c r="EZ730" s="142"/>
      <c r="FF730" s="142"/>
      <c r="FL730" s="142"/>
      <c r="FR730" s="142"/>
      <c r="FX730" s="142"/>
      <c r="GD730" s="142"/>
      <c r="GJ730" s="142"/>
      <c r="GP730" s="142"/>
      <c r="GV730" s="142"/>
      <c r="HB730" s="142"/>
      <c r="HH730" s="142"/>
      <c r="HN730" s="142"/>
      <c r="HT730" s="142"/>
      <c r="HZ730" s="142"/>
    </row>
    <row r="731">
      <c r="F731" s="142"/>
      <c r="L731" s="142"/>
      <c r="R731" s="142"/>
      <c r="X731" s="142"/>
      <c r="AD731" s="142"/>
      <c r="AJ731" s="142"/>
      <c r="AP731" s="142"/>
      <c r="AV731" s="142"/>
      <c r="BA731" s="142"/>
      <c r="BH731" s="142"/>
      <c r="BN731" s="142"/>
      <c r="BT731" s="142"/>
      <c r="BZ731" s="142"/>
      <c r="CF731" s="142"/>
      <c r="CL731" s="142"/>
      <c r="CR731" s="142"/>
      <c r="CX731" s="142"/>
      <c r="DD731" s="142"/>
      <c r="DJ731" s="142"/>
      <c r="DP731" s="142"/>
      <c r="DV731" s="142"/>
      <c r="EB731" s="142"/>
      <c r="EH731" s="142"/>
      <c r="EN731" s="142"/>
      <c r="ET731" s="142"/>
      <c r="EZ731" s="142"/>
      <c r="FF731" s="142"/>
      <c r="FL731" s="142"/>
      <c r="FR731" s="142"/>
      <c r="FX731" s="142"/>
      <c r="GD731" s="142"/>
      <c r="GJ731" s="142"/>
      <c r="GP731" s="142"/>
      <c r="GV731" s="142"/>
      <c r="HB731" s="142"/>
      <c r="HH731" s="142"/>
      <c r="HN731" s="142"/>
      <c r="HT731" s="142"/>
      <c r="HZ731" s="142"/>
    </row>
    <row r="732">
      <c r="F732" s="142"/>
      <c r="L732" s="142"/>
      <c r="R732" s="142"/>
      <c r="X732" s="142"/>
      <c r="AD732" s="142"/>
      <c r="AJ732" s="142"/>
      <c r="AP732" s="142"/>
      <c r="AV732" s="142"/>
      <c r="BA732" s="142"/>
      <c r="BH732" s="142"/>
      <c r="BN732" s="142"/>
      <c r="BT732" s="142"/>
      <c r="BZ732" s="142"/>
      <c r="CF732" s="142"/>
      <c r="CL732" s="142"/>
      <c r="CR732" s="142"/>
      <c r="CX732" s="142"/>
      <c r="DD732" s="142"/>
      <c r="DJ732" s="142"/>
      <c r="DP732" s="142"/>
      <c r="DV732" s="142"/>
      <c r="EB732" s="142"/>
      <c r="EH732" s="142"/>
      <c r="EN732" s="142"/>
      <c r="ET732" s="142"/>
      <c r="EZ732" s="142"/>
      <c r="FF732" s="142"/>
      <c r="FL732" s="142"/>
      <c r="FR732" s="142"/>
      <c r="FX732" s="142"/>
      <c r="GD732" s="142"/>
      <c r="GJ732" s="142"/>
      <c r="GP732" s="142"/>
      <c r="GV732" s="142"/>
      <c r="HB732" s="142"/>
      <c r="HH732" s="142"/>
      <c r="HN732" s="142"/>
      <c r="HT732" s="142"/>
      <c r="HZ732" s="142"/>
    </row>
    <row r="733">
      <c r="F733" s="142"/>
      <c r="L733" s="142"/>
      <c r="R733" s="142"/>
      <c r="X733" s="142"/>
      <c r="AD733" s="142"/>
      <c r="AJ733" s="142"/>
      <c r="AP733" s="142"/>
      <c r="AV733" s="142"/>
      <c r="BA733" s="142"/>
      <c r="BH733" s="142"/>
      <c r="BN733" s="142"/>
      <c r="BT733" s="142"/>
      <c r="BZ733" s="142"/>
      <c r="CF733" s="142"/>
      <c r="CL733" s="142"/>
      <c r="CR733" s="142"/>
      <c r="CX733" s="142"/>
      <c r="DD733" s="142"/>
      <c r="DJ733" s="142"/>
      <c r="DP733" s="142"/>
      <c r="DV733" s="142"/>
      <c r="EB733" s="142"/>
      <c r="EH733" s="142"/>
      <c r="EN733" s="142"/>
      <c r="ET733" s="142"/>
      <c r="EZ733" s="142"/>
      <c r="FF733" s="142"/>
      <c r="FL733" s="142"/>
      <c r="FR733" s="142"/>
      <c r="FX733" s="142"/>
      <c r="GD733" s="142"/>
      <c r="GJ733" s="142"/>
      <c r="GP733" s="142"/>
      <c r="GV733" s="142"/>
      <c r="HB733" s="142"/>
      <c r="HH733" s="142"/>
      <c r="HN733" s="142"/>
      <c r="HT733" s="142"/>
      <c r="HZ733" s="142"/>
    </row>
    <row r="734">
      <c r="F734" s="142"/>
      <c r="L734" s="142"/>
      <c r="R734" s="142"/>
      <c r="X734" s="142"/>
      <c r="AD734" s="142"/>
      <c r="AJ734" s="142"/>
      <c r="AP734" s="142"/>
      <c r="AV734" s="142"/>
      <c r="BA734" s="142"/>
      <c r="BH734" s="142"/>
      <c r="BN734" s="142"/>
      <c r="BT734" s="142"/>
      <c r="BZ734" s="142"/>
      <c r="CF734" s="142"/>
      <c r="CL734" s="142"/>
      <c r="CR734" s="142"/>
      <c r="CX734" s="142"/>
      <c r="DD734" s="142"/>
      <c r="DJ734" s="142"/>
      <c r="DP734" s="142"/>
      <c r="DV734" s="142"/>
      <c r="EB734" s="142"/>
      <c r="EH734" s="142"/>
      <c r="EN734" s="142"/>
      <c r="ET734" s="142"/>
      <c r="EZ734" s="142"/>
      <c r="FF734" s="142"/>
      <c r="FL734" s="142"/>
      <c r="FR734" s="142"/>
      <c r="FX734" s="142"/>
      <c r="GD734" s="142"/>
      <c r="GJ734" s="142"/>
      <c r="GP734" s="142"/>
      <c r="GV734" s="142"/>
      <c r="HB734" s="142"/>
      <c r="HH734" s="142"/>
      <c r="HN734" s="142"/>
      <c r="HT734" s="142"/>
      <c r="HZ734" s="142"/>
    </row>
    <row r="735">
      <c r="F735" s="142"/>
      <c r="L735" s="142"/>
      <c r="R735" s="142"/>
      <c r="X735" s="142"/>
      <c r="AD735" s="142"/>
      <c r="AJ735" s="142"/>
      <c r="AP735" s="142"/>
      <c r="AV735" s="142"/>
      <c r="BA735" s="142"/>
      <c r="BH735" s="142"/>
      <c r="BN735" s="142"/>
      <c r="BT735" s="142"/>
      <c r="BZ735" s="142"/>
      <c r="CF735" s="142"/>
      <c r="CL735" s="142"/>
      <c r="CR735" s="142"/>
      <c r="CX735" s="142"/>
      <c r="DD735" s="142"/>
      <c r="DJ735" s="142"/>
      <c r="DP735" s="142"/>
      <c r="DV735" s="142"/>
      <c r="EB735" s="142"/>
      <c r="EH735" s="142"/>
      <c r="EN735" s="142"/>
      <c r="ET735" s="142"/>
      <c r="EZ735" s="142"/>
      <c r="FF735" s="142"/>
      <c r="FL735" s="142"/>
      <c r="FR735" s="142"/>
      <c r="FX735" s="142"/>
      <c r="GD735" s="142"/>
      <c r="GJ735" s="142"/>
      <c r="GP735" s="142"/>
      <c r="GV735" s="142"/>
      <c r="HB735" s="142"/>
      <c r="HH735" s="142"/>
      <c r="HN735" s="142"/>
      <c r="HT735" s="142"/>
      <c r="HZ735" s="142"/>
    </row>
    <row r="736">
      <c r="F736" s="142"/>
      <c r="L736" s="142"/>
      <c r="R736" s="142"/>
      <c r="X736" s="142"/>
      <c r="AD736" s="142"/>
      <c r="AJ736" s="142"/>
      <c r="AP736" s="142"/>
      <c r="AV736" s="142"/>
      <c r="BA736" s="142"/>
      <c r="BH736" s="142"/>
      <c r="BN736" s="142"/>
      <c r="BT736" s="142"/>
      <c r="BZ736" s="142"/>
      <c r="CF736" s="142"/>
      <c r="CL736" s="142"/>
      <c r="CR736" s="142"/>
      <c r="CX736" s="142"/>
      <c r="DD736" s="142"/>
      <c r="DJ736" s="142"/>
      <c r="DP736" s="142"/>
      <c r="DV736" s="142"/>
      <c r="EB736" s="142"/>
      <c r="EH736" s="142"/>
      <c r="EN736" s="142"/>
      <c r="ET736" s="142"/>
      <c r="EZ736" s="142"/>
      <c r="FF736" s="142"/>
      <c r="FL736" s="142"/>
      <c r="FR736" s="142"/>
      <c r="FX736" s="142"/>
      <c r="GD736" s="142"/>
      <c r="GJ736" s="142"/>
      <c r="GP736" s="142"/>
      <c r="GV736" s="142"/>
      <c r="HB736" s="142"/>
      <c r="HH736" s="142"/>
      <c r="HN736" s="142"/>
      <c r="HT736" s="142"/>
      <c r="HZ736" s="142"/>
    </row>
    <row r="737">
      <c r="F737" s="142"/>
      <c r="L737" s="142"/>
      <c r="R737" s="142"/>
      <c r="X737" s="142"/>
      <c r="AD737" s="142"/>
      <c r="AJ737" s="142"/>
      <c r="AP737" s="142"/>
      <c r="AV737" s="142"/>
      <c r="BA737" s="142"/>
      <c r="BH737" s="142"/>
      <c r="BN737" s="142"/>
      <c r="BT737" s="142"/>
      <c r="BZ737" s="142"/>
      <c r="CF737" s="142"/>
      <c r="CL737" s="142"/>
      <c r="CR737" s="142"/>
      <c r="CX737" s="142"/>
      <c r="DD737" s="142"/>
      <c r="DJ737" s="142"/>
      <c r="DP737" s="142"/>
      <c r="DV737" s="142"/>
      <c r="EB737" s="142"/>
      <c r="EH737" s="142"/>
      <c r="EN737" s="142"/>
      <c r="ET737" s="142"/>
      <c r="EZ737" s="142"/>
      <c r="FF737" s="142"/>
      <c r="FL737" s="142"/>
      <c r="FR737" s="142"/>
      <c r="FX737" s="142"/>
      <c r="GD737" s="142"/>
      <c r="GJ737" s="142"/>
      <c r="GP737" s="142"/>
      <c r="GV737" s="142"/>
      <c r="HB737" s="142"/>
      <c r="HH737" s="142"/>
      <c r="HN737" s="142"/>
      <c r="HT737" s="142"/>
      <c r="HZ737" s="142"/>
    </row>
    <row r="738">
      <c r="F738" s="142"/>
      <c r="L738" s="142"/>
      <c r="R738" s="142"/>
      <c r="X738" s="142"/>
      <c r="AD738" s="142"/>
      <c r="AJ738" s="142"/>
      <c r="AP738" s="142"/>
      <c r="AV738" s="142"/>
      <c r="BA738" s="142"/>
      <c r="BH738" s="142"/>
      <c r="BN738" s="142"/>
      <c r="BT738" s="142"/>
      <c r="BZ738" s="142"/>
      <c r="CF738" s="142"/>
      <c r="CL738" s="142"/>
      <c r="CR738" s="142"/>
      <c r="CX738" s="142"/>
      <c r="DD738" s="142"/>
      <c r="DJ738" s="142"/>
      <c r="DP738" s="142"/>
      <c r="DV738" s="142"/>
      <c r="EB738" s="142"/>
      <c r="EH738" s="142"/>
      <c r="EN738" s="142"/>
      <c r="ET738" s="142"/>
      <c r="EZ738" s="142"/>
      <c r="FF738" s="142"/>
      <c r="FL738" s="142"/>
      <c r="FR738" s="142"/>
      <c r="FX738" s="142"/>
      <c r="GD738" s="142"/>
      <c r="GJ738" s="142"/>
      <c r="GP738" s="142"/>
      <c r="GV738" s="142"/>
      <c r="HB738" s="142"/>
      <c r="HH738" s="142"/>
      <c r="HN738" s="142"/>
      <c r="HT738" s="142"/>
      <c r="HZ738" s="142"/>
    </row>
    <row r="739">
      <c r="F739" s="142"/>
      <c r="L739" s="142"/>
      <c r="R739" s="142"/>
      <c r="X739" s="142"/>
      <c r="AD739" s="142"/>
      <c r="AJ739" s="142"/>
      <c r="AP739" s="142"/>
      <c r="AV739" s="142"/>
      <c r="BA739" s="142"/>
      <c r="BH739" s="142"/>
      <c r="BN739" s="142"/>
      <c r="BT739" s="142"/>
      <c r="BZ739" s="142"/>
      <c r="CF739" s="142"/>
      <c r="CL739" s="142"/>
      <c r="CR739" s="142"/>
      <c r="CX739" s="142"/>
      <c r="DD739" s="142"/>
      <c r="DJ739" s="142"/>
      <c r="DP739" s="142"/>
      <c r="DV739" s="142"/>
      <c r="EB739" s="142"/>
      <c r="EH739" s="142"/>
      <c r="EN739" s="142"/>
      <c r="ET739" s="142"/>
      <c r="EZ739" s="142"/>
      <c r="FF739" s="142"/>
      <c r="FL739" s="142"/>
      <c r="FR739" s="142"/>
      <c r="FX739" s="142"/>
      <c r="GD739" s="142"/>
      <c r="GJ739" s="142"/>
      <c r="GP739" s="142"/>
      <c r="GV739" s="142"/>
      <c r="HB739" s="142"/>
      <c r="HH739" s="142"/>
      <c r="HN739" s="142"/>
      <c r="HT739" s="142"/>
      <c r="HZ739" s="142"/>
    </row>
    <row r="740">
      <c r="F740" s="142"/>
      <c r="L740" s="142"/>
      <c r="R740" s="142"/>
      <c r="X740" s="142"/>
      <c r="AD740" s="142"/>
      <c r="AJ740" s="142"/>
      <c r="AP740" s="142"/>
      <c r="AV740" s="142"/>
      <c r="BA740" s="142"/>
      <c r="BH740" s="142"/>
      <c r="BN740" s="142"/>
      <c r="BT740" s="142"/>
      <c r="BZ740" s="142"/>
      <c r="CF740" s="142"/>
      <c r="CL740" s="142"/>
      <c r="CR740" s="142"/>
      <c r="CX740" s="142"/>
      <c r="DD740" s="142"/>
      <c r="DJ740" s="142"/>
      <c r="DP740" s="142"/>
      <c r="DV740" s="142"/>
      <c r="EB740" s="142"/>
      <c r="EH740" s="142"/>
      <c r="EN740" s="142"/>
      <c r="ET740" s="142"/>
      <c r="EZ740" s="142"/>
      <c r="FF740" s="142"/>
      <c r="FL740" s="142"/>
      <c r="FR740" s="142"/>
      <c r="FX740" s="142"/>
      <c r="GD740" s="142"/>
      <c r="GJ740" s="142"/>
      <c r="GP740" s="142"/>
      <c r="GV740" s="142"/>
      <c r="HB740" s="142"/>
      <c r="HH740" s="142"/>
      <c r="HN740" s="142"/>
      <c r="HT740" s="142"/>
      <c r="HZ740" s="142"/>
    </row>
    <row r="741">
      <c r="F741" s="142"/>
      <c r="L741" s="142"/>
      <c r="R741" s="142"/>
      <c r="X741" s="142"/>
      <c r="AD741" s="142"/>
      <c r="AJ741" s="142"/>
      <c r="AP741" s="142"/>
      <c r="AV741" s="142"/>
      <c r="BA741" s="142"/>
      <c r="BH741" s="142"/>
      <c r="BN741" s="142"/>
      <c r="BT741" s="142"/>
      <c r="BZ741" s="142"/>
      <c r="CF741" s="142"/>
      <c r="CL741" s="142"/>
      <c r="CR741" s="142"/>
      <c r="CX741" s="142"/>
      <c r="DD741" s="142"/>
      <c r="DJ741" s="142"/>
      <c r="DP741" s="142"/>
      <c r="DV741" s="142"/>
      <c r="EB741" s="142"/>
      <c r="EH741" s="142"/>
      <c r="EN741" s="142"/>
      <c r="ET741" s="142"/>
      <c r="EZ741" s="142"/>
      <c r="FF741" s="142"/>
      <c r="FL741" s="142"/>
      <c r="FR741" s="142"/>
      <c r="FX741" s="142"/>
      <c r="GD741" s="142"/>
      <c r="GJ741" s="142"/>
      <c r="GP741" s="142"/>
      <c r="GV741" s="142"/>
      <c r="HB741" s="142"/>
      <c r="HH741" s="142"/>
      <c r="HN741" s="142"/>
      <c r="HT741" s="142"/>
      <c r="HZ741" s="142"/>
    </row>
    <row r="742">
      <c r="F742" s="142"/>
      <c r="L742" s="142"/>
      <c r="R742" s="142"/>
      <c r="X742" s="142"/>
      <c r="AD742" s="142"/>
      <c r="AJ742" s="142"/>
      <c r="AP742" s="142"/>
      <c r="AV742" s="142"/>
      <c r="BA742" s="142"/>
      <c r="BH742" s="142"/>
      <c r="BN742" s="142"/>
      <c r="BT742" s="142"/>
      <c r="BZ742" s="142"/>
      <c r="CF742" s="142"/>
      <c r="CL742" s="142"/>
      <c r="CR742" s="142"/>
      <c r="CX742" s="142"/>
      <c r="DD742" s="142"/>
      <c r="DJ742" s="142"/>
      <c r="DP742" s="142"/>
      <c r="DV742" s="142"/>
      <c r="EB742" s="142"/>
      <c r="EH742" s="142"/>
      <c r="EN742" s="142"/>
      <c r="ET742" s="142"/>
      <c r="EZ742" s="142"/>
      <c r="FF742" s="142"/>
      <c r="FL742" s="142"/>
      <c r="FR742" s="142"/>
      <c r="FX742" s="142"/>
      <c r="GD742" s="142"/>
      <c r="GJ742" s="142"/>
      <c r="GP742" s="142"/>
      <c r="GV742" s="142"/>
      <c r="HB742" s="142"/>
      <c r="HH742" s="142"/>
      <c r="HN742" s="142"/>
      <c r="HT742" s="142"/>
      <c r="HZ742" s="142"/>
    </row>
    <row r="743">
      <c r="F743" s="142"/>
      <c r="L743" s="142"/>
      <c r="R743" s="142"/>
      <c r="X743" s="142"/>
      <c r="AD743" s="142"/>
      <c r="AJ743" s="142"/>
      <c r="AP743" s="142"/>
      <c r="AV743" s="142"/>
      <c r="BA743" s="142"/>
      <c r="BH743" s="142"/>
      <c r="BN743" s="142"/>
      <c r="BT743" s="142"/>
      <c r="BZ743" s="142"/>
      <c r="CF743" s="142"/>
      <c r="CL743" s="142"/>
      <c r="CR743" s="142"/>
      <c r="CX743" s="142"/>
      <c r="DD743" s="142"/>
      <c r="DJ743" s="142"/>
      <c r="DP743" s="142"/>
      <c r="DV743" s="142"/>
      <c r="EB743" s="142"/>
      <c r="EH743" s="142"/>
      <c r="EN743" s="142"/>
      <c r="ET743" s="142"/>
      <c r="EZ743" s="142"/>
      <c r="FF743" s="142"/>
      <c r="FL743" s="142"/>
      <c r="FR743" s="142"/>
      <c r="FX743" s="142"/>
      <c r="GD743" s="142"/>
      <c r="GJ743" s="142"/>
      <c r="GP743" s="142"/>
      <c r="GV743" s="142"/>
      <c r="HB743" s="142"/>
      <c r="HH743" s="142"/>
      <c r="HN743" s="142"/>
      <c r="HT743" s="142"/>
      <c r="HZ743" s="142"/>
    </row>
    <row r="744">
      <c r="F744" s="142"/>
      <c r="L744" s="142"/>
      <c r="R744" s="142"/>
      <c r="X744" s="142"/>
      <c r="AD744" s="142"/>
      <c r="AJ744" s="142"/>
      <c r="AP744" s="142"/>
      <c r="AV744" s="142"/>
      <c r="BA744" s="142"/>
      <c r="BH744" s="142"/>
      <c r="BN744" s="142"/>
      <c r="BT744" s="142"/>
      <c r="BZ744" s="142"/>
      <c r="CF744" s="142"/>
      <c r="CL744" s="142"/>
      <c r="CR744" s="142"/>
      <c r="CX744" s="142"/>
      <c r="DD744" s="142"/>
      <c r="DJ744" s="142"/>
      <c r="DP744" s="142"/>
      <c r="DV744" s="142"/>
      <c r="EB744" s="142"/>
      <c r="EH744" s="142"/>
      <c r="EN744" s="142"/>
      <c r="ET744" s="142"/>
      <c r="EZ744" s="142"/>
      <c r="FF744" s="142"/>
      <c r="FL744" s="142"/>
      <c r="FR744" s="142"/>
      <c r="FX744" s="142"/>
      <c r="GD744" s="142"/>
      <c r="GJ744" s="142"/>
      <c r="GP744" s="142"/>
      <c r="GV744" s="142"/>
      <c r="HB744" s="142"/>
      <c r="HH744" s="142"/>
      <c r="HN744" s="142"/>
      <c r="HT744" s="142"/>
      <c r="HZ744" s="142"/>
    </row>
    <row r="745">
      <c r="F745" s="142"/>
      <c r="L745" s="142"/>
      <c r="R745" s="142"/>
      <c r="X745" s="142"/>
      <c r="AD745" s="142"/>
      <c r="AJ745" s="142"/>
      <c r="AP745" s="142"/>
      <c r="AV745" s="142"/>
      <c r="BA745" s="142"/>
      <c r="BH745" s="142"/>
      <c r="BN745" s="142"/>
      <c r="BT745" s="142"/>
      <c r="BZ745" s="142"/>
      <c r="CF745" s="142"/>
      <c r="CL745" s="142"/>
      <c r="CR745" s="142"/>
      <c r="CX745" s="142"/>
      <c r="DD745" s="142"/>
      <c r="DJ745" s="142"/>
      <c r="DP745" s="142"/>
      <c r="DV745" s="142"/>
      <c r="EB745" s="142"/>
      <c r="EH745" s="142"/>
      <c r="EN745" s="142"/>
      <c r="ET745" s="142"/>
      <c r="EZ745" s="142"/>
      <c r="FF745" s="142"/>
      <c r="FL745" s="142"/>
      <c r="FR745" s="142"/>
      <c r="FX745" s="142"/>
      <c r="GD745" s="142"/>
      <c r="GJ745" s="142"/>
      <c r="GP745" s="142"/>
      <c r="GV745" s="142"/>
      <c r="HB745" s="142"/>
      <c r="HH745" s="142"/>
      <c r="HN745" s="142"/>
      <c r="HT745" s="142"/>
      <c r="HZ745" s="142"/>
    </row>
    <row r="746">
      <c r="F746" s="142"/>
      <c r="L746" s="142"/>
      <c r="R746" s="142"/>
      <c r="X746" s="142"/>
      <c r="AD746" s="142"/>
      <c r="AJ746" s="142"/>
      <c r="AP746" s="142"/>
      <c r="AV746" s="142"/>
      <c r="BA746" s="142"/>
      <c r="BH746" s="142"/>
      <c r="BN746" s="142"/>
      <c r="BT746" s="142"/>
      <c r="BZ746" s="142"/>
      <c r="CF746" s="142"/>
      <c r="CL746" s="142"/>
      <c r="CR746" s="142"/>
      <c r="CX746" s="142"/>
      <c r="DD746" s="142"/>
      <c r="DJ746" s="142"/>
      <c r="DP746" s="142"/>
      <c r="DV746" s="142"/>
      <c r="EB746" s="142"/>
      <c r="EH746" s="142"/>
      <c r="EN746" s="142"/>
      <c r="ET746" s="142"/>
      <c r="EZ746" s="142"/>
      <c r="FF746" s="142"/>
      <c r="FL746" s="142"/>
      <c r="FR746" s="142"/>
      <c r="FX746" s="142"/>
      <c r="GD746" s="142"/>
      <c r="GJ746" s="142"/>
      <c r="GP746" s="142"/>
      <c r="GV746" s="142"/>
      <c r="HB746" s="142"/>
      <c r="HH746" s="142"/>
      <c r="HN746" s="142"/>
      <c r="HT746" s="142"/>
      <c r="HZ746" s="142"/>
    </row>
    <row r="747">
      <c r="F747" s="142"/>
      <c r="L747" s="142"/>
      <c r="R747" s="142"/>
      <c r="X747" s="142"/>
      <c r="AD747" s="142"/>
      <c r="AJ747" s="142"/>
      <c r="AP747" s="142"/>
      <c r="AV747" s="142"/>
      <c r="BA747" s="142"/>
      <c r="BH747" s="142"/>
      <c r="BN747" s="142"/>
      <c r="BT747" s="142"/>
      <c r="BZ747" s="142"/>
      <c r="CF747" s="142"/>
      <c r="CL747" s="142"/>
      <c r="CR747" s="142"/>
      <c r="CX747" s="142"/>
      <c r="DD747" s="142"/>
      <c r="DJ747" s="142"/>
      <c r="DP747" s="142"/>
      <c r="DV747" s="142"/>
      <c r="EB747" s="142"/>
      <c r="EH747" s="142"/>
      <c r="EN747" s="142"/>
      <c r="ET747" s="142"/>
      <c r="EZ747" s="142"/>
      <c r="FF747" s="142"/>
      <c r="FL747" s="142"/>
      <c r="FR747" s="142"/>
      <c r="FX747" s="142"/>
      <c r="GD747" s="142"/>
      <c r="GJ747" s="142"/>
      <c r="GP747" s="142"/>
      <c r="GV747" s="142"/>
      <c r="HB747" s="142"/>
      <c r="HH747" s="142"/>
      <c r="HN747" s="142"/>
      <c r="HT747" s="142"/>
      <c r="HZ747" s="142"/>
    </row>
    <row r="748">
      <c r="F748" s="142"/>
      <c r="L748" s="142"/>
      <c r="R748" s="142"/>
      <c r="X748" s="142"/>
      <c r="AD748" s="142"/>
      <c r="AJ748" s="142"/>
      <c r="AP748" s="142"/>
      <c r="AV748" s="142"/>
      <c r="BA748" s="142"/>
      <c r="BH748" s="142"/>
      <c r="BN748" s="142"/>
      <c r="BT748" s="142"/>
      <c r="BZ748" s="142"/>
      <c r="CF748" s="142"/>
      <c r="CL748" s="142"/>
      <c r="CR748" s="142"/>
      <c r="CX748" s="142"/>
      <c r="DD748" s="142"/>
      <c r="DJ748" s="142"/>
      <c r="DP748" s="142"/>
      <c r="DV748" s="142"/>
      <c r="EB748" s="142"/>
      <c r="EH748" s="142"/>
      <c r="EN748" s="142"/>
      <c r="ET748" s="142"/>
      <c r="EZ748" s="142"/>
      <c r="FF748" s="142"/>
      <c r="FL748" s="142"/>
      <c r="FR748" s="142"/>
      <c r="FX748" s="142"/>
      <c r="GD748" s="142"/>
      <c r="GJ748" s="142"/>
      <c r="GP748" s="142"/>
      <c r="GV748" s="142"/>
      <c r="HB748" s="142"/>
      <c r="HH748" s="142"/>
      <c r="HN748" s="142"/>
      <c r="HT748" s="142"/>
      <c r="HZ748" s="142"/>
    </row>
    <row r="749">
      <c r="F749" s="142"/>
      <c r="L749" s="142"/>
      <c r="R749" s="142"/>
      <c r="X749" s="142"/>
      <c r="AD749" s="142"/>
      <c r="AJ749" s="142"/>
      <c r="AP749" s="142"/>
      <c r="AV749" s="142"/>
      <c r="BA749" s="142"/>
      <c r="BH749" s="142"/>
      <c r="BN749" s="142"/>
      <c r="BT749" s="142"/>
      <c r="BZ749" s="142"/>
      <c r="CF749" s="142"/>
      <c r="CL749" s="142"/>
      <c r="CR749" s="142"/>
      <c r="CX749" s="142"/>
      <c r="DD749" s="142"/>
      <c r="DJ749" s="142"/>
      <c r="DP749" s="142"/>
      <c r="DV749" s="142"/>
      <c r="EB749" s="142"/>
      <c r="EH749" s="142"/>
      <c r="EN749" s="142"/>
      <c r="ET749" s="142"/>
      <c r="EZ749" s="142"/>
      <c r="FF749" s="142"/>
      <c r="FL749" s="142"/>
      <c r="FR749" s="142"/>
      <c r="FX749" s="142"/>
      <c r="GD749" s="142"/>
      <c r="GJ749" s="142"/>
      <c r="GP749" s="142"/>
      <c r="GV749" s="142"/>
      <c r="HB749" s="142"/>
      <c r="HH749" s="142"/>
      <c r="HN749" s="142"/>
      <c r="HT749" s="142"/>
      <c r="HZ749" s="142"/>
    </row>
    <row r="750">
      <c r="F750" s="142"/>
      <c r="L750" s="142"/>
      <c r="R750" s="142"/>
      <c r="X750" s="142"/>
      <c r="AD750" s="142"/>
      <c r="AJ750" s="142"/>
      <c r="AP750" s="142"/>
      <c r="AV750" s="142"/>
      <c r="BA750" s="142"/>
      <c r="BH750" s="142"/>
      <c r="BN750" s="142"/>
      <c r="BT750" s="142"/>
      <c r="BZ750" s="142"/>
      <c r="CF750" s="142"/>
      <c r="CL750" s="142"/>
      <c r="CR750" s="142"/>
      <c r="CX750" s="142"/>
      <c r="DD750" s="142"/>
      <c r="DJ750" s="142"/>
      <c r="DP750" s="142"/>
      <c r="DV750" s="142"/>
      <c r="EB750" s="142"/>
      <c r="EH750" s="142"/>
      <c r="EN750" s="142"/>
      <c r="ET750" s="142"/>
      <c r="EZ750" s="142"/>
      <c r="FF750" s="142"/>
      <c r="FL750" s="142"/>
      <c r="FR750" s="142"/>
      <c r="FX750" s="142"/>
      <c r="GD750" s="142"/>
      <c r="GJ750" s="142"/>
      <c r="GP750" s="142"/>
      <c r="GV750" s="142"/>
      <c r="HB750" s="142"/>
      <c r="HH750" s="142"/>
      <c r="HN750" s="142"/>
      <c r="HT750" s="142"/>
      <c r="HZ750" s="142"/>
    </row>
    <row r="751">
      <c r="F751" s="142"/>
      <c r="L751" s="142"/>
      <c r="R751" s="142"/>
      <c r="X751" s="142"/>
      <c r="AD751" s="142"/>
      <c r="AJ751" s="142"/>
      <c r="AP751" s="142"/>
      <c r="AV751" s="142"/>
      <c r="BA751" s="142"/>
      <c r="BH751" s="142"/>
      <c r="BN751" s="142"/>
      <c r="BT751" s="142"/>
      <c r="BZ751" s="142"/>
      <c r="CF751" s="142"/>
      <c r="CL751" s="142"/>
      <c r="CR751" s="142"/>
      <c r="CX751" s="142"/>
      <c r="DD751" s="142"/>
      <c r="DJ751" s="142"/>
      <c r="DP751" s="142"/>
      <c r="DV751" s="142"/>
      <c r="EB751" s="142"/>
      <c r="EH751" s="142"/>
      <c r="EN751" s="142"/>
      <c r="ET751" s="142"/>
      <c r="EZ751" s="142"/>
      <c r="FF751" s="142"/>
      <c r="FL751" s="142"/>
      <c r="FR751" s="142"/>
      <c r="FX751" s="142"/>
      <c r="GD751" s="142"/>
      <c r="GJ751" s="142"/>
      <c r="GP751" s="142"/>
      <c r="GV751" s="142"/>
      <c r="HB751" s="142"/>
      <c r="HH751" s="142"/>
      <c r="HN751" s="142"/>
      <c r="HT751" s="142"/>
      <c r="HZ751" s="142"/>
    </row>
    <row r="752">
      <c r="F752" s="142"/>
      <c r="L752" s="142"/>
      <c r="R752" s="142"/>
      <c r="X752" s="142"/>
      <c r="AD752" s="142"/>
      <c r="AJ752" s="142"/>
      <c r="AP752" s="142"/>
      <c r="AV752" s="142"/>
      <c r="BA752" s="142"/>
      <c r="BH752" s="142"/>
      <c r="BN752" s="142"/>
      <c r="BT752" s="142"/>
      <c r="BZ752" s="142"/>
      <c r="CF752" s="142"/>
      <c r="CL752" s="142"/>
      <c r="CR752" s="142"/>
      <c r="CX752" s="142"/>
      <c r="DD752" s="142"/>
      <c r="DJ752" s="142"/>
      <c r="DP752" s="142"/>
      <c r="DV752" s="142"/>
      <c r="EB752" s="142"/>
      <c r="EH752" s="142"/>
      <c r="EN752" s="142"/>
      <c r="ET752" s="142"/>
      <c r="EZ752" s="142"/>
      <c r="FF752" s="142"/>
      <c r="FL752" s="142"/>
      <c r="FR752" s="142"/>
      <c r="FX752" s="142"/>
      <c r="GD752" s="142"/>
      <c r="GJ752" s="142"/>
      <c r="GP752" s="142"/>
      <c r="GV752" s="142"/>
      <c r="HB752" s="142"/>
      <c r="HH752" s="142"/>
      <c r="HN752" s="142"/>
      <c r="HT752" s="142"/>
      <c r="HZ752" s="142"/>
    </row>
    <row r="753">
      <c r="F753" s="142"/>
      <c r="L753" s="142"/>
      <c r="R753" s="142"/>
      <c r="X753" s="142"/>
      <c r="AD753" s="142"/>
      <c r="AJ753" s="142"/>
      <c r="AP753" s="142"/>
      <c r="AV753" s="142"/>
      <c r="BA753" s="142"/>
      <c r="BH753" s="142"/>
      <c r="BN753" s="142"/>
      <c r="BT753" s="142"/>
      <c r="BZ753" s="142"/>
      <c r="CF753" s="142"/>
      <c r="CL753" s="142"/>
      <c r="CR753" s="142"/>
      <c r="CX753" s="142"/>
      <c r="DD753" s="142"/>
      <c r="DJ753" s="142"/>
      <c r="DP753" s="142"/>
      <c r="DV753" s="142"/>
      <c r="EB753" s="142"/>
      <c r="EH753" s="142"/>
      <c r="EN753" s="142"/>
      <c r="ET753" s="142"/>
      <c r="EZ753" s="142"/>
      <c r="FF753" s="142"/>
      <c r="FL753" s="142"/>
      <c r="FR753" s="142"/>
      <c r="FX753" s="142"/>
      <c r="GD753" s="142"/>
      <c r="GJ753" s="142"/>
      <c r="GP753" s="142"/>
      <c r="GV753" s="142"/>
      <c r="HB753" s="142"/>
      <c r="HH753" s="142"/>
      <c r="HN753" s="142"/>
      <c r="HT753" s="142"/>
      <c r="HZ753" s="142"/>
    </row>
    <row r="754">
      <c r="F754" s="142"/>
      <c r="L754" s="142"/>
      <c r="R754" s="142"/>
      <c r="X754" s="142"/>
      <c r="AD754" s="142"/>
      <c r="AJ754" s="142"/>
      <c r="AP754" s="142"/>
      <c r="AV754" s="142"/>
      <c r="BA754" s="142"/>
      <c r="BH754" s="142"/>
      <c r="BN754" s="142"/>
      <c r="BT754" s="142"/>
      <c r="BZ754" s="142"/>
      <c r="CF754" s="142"/>
      <c r="CL754" s="142"/>
      <c r="CR754" s="142"/>
      <c r="CX754" s="142"/>
      <c r="DD754" s="142"/>
      <c r="DJ754" s="142"/>
      <c r="DP754" s="142"/>
      <c r="DV754" s="142"/>
      <c r="EB754" s="142"/>
      <c r="EH754" s="142"/>
      <c r="EN754" s="142"/>
      <c r="ET754" s="142"/>
      <c r="EZ754" s="142"/>
      <c r="FF754" s="142"/>
      <c r="FL754" s="142"/>
      <c r="FR754" s="142"/>
      <c r="FX754" s="142"/>
      <c r="GD754" s="142"/>
      <c r="GJ754" s="142"/>
      <c r="GP754" s="142"/>
      <c r="GV754" s="142"/>
      <c r="HB754" s="142"/>
      <c r="HH754" s="142"/>
      <c r="HN754" s="142"/>
      <c r="HT754" s="142"/>
      <c r="HZ754" s="142"/>
    </row>
    <row r="755">
      <c r="F755" s="142"/>
      <c r="L755" s="142"/>
      <c r="R755" s="142"/>
      <c r="X755" s="142"/>
      <c r="AD755" s="142"/>
      <c r="AJ755" s="142"/>
      <c r="AP755" s="142"/>
      <c r="AV755" s="142"/>
      <c r="BA755" s="142"/>
      <c r="BH755" s="142"/>
      <c r="BN755" s="142"/>
      <c r="BT755" s="142"/>
      <c r="BZ755" s="142"/>
      <c r="CF755" s="142"/>
      <c r="CL755" s="142"/>
      <c r="CR755" s="142"/>
      <c r="CX755" s="142"/>
      <c r="DD755" s="142"/>
      <c r="DJ755" s="142"/>
      <c r="DP755" s="142"/>
      <c r="DV755" s="142"/>
      <c r="EB755" s="142"/>
      <c r="EH755" s="142"/>
      <c r="EN755" s="142"/>
      <c r="ET755" s="142"/>
      <c r="EZ755" s="142"/>
      <c r="FF755" s="142"/>
      <c r="FL755" s="142"/>
      <c r="FR755" s="142"/>
      <c r="FX755" s="142"/>
      <c r="GD755" s="142"/>
      <c r="GJ755" s="142"/>
      <c r="GP755" s="142"/>
      <c r="GV755" s="142"/>
      <c r="HB755" s="142"/>
      <c r="HH755" s="142"/>
      <c r="HN755" s="142"/>
      <c r="HT755" s="142"/>
      <c r="HZ755" s="142"/>
    </row>
    <row r="756">
      <c r="F756" s="142"/>
      <c r="L756" s="142"/>
      <c r="R756" s="142"/>
      <c r="X756" s="142"/>
      <c r="AD756" s="142"/>
      <c r="AJ756" s="142"/>
      <c r="AP756" s="142"/>
      <c r="AV756" s="142"/>
      <c r="BA756" s="142"/>
      <c r="BH756" s="142"/>
      <c r="BN756" s="142"/>
      <c r="BT756" s="142"/>
      <c r="BZ756" s="142"/>
      <c r="CF756" s="142"/>
      <c r="CL756" s="142"/>
      <c r="CR756" s="142"/>
      <c r="CX756" s="142"/>
      <c r="DD756" s="142"/>
      <c r="DJ756" s="142"/>
      <c r="DP756" s="142"/>
      <c r="DV756" s="142"/>
      <c r="EB756" s="142"/>
      <c r="EH756" s="142"/>
      <c r="EN756" s="142"/>
      <c r="ET756" s="142"/>
      <c r="EZ756" s="142"/>
      <c r="FF756" s="142"/>
      <c r="FL756" s="142"/>
      <c r="FR756" s="142"/>
      <c r="FX756" s="142"/>
      <c r="GD756" s="142"/>
      <c r="GJ756" s="142"/>
      <c r="GP756" s="142"/>
      <c r="GV756" s="142"/>
      <c r="HB756" s="142"/>
      <c r="HH756" s="142"/>
      <c r="HN756" s="142"/>
      <c r="HT756" s="142"/>
      <c r="HZ756" s="142"/>
    </row>
    <row r="757">
      <c r="F757" s="142"/>
      <c r="L757" s="142"/>
      <c r="R757" s="142"/>
      <c r="X757" s="142"/>
      <c r="AD757" s="142"/>
      <c r="AJ757" s="142"/>
      <c r="AP757" s="142"/>
      <c r="AV757" s="142"/>
      <c r="BA757" s="142"/>
      <c r="BH757" s="142"/>
      <c r="BN757" s="142"/>
      <c r="BT757" s="142"/>
      <c r="BZ757" s="142"/>
      <c r="CF757" s="142"/>
      <c r="CL757" s="142"/>
      <c r="CR757" s="142"/>
      <c r="CX757" s="142"/>
      <c r="DD757" s="142"/>
      <c r="DJ757" s="142"/>
      <c r="DP757" s="142"/>
      <c r="DV757" s="142"/>
      <c r="EB757" s="142"/>
      <c r="EH757" s="142"/>
      <c r="EN757" s="142"/>
      <c r="ET757" s="142"/>
      <c r="EZ757" s="142"/>
      <c r="FF757" s="142"/>
      <c r="FL757" s="142"/>
      <c r="FR757" s="142"/>
      <c r="FX757" s="142"/>
      <c r="GD757" s="142"/>
      <c r="GJ757" s="142"/>
      <c r="GP757" s="142"/>
      <c r="GV757" s="142"/>
      <c r="HB757" s="142"/>
      <c r="HH757" s="142"/>
      <c r="HN757" s="142"/>
      <c r="HT757" s="142"/>
      <c r="HZ757" s="142"/>
    </row>
    <row r="758">
      <c r="F758" s="142"/>
      <c r="L758" s="142"/>
      <c r="R758" s="142"/>
      <c r="X758" s="142"/>
      <c r="AD758" s="142"/>
      <c r="AJ758" s="142"/>
      <c r="AP758" s="142"/>
      <c r="AV758" s="142"/>
      <c r="BA758" s="142"/>
      <c r="BH758" s="142"/>
      <c r="BN758" s="142"/>
      <c r="BT758" s="142"/>
      <c r="BZ758" s="142"/>
      <c r="CF758" s="142"/>
      <c r="CL758" s="142"/>
      <c r="CR758" s="142"/>
      <c r="CX758" s="142"/>
      <c r="DD758" s="142"/>
      <c r="DJ758" s="142"/>
      <c r="DP758" s="142"/>
      <c r="DV758" s="142"/>
      <c r="EB758" s="142"/>
      <c r="EH758" s="142"/>
      <c r="EN758" s="142"/>
      <c r="ET758" s="142"/>
      <c r="EZ758" s="142"/>
      <c r="FF758" s="142"/>
      <c r="FL758" s="142"/>
      <c r="FR758" s="142"/>
      <c r="FX758" s="142"/>
      <c r="GD758" s="142"/>
      <c r="GJ758" s="142"/>
      <c r="GP758" s="142"/>
      <c r="GV758" s="142"/>
      <c r="HB758" s="142"/>
      <c r="HH758" s="142"/>
      <c r="HN758" s="142"/>
      <c r="HT758" s="142"/>
      <c r="HZ758" s="142"/>
    </row>
    <row r="759">
      <c r="F759" s="142"/>
      <c r="L759" s="142"/>
      <c r="R759" s="142"/>
      <c r="X759" s="142"/>
      <c r="AD759" s="142"/>
      <c r="AJ759" s="142"/>
      <c r="AP759" s="142"/>
      <c r="AV759" s="142"/>
      <c r="BA759" s="142"/>
      <c r="BH759" s="142"/>
      <c r="BN759" s="142"/>
      <c r="BT759" s="142"/>
      <c r="BZ759" s="142"/>
      <c r="CF759" s="142"/>
      <c r="CL759" s="142"/>
      <c r="CR759" s="142"/>
      <c r="CX759" s="142"/>
      <c r="DD759" s="142"/>
      <c r="DJ759" s="142"/>
      <c r="DP759" s="142"/>
      <c r="DV759" s="142"/>
      <c r="EB759" s="142"/>
      <c r="EH759" s="142"/>
      <c r="EN759" s="142"/>
      <c r="ET759" s="142"/>
      <c r="EZ759" s="142"/>
      <c r="FF759" s="142"/>
      <c r="FL759" s="142"/>
      <c r="FR759" s="142"/>
      <c r="FX759" s="142"/>
      <c r="GD759" s="142"/>
      <c r="GJ759" s="142"/>
      <c r="GP759" s="142"/>
      <c r="GV759" s="142"/>
      <c r="HB759" s="142"/>
      <c r="HH759" s="142"/>
      <c r="HN759" s="142"/>
      <c r="HT759" s="142"/>
      <c r="HZ759" s="142"/>
    </row>
    <row r="760">
      <c r="F760" s="142"/>
      <c r="L760" s="142"/>
      <c r="R760" s="142"/>
      <c r="X760" s="142"/>
      <c r="AD760" s="142"/>
      <c r="AJ760" s="142"/>
      <c r="AP760" s="142"/>
      <c r="AV760" s="142"/>
      <c r="BA760" s="142"/>
      <c r="BH760" s="142"/>
      <c r="BN760" s="142"/>
      <c r="BT760" s="142"/>
      <c r="BZ760" s="142"/>
      <c r="CF760" s="142"/>
      <c r="CL760" s="142"/>
      <c r="CR760" s="142"/>
      <c r="CX760" s="142"/>
      <c r="DD760" s="142"/>
      <c r="DJ760" s="142"/>
      <c r="DP760" s="142"/>
      <c r="DV760" s="142"/>
      <c r="EB760" s="142"/>
      <c r="EH760" s="142"/>
      <c r="EN760" s="142"/>
      <c r="ET760" s="142"/>
      <c r="EZ760" s="142"/>
      <c r="FF760" s="142"/>
      <c r="FL760" s="142"/>
      <c r="FR760" s="142"/>
      <c r="FX760" s="142"/>
      <c r="GD760" s="142"/>
      <c r="GJ760" s="142"/>
      <c r="GP760" s="142"/>
      <c r="GV760" s="142"/>
      <c r="HB760" s="142"/>
      <c r="HH760" s="142"/>
      <c r="HN760" s="142"/>
      <c r="HT760" s="142"/>
      <c r="HZ760" s="142"/>
    </row>
    <row r="761">
      <c r="F761" s="142"/>
      <c r="L761" s="142"/>
      <c r="R761" s="142"/>
      <c r="X761" s="142"/>
      <c r="AD761" s="142"/>
      <c r="AJ761" s="142"/>
      <c r="AP761" s="142"/>
      <c r="AV761" s="142"/>
      <c r="BA761" s="142"/>
      <c r="BH761" s="142"/>
      <c r="BN761" s="142"/>
      <c r="BT761" s="142"/>
      <c r="BZ761" s="142"/>
      <c r="CF761" s="142"/>
      <c r="CL761" s="142"/>
      <c r="CR761" s="142"/>
      <c r="CX761" s="142"/>
      <c r="DD761" s="142"/>
      <c r="DJ761" s="142"/>
      <c r="DP761" s="142"/>
      <c r="DV761" s="142"/>
      <c r="EB761" s="142"/>
      <c r="EH761" s="142"/>
      <c r="EN761" s="142"/>
      <c r="ET761" s="142"/>
      <c r="EZ761" s="142"/>
      <c r="FF761" s="142"/>
      <c r="FL761" s="142"/>
      <c r="FR761" s="142"/>
      <c r="FX761" s="142"/>
      <c r="GD761" s="142"/>
      <c r="GJ761" s="142"/>
      <c r="GP761" s="142"/>
      <c r="GV761" s="142"/>
      <c r="HB761" s="142"/>
      <c r="HH761" s="142"/>
      <c r="HN761" s="142"/>
      <c r="HT761" s="142"/>
      <c r="HZ761" s="142"/>
    </row>
    <row r="762">
      <c r="F762" s="142"/>
      <c r="L762" s="142"/>
      <c r="R762" s="142"/>
      <c r="X762" s="142"/>
      <c r="AD762" s="142"/>
      <c r="AJ762" s="142"/>
      <c r="AP762" s="142"/>
      <c r="AV762" s="142"/>
      <c r="BA762" s="142"/>
      <c r="BH762" s="142"/>
      <c r="BN762" s="142"/>
      <c r="BT762" s="142"/>
      <c r="BZ762" s="142"/>
      <c r="CF762" s="142"/>
      <c r="CL762" s="142"/>
      <c r="CR762" s="142"/>
      <c r="CX762" s="142"/>
      <c r="DD762" s="142"/>
      <c r="DJ762" s="142"/>
      <c r="DP762" s="142"/>
      <c r="DV762" s="142"/>
      <c r="EB762" s="142"/>
      <c r="EH762" s="142"/>
      <c r="EN762" s="142"/>
      <c r="ET762" s="142"/>
      <c r="EZ762" s="142"/>
      <c r="FF762" s="142"/>
      <c r="FL762" s="142"/>
      <c r="FR762" s="142"/>
      <c r="FX762" s="142"/>
      <c r="GD762" s="142"/>
      <c r="GJ762" s="142"/>
      <c r="GP762" s="142"/>
      <c r="GV762" s="142"/>
      <c r="HB762" s="142"/>
      <c r="HH762" s="142"/>
      <c r="HN762" s="142"/>
      <c r="HT762" s="142"/>
      <c r="HZ762" s="142"/>
    </row>
    <row r="763">
      <c r="F763" s="142"/>
      <c r="L763" s="142"/>
      <c r="R763" s="142"/>
      <c r="X763" s="142"/>
      <c r="AD763" s="142"/>
      <c r="AJ763" s="142"/>
      <c r="AP763" s="142"/>
      <c r="AV763" s="142"/>
      <c r="BA763" s="142"/>
      <c r="BH763" s="142"/>
      <c r="BN763" s="142"/>
      <c r="BT763" s="142"/>
      <c r="BZ763" s="142"/>
      <c r="CF763" s="142"/>
      <c r="CL763" s="142"/>
      <c r="CR763" s="142"/>
      <c r="CX763" s="142"/>
      <c r="DD763" s="142"/>
      <c r="DJ763" s="142"/>
      <c r="DP763" s="142"/>
      <c r="DV763" s="142"/>
      <c r="EB763" s="142"/>
      <c r="EH763" s="142"/>
      <c r="EN763" s="142"/>
      <c r="ET763" s="142"/>
      <c r="EZ763" s="142"/>
      <c r="FF763" s="142"/>
      <c r="FL763" s="142"/>
      <c r="FR763" s="142"/>
      <c r="FX763" s="142"/>
      <c r="GD763" s="142"/>
      <c r="GJ763" s="142"/>
      <c r="GP763" s="142"/>
      <c r="GV763" s="142"/>
      <c r="HB763" s="142"/>
      <c r="HH763" s="142"/>
      <c r="HN763" s="142"/>
      <c r="HT763" s="142"/>
      <c r="HZ763" s="142"/>
    </row>
    <row r="764">
      <c r="F764" s="142"/>
      <c r="L764" s="142"/>
      <c r="R764" s="142"/>
      <c r="X764" s="142"/>
      <c r="AD764" s="142"/>
      <c r="AJ764" s="142"/>
      <c r="AP764" s="142"/>
      <c r="AV764" s="142"/>
      <c r="BA764" s="142"/>
      <c r="BH764" s="142"/>
      <c r="BN764" s="142"/>
      <c r="BT764" s="142"/>
      <c r="BZ764" s="142"/>
      <c r="CF764" s="142"/>
      <c r="CL764" s="142"/>
      <c r="CR764" s="142"/>
      <c r="CX764" s="142"/>
      <c r="DD764" s="142"/>
      <c r="DJ764" s="142"/>
      <c r="DP764" s="142"/>
      <c r="DV764" s="142"/>
      <c r="EB764" s="142"/>
      <c r="EH764" s="142"/>
      <c r="EN764" s="142"/>
      <c r="ET764" s="142"/>
      <c r="EZ764" s="142"/>
      <c r="FF764" s="142"/>
      <c r="FL764" s="142"/>
      <c r="FR764" s="142"/>
      <c r="FX764" s="142"/>
      <c r="GD764" s="142"/>
      <c r="GJ764" s="142"/>
      <c r="GP764" s="142"/>
      <c r="GV764" s="142"/>
      <c r="HB764" s="142"/>
      <c r="HH764" s="142"/>
      <c r="HN764" s="142"/>
      <c r="HT764" s="142"/>
      <c r="HZ764" s="142"/>
    </row>
    <row r="765">
      <c r="F765" s="142"/>
      <c r="L765" s="142"/>
      <c r="R765" s="142"/>
      <c r="X765" s="142"/>
      <c r="AD765" s="142"/>
      <c r="AJ765" s="142"/>
      <c r="AP765" s="142"/>
      <c r="AV765" s="142"/>
      <c r="BA765" s="142"/>
      <c r="BH765" s="142"/>
      <c r="BN765" s="142"/>
      <c r="BT765" s="142"/>
      <c r="BZ765" s="142"/>
      <c r="CF765" s="142"/>
      <c r="CL765" s="142"/>
      <c r="CR765" s="142"/>
      <c r="CX765" s="142"/>
      <c r="DD765" s="142"/>
      <c r="DJ765" s="142"/>
      <c r="DP765" s="142"/>
      <c r="DV765" s="142"/>
      <c r="EB765" s="142"/>
      <c r="EH765" s="142"/>
      <c r="EN765" s="142"/>
      <c r="ET765" s="142"/>
      <c r="EZ765" s="142"/>
      <c r="FF765" s="142"/>
      <c r="FL765" s="142"/>
      <c r="FR765" s="142"/>
      <c r="FX765" s="142"/>
      <c r="GD765" s="142"/>
      <c r="GJ765" s="142"/>
      <c r="GP765" s="142"/>
      <c r="GV765" s="142"/>
      <c r="HB765" s="142"/>
      <c r="HH765" s="142"/>
      <c r="HN765" s="142"/>
      <c r="HT765" s="142"/>
      <c r="HZ765" s="142"/>
    </row>
    <row r="766">
      <c r="F766" s="142"/>
      <c r="L766" s="142"/>
      <c r="R766" s="142"/>
      <c r="X766" s="142"/>
      <c r="AD766" s="142"/>
      <c r="AJ766" s="142"/>
      <c r="AP766" s="142"/>
      <c r="AV766" s="142"/>
      <c r="BA766" s="142"/>
      <c r="BH766" s="142"/>
      <c r="BN766" s="142"/>
      <c r="BT766" s="142"/>
      <c r="BZ766" s="142"/>
      <c r="CF766" s="142"/>
      <c r="CL766" s="142"/>
      <c r="CR766" s="142"/>
      <c r="CX766" s="142"/>
      <c r="DD766" s="142"/>
      <c r="DJ766" s="142"/>
      <c r="DP766" s="142"/>
      <c r="DV766" s="142"/>
      <c r="EB766" s="142"/>
      <c r="EH766" s="142"/>
      <c r="EN766" s="142"/>
      <c r="ET766" s="142"/>
      <c r="EZ766" s="142"/>
      <c r="FF766" s="142"/>
      <c r="FL766" s="142"/>
      <c r="FR766" s="142"/>
      <c r="FX766" s="142"/>
      <c r="GD766" s="142"/>
      <c r="GJ766" s="142"/>
      <c r="GP766" s="142"/>
      <c r="GV766" s="142"/>
      <c r="HB766" s="142"/>
      <c r="HH766" s="142"/>
      <c r="HN766" s="142"/>
      <c r="HT766" s="142"/>
      <c r="HZ766" s="142"/>
    </row>
    <row r="767">
      <c r="F767" s="142"/>
      <c r="L767" s="142"/>
      <c r="R767" s="142"/>
      <c r="X767" s="142"/>
      <c r="AD767" s="142"/>
      <c r="AJ767" s="142"/>
      <c r="AP767" s="142"/>
      <c r="AV767" s="142"/>
      <c r="BA767" s="142"/>
      <c r="BH767" s="142"/>
      <c r="BN767" s="142"/>
      <c r="BT767" s="142"/>
      <c r="BZ767" s="142"/>
      <c r="CF767" s="142"/>
      <c r="CL767" s="142"/>
      <c r="CR767" s="142"/>
      <c r="CX767" s="142"/>
      <c r="DD767" s="142"/>
      <c r="DJ767" s="142"/>
      <c r="DP767" s="142"/>
      <c r="DV767" s="142"/>
      <c r="EB767" s="142"/>
      <c r="EH767" s="142"/>
      <c r="EN767" s="142"/>
      <c r="ET767" s="142"/>
      <c r="EZ767" s="142"/>
      <c r="FF767" s="142"/>
      <c r="FL767" s="142"/>
      <c r="FR767" s="142"/>
      <c r="FX767" s="142"/>
      <c r="GD767" s="142"/>
      <c r="GJ767" s="142"/>
      <c r="GP767" s="142"/>
      <c r="GV767" s="142"/>
      <c r="HB767" s="142"/>
      <c r="HH767" s="142"/>
      <c r="HN767" s="142"/>
      <c r="HT767" s="142"/>
      <c r="HZ767" s="142"/>
    </row>
    <row r="768">
      <c r="F768" s="142"/>
      <c r="L768" s="142"/>
      <c r="R768" s="142"/>
      <c r="X768" s="142"/>
      <c r="AD768" s="142"/>
      <c r="AJ768" s="142"/>
      <c r="AP768" s="142"/>
      <c r="AV768" s="142"/>
      <c r="BA768" s="142"/>
      <c r="BH768" s="142"/>
      <c r="BN768" s="142"/>
      <c r="BT768" s="142"/>
      <c r="BZ768" s="142"/>
      <c r="CF768" s="142"/>
      <c r="CL768" s="142"/>
      <c r="CR768" s="142"/>
      <c r="CX768" s="142"/>
      <c r="DD768" s="142"/>
      <c r="DJ768" s="142"/>
      <c r="DP768" s="142"/>
      <c r="DV768" s="142"/>
      <c r="EB768" s="142"/>
      <c r="EH768" s="142"/>
      <c r="EN768" s="142"/>
      <c r="ET768" s="142"/>
      <c r="EZ768" s="142"/>
      <c r="FF768" s="142"/>
      <c r="FL768" s="142"/>
      <c r="FR768" s="142"/>
      <c r="FX768" s="142"/>
      <c r="GD768" s="142"/>
      <c r="GJ768" s="142"/>
      <c r="GP768" s="142"/>
      <c r="GV768" s="142"/>
      <c r="HB768" s="142"/>
      <c r="HH768" s="142"/>
      <c r="HN768" s="142"/>
      <c r="HT768" s="142"/>
      <c r="HZ768" s="142"/>
    </row>
    <row r="769">
      <c r="F769" s="142"/>
      <c r="L769" s="142"/>
      <c r="R769" s="142"/>
      <c r="X769" s="142"/>
      <c r="AD769" s="142"/>
      <c r="AJ769" s="142"/>
      <c r="AP769" s="142"/>
      <c r="AV769" s="142"/>
      <c r="BA769" s="142"/>
      <c r="BH769" s="142"/>
      <c r="BN769" s="142"/>
      <c r="BT769" s="142"/>
      <c r="BZ769" s="142"/>
      <c r="CF769" s="142"/>
      <c r="CL769" s="142"/>
      <c r="CR769" s="142"/>
      <c r="CX769" s="142"/>
      <c r="DD769" s="142"/>
      <c r="DJ769" s="142"/>
      <c r="DP769" s="142"/>
      <c r="DV769" s="142"/>
      <c r="EB769" s="142"/>
      <c r="EH769" s="142"/>
      <c r="EN769" s="142"/>
      <c r="ET769" s="142"/>
      <c r="EZ769" s="142"/>
      <c r="FF769" s="142"/>
      <c r="FL769" s="142"/>
      <c r="FR769" s="142"/>
      <c r="FX769" s="142"/>
      <c r="GD769" s="142"/>
      <c r="GJ769" s="142"/>
      <c r="GP769" s="142"/>
      <c r="GV769" s="142"/>
      <c r="HB769" s="142"/>
      <c r="HH769" s="142"/>
      <c r="HN769" s="142"/>
      <c r="HT769" s="142"/>
      <c r="HZ769" s="142"/>
    </row>
    <row r="770">
      <c r="F770" s="142"/>
      <c r="L770" s="142"/>
      <c r="R770" s="142"/>
      <c r="X770" s="142"/>
      <c r="AD770" s="142"/>
      <c r="AJ770" s="142"/>
      <c r="AP770" s="142"/>
      <c r="AV770" s="142"/>
      <c r="BA770" s="142"/>
      <c r="BH770" s="142"/>
      <c r="BN770" s="142"/>
      <c r="BT770" s="142"/>
      <c r="BZ770" s="142"/>
      <c r="CF770" s="142"/>
      <c r="CL770" s="142"/>
      <c r="CR770" s="142"/>
      <c r="CX770" s="142"/>
      <c r="DD770" s="142"/>
      <c r="DJ770" s="142"/>
      <c r="DP770" s="142"/>
      <c r="DV770" s="142"/>
      <c r="EB770" s="142"/>
      <c r="EH770" s="142"/>
      <c r="EN770" s="142"/>
      <c r="ET770" s="142"/>
      <c r="EZ770" s="142"/>
      <c r="FF770" s="142"/>
      <c r="FL770" s="142"/>
      <c r="FR770" s="142"/>
      <c r="FX770" s="142"/>
      <c r="GD770" s="142"/>
      <c r="GJ770" s="142"/>
      <c r="GP770" s="142"/>
      <c r="GV770" s="142"/>
      <c r="HB770" s="142"/>
      <c r="HH770" s="142"/>
      <c r="HN770" s="142"/>
      <c r="HT770" s="142"/>
      <c r="HZ770" s="142"/>
    </row>
    <row r="771">
      <c r="F771" s="142"/>
      <c r="L771" s="142"/>
      <c r="R771" s="142"/>
      <c r="X771" s="142"/>
      <c r="AD771" s="142"/>
      <c r="AJ771" s="142"/>
      <c r="AP771" s="142"/>
      <c r="AV771" s="142"/>
      <c r="BA771" s="142"/>
      <c r="BH771" s="142"/>
      <c r="BN771" s="142"/>
      <c r="BT771" s="142"/>
      <c r="BZ771" s="142"/>
      <c r="CF771" s="142"/>
      <c r="CL771" s="142"/>
      <c r="CR771" s="142"/>
      <c r="CX771" s="142"/>
      <c r="DD771" s="142"/>
      <c r="DJ771" s="142"/>
      <c r="DP771" s="142"/>
      <c r="DV771" s="142"/>
      <c r="EB771" s="142"/>
      <c r="EH771" s="142"/>
      <c r="EN771" s="142"/>
      <c r="ET771" s="142"/>
      <c r="EZ771" s="142"/>
      <c r="FF771" s="142"/>
      <c r="FL771" s="142"/>
      <c r="FR771" s="142"/>
      <c r="FX771" s="142"/>
      <c r="GD771" s="142"/>
      <c r="GJ771" s="142"/>
      <c r="GP771" s="142"/>
      <c r="GV771" s="142"/>
      <c r="HB771" s="142"/>
      <c r="HH771" s="142"/>
      <c r="HN771" s="142"/>
      <c r="HT771" s="142"/>
      <c r="HZ771" s="142"/>
    </row>
    <row r="772">
      <c r="F772" s="142"/>
      <c r="L772" s="142"/>
      <c r="R772" s="142"/>
      <c r="X772" s="142"/>
      <c r="AD772" s="142"/>
      <c r="AJ772" s="142"/>
      <c r="AP772" s="142"/>
      <c r="AV772" s="142"/>
      <c r="BA772" s="142"/>
      <c r="BH772" s="142"/>
      <c r="BN772" s="142"/>
      <c r="BT772" s="142"/>
      <c r="BZ772" s="142"/>
      <c r="CF772" s="142"/>
      <c r="CL772" s="142"/>
      <c r="CR772" s="142"/>
      <c r="CX772" s="142"/>
      <c r="DD772" s="142"/>
      <c r="DJ772" s="142"/>
      <c r="DP772" s="142"/>
      <c r="DV772" s="142"/>
      <c r="EB772" s="142"/>
      <c r="EH772" s="142"/>
      <c r="EN772" s="142"/>
      <c r="ET772" s="142"/>
      <c r="EZ772" s="142"/>
      <c r="FF772" s="142"/>
      <c r="FL772" s="142"/>
      <c r="FR772" s="142"/>
      <c r="FX772" s="142"/>
      <c r="GD772" s="142"/>
      <c r="GJ772" s="142"/>
      <c r="GP772" s="142"/>
      <c r="GV772" s="142"/>
      <c r="HB772" s="142"/>
      <c r="HH772" s="142"/>
      <c r="HN772" s="142"/>
      <c r="HT772" s="142"/>
      <c r="HZ772" s="142"/>
    </row>
    <row r="773">
      <c r="F773" s="142"/>
      <c r="L773" s="142"/>
      <c r="R773" s="142"/>
      <c r="X773" s="142"/>
      <c r="AD773" s="142"/>
      <c r="AJ773" s="142"/>
      <c r="AP773" s="142"/>
      <c r="AV773" s="142"/>
      <c r="BA773" s="142"/>
      <c r="BH773" s="142"/>
      <c r="BN773" s="142"/>
      <c r="BT773" s="142"/>
      <c r="BZ773" s="142"/>
      <c r="CF773" s="142"/>
      <c r="CL773" s="142"/>
      <c r="CR773" s="142"/>
      <c r="CX773" s="142"/>
      <c r="DD773" s="142"/>
      <c r="DJ773" s="142"/>
      <c r="DP773" s="142"/>
      <c r="DV773" s="142"/>
      <c r="EB773" s="142"/>
      <c r="EH773" s="142"/>
      <c r="EN773" s="142"/>
      <c r="ET773" s="142"/>
      <c r="EZ773" s="142"/>
      <c r="FF773" s="142"/>
      <c r="FL773" s="142"/>
      <c r="FR773" s="142"/>
      <c r="FX773" s="142"/>
      <c r="GD773" s="142"/>
      <c r="GJ773" s="142"/>
      <c r="GP773" s="142"/>
      <c r="GV773" s="142"/>
      <c r="HB773" s="142"/>
      <c r="HH773" s="142"/>
      <c r="HN773" s="142"/>
      <c r="HT773" s="142"/>
      <c r="HZ773" s="142"/>
    </row>
    <row r="774">
      <c r="F774" s="142"/>
      <c r="L774" s="142"/>
      <c r="R774" s="142"/>
      <c r="X774" s="142"/>
      <c r="AD774" s="142"/>
      <c r="AJ774" s="142"/>
      <c r="AP774" s="142"/>
      <c r="AV774" s="142"/>
      <c r="BA774" s="142"/>
      <c r="BH774" s="142"/>
      <c r="BN774" s="142"/>
      <c r="BT774" s="142"/>
      <c r="BZ774" s="142"/>
      <c r="CF774" s="142"/>
      <c r="CL774" s="142"/>
      <c r="CR774" s="142"/>
      <c r="CX774" s="142"/>
      <c r="DD774" s="142"/>
      <c r="DJ774" s="142"/>
      <c r="DP774" s="142"/>
      <c r="DV774" s="142"/>
      <c r="EB774" s="142"/>
      <c r="EH774" s="142"/>
      <c r="EN774" s="142"/>
      <c r="ET774" s="142"/>
      <c r="EZ774" s="142"/>
      <c r="FF774" s="142"/>
      <c r="FL774" s="142"/>
      <c r="FR774" s="142"/>
      <c r="FX774" s="142"/>
      <c r="GD774" s="142"/>
      <c r="GJ774" s="142"/>
      <c r="GP774" s="142"/>
      <c r="GV774" s="142"/>
      <c r="HB774" s="142"/>
      <c r="HH774" s="142"/>
      <c r="HN774" s="142"/>
      <c r="HT774" s="142"/>
      <c r="HZ774" s="142"/>
    </row>
    <row r="775">
      <c r="F775" s="142"/>
      <c r="L775" s="142"/>
      <c r="R775" s="142"/>
      <c r="X775" s="142"/>
      <c r="AD775" s="142"/>
      <c r="AJ775" s="142"/>
      <c r="AP775" s="142"/>
      <c r="AV775" s="142"/>
      <c r="BA775" s="142"/>
      <c r="BH775" s="142"/>
      <c r="BN775" s="142"/>
      <c r="BT775" s="142"/>
      <c r="BZ775" s="142"/>
      <c r="CF775" s="142"/>
      <c r="CL775" s="142"/>
      <c r="CR775" s="142"/>
      <c r="CX775" s="142"/>
      <c r="DD775" s="142"/>
      <c r="DJ775" s="142"/>
      <c r="DP775" s="142"/>
      <c r="DV775" s="142"/>
      <c r="EB775" s="142"/>
      <c r="EH775" s="142"/>
      <c r="EN775" s="142"/>
      <c r="ET775" s="142"/>
      <c r="EZ775" s="142"/>
      <c r="FF775" s="142"/>
      <c r="FL775" s="142"/>
      <c r="FR775" s="142"/>
      <c r="FX775" s="142"/>
      <c r="GD775" s="142"/>
      <c r="GJ775" s="142"/>
      <c r="GP775" s="142"/>
      <c r="GV775" s="142"/>
      <c r="HB775" s="142"/>
      <c r="HH775" s="142"/>
      <c r="HN775" s="142"/>
      <c r="HT775" s="142"/>
      <c r="HZ775" s="142"/>
    </row>
    <row r="776">
      <c r="F776" s="142"/>
      <c r="L776" s="142"/>
      <c r="R776" s="142"/>
      <c r="X776" s="142"/>
      <c r="AD776" s="142"/>
      <c r="AJ776" s="142"/>
      <c r="AP776" s="142"/>
      <c r="AV776" s="142"/>
      <c r="BA776" s="142"/>
      <c r="BH776" s="142"/>
      <c r="BN776" s="142"/>
      <c r="BT776" s="142"/>
      <c r="BZ776" s="142"/>
      <c r="CF776" s="142"/>
      <c r="CL776" s="142"/>
      <c r="CR776" s="142"/>
      <c r="CX776" s="142"/>
      <c r="DD776" s="142"/>
      <c r="DJ776" s="142"/>
      <c r="DP776" s="142"/>
      <c r="DV776" s="142"/>
      <c r="EB776" s="142"/>
      <c r="EH776" s="142"/>
      <c r="EN776" s="142"/>
      <c r="ET776" s="142"/>
      <c r="EZ776" s="142"/>
      <c r="FF776" s="142"/>
      <c r="FL776" s="142"/>
      <c r="FR776" s="142"/>
      <c r="FX776" s="142"/>
      <c r="GD776" s="142"/>
      <c r="GJ776" s="142"/>
      <c r="GP776" s="142"/>
      <c r="GV776" s="142"/>
      <c r="HB776" s="142"/>
      <c r="HH776" s="142"/>
      <c r="HN776" s="142"/>
      <c r="HT776" s="142"/>
      <c r="HZ776" s="142"/>
    </row>
    <row r="777">
      <c r="F777" s="142"/>
      <c r="L777" s="142"/>
      <c r="R777" s="142"/>
      <c r="X777" s="142"/>
      <c r="AD777" s="142"/>
      <c r="AJ777" s="142"/>
      <c r="AP777" s="142"/>
      <c r="AV777" s="142"/>
      <c r="BA777" s="142"/>
      <c r="BH777" s="142"/>
      <c r="BN777" s="142"/>
      <c r="BT777" s="142"/>
      <c r="BZ777" s="142"/>
      <c r="CF777" s="142"/>
      <c r="CL777" s="142"/>
      <c r="CR777" s="142"/>
      <c r="CX777" s="142"/>
      <c r="DD777" s="142"/>
      <c r="DJ777" s="142"/>
      <c r="DP777" s="142"/>
      <c r="DV777" s="142"/>
      <c r="EB777" s="142"/>
      <c r="EH777" s="142"/>
      <c r="EN777" s="142"/>
      <c r="ET777" s="142"/>
      <c r="EZ777" s="142"/>
      <c r="FF777" s="142"/>
      <c r="FL777" s="142"/>
      <c r="FR777" s="142"/>
      <c r="FX777" s="142"/>
      <c r="GD777" s="142"/>
      <c r="GJ777" s="142"/>
      <c r="GP777" s="142"/>
      <c r="GV777" s="142"/>
      <c r="HB777" s="142"/>
      <c r="HH777" s="142"/>
      <c r="HN777" s="142"/>
      <c r="HT777" s="142"/>
      <c r="HZ777" s="142"/>
    </row>
    <row r="778">
      <c r="F778" s="142"/>
      <c r="L778" s="142"/>
      <c r="R778" s="142"/>
      <c r="X778" s="142"/>
      <c r="AD778" s="142"/>
      <c r="AJ778" s="142"/>
      <c r="AP778" s="142"/>
      <c r="AV778" s="142"/>
      <c r="BA778" s="142"/>
      <c r="BH778" s="142"/>
      <c r="BN778" s="142"/>
      <c r="BT778" s="142"/>
      <c r="BZ778" s="142"/>
      <c r="CF778" s="142"/>
      <c r="CL778" s="142"/>
      <c r="CR778" s="142"/>
      <c r="CX778" s="142"/>
      <c r="DD778" s="142"/>
      <c r="DJ778" s="142"/>
      <c r="DP778" s="142"/>
      <c r="DV778" s="142"/>
      <c r="EB778" s="142"/>
      <c r="EH778" s="142"/>
      <c r="EN778" s="142"/>
      <c r="ET778" s="142"/>
      <c r="EZ778" s="142"/>
      <c r="FF778" s="142"/>
      <c r="FL778" s="142"/>
      <c r="FR778" s="142"/>
      <c r="FX778" s="142"/>
      <c r="GD778" s="142"/>
      <c r="GJ778" s="142"/>
      <c r="GP778" s="142"/>
      <c r="GV778" s="142"/>
      <c r="HB778" s="142"/>
      <c r="HH778" s="142"/>
      <c r="HN778" s="142"/>
      <c r="HT778" s="142"/>
      <c r="HZ778" s="142"/>
    </row>
    <row r="779">
      <c r="F779" s="142"/>
      <c r="L779" s="142"/>
      <c r="R779" s="142"/>
      <c r="X779" s="142"/>
      <c r="AD779" s="142"/>
      <c r="AJ779" s="142"/>
      <c r="AP779" s="142"/>
      <c r="AV779" s="142"/>
      <c r="BA779" s="142"/>
      <c r="BH779" s="142"/>
      <c r="BN779" s="142"/>
      <c r="BT779" s="142"/>
      <c r="BZ779" s="142"/>
      <c r="CF779" s="142"/>
      <c r="CL779" s="142"/>
      <c r="CR779" s="142"/>
      <c r="CX779" s="142"/>
      <c r="DD779" s="142"/>
      <c r="DJ779" s="142"/>
      <c r="DP779" s="142"/>
      <c r="DV779" s="142"/>
      <c r="EB779" s="142"/>
      <c r="EH779" s="142"/>
      <c r="EN779" s="142"/>
      <c r="ET779" s="142"/>
      <c r="EZ779" s="142"/>
      <c r="FF779" s="142"/>
      <c r="FL779" s="142"/>
      <c r="FR779" s="142"/>
      <c r="FX779" s="142"/>
      <c r="GD779" s="142"/>
      <c r="GJ779" s="142"/>
      <c r="GP779" s="142"/>
      <c r="GV779" s="142"/>
      <c r="HB779" s="142"/>
      <c r="HH779" s="142"/>
      <c r="HN779" s="142"/>
      <c r="HT779" s="142"/>
      <c r="HZ779" s="142"/>
    </row>
    <row r="780">
      <c r="F780" s="142"/>
      <c r="L780" s="142"/>
      <c r="R780" s="142"/>
      <c r="X780" s="142"/>
      <c r="AD780" s="142"/>
      <c r="AJ780" s="142"/>
      <c r="AP780" s="142"/>
      <c r="AV780" s="142"/>
      <c r="BA780" s="142"/>
      <c r="BH780" s="142"/>
      <c r="BN780" s="142"/>
      <c r="BT780" s="142"/>
      <c r="BZ780" s="142"/>
      <c r="CF780" s="142"/>
      <c r="CL780" s="142"/>
      <c r="CR780" s="142"/>
      <c r="CX780" s="142"/>
      <c r="DD780" s="142"/>
      <c r="DJ780" s="142"/>
      <c r="DP780" s="142"/>
      <c r="DV780" s="142"/>
      <c r="EB780" s="142"/>
      <c r="EH780" s="142"/>
      <c r="EN780" s="142"/>
      <c r="ET780" s="142"/>
      <c r="EZ780" s="142"/>
      <c r="FF780" s="142"/>
      <c r="FL780" s="142"/>
      <c r="FR780" s="142"/>
      <c r="FX780" s="142"/>
      <c r="GD780" s="142"/>
      <c r="GJ780" s="142"/>
      <c r="GP780" s="142"/>
      <c r="GV780" s="142"/>
      <c r="HB780" s="142"/>
      <c r="HH780" s="142"/>
      <c r="HN780" s="142"/>
      <c r="HT780" s="142"/>
      <c r="HZ780" s="142"/>
    </row>
    <row r="781">
      <c r="F781" s="142"/>
      <c r="L781" s="142"/>
      <c r="R781" s="142"/>
      <c r="X781" s="142"/>
      <c r="AD781" s="142"/>
      <c r="AJ781" s="142"/>
      <c r="AP781" s="142"/>
      <c r="AV781" s="142"/>
      <c r="BA781" s="142"/>
      <c r="BH781" s="142"/>
      <c r="BN781" s="142"/>
      <c r="BT781" s="142"/>
      <c r="BZ781" s="142"/>
      <c r="CF781" s="142"/>
      <c r="CL781" s="142"/>
      <c r="CR781" s="142"/>
      <c r="CX781" s="142"/>
      <c r="DD781" s="142"/>
      <c r="DJ781" s="142"/>
      <c r="DP781" s="142"/>
      <c r="DV781" s="142"/>
      <c r="EB781" s="142"/>
      <c r="EH781" s="142"/>
      <c r="EN781" s="142"/>
      <c r="ET781" s="142"/>
      <c r="EZ781" s="142"/>
      <c r="FF781" s="142"/>
      <c r="FL781" s="142"/>
      <c r="FR781" s="142"/>
      <c r="FX781" s="142"/>
      <c r="GD781" s="142"/>
      <c r="GJ781" s="142"/>
      <c r="GP781" s="142"/>
      <c r="GV781" s="142"/>
      <c r="HB781" s="142"/>
      <c r="HH781" s="142"/>
      <c r="HN781" s="142"/>
      <c r="HT781" s="142"/>
      <c r="HZ781" s="142"/>
    </row>
    <row r="782">
      <c r="F782" s="142"/>
      <c r="L782" s="142"/>
      <c r="R782" s="142"/>
      <c r="X782" s="142"/>
      <c r="AD782" s="142"/>
      <c r="AJ782" s="142"/>
      <c r="AP782" s="142"/>
      <c r="AV782" s="142"/>
      <c r="BA782" s="142"/>
      <c r="BH782" s="142"/>
      <c r="BN782" s="142"/>
      <c r="BT782" s="142"/>
      <c r="BZ782" s="142"/>
      <c r="CF782" s="142"/>
      <c r="CL782" s="142"/>
      <c r="CR782" s="142"/>
      <c r="CX782" s="142"/>
      <c r="DD782" s="142"/>
      <c r="DJ782" s="142"/>
      <c r="DP782" s="142"/>
      <c r="DV782" s="142"/>
      <c r="EB782" s="142"/>
      <c r="EH782" s="142"/>
      <c r="EN782" s="142"/>
      <c r="ET782" s="142"/>
      <c r="EZ782" s="142"/>
      <c r="FF782" s="142"/>
      <c r="FL782" s="142"/>
      <c r="FR782" s="142"/>
      <c r="FX782" s="142"/>
      <c r="GD782" s="142"/>
      <c r="GJ782" s="142"/>
      <c r="GP782" s="142"/>
      <c r="GV782" s="142"/>
      <c r="HB782" s="142"/>
      <c r="HH782" s="142"/>
      <c r="HN782" s="142"/>
      <c r="HT782" s="142"/>
      <c r="HZ782" s="142"/>
    </row>
    <row r="783">
      <c r="F783" s="142"/>
      <c r="L783" s="142"/>
      <c r="R783" s="142"/>
      <c r="X783" s="142"/>
      <c r="AD783" s="142"/>
      <c r="AJ783" s="142"/>
      <c r="AP783" s="142"/>
      <c r="AV783" s="142"/>
      <c r="BA783" s="142"/>
      <c r="BH783" s="142"/>
      <c r="BN783" s="142"/>
      <c r="BT783" s="142"/>
      <c r="BZ783" s="142"/>
      <c r="CF783" s="142"/>
      <c r="CL783" s="142"/>
      <c r="CR783" s="142"/>
      <c r="CX783" s="142"/>
      <c r="DD783" s="142"/>
      <c r="DJ783" s="142"/>
      <c r="DP783" s="142"/>
      <c r="DV783" s="142"/>
      <c r="EB783" s="142"/>
      <c r="EH783" s="142"/>
      <c r="EN783" s="142"/>
      <c r="ET783" s="142"/>
      <c r="EZ783" s="142"/>
      <c r="FF783" s="142"/>
      <c r="FL783" s="142"/>
      <c r="FR783" s="142"/>
      <c r="FX783" s="142"/>
      <c r="GD783" s="142"/>
      <c r="GJ783" s="142"/>
      <c r="GP783" s="142"/>
      <c r="GV783" s="142"/>
      <c r="HB783" s="142"/>
      <c r="HH783" s="142"/>
      <c r="HN783" s="142"/>
      <c r="HT783" s="142"/>
      <c r="HZ783" s="142"/>
    </row>
    <row r="784">
      <c r="F784" s="142"/>
      <c r="L784" s="142"/>
      <c r="R784" s="142"/>
      <c r="X784" s="142"/>
      <c r="AD784" s="142"/>
      <c r="AJ784" s="142"/>
      <c r="AP784" s="142"/>
      <c r="AV784" s="142"/>
      <c r="BA784" s="142"/>
      <c r="BH784" s="142"/>
      <c r="BN784" s="142"/>
      <c r="BT784" s="142"/>
      <c r="BZ784" s="142"/>
      <c r="CF784" s="142"/>
      <c r="CL784" s="142"/>
      <c r="CR784" s="142"/>
      <c r="CX784" s="142"/>
      <c r="DD784" s="142"/>
      <c r="DJ784" s="142"/>
      <c r="DP784" s="142"/>
      <c r="DV784" s="142"/>
      <c r="EB784" s="142"/>
      <c r="EH784" s="142"/>
      <c r="EN784" s="142"/>
      <c r="ET784" s="142"/>
      <c r="EZ784" s="142"/>
      <c r="FF784" s="142"/>
      <c r="FL784" s="142"/>
      <c r="FR784" s="142"/>
      <c r="FX784" s="142"/>
      <c r="GD784" s="142"/>
      <c r="GJ784" s="142"/>
      <c r="GP784" s="142"/>
      <c r="GV784" s="142"/>
      <c r="HB784" s="142"/>
      <c r="HH784" s="142"/>
      <c r="HN784" s="142"/>
      <c r="HT784" s="142"/>
      <c r="HZ784" s="142"/>
    </row>
    <row r="785">
      <c r="F785" s="142"/>
      <c r="L785" s="142"/>
      <c r="R785" s="142"/>
      <c r="X785" s="142"/>
      <c r="AD785" s="142"/>
      <c r="AJ785" s="142"/>
      <c r="AP785" s="142"/>
      <c r="AV785" s="142"/>
      <c r="BA785" s="142"/>
      <c r="BH785" s="142"/>
      <c r="BN785" s="142"/>
      <c r="BT785" s="142"/>
      <c r="BZ785" s="142"/>
      <c r="CF785" s="142"/>
      <c r="CL785" s="142"/>
      <c r="CR785" s="142"/>
      <c r="CX785" s="142"/>
      <c r="DD785" s="142"/>
      <c r="DJ785" s="142"/>
      <c r="DP785" s="142"/>
      <c r="DV785" s="142"/>
      <c r="EB785" s="142"/>
      <c r="EH785" s="142"/>
      <c r="EN785" s="142"/>
      <c r="ET785" s="142"/>
      <c r="EZ785" s="142"/>
      <c r="FF785" s="142"/>
      <c r="FL785" s="142"/>
      <c r="FR785" s="142"/>
      <c r="FX785" s="142"/>
      <c r="GD785" s="142"/>
      <c r="GJ785" s="142"/>
      <c r="GP785" s="142"/>
      <c r="GV785" s="142"/>
      <c r="HB785" s="142"/>
      <c r="HH785" s="142"/>
      <c r="HN785" s="142"/>
      <c r="HT785" s="142"/>
      <c r="HZ785" s="142"/>
    </row>
    <row r="786">
      <c r="F786" s="142"/>
      <c r="L786" s="142"/>
      <c r="R786" s="142"/>
      <c r="X786" s="142"/>
      <c r="AD786" s="142"/>
      <c r="AJ786" s="142"/>
      <c r="AP786" s="142"/>
      <c r="AV786" s="142"/>
      <c r="BA786" s="142"/>
      <c r="BH786" s="142"/>
      <c r="BN786" s="142"/>
      <c r="BT786" s="142"/>
      <c r="BZ786" s="142"/>
      <c r="CF786" s="142"/>
      <c r="CL786" s="142"/>
      <c r="CR786" s="142"/>
      <c r="CX786" s="142"/>
      <c r="DD786" s="142"/>
      <c r="DJ786" s="142"/>
      <c r="DP786" s="142"/>
      <c r="DV786" s="142"/>
      <c r="EB786" s="142"/>
      <c r="EH786" s="142"/>
      <c r="EN786" s="142"/>
      <c r="ET786" s="142"/>
      <c r="EZ786" s="142"/>
      <c r="FF786" s="142"/>
      <c r="FL786" s="142"/>
      <c r="FR786" s="142"/>
      <c r="FX786" s="142"/>
      <c r="GD786" s="142"/>
      <c r="GJ786" s="142"/>
      <c r="GP786" s="142"/>
      <c r="GV786" s="142"/>
      <c r="HB786" s="142"/>
      <c r="HH786" s="142"/>
      <c r="HN786" s="142"/>
      <c r="HT786" s="142"/>
      <c r="HZ786" s="142"/>
    </row>
    <row r="787">
      <c r="F787" s="142"/>
      <c r="L787" s="142"/>
      <c r="R787" s="142"/>
      <c r="X787" s="142"/>
      <c r="AD787" s="142"/>
      <c r="AJ787" s="142"/>
      <c r="AP787" s="142"/>
      <c r="AV787" s="142"/>
      <c r="BA787" s="142"/>
      <c r="BH787" s="142"/>
      <c r="BN787" s="142"/>
      <c r="BT787" s="142"/>
      <c r="BZ787" s="142"/>
      <c r="CF787" s="142"/>
      <c r="CL787" s="142"/>
      <c r="CR787" s="142"/>
      <c r="CX787" s="142"/>
      <c r="DD787" s="142"/>
      <c r="DJ787" s="142"/>
      <c r="DP787" s="142"/>
      <c r="DV787" s="142"/>
      <c r="EB787" s="142"/>
      <c r="EH787" s="142"/>
      <c r="EN787" s="142"/>
      <c r="ET787" s="142"/>
      <c r="EZ787" s="142"/>
      <c r="FF787" s="142"/>
      <c r="FL787" s="142"/>
      <c r="FR787" s="142"/>
      <c r="FX787" s="142"/>
      <c r="GD787" s="142"/>
      <c r="GJ787" s="142"/>
      <c r="GP787" s="142"/>
      <c r="GV787" s="142"/>
      <c r="HB787" s="142"/>
      <c r="HH787" s="142"/>
      <c r="HN787" s="142"/>
      <c r="HT787" s="142"/>
      <c r="HZ787" s="142"/>
    </row>
    <row r="788">
      <c r="F788" s="142"/>
      <c r="L788" s="142"/>
      <c r="R788" s="142"/>
      <c r="X788" s="142"/>
      <c r="AD788" s="142"/>
      <c r="AJ788" s="142"/>
      <c r="AP788" s="142"/>
      <c r="AV788" s="142"/>
      <c r="BA788" s="142"/>
      <c r="BH788" s="142"/>
      <c r="BN788" s="142"/>
      <c r="BT788" s="142"/>
      <c r="BZ788" s="142"/>
      <c r="CF788" s="142"/>
      <c r="CL788" s="142"/>
      <c r="CR788" s="142"/>
      <c r="CX788" s="142"/>
      <c r="DD788" s="142"/>
      <c r="DJ788" s="142"/>
      <c r="DP788" s="142"/>
      <c r="DV788" s="142"/>
      <c r="EB788" s="142"/>
      <c r="EH788" s="142"/>
      <c r="EN788" s="142"/>
      <c r="ET788" s="142"/>
      <c r="EZ788" s="142"/>
      <c r="FF788" s="142"/>
      <c r="FL788" s="142"/>
      <c r="FR788" s="142"/>
      <c r="FX788" s="142"/>
      <c r="GD788" s="142"/>
      <c r="GJ788" s="142"/>
      <c r="GP788" s="142"/>
      <c r="GV788" s="142"/>
      <c r="HB788" s="142"/>
      <c r="HH788" s="142"/>
      <c r="HN788" s="142"/>
      <c r="HT788" s="142"/>
      <c r="HZ788" s="142"/>
    </row>
    <row r="789">
      <c r="F789" s="142"/>
      <c r="L789" s="142"/>
      <c r="R789" s="142"/>
      <c r="X789" s="142"/>
      <c r="AD789" s="142"/>
      <c r="AJ789" s="142"/>
      <c r="AP789" s="142"/>
      <c r="AV789" s="142"/>
      <c r="BA789" s="142"/>
      <c r="BH789" s="142"/>
      <c r="BN789" s="142"/>
      <c r="BT789" s="142"/>
      <c r="BZ789" s="142"/>
      <c r="CF789" s="142"/>
      <c r="CL789" s="142"/>
      <c r="CR789" s="142"/>
      <c r="CX789" s="142"/>
      <c r="DD789" s="142"/>
      <c r="DJ789" s="142"/>
      <c r="DP789" s="142"/>
      <c r="DV789" s="142"/>
      <c r="EB789" s="142"/>
      <c r="EH789" s="142"/>
      <c r="EN789" s="142"/>
      <c r="ET789" s="142"/>
      <c r="EZ789" s="142"/>
      <c r="FF789" s="142"/>
      <c r="FL789" s="142"/>
      <c r="FR789" s="142"/>
      <c r="FX789" s="142"/>
      <c r="GD789" s="142"/>
      <c r="GJ789" s="142"/>
      <c r="GP789" s="142"/>
      <c r="GV789" s="142"/>
      <c r="HB789" s="142"/>
      <c r="HH789" s="142"/>
      <c r="HN789" s="142"/>
      <c r="HT789" s="142"/>
      <c r="HZ789" s="142"/>
    </row>
    <row r="790">
      <c r="F790" s="142"/>
      <c r="L790" s="142"/>
      <c r="R790" s="142"/>
      <c r="X790" s="142"/>
      <c r="AD790" s="142"/>
      <c r="AJ790" s="142"/>
      <c r="AP790" s="142"/>
      <c r="AV790" s="142"/>
      <c r="BA790" s="142"/>
      <c r="BH790" s="142"/>
      <c r="BN790" s="142"/>
      <c r="BT790" s="142"/>
      <c r="BZ790" s="142"/>
      <c r="CF790" s="142"/>
      <c r="CL790" s="142"/>
      <c r="CR790" s="142"/>
      <c r="CX790" s="142"/>
      <c r="DD790" s="142"/>
      <c r="DJ790" s="142"/>
      <c r="DP790" s="142"/>
      <c r="DV790" s="142"/>
      <c r="EB790" s="142"/>
      <c r="EH790" s="142"/>
      <c r="EN790" s="142"/>
      <c r="ET790" s="142"/>
      <c r="EZ790" s="142"/>
      <c r="FF790" s="142"/>
      <c r="FL790" s="142"/>
      <c r="FR790" s="142"/>
      <c r="FX790" s="142"/>
      <c r="GD790" s="142"/>
      <c r="GJ790" s="142"/>
      <c r="GP790" s="142"/>
      <c r="GV790" s="142"/>
      <c r="HB790" s="142"/>
      <c r="HH790" s="142"/>
      <c r="HN790" s="142"/>
      <c r="HT790" s="142"/>
      <c r="HZ790" s="142"/>
    </row>
    <row r="791">
      <c r="F791" s="142"/>
      <c r="L791" s="142"/>
      <c r="R791" s="142"/>
      <c r="X791" s="142"/>
      <c r="AD791" s="142"/>
      <c r="AJ791" s="142"/>
      <c r="AP791" s="142"/>
      <c r="AV791" s="142"/>
      <c r="BA791" s="142"/>
      <c r="BH791" s="142"/>
      <c r="BN791" s="142"/>
      <c r="BT791" s="142"/>
      <c r="BZ791" s="142"/>
      <c r="CF791" s="142"/>
      <c r="CL791" s="142"/>
      <c r="CR791" s="142"/>
      <c r="CX791" s="142"/>
      <c r="DD791" s="142"/>
      <c r="DJ791" s="142"/>
      <c r="DP791" s="142"/>
      <c r="DV791" s="142"/>
      <c r="EB791" s="142"/>
      <c r="EH791" s="142"/>
      <c r="EN791" s="142"/>
      <c r="ET791" s="142"/>
      <c r="EZ791" s="142"/>
      <c r="FF791" s="142"/>
      <c r="FL791" s="142"/>
      <c r="FR791" s="142"/>
      <c r="FX791" s="142"/>
      <c r="GD791" s="142"/>
      <c r="GJ791" s="142"/>
      <c r="GP791" s="142"/>
      <c r="GV791" s="142"/>
      <c r="HB791" s="142"/>
      <c r="HH791" s="142"/>
      <c r="HN791" s="142"/>
      <c r="HT791" s="142"/>
      <c r="HZ791" s="142"/>
    </row>
    <row r="792">
      <c r="F792" s="142"/>
      <c r="L792" s="142"/>
      <c r="R792" s="142"/>
      <c r="X792" s="142"/>
      <c r="AD792" s="142"/>
      <c r="AJ792" s="142"/>
      <c r="AP792" s="142"/>
      <c r="AV792" s="142"/>
      <c r="BA792" s="142"/>
      <c r="BH792" s="142"/>
      <c r="BN792" s="142"/>
      <c r="BT792" s="142"/>
      <c r="BZ792" s="142"/>
      <c r="CF792" s="142"/>
      <c r="CL792" s="142"/>
      <c r="CR792" s="142"/>
      <c r="CX792" s="142"/>
      <c r="DD792" s="142"/>
      <c r="DJ792" s="142"/>
      <c r="DP792" s="142"/>
      <c r="DV792" s="142"/>
      <c r="EB792" s="142"/>
      <c r="EH792" s="142"/>
      <c r="EN792" s="142"/>
      <c r="ET792" s="142"/>
      <c r="EZ792" s="142"/>
      <c r="FF792" s="142"/>
      <c r="FL792" s="142"/>
      <c r="FR792" s="142"/>
      <c r="FX792" s="142"/>
      <c r="GD792" s="142"/>
      <c r="GJ792" s="142"/>
      <c r="GP792" s="142"/>
      <c r="GV792" s="142"/>
      <c r="HB792" s="142"/>
      <c r="HH792" s="142"/>
      <c r="HN792" s="142"/>
      <c r="HT792" s="142"/>
      <c r="HZ792" s="142"/>
    </row>
    <row r="793">
      <c r="F793" s="142"/>
      <c r="L793" s="142"/>
      <c r="R793" s="142"/>
      <c r="X793" s="142"/>
      <c r="AD793" s="142"/>
      <c r="AJ793" s="142"/>
      <c r="AP793" s="142"/>
      <c r="AV793" s="142"/>
      <c r="BA793" s="142"/>
      <c r="BH793" s="142"/>
      <c r="BN793" s="142"/>
      <c r="BT793" s="142"/>
      <c r="BZ793" s="142"/>
      <c r="CF793" s="142"/>
      <c r="CL793" s="142"/>
      <c r="CR793" s="142"/>
      <c r="CX793" s="142"/>
      <c r="DD793" s="142"/>
      <c r="DJ793" s="142"/>
      <c r="DP793" s="142"/>
      <c r="DV793" s="142"/>
      <c r="EB793" s="142"/>
      <c r="EH793" s="142"/>
      <c r="EN793" s="142"/>
      <c r="ET793" s="142"/>
      <c r="EZ793" s="142"/>
      <c r="FF793" s="142"/>
      <c r="FL793" s="142"/>
      <c r="FR793" s="142"/>
      <c r="FX793" s="142"/>
      <c r="GD793" s="142"/>
      <c r="GJ793" s="142"/>
      <c r="GP793" s="142"/>
      <c r="GV793" s="142"/>
      <c r="HB793" s="142"/>
      <c r="HH793" s="142"/>
      <c r="HN793" s="142"/>
      <c r="HT793" s="142"/>
      <c r="HZ793" s="142"/>
    </row>
    <row r="794">
      <c r="F794" s="142"/>
      <c r="L794" s="142"/>
      <c r="R794" s="142"/>
      <c r="X794" s="142"/>
      <c r="AD794" s="142"/>
      <c r="AJ794" s="142"/>
      <c r="AP794" s="142"/>
      <c r="AV794" s="142"/>
      <c r="BA794" s="142"/>
      <c r="BH794" s="142"/>
      <c r="BN794" s="142"/>
      <c r="BT794" s="142"/>
      <c r="BZ794" s="142"/>
      <c r="CF794" s="142"/>
      <c r="CL794" s="142"/>
      <c r="CR794" s="142"/>
      <c r="CX794" s="142"/>
      <c r="DD794" s="142"/>
      <c r="DJ794" s="142"/>
      <c r="DP794" s="142"/>
      <c r="DV794" s="142"/>
      <c r="EB794" s="142"/>
      <c r="EH794" s="142"/>
      <c r="EN794" s="142"/>
      <c r="ET794" s="142"/>
      <c r="EZ794" s="142"/>
      <c r="FF794" s="142"/>
      <c r="FL794" s="142"/>
      <c r="FR794" s="142"/>
      <c r="FX794" s="142"/>
      <c r="GD794" s="142"/>
      <c r="GJ794" s="142"/>
      <c r="GP794" s="142"/>
      <c r="GV794" s="142"/>
      <c r="HB794" s="142"/>
      <c r="HH794" s="142"/>
      <c r="HN794" s="142"/>
      <c r="HT794" s="142"/>
      <c r="HZ794" s="142"/>
    </row>
    <row r="795">
      <c r="F795" s="142"/>
      <c r="L795" s="142"/>
      <c r="R795" s="142"/>
      <c r="X795" s="142"/>
      <c r="AD795" s="142"/>
      <c r="AJ795" s="142"/>
      <c r="AP795" s="142"/>
      <c r="AV795" s="142"/>
      <c r="BA795" s="142"/>
      <c r="BH795" s="142"/>
      <c r="BN795" s="142"/>
      <c r="BT795" s="142"/>
      <c r="BZ795" s="142"/>
      <c r="CF795" s="142"/>
      <c r="CL795" s="142"/>
      <c r="CR795" s="142"/>
      <c r="CX795" s="142"/>
      <c r="DD795" s="142"/>
      <c r="DJ795" s="142"/>
      <c r="DP795" s="142"/>
      <c r="DV795" s="142"/>
      <c r="EB795" s="142"/>
      <c r="EH795" s="142"/>
      <c r="EN795" s="142"/>
      <c r="ET795" s="142"/>
      <c r="EZ795" s="142"/>
      <c r="FF795" s="142"/>
      <c r="FL795" s="142"/>
      <c r="FR795" s="142"/>
      <c r="FX795" s="142"/>
      <c r="GD795" s="142"/>
      <c r="GJ795" s="142"/>
      <c r="GP795" s="142"/>
      <c r="GV795" s="142"/>
      <c r="HB795" s="142"/>
      <c r="HH795" s="142"/>
      <c r="HN795" s="142"/>
      <c r="HT795" s="142"/>
      <c r="HZ795" s="142"/>
    </row>
    <row r="796">
      <c r="F796" s="142"/>
      <c r="L796" s="142"/>
      <c r="R796" s="142"/>
      <c r="X796" s="142"/>
      <c r="AD796" s="142"/>
      <c r="AJ796" s="142"/>
      <c r="AP796" s="142"/>
      <c r="AV796" s="142"/>
      <c r="BA796" s="142"/>
      <c r="BH796" s="142"/>
      <c r="BN796" s="142"/>
      <c r="BT796" s="142"/>
      <c r="BZ796" s="142"/>
      <c r="CF796" s="142"/>
      <c r="CL796" s="142"/>
      <c r="CR796" s="142"/>
      <c r="CX796" s="142"/>
      <c r="DD796" s="142"/>
      <c r="DJ796" s="142"/>
      <c r="DP796" s="142"/>
      <c r="DV796" s="142"/>
      <c r="EB796" s="142"/>
      <c r="EH796" s="142"/>
      <c r="EN796" s="142"/>
      <c r="ET796" s="142"/>
      <c r="EZ796" s="142"/>
      <c r="FF796" s="142"/>
      <c r="FL796" s="142"/>
      <c r="FR796" s="142"/>
      <c r="FX796" s="142"/>
      <c r="GD796" s="142"/>
      <c r="GJ796" s="142"/>
      <c r="GP796" s="142"/>
      <c r="GV796" s="142"/>
      <c r="HB796" s="142"/>
      <c r="HH796" s="142"/>
      <c r="HN796" s="142"/>
      <c r="HT796" s="142"/>
      <c r="HZ796" s="142"/>
    </row>
    <row r="797">
      <c r="F797" s="142"/>
      <c r="L797" s="142"/>
      <c r="R797" s="142"/>
      <c r="X797" s="142"/>
      <c r="AD797" s="142"/>
      <c r="AJ797" s="142"/>
      <c r="AP797" s="142"/>
      <c r="AV797" s="142"/>
      <c r="BA797" s="142"/>
      <c r="BH797" s="142"/>
      <c r="BN797" s="142"/>
      <c r="BT797" s="142"/>
      <c r="BZ797" s="142"/>
      <c r="CF797" s="142"/>
      <c r="CL797" s="142"/>
      <c r="CR797" s="142"/>
      <c r="CX797" s="142"/>
      <c r="DD797" s="142"/>
      <c r="DJ797" s="142"/>
      <c r="DP797" s="142"/>
      <c r="DV797" s="142"/>
      <c r="EB797" s="142"/>
      <c r="EH797" s="142"/>
      <c r="EN797" s="142"/>
      <c r="ET797" s="142"/>
      <c r="EZ797" s="142"/>
      <c r="FF797" s="142"/>
      <c r="FL797" s="142"/>
      <c r="FR797" s="142"/>
      <c r="FX797" s="142"/>
      <c r="GD797" s="142"/>
      <c r="GJ797" s="142"/>
      <c r="GP797" s="142"/>
      <c r="GV797" s="142"/>
      <c r="HB797" s="142"/>
      <c r="HH797" s="142"/>
      <c r="HN797" s="142"/>
      <c r="HT797" s="142"/>
      <c r="HZ797" s="142"/>
    </row>
    <row r="798">
      <c r="F798" s="142"/>
      <c r="L798" s="142"/>
      <c r="R798" s="142"/>
      <c r="X798" s="142"/>
      <c r="AD798" s="142"/>
      <c r="AJ798" s="142"/>
      <c r="AP798" s="142"/>
      <c r="AV798" s="142"/>
      <c r="BA798" s="142"/>
      <c r="BH798" s="142"/>
      <c r="BN798" s="142"/>
      <c r="BT798" s="142"/>
      <c r="BZ798" s="142"/>
      <c r="CF798" s="142"/>
      <c r="CL798" s="142"/>
      <c r="CR798" s="142"/>
      <c r="CX798" s="142"/>
      <c r="DD798" s="142"/>
      <c r="DJ798" s="142"/>
      <c r="DP798" s="142"/>
      <c r="DV798" s="142"/>
      <c r="EB798" s="142"/>
      <c r="EH798" s="142"/>
      <c r="EN798" s="142"/>
      <c r="ET798" s="142"/>
      <c r="EZ798" s="142"/>
      <c r="FF798" s="142"/>
      <c r="FL798" s="142"/>
      <c r="FR798" s="142"/>
      <c r="FX798" s="142"/>
      <c r="GD798" s="142"/>
      <c r="GJ798" s="142"/>
      <c r="GP798" s="142"/>
      <c r="GV798" s="142"/>
      <c r="HB798" s="142"/>
      <c r="HH798" s="142"/>
      <c r="HN798" s="142"/>
      <c r="HT798" s="142"/>
      <c r="HZ798" s="142"/>
    </row>
    <row r="799">
      <c r="F799" s="142"/>
      <c r="L799" s="142"/>
      <c r="R799" s="142"/>
      <c r="X799" s="142"/>
      <c r="AD799" s="142"/>
      <c r="AJ799" s="142"/>
      <c r="AP799" s="142"/>
      <c r="AV799" s="142"/>
      <c r="BA799" s="142"/>
      <c r="BH799" s="142"/>
      <c r="BN799" s="142"/>
      <c r="BT799" s="142"/>
      <c r="BZ799" s="142"/>
      <c r="CF799" s="142"/>
      <c r="CL799" s="142"/>
      <c r="CR799" s="142"/>
      <c r="CX799" s="142"/>
      <c r="DD799" s="142"/>
      <c r="DJ799" s="142"/>
      <c r="DP799" s="142"/>
      <c r="DV799" s="142"/>
      <c r="EB799" s="142"/>
      <c r="EH799" s="142"/>
      <c r="EN799" s="142"/>
      <c r="ET799" s="142"/>
      <c r="EZ799" s="142"/>
      <c r="FF799" s="142"/>
      <c r="FL799" s="142"/>
      <c r="FR799" s="142"/>
      <c r="FX799" s="142"/>
      <c r="GD799" s="142"/>
      <c r="GJ799" s="142"/>
      <c r="GP799" s="142"/>
      <c r="GV799" s="142"/>
      <c r="HB799" s="142"/>
      <c r="HH799" s="142"/>
      <c r="HN799" s="142"/>
      <c r="HT799" s="142"/>
      <c r="HZ799" s="142"/>
    </row>
    <row r="800">
      <c r="F800" s="142"/>
      <c r="L800" s="142"/>
      <c r="R800" s="142"/>
      <c r="X800" s="142"/>
      <c r="AD800" s="142"/>
      <c r="AJ800" s="142"/>
      <c r="AP800" s="142"/>
      <c r="AV800" s="142"/>
      <c r="BA800" s="142"/>
      <c r="BH800" s="142"/>
      <c r="BN800" s="142"/>
      <c r="BT800" s="142"/>
      <c r="BZ800" s="142"/>
      <c r="CF800" s="142"/>
      <c r="CL800" s="142"/>
      <c r="CR800" s="142"/>
      <c r="CX800" s="142"/>
      <c r="DD800" s="142"/>
      <c r="DJ800" s="142"/>
      <c r="DP800" s="142"/>
      <c r="DV800" s="142"/>
      <c r="EB800" s="142"/>
      <c r="EH800" s="142"/>
      <c r="EN800" s="142"/>
      <c r="ET800" s="142"/>
      <c r="EZ800" s="142"/>
      <c r="FF800" s="142"/>
      <c r="FL800" s="142"/>
      <c r="FR800" s="142"/>
      <c r="FX800" s="142"/>
      <c r="GD800" s="142"/>
      <c r="GJ800" s="142"/>
      <c r="GP800" s="142"/>
      <c r="GV800" s="142"/>
      <c r="HB800" s="142"/>
      <c r="HH800" s="142"/>
      <c r="HN800" s="142"/>
      <c r="HT800" s="142"/>
      <c r="HZ800" s="142"/>
    </row>
    <row r="801">
      <c r="F801" s="142"/>
      <c r="L801" s="142"/>
      <c r="R801" s="142"/>
      <c r="X801" s="142"/>
      <c r="AD801" s="142"/>
      <c r="AJ801" s="142"/>
      <c r="AP801" s="142"/>
      <c r="AV801" s="142"/>
      <c r="BA801" s="142"/>
      <c r="BH801" s="142"/>
      <c r="BN801" s="142"/>
      <c r="BT801" s="142"/>
      <c r="BZ801" s="142"/>
      <c r="CF801" s="142"/>
      <c r="CL801" s="142"/>
      <c r="CR801" s="142"/>
      <c r="CX801" s="142"/>
      <c r="DD801" s="142"/>
      <c r="DJ801" s="142"/>
      <c r="DP801" s="142"/>
      <c r="DV801" s="142"/>
      <c r="EB801" s="142"/>
      <c r="EH801" s="142"/>
      <c r="EN801" s="142"/>
      <c r="ET801" s="142"/>
      <c r="EZ801" s="142"/>
      <c r="FF801" s="142"/>
      <c r="FL801" s="142"/>
      <c r="FR801" s="142"/>
      <c r="FX801" s="142"/>
      <c r="GD801" s="142"/>
      <c r="GJ801" s="142"/>
      <c r="GP801" s="142"/>
      <c r="GV801" s="142"/>
      <c r="HB801" s="142"/>
      <c r="HH801" s="142"/>
      <c r="HN801" s="142"/>
      <c r="HT801" s="142"/>
      <c r="HZ801" s="142"/>
    </row>
    <row r="802">
      <c r="F802" s="142"/>
      <c r="L802" s="142"/>
      <c r="R802" s="142"/>
      <c r="X802" s="142"/>
      <c r="AD802" s="142"/>
      <c r="AJ802" s="142"/>
      <c r="AP802" s="142"/>
      <c r="AV802" s="142"/>
      <c r="BA802" s="142"/>
      <c r="BH802" s="142"/>
      <c r="BN802" s="142"/>
      <c r="BT802" s="142"/>
      <c r="BZ802" s="142"/>
      <c r="CF802" s="142"/>
      <c r="CL802" s="142"/>
      <c r="CR802" s="142"/>
      <c r="CX802" s="142"/>
      <c r="DD802" s="142"/>
      <c r="DJ802" s="142"/>
      <c r="DP802" s="142"/>
      <c r="DV802" s="142"/>
      <c r="EB802" s="142"/>
      <c r="EH802" s="142"/>
      <c r="EN802" s="142"/>
      <c r="ET802" s="142"/>
      <c r="EZ802" s="142"/>
      <c r="FF802" s="142"/>
      <c r="FL802" s="142"/>
      <c r="FR802" s="142"/>
      <c r="FX802" s="142"/>
      <c r="GD802" s="142"/>
      <c r="GJ802" s="142"/>
      <c r="GP802" s="142"/>
      <c r="GV802" s="142"/>
      <c r="HB802" s="142"/>
      <c r="HH802" s="142"/>
      <c r="HN802" s="142"/>
      <c r="HT802" s="142"/>
      <c r="HZ802" s="142"/>
    </row>
    <row r="803">
      <c r="F803" s="142"/>
      <c r="L803" s="142"/>
      <c r="R803" s="142"/>
      <c r="X803" s="142"/>
      <c r="AD803" s="142"/>
      <c r="AJ803" s="142"/>
      <c r="AP803" s="142"/>
      <c r="AV803" s="142"/>
      <c r="BA803" s="142"/>
      <c r="BH803" s="142"/>
      <c r="BN803" s="142"/>
      <c r="BT803" s="142"/>
      <c r="BZ803" s="142"/>
      <c r="CF803" s="142"/>
      <c r="CL803" s="142"/>
      <c r="CR803" s="142"/>
      <c r="CX803" s="142"/>
      <c r="DD803" s="142"/>
      <c r="DJ803" s="142"/>
      <c r="DP803" s="142"/>
      <c r="DV803" s="142"/>
      <c r="EB803" s="142"/>
      <c r="EH803" s="142"/>
      <c r="EN803" s="142"/>
      <c r="ET803" s="142"/>
      <c r="EZ803" s="142"/>
      <c r="FF803" s="142"/>
      <c r="FL803" s="142"/>
      <c r="FR803" s="142"/>
      <c r="FX803" s="142"/>
      <c r="GD803" s="142"/>
      <c r="GJ803" s="142"/>
      <c r="GP803" s="142"/>
      <c r="GV803" s="142"/>
      <c r="HB803" s="142"/>
      <c r="HH803" s="142"/>
      <c r="HN803" s="142"/>
      <c r="HT803" s="142"/>
      <c r="HZ803" s="142"/>
    </row>
    <row r="804">
      <c r="F804" s="142"/>
      <c r="L804" s="142"/>
      <c r="R804" s="142"/>
      <c r="X804" s="142"/>
      <c r="AD804" s="142"/>
      <c r="AJ804" s="142"/>
      <c r="AP804" s="142"/>
      <c r="AV804" s="142"/>
      <c r="BA804" s="142"/>
      <c r="BH804" s="142"/>
      <c r="BN804" s="142"/>
      <c r="BT804" s="142"/>
      <c r="BZ804" s="142"/>
      <c r="CF804" s="142"/>
      <c r="CL804" s="142"/>
      <c r="CR804" s="142"/>
      <c r="CX804" s="142"/>
      <c r="DD804" s="142"/>
      <c r="DJ804" s="142"/>
      <c r="DP804" s="142"/>
      <c r="DV804" s="142"/>
      <c r="EB804" s="142"/>
      <c r="EH804" s="142"/>
      <c r="EN804" s="142"/>
      <c r="ET804" s="142"/>
      <c r="EZ804" s="142"/>
      <c r="FF804" s="142"/>
      <c r="FL804" s="142"/>
      <c r="FR804" s="142"/>
      <c r="FX804" s="142"/>
      <c r="GD804" s="142"/>
      <c r="GJ804" s="142"/>
      <c r="GP804" s="142"/>
      <c r="GV804" s="142"/>
      <c r="HB804" s="142"/>
      <c r="HH804" s="142"/>
      <c r="HN804" s="142"/>
      <c r="HT804" s="142"/>
      <c r="HZ804" s="142"/>
    </row>
    <row r="805">
      <c r="F805" s="142"/>
      <c r="L805" s="142"/>
      <c r="R805" s="142"/>
      <c r="X805" s="142"/>
      <c r="AD805" s="142"/>
      <c r="AJ805" s="142"/>
      <c r="AP805" s="142"/>
      <c r="AV805" s="142"/>
      <c r="BA805" s="142"/>
      <c r="BH805" s="142"/>
      <c r="BN805" s="142"/>
      <c r="BT805" s="142"/>
      <c r="BZ805" s="142"/>
      <c r="CF805" s="142"/>
      <c r="CL805" s="142"/>
      <c r="CR805" s="142"/>
      <c r="CX805" s="142"/>
      <c r="DD805" s="142"/>
      <c r="DJ805" s="142"/>
      <c r="DP805" s="142"/>
      <c r="DV805" s="142"/>
      <c r="EB805" s="142"/>
      <c r="EH805" s="142"/>
      <c r="EN805" s="142"/>
      <c r="ET805" s="142"/>
      <c r="EZ805" s="142"/>
      <c r="FF805" s="142"/>
      <c r="FL805" s="142"/>
      <c r="FR805" s="142"/>
      <c r="FX805" s="142"/>
      <c r="GD805" s="142"/>
      <c r="GJ805" s="142"/>
      <c r="GP805" s="142"/>
      <c r="GV805" s="142"/>
      <c r="HB805" s="142"/>
      <c r="HH805" s="142"/>
      <c r="HN805" s="142"/>
      <c r="HT805" s="142"/>
      <c r="HZ805" s="142"/>
    </row>
    <row r="806">
      <c r="F806" s="142"/>
      <c r="L806" s="142"/>
      <c r="R806" s="142"/>
      <c r="X806" s="142"/>
      <c r="AD806" s="142"/>
      <c r="AJ806" s="142"/>
      <c r="AP806" s="142"/>
      <c r="AV806" s="142"/>
      <c r="BA806" s="142"/>
      <c r="BH806" s="142"/>
      <c r="BN806" s="142"/>
      <c r="BT806" s="142"/>
      <c r="BZ806" s="142"/>
      <c r="CF806" s="142"/>
      <c r="CL806" s="142"/>
      <c r="CR806" s="142"/>
      <c r="CX806" s="142"/>
      <c r="DD806" s="142"/>
      <c r="DJ806" s="142"/>
      <c r="DP806" s="142"/>
      <c r="DV806" s="142"/>
      <c r="EB806" s="142"/>
      <c r="EH806" s="142"/>
      <c r="EN806" s="142"/>
      <c r="ET806" s="142"/>
      <c r="EZ806" s="142"/>
      <c r="FF806" s="142"/>
      <c r="FL806" s="142"/>
      <c r="FR806" s="142"/>
      <c r="FX806" s="142"/>
      <c r="GD806" s="142"/>
      <c r="GJ806" s="142"/>
      <c r="GP806" s="142"/>
      <c r="GV806" s="142"/>
      <c r="HB806" s="142"/>
      <c r="HH806" s="142"/>
      <c r="HN806" s="142"/>
      <c r="HT806" s="142"/>
      <c r="HZ806" s="142"/>
    </row>
    <row r="807">
      <c r="F807" s="142"/>
      <c r="L807" s="142"/>
      <c r="R807" s="142"/>
      <c r="X807" s="142"/>
      <c r="AD807" s="142"/>
      <c r="AJ807" s="142"/>
      <c r="AP807" s="142"/>
      <c r="AV807" s="142"/>
      <c r="BA807" s="142"/>
      <c r="BH807" s="142"/>
      <c r="BN807" s="142"/>
      <c r="BT807" s="142"/>
      <c r="BZ807" s="142"/>
      <c r="CF807" s="142"/>
      <c r="CL807" s="142"/>
      <c r="CR807" s="142"/>
      <c r="CX807" s="142"/>
      <c r="DD807" s="142"/>
      <c r="DJ807" s="142"/>
      <c r="DP807" s="142"/>
      <c r="DV807" s="142"/>
      <c r="EB807" s="142"/>
      <c r="EH807" s="142"/>
      <c r="EN807" s="142"/>
      <c r="ET807" s="142"/>
      <c r="EZ807" s="142"/>
      <c r="FF807" s="142"/>
      <c r="FL807" s="142"/>
      <c r="FR807" s="142"/>
      <c r="FX807" s="142"/>
      <c r="GD807" s="142"/>
      <c r="GJ807" s="142"/>
      <c r="GP807" s="142"/>
      <c r="GV807" s="142"/>
      <c r="HB807" s="142"/>
      <c r="HH807" s="142"/>
      <c r="HN807" s="142"/>
      <c r="HT807" s="142"/>
      <c r="HZ807" s="142"/>
    </row>
    <row r="808">
      <c r="F808" s="142"/>
      <c r="L808" s="142"/>
      <c r="R808" s="142"/>
      <c r="X808" s="142"/>
      <c r="AD808" s="142"/>
      <c r="AJ808" s="142"/>
      <c r="AP808" s="142"/>
      <c r="AV808" s="142"/>
      <c r="BA808" s="142"/>
      <c r="BH808" s="142"/>
      <c r="BN808" s="142"/>
      <c r="BT808" s="142"/>
      <c r="BZ808" s="142"/>
      <c r="CF808" s="142"/>
      <c r="CL808" s="142"/>
      <c r="CR808" s="142"/>
      <c r="CX808" s="142"/>
      <c r="DD808" s="142"/>
      <c r="DJ808" s="142"/>
      <c r="DP808" s="142"/>
      <c r="DV808" s="142"/>
      <c r="EB808" s="142"/>
      <c r="EH808" s="142"/>
      <c r="EN808" s="142"/>
      <c r="ET808" s="142"/>
      <c r="EZ808" s="142"/>
      <c r="FF808" s="142"/>
      <c r="FL808" s="142"/>
      <c r="FR808" s="142"/>
      <c r="FX808" s="142"/>
      <c r="GD808" s="142"/>
      <c r="GJ808" s="142"/>
      <c r="GP808" s="142"/>
      <c r="GV808" s="142"/>
      <c r="HB808" s="142"/>
      <c r="HH808" s="142"/>
      <c r="HN808" s="142"/>
      <c r="HT808" s="142"/>
      <c r="HZ808" s="142"/>
    </row>
    <row r="809">
      <c r="F809" s="142"/>
      <c r="L809" s="142"/>
      <c r="R809" s="142"/>
      <c r="X809" s="142"/>
      <c r="AD809" s="142"/>
      <c r="AJ809" s="142"/>
      <c r="AP809" s="142"/>
      <c r="AV809" s="142"/>
      <c r="BA809" s="142"/>
      <c r="BH809" s="142"/>
      <c r="BN809" s="142"/>
      <c r="BT809" s="142"/>
      <c r="BZ809" s="142"/>
      <c r="CF809" s="142"/>
      <c r="CL809" s="142"/>
      <c r="CR809" s="142"/>
      <c r="CX809" s="142"/>
      <c r="DD809" s="142"/>
      <c r="DJ809" s="142"/>
      <c r="DP809" s="142"/>
      <c r="DV809" s="142"/>
      <c r="EB809" s="142"/>
      <c r="EH809" s="142"/>
      <c r="EN809" s="142"/>
      <c r="ET809" s="142"/>
      <c r="EZ809" s="142"/>
      <c r="FF809" s="142"/>
      <c r="FL809" s="142"/>
      <c r="FR809" s="142"/>
      <c r="FX809" s="142"/>
      <c r="GD809" s="142"/>
      <c r="GJ809" s="142"/>
      <c r="GP809" s="142"/>
      <c r="GV809" s="142"/>
      <c r="HB809" s="142"/>
      <c r="HH809" s="142"/>
      <c r="HN809" s="142"/>
      <c r="HT809" s="142"/>
      <c r="HZ809" s="142"/>
    </row>
    <row r="810">
      <c r="F810" s="142"/>
      <c r="L810" s="142"/>
      <c r="R810" s="142"/>
      <c r="X810" s="142"/>
      <c r="AD810" s="142"/>
      <c r="AJ810" s="142"/>
      <c r="AP810" s="142"/>
      <c r="AV810" s="142"/>
      <c r="BA810" s="142"/>
      <c r="BH810" s="142"/>
      <c r="BN810" s="142"/>
      <c r="BT810" s="142"/>
      <c r="BZ810" s="142"/>
      <c r="CF810" s="142"/>
      <c r="CL810" s="142"/>
      <c r="CR810" s="142"/>
      <c r="CX810" s="142"/>
      <c r="DD810" s="142"/>
      <c r="DJ810" s="142"/>
      <c r="DP810" s="142"/>
      <c r="DV810" s="142"/>
      <c r="EB810" s="142"/>
      <c r="EH810" s="142"/>
      <c r="EN810" s="142"/>
      <c r="ET810" s="142"/>
      <c r="EZ810" s="142"/>
      <c r="FF810" s="142"/>
      <c r="FL810" s="142"/>
      <c r="FR810" s="142"/>
      <c r="FX810" s="142"/>
      <c r="GD810" s="142"/>
      <c r="GJ810" s="142"/>
      <c r="GP810" s="142"/>
      <c r="GV810" s="142"/>
      <c r="HB810" s="142"/>
      <c r="HH810" s="142"/>
      <c r="HN810" s="142"/>
      <c r="HT810" s="142"/>
      <c r="HZ810" s="142"/>
    </row>
    <row r="811">
      <c r="F811" s="142"/>
      <c r="L811" s="142"/>
      <c r="R811" s="142"/>
      <c r="X811" s="142"/>
      <c r="AD811" s="142"/>
      <c r="AJ811" s="142"/>
      <c r="AP811" s="142"/>
      <c r="AV811" s="142"/>
      <c r="BA811" s="142"/>
      <c r="BH811" s="142"/>
      <c r="BN811" s="142"/>
      <c r="BT811" s="142"/>
      <c r="BZ811" s="142"/>
      <c r="CF811" s="142"/>
      <c r="CL811" s="142"/>
      <c r="CR811" s="142"/>
      <c r="CX811" s="142"/>
      <c r="DD811" s="142"/>
      <c r="DJ811" s="142"/>
      <c r="DP811" s="142"/>
      <c r="DV811" s="142"/>
      <c r="EB811" s="142"/>
      <c r="EH811" s="142"/>
      <c r="EN811" s="142"/>
      <c r="ET811" s="142"/>
      <c r="EZ811" s="142"/>
      <c r="FF811" s="142"/>
      <c r="FL811" s="142"/>
      <c r="FR811" s="142"/>
      <c r="FX811" s="142"/>
      <c r="GD811" s="142"/>
      <c r="GJ811" s="142"/>
      <c r="GP811" s="142"/>
      <c r="GV811" s="142"/>
      <c r="HB811" s="142"/>
      <c r="HH811" s="142"/>
      <c r="HN811" s="142"/>
      <c r="HT811" s="142"/>
      <c r="HZ811" s="142"/>
    </row>
    <row r="812">
      <c r="F812" s="142"/>
      <c r="L812" s="142"/>
      <c r="R812" s="142"/>
      <c r="X812" s="142"/>
      <c r="AD812" s="142"/>
      <c r="AJ812" s="142"/>
      <c r="AP812" s="142"/>
      <c r="AV812" s="142"/>
      <c r="BA812" s="142"/>
      <c r="BH812" s="142"/>
      <c r="BN812" s="142"/>
      <c r="BT812" s="142"/>
      <c r="BZ812" s="142"/>
      <c r="CF812" s="142"/>
      <c r="CL812" s="142"/>
      <c r="CR812" s="142"/>
      <c r="CX812" s="142"/>
      <c r="DD812" s="142"/>
      <c r="DJ812" s="142"/>
      <c r="DP812" s="142"/>
      <c r="DV812" s="142"/>
      <c r="EB812" s="142"/>
      <c r="EH812" s="142"/>
      <c r="EN812" s="142"/>
      <c r="ET812" s="142"/>
      <c r="EZ812" s="142"/>
      <c r="FF812" s="142"/>
      <c r="FL812" s="142"/>
      <c r="FR812" s="142"/>
      <c r="FX812" s="142"/>
      <c r="GD812" s="142"/>
      <c r="GJ812" s="142"/>
      <c r="GP812" s="142"/>
      <c r="GV812" s="142"/>
      <c r="HB812" s="142"/>
      <c r="HH812" s="142"/>
      <c r="HN812" s="142"/>
      <c r="HT812" s="142"/>
      <c r="HZ812" s="142"/>
    </row>
    <row r="813">
      <c r="F813" s="142"/>
      <c r="L813" s="142"/>
      <c r="R813" s="142"/>
      <c r="X813" s="142"/>
      <c r="AD813" s="142"/>
      <c r="AJ813" s="142"/>
      <c r="AP813" s="142"/>
      <c r="AV813" s="142"/>
      <c r="BA813" s="142"/>
      <c r="BH813" s="142"/>
      <c r="BN813" s="142"/>
      <c r="BT813" s="142"/>
      <c r="BZ813" s="142"/>
      <c r="CF813" s="142"/>
      <c r="CL813" s="142"/>
      <c r="CR813" s="142"/>
      <c r="CX813" s="142"/>
      <c r="DD813" s="142"/>
      <c r="DJ813" s="142"/>
      <c r="DP813" s="142"/>
      <c r="DV813" s="142"/>
      <c r="EB813" s="142"/>
      <c r="EH813" s="142"/>
      <c r="EN813" s="142"/>
      <c r="ET813" s="142"/>
      <c r="EZ813" s="142"/>
      <c r="FF813" s="142"/>
      <c r="FL813" s="142"/>
      <c r="FR813" s="142"/>
      <c r="FX813" s="142"/>
      <c r="GD813" s="142"/>
      <c r="GJ813" s="142"/>
      <c r="GP813" s="142"/>
      <c r="GV813" s="142"/>
      <c r="HB813" s="142"/>
      <c r="HH813" s="142"/>
      <c r="HN813" s="142"/>
      <c r="HT813" s="142"/>
      <c r="HZ813" s="142"/>
    </row>
    <row r="814">
      <c r="F814" s="142"/>
      <c r="L814" s="142"/>
      <c r="R814" s="142"/>
      <c r="X814" s="142"/>
      <c r="AD814" s="142"/>
      <c r="AJ814" s="142"/>
      <c r="AP814" s="142"/>
      <c r="AV814" s="142"/>
      <c r="BA814" s="142"/>
      <c r="BH814" s="142"/>
      <c r="BN814" s="142"/>
      <c r="BT814" s="142"/>
      <c r="BZ814" s="142"/>
      <c r="CF814" s="142"/>
      <c r="CL814" s="142"/>
      <c r="CR814" s="142"/>
      <c r="CX814" s="142"/>
      <c r="DD814" s="142"/>
      <c r="DJ814" s="142"/>
      <c r="DP814" s="142"/>
      <c r="DV814" s="142"/>
      <c r="EB814" s="142"/>
      <c r="EH814" s="142"/>
      <c r="EN814" s="142"/>
      <c r="ET814" s="142"/>
      <c r="EZ814" s="142"/>
      <c r="FF814" s="142"/>
      <c r="FL814" s="142"/>
      <c r="FR814" s="142"/>
      <c r="FX814" s="142"/>
      <c r="GD814" s="142"/>
      <c r="GJ814" s="142"/>
      <c r="GP814" s="142"/>
      <c r="GV814" s="142"/>
      <c r="HB814" s="142"/>
      <c r="HH814" s="142"/>
      <c r="HN814" s="142"/>
      <c r="HT814" s="142"/>
      <c r="HZ814" s="142"/>
    </row>
    <row r="815">
      <c r="F815" s="142"/>
      <c r="L815" s="142"/>
      <c r="R815" s="142"/>
      <c r="X815" s="142"/>
      <c r="AD815" s="142"/>
      <c r="AJ815" s="142"/>
      <c r="AP815" s="142"/>
      <c r="AV815" s="142"/>
      <c r="BA815" s="142"/>
      <c r="BH815" s="142"/>
      <c r="BN815" s="142"/>
      <c r="BT815" s="142"/>
      <c r="BZ815" s="142"/>
      <c r="CF815" s="142"/>
      <c r="CL815" s="142"/>
      <c r="CR815" s="142"/>
      <c r="CX815" s="142"/>
      <c r="DD815" s="142"/>
      <c r="DJ815" s="142"/>
      <c r="DP815" s="142"/>
      <c r="DV815" s="142"/>
      <c r="EB815" s="142"/>
      <c r="EH815" s="142"/>
      <c r="EN815" s="142"/>
      <c r="ET815" s="142"/>
      <c r="EZ815" s="142"/>
      <c r="FF815" s="142"/>
      <c r="FL815" s="142"/>
      <c r="FR815" s="142"/>
      <c r="FX815" s="142"/>
      <c r="GD815" s="142"/>
      <c r="GJ815" s="142"/>
      <c r="GP815" s="142"/>
      <c r="GV815" s="142"/>
      <c r="HB815" s="142"/>
      <c r="HH815" s="142"/>
      <c r="HN815" s="142"/>
      <c r="HT815" s="142"/>
      <c r="HZ815" s="142"/>
    </row>
    <row r="816">
      <c r="F816" s="142"/>
      <c r="L816" s="142"/>
      <c r="R816" s="142"/>
      <c r="X816" s="142"/>
      <c r="AD816" s="142"/>
      <c r="AJ816" s="142"/>
      <c r="AP816" s="142"/>
      <c r="AV816" s="142"/>
      <c r="BA816" s="142"/>
      <c r="BH816" s="142"/>
      <c r="BN816" s="142"/>
      <c r="BT816" s="142"/>
      <c r="BZ816" s="142"/>
      <c r="CF816" s="142"/>
      <c r="CL816" s="142"/>
      <c r="CR816" s="142"/>
      <c r="CX816" s="142"/>
      <c r="DD816" s="142"/>
      <c r="DJ816" s="142"/>
      <c r="DP816" s="142"/>
      <c r="DV816" s="142"/>
      <c r="EB816" s="142"/>
      <c r="EH816" s="142"/>
      <c r="EN816" s="142"/>
      <c r="ET816" s="142"/>
      <c r="EZ816" s="142"/>
      <c r="FF816" s="142"/>
      <c r="FL816" s="142"/>
      <c r="FR816" s="142"/>
      <c r="FX816" s="142"/>
      <c r="GD816" s="142"/>
      <c r="GJ816" s="142"/>
      <c r="GP816" s="142"/>
      <c r="GV816" s="142"/>
      <c r="HB816" s="142"/>
      <c r="HH816" s="142"/>
      <c r="HN816" s="142"/>
      <c r="HT816" s="142"/>
      <c r="HZ816" s="142"/>
    </row>
    <row r="817">
      <c r="F817" s="142"/>
      <c r="L817" s="142"/>
      <c r="R817" s="142"/>
      <c r="X817" s="142"/>
      <c r="AD817" s="142"/>
      <c r="AJ817" s="142"/>
      <c r="AP817" s="142"/>
      <c r="AV817" s="142"/>
      <c r="BA817" s="142"/>
      <c r="BH817" s="142"/>
      <c r="BN817" s="142"/>
      <c r="BT817" s="142"/>
      <c r="BZ817" s="142"/>
      <c r="CF817" s="142"/>
      <c r="CL817" s="142"/>
      <c r="CR817" s="142"/>
      <c r="CX817" s="142"/>
      <c r="DD817" s="142"/>
      <c r="DJ817" s="142"/>
      <c r="DP817" s="142"/>
      <c r="DV817" s="142"/>
      <c r="EB817" s="142"/>
      <c r="EH817" s="142"/>
      <c r="EN817" s="142"/>
      <c r="ET817" s="142"/>
      <c r="EZ817" s="142"/>
      <c r="FF817" s="142"/>
      <c r="FL817" s="142"/>
      <c r="FR817" s="142"/>
      <c r="FX817" s="142"/>
      <c r="GD817" s="142"/>
      <c r="GJ817" s="142"/>
      <c r="GP817" s="142"/>
      <c r="GV817" s="142"/>
      <c r="HB817" s="142"/>
      <c r="HH817" s="142"/>
      <c r="HN817" s="142"/>
      <c r="HT817" s="142"/>
      <c r="HZ817" s="142"/>
    </row>
    <row r="818">
      <c r="F818" s="142"/>
      <c r="L818" s="142"/>
      <c r="R818" s="142"/>
      <c r="X818" s="142"/>
      <c r="AD818" s="142"/>
      <c r="AJ818" s="142"/>
      <c r="AP818" s="142"/>
      <c r="AV818" s="142"/>
      <c r="BA818" s="142"/>
      <c r="BH818" s="142"/>
      <c r="BN818" s="142"/>
      <c r="BT818" s="142"/>
      <c r="BZ818" s="142"/>
      <c r="CF818" s="142"/>
      <c r="CL818" s="142"/>
      <c r="CR818" s="142"/>
      <c r="CX818" s="142"/>
      <c r="DD818" s="142"/>
      <c r="DJ818" s="142"/>
      <c r="DP818" s="142"/>
      <c r="DV818" s="142"/>
      <c r="EB818" s="142"/>
      <c r="EH818" s="142"/>
      <c r="EN818" s="142"/>
      <c r="ET818" s="142"/>
      <c r="EZ818" s="142"/>
      <c r="FF818" s="142"/>
      <c r="FL818" s="142"/>
      <c r="FR818" s="142"/>
      <c r="FX818" s="142"/>
      <c r="GD818" s="142"/>
      <c r="GJ818" s="142"/>
      <c r="GP818" s="142"/>
      <c r="GV818" s="142"/>
      <c r="HB818" s="142"/>
      <c r="HH818" s="142"/>
      <c r="HN818" s="142"/>
      <c r="HT818" s="142"/>
      <c r="HZ818" s="142"/>
    </row>
    <row r="819">
      <c r="F819" s="142"/>
      <c r="L819" s="142"/>
      <c r="R819" s="142"/>
      <c r="X819" s="142"/>
      <c r="AD819" s="142"/>
      <c r="AJ819" s="142"/>
      <c r="AP819" s="142"/>
      <c r="AV819" s="142"/>
      <c r="BA819" s="142"/>
      <c r="BH819" s="142"/>
      <c r="BN819" s="142"/>
      <c r="BT819" s="142"/>
      <c r="BZ819" s="142"/>
      <c r="CF819" s="142"/>
      <c r="CL819" s="142"/>
      <c r="CR819" s="142"/>
      <c r="CX819" s="142"/>
      <c r="DD819" s="142"/>
      <c r="DJ819" s="142"/>
      <c r="DP819" s="142"/>
      <c r="DV819" s="142"/>
      <c r="EB819" s="142"/>
      <c r="EH819" s="142"/>
      <c r="EN819" s="142"/>
      <c r="ET819" s="142"/>
      <c r="EZ819" s="142"/>
      <c r="FF819" s="142"/>
      <c r="FL819" s="142"/>
      <c r="FR819" s="142"/>
      <c r="FX819" s="142"/>
      <c r="GD819" s="142"/>
      <c r="GJ819" s="142"/>
      <c r="GP819" s="142"/>
      <c r="GV819" s="142"/>
      <c r="HB819" s="142"/>
      <c r="HH819" s="142"/>
      <c r="HN819" s="142"/>
      <c r="HT819" s="142"/>
      <c r="HZ819" s="142"/>
    </row>
    <row r="820">
      <c r="F820" s="142"/>
      <c r="L820" s="142"/>
      <c r="R820" s="142"/>
      <c r="X820" s="142"/>
      <c r="AD820" s="142"/>
      <c r="AJ820" s="142"/>
      <c r="AP820" s="142"/>
      <c r="AV820" s="142"/>
      <c r="BA820" s="142"/>
      <c r="BH820" s="142"/>
      <c r="BN820" s="142"/>
      <c r="BT820" s="142"/>
      <c r="BZ820" s="142"/>
      <c r="CF820" s="142"/>
      <c r="CL820" s="142"/>
      <c r="CR820" s="142"/>
      <c r="CX820" s="142"/>
      <c r="DD820" s="142"/>
      <c r="DJ820" s="142"/>
      <c r="DP820" s="142"/>
      <c r="DV820" s="142"/>
      <c r="EB820" s="142"/>
      <c r="EH820" s="142"/>
      <c r="EN820" s="142"/>
      <c r="ET820" s="142"/>
      <c r="EZ820" s="142"/>
      <c r="FF820" s="142"/>
      <c r="FL820" s="142"/>
      <c r="FR820" s="142"/>
      <c r="FX820" s="142"/>
      <c r="GD820" s="142"/>
      <c r="GJ820" s="142"/>
      <c r="GP820" s="142"/>
      <c r="GV820" s="142"/>
      <c r="HB820" s="142"/>
      <c r="HH820" s="142"/>
      <c r="HN820" s="142"/>
      <c r="HT820" s="142"/>
      <c r="HZ820" s="142"/>
    </row>
    <row r="821">
      <c r="F821" s="142"/>
      <c r="L821" s="142"/>
      <c r="R821" s="142"/>
      <c r="X821" s="142"/>
      <c r="AD821" s="142"/>
      <c r="AJ821" s="142"/>
      <c r="AP821" s="142"/>
      <c r="AV821" s="142"/>
      <c r="BA821" s="142"/>
      <c r="BH821" s="142"/>
      <c r="BN821" s="142"/>
      <c r="BT821" s="142"/>
      <c r="BZ821" s="142"/>
      <c r="CF821" s="142"/>
      <c r="CL821" s="142"/>
      <c r="CR821" s="142"/>
      <c r="CX821" s="142"/>
      <c r="DD821" s="142"/>
      <c r="DJ821" s="142"/>
      <c r="DP821" s="142"/>
      <c r="DV821" s="142"/>
      <c r="EB821" s="142"/>
      <c r="EH821" s="142"/>
      <c r="EN821" s="142"/>
      <c r="ET821" s="142"/>
      <c r="EZ821" s="142"/>
      <c r="FF821" s="142"/>
      <c r="FL821" s="142"/>
      <c r="FR821" s="142"/>
      <c r="FX821" s="142"/>
      <c r="GD821" s="142"/>
      <c r="GJ821" s="142"/>
      <c r="GP821" s="142"/>
      <c r="GV821" s="142"/>
      <c r="HB821" s="142"/>
      <c r="HH821" s="142"/>
      <c r="HN821" s="142"/>
      <c r="HT821" s="142"/>
      <c r="HZ821" s="142"/>
    </row>
    <row r="822">
      <c r="F822" s="142"/>
      <c r="L822" s="142"/>
      <c r="R822" s="142"/>
      <c r="X822" s="142"/>
      <c r="AD822" s="142"/>
      <c r="AJ822" s="142"/>
      <c r="AP822" s="142"/>
      <c r="AV822" s="142"/>
      <c r="BA822" s="142"/>
      <c r="BH822" s="142"/>
      <c r="BN822" s="142"/>
      <c r="BT822" s="142"/>
      <c r="BZ822" s="142"/>
      <c r="CF822" s="142"/>
      <c r="CL822" s="142"/>
      <c r="CR822" s="142"/>
      <c r="CX822" s="142"/>
      <c r="DD822" s="142"/>
      <c r="DJ822" s="142"/>
      <c r="DP822" s="142"/>
      <c r="DV822" s="142"/>
      <c r="EB822" s="142"/>
      <c r="EH822" s="142"/>
      <c r="EN822" s="142"/>
      <c r="ET822" s="142"/>
      <c r="EZ822" s="142"/>
      <c r="FF822" s="142"/>
      <c r="FL822" s="142"/>
      <c r="FR822" s="142"/>
      <c r="FX822" s="142"/>
      <c r="GD822" s="142"/>
      <c r="GJ822" s="142"/>
      <c r="GP822" s="142"/>
      <c r="GV822" s="142"/>
      <c r="HB822" s="142"/>
      <c r="HH822" s="142"/>
      <c r="HN822" s="142"/>
      <c r="HT822" s="142"/>
      <c r="HZ822" s="142"/>
    </row>
    <row r="823">
      <c r="F823" s="142"/>
      <c r="L823" s="142"/>
      <c r="R823" s="142"/>
      <c r="X823" s="142"/>
      <c r="AD823" s="142"/>
      <c r="AJ823" s="142"/>
      <c r="AP823" s="142"/>
      <c r="AV823" s="142"/>
      <c r="BA823" s="142"/>
      <c r="BH823" s="142"/>
      <c r="BN823" s="142"/>
      <c r="BT823" s="142"/>
      <c r="BZ823" s="142"/>
      <c r="CF823" s="142"/>
      <c r="CL823" s="142"/>
      <c r="CR823" s="142"/>
      <c r="CX823" s="142"/>
      <c r="DD823" s="142"/>
      <c r="DJ823" s="142"/>
      <c r="DP823" s="142"/>
      <c r="DV823" s="142"/>
      <c r="EB823" s="142"/>
      <c r="EH823" s="142"/>
      <c r="EN823" s="142"/>
      <c r="ET823" s="142"/>
      <c r="EZ823" s="142"/>
      <c r="FF823" s="142"/>
      <c r="FL823" s="142"/>
      <c r="FR823" s="142"/>
      <c r="FX823" s="142"/>
      <c r="GD823" s="142"/>
      <c r="GJ823" s="142"/>
      <c r="GP823" s="142"/>
      <c r="GV823" s="142"/>
      <c r="HB823" s="142"/>
      <c r="HH823" s="142"/>
      <c r="HN823" s="142"/>
      <c r="HT823" s="142"/>
      <c r="HZ823" s="142"/>
    </row>
    <row r="824">
      <c r="F824" s="142"/>
      <c r="L824" s="142"/>
      <c r="R824" s="142"/>
      <c r="X824" s="142"/>
      <c r="AD824" s="142"/>
      <c r="AJ824" s="142"/>
      <c r="AP824" s="142"/>
      <c r="AV824" s="142"/>
      <c r="BA824" s="142"/>
      <c r="BH824" s="142"/>
      <c r="BN824" s="142"/>
      <c r="BT824" s="142"/>
      <c r="BZ824" s="142"/>
      <c r="CF824" s="142"/>
      <c r="CL824" s="142"/>
      <c r="CR824" s="142"/>
      <c r="CX824" s="142"/>
      <c r="DD824" s="142"/>
      <c r="DJ824" s="142"/>
      <c r="DP824" s="142"/>
      <c r="DV824" s="142"/>
      <c r="EB824" s="142"/>
      <c r="EH824" s="142"/>
      <c r="EN824" s="142"/>
      <c r="ET824" s="142"/>
      <c r="EZ824" s="142"/>
      <c r="FF824" s="142"/>
      <c r="FL824" s="142"/>
      <c r="FR824" s="142"/>
      <c r="FX824" s="142"/>
      <c r="GD824" s="142"/>
      <c r="GJ824" s="142"/>
      <c r="GP824" s="142"/>
      <c r="GV824" s="142"/>
      <c r="HB824" s="142"/>
      <c r="HH824" s="142"/>
      <c r="HN824" s="142"/>
      <c r="HT824" s="142"/>
      <c r="HZ824" s="142"/>
    </row>
    <row r="825">
      <c r="F825" s="142"/>
      <c r="L825" s="142"/>
      <c r="R825" s="142"/>
      <c r="X825" s="142"/>
      <c r="AD825" s="142"/>
      <c r="AJ825" s="142"/>
      <c r="AP825" s="142"/>
      <c r="AV825" s="142"/>
      <c r="BA825" s="142"/>
      <c r="BH825" s="142"/>
      <c r="BN825" s="142"/>
      <c r="BT825" s="142"/>
      <c r="BZ825" s="142"/>
      <c r="CF825" s="142"/>
      <c r="CL825" s="142"/>
      <c r="CR825" s="142"/>
      <c r="CX825" s="142"/>
      <c r="DD825" s="142"/>
      <c r="DJ825" s="142"/>
      <c r="DP825" s="142"/>
      <c r="DV825" s="142"/>
      <c r="EB825" s="142"/>
      <c r="EH825" s="142"/>
      <c r="EN825" s="142"/>
      <c r="ET825" s="142"/>
      <c r="EZ825" s="142"/>
      <c r="FF825" s="142"/>
      <c r="FL825" s="142"/>
      <c r="FR825" s="142"/>
      <c r="FX825" s="142"/>
      <c r="GD825" s="142"/>
      <c r="GJ825" s="142"/>
      <c r="GP825" s="142"/>
      <c r="GV825" s="142"/>
      <c r="HB825" s="142"/>
      <c r="HH825" s="142"/>
      <c r="HN825" s="142"/>
      <c r="HT825" s="142"/>
      <c r="HZ825" s="142"/>
    </row>
    <row r="826">
      <c r="F826" s="142"/>
      <c r="L826" s="142"/>
      <c r="R826" s="142"/>
      <c r="X826" s="142"/>
      <c r="AD826" s="142"/>
      <c r="AJ826" s="142"/>
      <c r="AP826" s="142"/>
      <c r="AV826" s="142"/>
      <c r="BA826" s="142"/>
      <c r="BH826" s="142"/>
      <c r="BN826" s="142"/>
      <c r="BT826" s="142"/>
      <c r="BZ826" s="142"/>
      <c r="CF826" s="142"/>
      <c r="CL826" s="142"/>
      <c r="CR826" s="142"/>
      <c r="CX826" s="142"/>
      <c r="DD826" s="142"/>
      <c r="DJ826" s="142"/>
      <c r="DP826" s="142"/>
      <c r="DV826" s="142"/>
      <c r="EB826" s="142"/>
      <c r="EH826" s="142"/>
      <c r="EN826" s="142"/>
      <c r="ET826" s="142"/>
      <c r="EZ826" s="142"/>
      <c r="FF826" s="142"/>
      <c r="FL826" s="142"/>
      <c r="FR826" s="142"/>
      <c r="FX826" s="142"/>
      <c r="GD826" s="142"/>
      <c r="GJ826" s="142"/>
      <c r="GP826" s="142"/>
      <c r="GV826" s="142"/>
      <c r="HB826" s="142"/>
      <c r="HH826" s="142"/>
      <c r="HN826" s="142"/>
      <c r="HT826" s="142"/>
      <c r="HZ826" s="142"/>
    </row>
    <row r="827">
      <c r="F827" s="142"/>
      <c r="L827" s="142"/>
      <c r="R827" s="142"/>
      <c r="X827" s="142"/>
      <c r="AD827" s="142"/>
      <c r="AJ827" s="142"/>
      <c r="AP827" s="142"/>
      <c r="AV827" s="142"/>
      <c r="BA827" s="142"/>
      <c r="BH827" s="142"/>
      <c r="BN827" s="142"/>
      <c r="BT827" s="142"/>
      <c r="BZ827" s="142"/>
      <c r="CF827" s="142"/>
      <c r="CL827" s="142"/>
      <c r="CR827" s="142"/>
      <c r="CX827" s="142"/>
      <c r="DD827" s="142"/>
      <c r="DJ827" s="142"/>
      <c r="DP827" s="142"/>
      <c r="DV827" s="142"/>
      <c r="EB827" s="142"/>
      <c r="EH827" s="142"/>
      <c r="EN827" s="142"/>
      <c r="ET827" s="142"/>
      <c r="EZ827" s="142"/>
      <c r="FF827" s="142"/>
      <c r="FL827" s="142"/>
      <c r="FR827" s="142"/>
      <c r="FX827" s="142"/>
      <c r="GD827" s="142"/>
      <c r="GJ827" s="142"/>
      <c r="GP827" s="142"/>
      <c r="GV827" s="142"/>
      <c r="HB827" s="142"/>
      <c r="HH827" s="142"/>
      <c r="HN827" s="142"/>
      <c r="HT827" s="142"/>
      <c r="HZ827" s="142"/>
    </row>
    <row r="828">
      <c r="F828" s="142"/>
      <c r="L828" s="142"/>
      <c r="R828" s="142"/>
      <c r="X828" s="142"/>
      <c r="AD828" s="142"/>
      <c r="AJ828" s="142"/>
      <c r="AP828" s="142"/>
      <c r="AV828" s="142"/>
      <c r="BA828" s="142"/>
      <c r="BH828" s="142"/>
      <c r="BN828" s="142"/>
      <c r="BT828" s="142"/>
      <c r="BZ828" s="142"/>
      <c r="CF828" s="142"/>
      <c r="CL828" s="142"/>
      <c r="CR828" s="142"/>
      <c r="CX828" s="142"/>
      <c r="DD828" s="142"/>
      <c r="DJ828" s="142"/>
      <c r="DP828" s="142"/>
      <c r="DV828" s="142"/>
      <c r="EB828" s="142"/>
      <c r="EH828" s="142"/>
      <c r="EN828" s="142"/>
      <c r="ET828" s="142"/>
      <c r="EZ828" s="142"/>
      <c r="FF828" s="142"/>
      <c r="FL828" s="142"/>
      <c r="FR828" s="142"/>
      <c r="FX828" s="142"/>
      <c r="GD828" s="142"/>
      <c r="GJ828" s="142"/>
      <c r="GP828" s="142"/>
      <c r="GV828" s="142"/>
      <c r="HB828" s="142"/>
      <c r="HH828" s="142"/>
      <c r="HN828" s="142"/>
      <c r="HT828" s="142"/>
      <c r="HZ828" s="142"/>
    </row>
    <row r="829">
      <c r="F829" s="142"/>
      <c r="L829" s="142"/>
      <c r="R829" s="142"/>
      <c r="X829" s="142"/>
      <c r="AD829" s="142"/>
      <c r="AJ829" s="142"/>
      <c r="AP829" s="142"/>
      <c r="AV829" s="142"/>
      <c r="BA829" s="142"/>
      <c r="BH829" s="142"/>
      <c r="BN829" s="142"/>
      <c r="BT829" s="142"/>
      <c r="BZ829" s="142"/>
      <c r="CF829" s="142"/>
      <c r="CL829" s="142"/>
      <c r="CR829" s="142"/>
      <c r="CX829" s="142"/>
      <c r="DD829" s="142"/>
      <c r="DJ829" s="142"/>
      <c r="DP829" s="142"/>
      <c r="DV829" s="142"/>
      <c r="EB829" s="142"/>
      <c r="EH829" s="142"/>
      <c r="EN829" s="142"/>
      <c r="ET829" s="142"/>
      <c r="EZ829" s="142"/>
      <c r="FF829" s="142"/>
      <c r="FL829" s="142"/>
      <c r="FR829" s="142"/>
      <c r="FX829" s="142"/>
      <c r="GD829" s="142"/>
      <c r="GJ829" s="142"/>
      <c r="GP829" s="142"/>
      <c r="GV829" s="142"/>
      <c r="HB829" s="142"/>
      <c r="HH829" s="142"/>
      <c r="HN829" s="142"/>
      <c r="HT829" s="142"/>
      <c r="HZ829" s="142"/>
    </row>
    <row r="830">
      <c r="F830" s="142"/>
      <c r="L830" s="142"/>
      <c r="R830" s="142"/>
      <c r="X830" s="142"/>
      <c r="AD830" s="142"/>
      <c r="AJ830" s="142"/>
      <c r="AP830" s="142"/>
      <c r="AV830" s="142"/>
      <c r="BA830" s="142"/>
      <c r="BH830" s="142"/>
      <c r="BN830" s="142"/>
      <c r="BT830" s="142"/>
      <c r="BZ830" s="142"/>
      <c r="CF830" s="142"/>
      <c r="CL830" s="142"/>
      <c r="CR830" s="142"/>
      <c r="CX830" s="142"/>
      <c r="DD830" s="142"/>
      <c r="DJ830" s="142"/>
      <c r="DP830" s="142"/>
      <c r="DV830" s="142"/>
      <c r="EB830" s="142"/>
      <c r="EH830" s="142"/>
      <c r="EN830" s="142"/>
      <c r="ET830" s="142"/>
      <c r="EZ830" s="142"/>
      <c r="FF830" s="142"/>
      <c r="FL830" s="142"/>
      <c r="FR830" s="142"/>
      <c r="FX830" s="142"/>
      <c r="GD830" s="142"/>
      <c r="GJ830" s="142"/>
      <c r="GP830" s="142"/>
      <c r="GV830" s="142"/>
      <c r="HB830" s="142"/>
      <c r="HH830" s="142"/>
      <c r="HN830" s="142"/>
      <c r="HT830" s="142"/>
      <c r="HZ830" s="142"/>
    </row>
    <row r="831">
      <c r="F831" s="142"/>
      <c r="L831" s="142"/>
      <c r="R831" s="142"/>
      <c r="X831" s="142"/>
      <c r="AD831" s="142"/>
      <c r="AJ831" s="142"/>
      <c r="AP831" s="142"/>
      <c r="AV831" s="142"/>
      <c r="BA831" s="142"/>
      <c r="BH831" s="142"/>
      <c r="BN831" s="142"/>
      <c r="BT831" s="142"/>
      <c r="BZ831" s="142"/>
      <c r="CF831" s="142"/>
      <c r="CL831" s="142"/>
      <c r="CR831" s="142"/>
      <c r="CX831" s="142"/>
      <c r="DD831" s="142"/>
      <c r="DJ831" s="142"/>
      <c r="DP831" s="142"/>
      <c r="DV831" s="142"/>
      <c r="EB831" s="142"/>
      <c r="EH831" s="142"/>
      <c r="EN831" s="142"/>
      <c r="ET831" s="142"/>
      <c r="EZ831" s="142"/>
      <c r="FF831" s="142"/>
      <c r="FL831" s="142"/>
      <c r="FR831" s="142"/>
      <c r="FX831" s="142"/>
      <c r="GD831" s="142"/>
      <c r="GJ831" s="142"/>
      <c r="GP831" s="142"/>
      <c r="GV831" s="142"/>
      <c r="HB831" s="142"/>
      <c r="HH831" s="142"/>
      <c r="HN831" s="142"/>
      <c r="HT831" s="142"/>
      <c r="HZ831" s="142"/>
    </row>
    <row r="832">
      <c r="F832" s="142"/>
      <c r="L832" s="142"/>
      <c r="R832" s="142"/>
      <c r="X832" s="142"/>
      <c r="AD832" s="142"/>
      <c r="AJ832" s="142"/>
      <c r="AP832" s="142"/>
      <c r="AV832" s="142"/>
      <c r="BA832" s="142"/>
      <c r="BH832" s="142"/>
      <c r="BN832" s="142"/>
      <c r="BT832" s="142"/>
      <c r="BZ832" s="142"/>
      <c r="CF832" s="142"/>
      <c r="CL832" s="142"/>
      <c r="CR832" s="142"/>
      <c r="CX832" s="142"/>
      <c r="DD832" s="142"/>
      <c r="DJ832" s="142"/>
      <c r="DP832" s="142"/>
      <c r="DV832" s="142"/>
      <c r="EB832" s="142"/>
      <c r="EH832" s="142"/>
      <c r="EN832" s="142"/>
      <c r="ET832" s="142"/>
      <c r="EZ832" s="142"/>
      <c r="FF832" s="142"/>
      <c r="FL832" s="142"/>
      <c r="FR832" s="142"/>
      <c r="FX832" s="142"/>
      <c r="GD832" s="142"/>
      <c r="GJ832" s="142"/>
      <c r="GP832" s="142"/>
      <c r="GV832" s="142"/>
      <c r="HB832" s="142"/>
      <c r="HH832" s="142"/>
      <c r="HN832" s="142"/>
      <c r="HT832" s="142"/>
      <c r="HZ832" s="142"/>
    </row>
    <row r="833">
      <c r="F833" s="142"/>
      <c r="L833" s="142"/>
      <c r="R833" s="142"/>
      <c r="X833" s="142"/>
      <c r="AD833" s="142"/>
      <c r="AJ833" s="142"/>
      <c r="AP833" s="142"/>
      <c r="AV833" s="142"/>
      <c r="BA833" s="142"/>
      <c r="BH833" s="142"/>
      <c r="BN833" s="142"/>
      <c r="BT833" s="142"/>
      <c r="BZ833" s="142"/>
      <c r="CF833" s="142"/>
      <c r="CL833" s="142"/>
      <c r="CR833" s="142"/>
      <c r="CX833" s="142"/>
      <c r="DD833" s="142"/>
      <c r="DJ833" s="142"/>
      <c r="DP833" s="142"/>
      <c r="DV833" s="142"/>
      <c r="EB833" s="142"/>
      <c r="EH833" s="142"/>
      <c r="EN833" s="142"/>
      <c r="ET833" s="142"/>
      <c r="EZ833" s="142"/>
      <c r="FF833" s="142"/>
      <c r="FL833" s="142"/>
      <c r="FR833" s="142"/>
      <c r="FX833" s="142"/>
      <c r="GD833" s="142"/>
      <c r="GJ833" s="142"/>
      <c r="GP833" s="142"/>
      <c r="GV833" s="142"/>
      <c r="HB833" s="142"/>
      <c r="HH833" s="142"/>
      <c r="HN833" s="142"/>
      <c r="HT833" s="142"/>
      <c r="HZ833" s="142"/>
    </row>
    <row r="834">
      <c r="F834" s="142"/>
      <c r="L834" s="142"/>
      <c r="R834" s="142"/>
      <c r="X834" s="142"/>
      <c r="AD834" s="142"/>
      <c r="AJ834" s="142"/>
      <c r="AP834" s="142"/>
      <c r="AV834" s="142"/>
      <c r="BA834" s="142"/>
      <c r="BH834" s="142"/>
      <c r="BN834" s="142"/>
      <c r="BT834" s="142"/>
      <c r="BZ834" s="142"/>
      <c r="CF834" s="142"/>
      <c r="CL834" s="142"/>
      <c r="CR834" s="142"/>
      <c r="CX834" s="142"/>
      <c r="DD834" s="142"/>
      <c r="DJ834" s="142"/>
      <c r="DP834" s="142"/>
      <c r="DV834" s="142"/>
      <c r="EB834" s="142"/>
      <c r="EH834" s="142"/>
      <c r="EN834" s="142"/>
      <c r="ET834" s="142"/>
      <c r="EZ834" s="142"/>
      <c r="FF834" s="142"/>
      <c r="FL834" s="142"/>
      <c r="FR834" s="142"/>
      <c r="FX834" s="142"/>
      <c r="GD834" s="142"/>
      <c r="GJ834" s="142"/>
      <c r="GP834" s="142"/>
      <c r="GV834" s="142"/>
      <c r="HB834" s="142"/>
      <c r="HH834" s="142"/>
      <c r="HN834" s="142"/>
      <c r="HT834" s="142"/>
      <c r="HZ834" s="142"/>
    </row>
    <row r="835">
      <c r="F835" s="142"/>
      <c r="L835" s="142"/>
      <c r="R835" s="142"/>
      <c r="X835" s="142"/>
      <c r="AD835" s="142"/>
      <c r="AJ835" s="142"/>
      <c r="AP835" s="142"/>
      <c r="AV835" s="142"/>
      <c r="BA835" s="142"/>
      <c r="BH835" s="142"/>
      <c r="BN835" s="142"/>
      <c r="BT835" s="142"/>
      <c r="BZ835" s="142"/>
      <c r="CF835" s="142"/>
      <c r="CL835" s="142"/>
      <c r="CR835" s="142"/>
      <c r="CX835" s="142"/>
      <c r="DD835" s="142"/>
      <c r="DJ835" s="142"/>
      <c r="DP835" s="142"/>
      <c r="DV835" s="142"/>
      <c r="EB835" s="142"/>
      <c r="EH835" s="142"/>
      <c r="EN835" s="142"/>
      <c r="ET835" s="142"/>
      <c r="EZ835" s="142"/>
      <c r="FF835" s="142"/>
      <c r="FL835" s="142"/>
      <c r="FR835" s="142"/>
      <c r="FX835" s="142"/>
      <c r="GD835" s="142"/>
      <c r="GJ835" s="142"/>
      <c r="GP835" s="142"/>
      <c r="GV835" s="142"/>
      <c r="HB835" s="142"/>
      <c r="HH835" s="142"/>
      <c r="HN835" s="142"/>
      <c r="HT835" s="142"/>
      <c r="HZ835" s="142"/>
    </row>
    <row r="836">
      <c r="F836" s="142"/>
      <c r="L836" s="142"/>
      <c r="R836" s="142"/>
      <c r="X836" s="142"/>
      <c r="AD836" s="142"/>
      <c r="AJ836" s="142"/>
      <c r="AP836" s="142"/>
      <c r="AV836" s="142"/>
      <c r="BA836" s="142"/>
      <c r="BH836" s="142"/>
      <c r="BN836" s="142"/>
      <c r="BT836" s="142"/>
      <c r="BZ836" s="142"/>
      <c r="CF836" s="142"/>
      <c r="CL836" s="142"/>
      <c r="CR836" s="142"/>
      <c r="CX836" s="142"/>
      <c r="DD836" s="142"/>
      <c r="DJ836" s="142"/>
      <c r="DP836" s="142"/>
      <c r="DV836" s="142"/>
      <c r="EB836" s="142"/>
      <c r="EH836" s="142"/>
      <c r="EN836" s="142"/>
      <c r="ET836" s="142"/>
      <c r="EZ836" s="142"/>
      <c r="FF836" s="142"/>
      <c r="FL836" s="142"/>
      <c r="FR836" s="142"/>
      <c r="FX836" s="142"/>
      <c r="GD836" s="142"/>
      <c r="GJ836" s="142"/>
      <c r="GP836" s="142"/>
      <c r="GV836" s="142"/>
      <c r="HB836" s="142"/>
      <c r="HH836" s="142"/>
      <c r="HN836" s="142"/>
      <c r="HT836" s="142"/>
      <c r="HZ836" s="142"/>
    </row>
    <row r="837">
      <c r="F837" s="142"/>
      <c r="L837" s="142"/>
      <c r="R837" s="142"/>
      <c r="X837" s="142"/>
      <c r="AD837" s="142"/>
      <c r="AJ837" s="142"/>
      <c r="AP837" s="142"/>
      <c r="AV837" s="142"/>
      <c r="BA837" s="142"/>
      <c r="BH837" s="142"/>
      <c r="BN837" s="142"/>
      <c r="BT837" s="142"/>
      <c r="BZ837" s="142"/>
      <c r="CF837" s="142"/>
      <c r="CL837" s="142"/>
      <c r="CR837" s="142"/>
      <c r="CX837" s="142"/>
      <c r="DD837" s="142"/>
      <c r="DJ837" s="142"/>
      <c r="DP837" s="142"/>
      <c r="DV837" s="142"/>
      <c r="EB837" s="142"/>
      <c r="EH837" s="142"/>
      <c r="EN837" s="142"/>
      <c r="ET837" s="142"/>
      <c r="EZ837" s="142"/>
      <c r="FF837" s="142"/>
      <c r="FL837" s="142"/>
      <c r="FR837" s="142"/>
      <c r="FX837" s="142"/>
      <c r="GD837" s="142"/>
      <c r="GJ837" s="142"/>
      <c r="GP837" s="142"/>
      <c r="GV837" s="142"/>
      <c r="HB837" s="142"/>
      <c r="HH837" s="142"/>
      <c r="HN837" s="142"/>
      <c r="HT837" s="142"/>
      <c r="HZ837" s="142"/>
    </row>
    <row r="838">
      <c r="F838" s="142"/>
      <c r="L838" s="142"/>
      <c r="R838" s="142"/>
      <c r="X838" s="142"/>
      <c r="AD838" s="142"/>
      <c r="AJ838" s="142"/>
      <c r="AP838" s="142"/>
      <c r="AV838" s="142"/>
      <c r="BA838" s="142"/>
      <c r="BH838" s="142"/>
      <c r="BN838" s="142"/>
      <c r="BT838" s="142"/>
      <c r="BZ838" s="142"/>
      <c r="CF838" s="142"/>
      <c r="CL838" s="142"/>
      <c r="CR838" s="142"/>
      <c r="CX838" s="142"/>
      <c r="DD838" s="142"/>
      <c r="DJ838" s="142"/>
      <c r="DP838" s="142"/>
      <c r="DV838" s="142"/>
      <c r="EB838" s="142"/>
      <c r="EH838" s="142"/>
      <c r="EN838" s="142"/>
      <c r="ET838" s="142"/>
      <c r="EZ838" s="142"/>
      <c r="FF838" s="142"/>
      <c r="FL838" s="142"/>
      <c r="FR838" s="142"/>
      <c r="FX838" s="142"/>
      <c r="GD838" s="142"/>
      <c r="GJ838" s="142"/>
      <c r="GP838" s="142"/>
      <c r="GV838" s="142"/>
      <c r="HB838" s="142"/>
      <c r="HH838" s="142"/>
      <c r="HN838" s="142"/>
      <c r="HT838" s="142"/>
      <c r="HZ838" s="142"/>
    </row>
    <row r="839">
      <c r="F839" s="142"/>
      <c r="L839" s="142"/>
      <c r="R839" s="142"/>
      <c r="X839" s="142"/>
      <c r="AD839" s="142"/>
      <c r="AJ839" s="142"/>
      <c r="AP839" s="142"/>
      <c r="AV839" s="142"/>
      <c r="BA839" s="142"/>
      <c r="BH839" s="142"/>
      <c r="BN839" s="142"/>
      <c r="BT839" s="142"/>
      <c r="BZ839" s="142"/>
      <c r="CF839" s="142"/>
      <c r="CL839" s="142"/>
      <c r="CR839" s="142"/>
      <c r="CX839" s="142"/>
      <c r="DD839" s="142"/>
      <c r="DJ839" s="142"/>
      <c r="DP839" s="142"/>
      <c r="DV839" s="142"/>
      <c r="EB839" s="142"/>
      <c r="EH839" s="142"/>
      <c r="EN839" s="142"/>
      <c r="ET839" s="142"/>
      <c r="EZ839" s="142"/>
      <c r="FF839" s="142"/>
      <c r="FL839" s="142"/>
      <c r="FR839" s="142"/>
      <c r="FX839" s="142"/>
      <c r="GD839" s="142"/>
      <c r="GJ839" s="142"/>
      <c r="GP839" s="142"/>
      <c r="GV839" s="142"/>
      <c r="HB839" s="142"/>
      <c r="HH839" s="142"/>
      <c r="HN839" s="142"/>
      <c r="HT839" s="142"/>
      <c r="HZ839" s="142"/>
    </row>
    <row r="840">
      <c r="F840" s="142"/>
      <c r="L840" s="142"/>
      <c r="R840" s="142"/>
      <c r="X840" s="142"/>
      <c r="AD840" s="142"/>
      <c r="AJ840" s="142"/>
      <c r="AP840" s="142"/>
      <c r="AV840" s="142"/>
      <c r="BA840" s="142"/>
      <c r="BH840" s="142"/>
      <c r="BN840" s="142"/>
      <c r="BT840" s="142"/>
      <c r="BZ840" s="142"/>
      <c r="CF840" s="142"/>
      <c r="CL840" s="142"/>
      <c r="CR840" s="142"/>
      <c r="CX840" s="142"/>
      <c r="DD840" s="142"/>
      <c r="DJ840" s="142"/>
      <c r="DP840" s="142"/>
      <c r="DV840" s="142"/>
      <c r="EB840" s="142"/>
      <c r="EH840" s="142"/>
      <c r="EN840" s="142"/>
      <c r="ET840" s="142"/>
      <c r="EZ840" s="142"/>
      <c r="FF840" s="142"/>
      <c r="FL840" s="142"/>
      <c r="FR840" s="142"/>
      <c r="FX840" s="142"/>
      <c r="GD840" s="142"/>
      <c r="GJ840" s="142"/>
      <c r="GP840" s="142"/>
      <c r="GV840" s="142"/>
      <c r="HB840" s="142"/>
      <c r="HH840" s="142"/>
      <c r="HN840" s="142"/>
      <c r="HT840" s="142"/>
      <c r="HZ840" s="142"/>
    </row>
    <row r="841">
      <c r="F841" s="142"/>
      <c r="L841" s="142"/>
      <c r="R841" s="142"/>
      <c r="X841" s="142"/>
      <c r="AD841" s="142"/>
      <c r="AJ841" s="142"/>
      <c r="AP841" s="142"/>
      <c r="AV841" s="142"/>
      <c r="BA841" s="142"/>
      <c r="BH841" s="142"/>
      <c r="BN841" s="142"/>
      <c r="BT841" s="142"/>
      <c r="BZ841" s="142"/>
      <c r="CF841" s="142"/>
      <c r="CL841" s="142"/>
      <c r="CR841" s="142"/>
      <c r="CX841" s="142"/>
      <c r="DD841" s="142"/>
      <c r="DJ841" s="142"/>
      <c r="DP841" s="142"/>
      <c r="DV841" s="142"/>
      <c r="EB841" s="142"/>
      <c r="EH841" s="142"/>
      <c r="EN841" s="142"/>
      <c r="ET841" s="142"/>
      <c r="EZ841" s="142"/>
      <c r="FF841" s="142"/>
      <c r="FL841" s="142"/>
      <c r="FR841" s="142"/>
      <c r="FX841" s="142"/>
      <c r="GD841" s="142"/>
      <c r="GJ841" s="142"/>
      <c r="GP841" s="142"/>
      <c r="GV841" s="142"/>
      <c r="HB841" s="142"/>
      <c r="HH841" s="142"/>
      <c r="HN841" s="142"/>
      <c r="HT841" s="142"/>
      <c r="HZ841" s="142"/>
    </row>
    <row r="842">
      <c r="F842" s="142"/>
      <c r="L842" s="142"/>
      <c r="R842" s="142"/>
      <c r="X842" s="142"/>
      <c r="AD842" s="142"/>
      <c r="AJ842" s="142"/>
      <c r="AP842" s="142"/>
      <c r="AV842" s="142"/>
      <c r="BA842" s="142"/>
      <c r="BH842" s="142"/>
      <c r="BN842" s="142"/>
      <c r="BT842" s="142"/>
      <c r="BZ842" s="142"/>
      <c r="CF842" s="142"/>
      <c r="CL842" s="142"/>
      <c r="CR842" s="142"/>
      <c r="CX842" s="142"/>
      <c r="DD842" s="142"/>
      <c r="DJ842" s="142"/>
      <c r="DP842" s="142"/>
      <c r="DV842" s="142"/>
      <c r="EB842" s="142"/>
      <c r="EH842" s="142"/>
      <c r="EN842" s="142"/>
      <c r="ET842" s="142"/>
      <c r="EZ842" s="142"/>
      <c r="FF842" s="142"/>
      <c r="FL842" s="142"/>
      <c r="FR842" s="142"/>
      <c r="FX842" s="142"/>
      <c r="GD842" s="142"/>
      <c r="GJ842" s="142"/>
      <c r="GP842" s="142"/>
      <c r="GV842" s="142"/>
      <c r="HB842" s="142"/>
      <c r="HH842" s="142"/>
      <c r="HN842" s="142"/>
      <c r="HT842" s="142"/>
      <c r="HZ842" s="142"/>
    </row>
    <row r="843">
      <c r="F843" s="142"/>
      <c r="L843" s="142"/>
      <c r="R843" s="142"/>
      <c r="X843" s="142"/>
      <c r="AD843" s="142"/>
      <c r="AJ843" s="142"/>
      <c r="AP843" s="142"/>
      <c r="AV843" s="142"/>
      <c r="BA843" s="142"/>
      <c r="BH843" s="142"/>
      <c r="BN843" s="142"/>
      <c r="BT843" s="142"/>
      <c r="BZ843" s="142"/>
      <c r="CF843" s="142"/>
      <c r="CL843" s="142"/>
      <c r="CR843" s="142"/>
      <c r="CX843" s="142"/>
      <c r="DD843" s="142"/>
      <c r="DJ843" s="142"/>
      <c r="DP843" s="142"/>
      <c r="DV843" s="142"/>
      <c r="EB843" s="142"/>
      <c r="EH843" s="142"/>
      <c r="EN843" s="142"/>
      <c r="ET843" s="142"/>
      <c r="EZ843" s="142"/>
      <c r="FF843" s="142"/>
      <c r="FL843" s="142"/>
      <c r="FR843" s="142"/>
      <c r="FX843" s="142"/>
      <c r="GD843" s="142"/>
      <c r="GJ843" s="142"/>
      <c r="GP843" s="142"/>
      <c r="GV843" s="142"/>
      <c r="HB843" s="142"/>
      <c r="HH843" s="142"/>
      <c r="HN843" s="142"/>
      <c r="HT843" s="142"/>
      <c r="HZ843" s="142"/>
    </row>
    <row r="844">
      <c r="F844" s="142"/>
      <c r="L844" s="142"/>
      <c r="R844" s="142"/>
      <c r="X844" s="142"/>
      <c r="AD844" s="142"/>
      <c r="AJ844" s="142"/>
      <c r="AP844" s="142"/>
      <c r="AV844" s="142"/>
      <c r="BA844" s="142"/>
      <c r="BH844" s="142"/>
      <c r="BN844" s="142"/>
      <c r="BT844" s="142"/>
      <c r="BZ844" s="142"/>
      <c r="CF844" s="142"/>
      <c r="CL844" s="142"/>
      <c r="CR844" s="142"/>
      <c r="CX844" s="142"/>
      <c r="DD844" s="142"/>
      <c r="DJ844" s="142"/>
      <c r="DP844" s="142"/>
      <c r="DV844" s="142"/>
      <c r="EB844" s="142"/>
      <c r="EH844" s="142"/>
      <c r="EN844" s="142"/>
      <c r="ET844" s="142"/>
      <c r="EZ844" s="142"/>
      <c r="FF844" s="142"/>
      <c r="FL844" s="142"/>
      <c r="FR844" s="142"/>
      <c r="FX844" s="142"/>
      <c r="GD844" s="142"/>
      <c r="GJ844" s="142"/>
      <c r="GP844" s="142"/>
      <c r="GV844" s="142"/>
      <c r="HB844" s="142"/>
      <c r="HH844" s="142"/>
      <c r="HN844" s="142"/>
      <c r="HT844" s="142"/>
      <c r="HZ844" s="142"/>
    </row>
    <row r="845">
      <c r="F845" s="142"/>
      <c r="L845" s="142"/>
      <c r="R845" s="142"/>
      <c r="X845" s="142"/>
      <c r="AD845" s="142"/>
      <c r="AJ845" s="142"/>
      <c r="AP845" s="142"/>
      <c r="AV845" s="142"/>
      <c r="BA845" s="142"/>
      <c r="BH845" s="142"/>
      <c r="BN845" s="142"/>
      <c r="BT845" s="142"/>
      <c r="BZ845" s="142"/>
      <c r="CF845" s="142"/>
      <c r="CL845" s="142"/>
      <c r="CR845" s="142"/>
      <c r="CX845" s="142"/>
      <c r="DD845" s="142"/>
      <c r="DJ845" s="142"/>
      <c r="DP845" s="142"/>
      <c r="DV845" s="142"/>
      <c r="EB845" s="142"/>
      <c r="EH845" s="142"/>
      <c r="EN845" s="142"/>
      <c r="ET845" s="142"/>
      <c r="EZ845" s="142"/>
      <c r="FF845" s="142"/>
      <c r="FL845" s="142"/>
      <c r="FR845" s="142"/>
      <c r="FX845" s="142"/>
      <c r="GD845" s="142"/>
      <c r="GJ845" s="142"/>
      <c r="GP845" s="142"/>
      <c r="GV845" s="142"/>
      <c r="HB845" s="142"/>
      <c r="HH845" s="142"/>
      <c r="HN845" s="142"/>
      <c r="HT845" s="142"/>
      <c r="HZ845" s="142"/>
    </row>
    <row r="846">
      <c r="F846" s="142"/>
      <c r="L846" s="142"/>
      <c r="R846" s="142"/>
      <c r="X846" s="142"/>
      <c r="AD846" s="142"/>
      <c r="AJ846" s="142"/>
      <c r="AP846" s="142"/>
      <c r="AV846" s="142"/>
      <c r="BA846" s="142"/>
      <c r="BH846" s="142"/>
      <c r="BN846" s="142"/>
      <c r="BT846" s="142"/>
      <c r="BZ846" s="142"/>
      <c r="CF846" s="142"/>
      <c r="CL846" s="142"/>
      <c r="CR846" s="142"/>
      <c r="CX846" s="142"/>
      <c r="DD846" s="142"/>
      <c r="DJ846" s="142"/>
      <c r="DP846" s="142"/>
      <c r="DV846" s="142"/>
      <c r="EB846" s="142"/>
      <c r="EH846" s="142"/>
      <c r="EN846" s="142"/>
      <c r="ET846" s="142"/>
      <c r="EZ846" s="142"/>
      <c r="FF846" s="142"/>
      <c r="FL846" s="142"/>
      <c r="FR846" s="142"/>
      <c r="FX846" s="142"/>
      <c r="GD846" s="142"/>
      <c r="GJ846" s="142"/>
      <c r="GP846" s="142"/>
      <c r="GV846" s="142"/>
      <c r="HB846" s="142"/>
      <c r="HH846" s="142"/>
      <c r="HN846" s="142"/>
      <c r="HT846" s="142"/>
      <c r="HZ846" s="142"/>
    </row>
    <row r="847">
      <c r="F847" s="142"/>
      <c r="L847" s="142"/>
      <c r="R847" s="142"/>
      <c r="X847" s="142"/>
      <c r="AD847" s="142"/>
      <c r="AJ847" s="142"/>
      <c r="AP847" s="142"/>
      <c r="AV847" s="142"/>
      <c r="BA847" s="142"/>
      <c r="BH847" s="142"/>
      <c r="BN847" s="142"/>
      <c r="BT847" s="142"/>
      <c r="BZ847" s="142"/>
      <c r="CF847" s="142"/>
      <c r="CL847" s="142"/>
      <c r="CR847" s="142"/>
      <c r="CX847" s="142"/>
      <c r="DD847" s="142"/>
      <c r="DJ847" s="142"/>
      <c r="DP847" s="142"/>
      <c r="DV847" s="142"/>
      <c r="EB847" s="142"/>
      <c r="EH847" s="142"/>
      <c r="EN847" s="142"/>
      <c r="ET847" s="142"/>
      <c r="EZ847" s="142"/>
      <c r="FF847" s="142"/>
      <c r="FL847" s="142"/>
      <c r="FR847" s="142"/>
      <c r="FX847" s="142"/>
      <c r="GD847" s="142"/>
      <c r="GJ847" s="142"/>
      <c r="GP847" s="142"/>
      <c r="GV847" s="142"/>
      <c r="HB847" s="142"/>
      <c r="HH847" s="142"/>
      <c r="HN847" s="142"/>
      <c r="HT847" s="142"/>
      <c r="HZ847" s="142"/>
    </row>
    <row r="848">
      <c r="F848" s="142"/>
      <c r="L848" s="142"/>
      <c r="R848" s="142"/>
      <c r="X848" s="142"/>
      <c r="AD848" s="142"/>
      <c r="AJ848" s="142"/>
      <c r="AP848" s="142"/>
      <c r="AV848" s="142"/>
      <c r="BA848" s="142"/>
      <c r="BH848" s="142"/>
      <c r="BN848" s="142"/>
      <c r="BT848" s="142"/>
      <c r="BZ848" s="142"/>
      <c r="CF848" s="142"/>
      <c r="CL848" s="142"/>
      <c r="CR848" s="142"/>
      <c r="CX848" s="142"/>
      <c r="DD848" s="142"/>
      <c r="DJ848" s="142"/>
      <c r="DP848" s="142"/>
      <c r="DV848" s="142"/>
      <c r="EB848" s="142"/>
      <c r="EH848" s="142"/>
      <c r="EN848" s="142"/>
      <c r="ET848" s="142"/>
      <c r="EZ848" s="142"/>
      <c r="FF848" s="142"/>
      <c r="FL848" s="142"/>
      <c r="FR848" s="142"/>
      <c r="FX848" s="142"/>
      <c r="GD848" s="142"/>
      <c r="GJ848" s="142"/>
      <c r="GP848" s="142"/>
      <c r="GV848" s="142"/>
      <c r="HB848" s="142"/>
      <c r="HH848" s="142"/>
      <c r="HN848" s="142"/>
      <c r="HT848" s="142"/>
      <c r="HZ848" s="142"/>
    </row>
    <row r="849">
      <c r="F849" s="142"/>
      <c r="L849" s="142"/>
      <c r="R849" s="142"/>
      <c r="X849" s="142"/>
      <c r="AD849" s="142"/>
      <c r="AJ849" s="142"/>
      <c r="AP849" s="142"/>
      <c r="AV849" s="142"/>
      <c r="BA849" s="142"/>
      <c r="BH849" s="142"/>
      <c r="BN849" s="142"/>
      <c r="BT849" s="142"/>
      <c r="BZ849" s="142"/>
      <c r="CF849" s="142"/>
      <c r="CL849" s="142"/>
      <c r="CR849" s="142"/>
      <c r="CX849" s="142"/>
      <c r="DD849" s="142"/>
      <c r="DJ849" s="142"/>
      <c r="DP849" s="142"/>
      <c r="DV849" s="142"/>
      <c r="EB849" s="142"/>
      <c r="EH849" s="142"/>
      <c r="EN849" s="142"/>
      <c r="ET849" s="142"/>
      <c r="EZ849" s="142"/>
      <c r="FF849" s="142"/>
      <c r="FL849" s="142"/>
      <c r="FR849" s="142"/>
      <c r="FX849" s="142"/>
      <c r="GD849" s="142"/>
      <c r="GJ849" s="142"/>
      <c r="GP849" s="142"/>
      <c r="GV849" s="142"/>
      <c r="HB849" s="142"/>
      <c r="HH849" s="142"/>
      <c r="HN849" s="142"/>
      <c r="HT849" s="142"/>
      <c r="HZ849" s="142"/>
    </row>
    <row r="850">
      <c r="F850" s="142"/>
      <c r="L850" s="142"/>
      <c r="R850" s="142"/>
      <c r="X850" s="142"/>
      <c r="AD850" s="142"/>
      <c r="AJ850" s="142"/>
      <c r="AP850" s="142"/>
      <c r="AV850" s="142"/>
      <c r="BA850" s="142"/>
      <c r="BH850" s="142"/>
      <c r="BN850" s="142"/>
      <c r="BT850" s="142"/>
      <c r="BZ850" s="142"/>
      <c r="CF850" s="142"/>
      <c r="CL850" s="142"/>
      <c r="CR850" s="142"/>
      <c r="CX850" s="142"/>
      <c r="DD850" s="142"/>
      <c r="DJ850" s="142"/>
      <c r="DP850" s="142"/>
      <c r="DV850" s="142"/>
      <c r="EB850" s="142"/>
      <c r="EH850" s="142"/>
      <c r="EN850" s="142"/>
      <c r="ET850" s="142"/>
      <c r="EZ850" s="142"/>
      <c r="FF850" s="142"/>
      <c r="FL850" s="142"/>
      <c r="FR850" s="142"/>
      <c r="FX850" s="142"/>
      <c r="GD850" s="142"/>
      <c r="GJ850" s="142"/>
      <c r="GP850" s="142"/>
      <c r="GV850" s="142"/>
      <c r="HB850" s="142"/>
      <c r="HH850" s="142"/>
      <c r="HN850" s="142"/>
      <c r="HT850" s="142"/>
      <c r="HZ850" s="142"/>
    </row>
    <row r="851">
      <c r="F851" s="142"/>
      <c r="L851" s="142"/>
      <c r="R851" s="142"/>
      <c r="X851" s="142"/>
      <c r="AD851" s="142"/>
      <c r="AJ851" s="142"/>
      <c r="AP851" s="142"/>
      <c r="AV851" s="142"/>
      <c r="BA851" s="142"/>
      <c r="BH851" s="142"/>
      <c r="BN851" s="142"/>
      <c r="BT851" s="142"/>
      <c r="BZ851" s="142"/>
      <c r="CF851" s="142"/>
      <c r="CL851" s="142"/>
      <c r="CR851" s="142"/>
      <c r="CX851" s="142"/>
      <c r="DD851" s="142"/>
      <c r="DJ851" s="142"/>
      <c r="DP851" s="142"/>
      <c r="DV851" s="142"/>
      <c r="EB851" s="142"/>
      <c r="EH851" s="142"/>
      <c r="EN851" s="142"/>
      <c r="ET851" s="142"/>
      <c r="EZ851" s="142"/>
      <c r="FF851" s="142"/>
      <c r="FL851" s="142"/>
      <c r="FR851" s="142"/>
      <c r="FX851" s="142"/>
      <c r="GD851" s="142"/>
      <c r="GJ851" s="142"/>
      <c r="GP851" s="142"/>
      <c r="GV851" s="142"/>
      <c r="HB851" s="142"/>
      <c r="HH851" s="142"/>
      <c r="HN851" s="142"/>
      <c r="HT851" s="142"/>
      <c r="HZ851" s="142"/>
    </row>
    <row r="852">
      <c r="F852" s="142"/>
      <c r="L852" s="142"/>
      <c r="R852" s="142"/>
      <c r="X852" s="142"/>
      <c r="AD852" s="142"/>
      <c r="AJ852" s="142"/>
      <c r="AP852" s="142"/>
      <c r="AV852" s="142"/>
      <c r="BA852" s="142"/>
      <c r="BH852" s="142"/>
      <c r="BN852" s="142"/>
      <c r="BT852" s="142"/>
      <c r="BZ852" s="142"/>
      <c r="CF852" s="142"/>
      <c r="CL852" s="142"/>
      <c r="CR852" s="142"/>
      <c r="CX852" s="142"/>
      <c r="DD852" s="142"/>
      <c r="DJ852" s="142"/>
      <c r="DP852" s="142"/>
      <c r="DV852" s="142"/>
      <c r="EB852" s="142"/>
      <c r="EH852" s="142"/>
      <c r="EN852" s="142"/>
      <c r="ET852" s="142"/>
      <c r="EZ852" s="142"/>
      <c r="FF852" s="142"/>
      <c r="FL852" s="142"/>
      <c r="FR852" s="142"/>
      <c r="FX852" s="142"/>
      <c r="GD852" s="142"/>
      <c r="GJ852" s="142"/>
      <c r="GP852" s="142"/>
      <c r="GV852" s="142"/>
      <c r="HB852" s="142"/>
      <c r="HH852" s="142"/>
      <c r="HN852" s="142"/>
      <c r="HT852" s="142"/>
      <c r="HZ852" s="142"/>
    </row>
    <row r="853">
      <c r="F853" s="142"/>
      <c r="L853" s="142"/>
      <c r="R853" s="142"/>
      <c r="X853" s="142"/>
      <c r="AD853" s="142"/>
      <c r="AJ853" s="142"/>
      <c r="AP853" s="142"/>
      <c r="AV853" s="142"/>
      <c r="BA853" s="142"/>
      <c r="BH853" s="142"/>
      <c r="BN853" s="142"/>
      <c r="BT853" s="142"/>
      <c r="BZ853" s="142"/>
      <c r="CF853" s="142"/>
      <c r="CL853" s="142"/>
      <c r="CR853" s="142"/>
      <c r="CX853" s="142"/>
      <c r="DD853" s="142"/>
      <c r="DJ853" s="142"/>
      <c r="DP853" s="142"/>
      <c r="DV853" s="142"/>
      <c r="EB853" s="142"/>
      <c r="EH853" s="142"/>
      <c r="EN853" s="142"/>
      <c r="ET853" s="142"/>
      <c r="EZ853" s="142"/>
      <c r="FF853" s="142"/>
      <c r="FL853" s="142"/>
      <c r="FR853" s="142"/>
      <c r="FX853" s="142"/>
      <c r="GD853" s="142"/>
      <c r="GJ853" s="142"/>
      <c r="GP853" s="142"/>
      <c r="GV853" s="142"/>
      <c r="HB853" s="142"/>
      <c r="HH853" s="142"/>
      <c r="HN853" s="142"/>
      <c r="HT853" s="142"/>
      <c r="HZ853" s="142"/>
    </row>
    <row r="854">
      <c r="F854" s="142"/>
      <c r="L854" s="142"/>
      <c r="R854" s="142"/>
      <c r="X854" s="142"/>
      <c r="AD854" s="142"/>
      <c r="AJ854" s="142"/>
      <c r="AP854" s="142"/>
      <c r="AV854" s="142"/>
      <c r="BA854" s="142"/>
      <c r="BH854" s="142"/>
      <c r="BN854" s="142"/>
      <c r="BT854" s="142"/>
      <c r="BZ854" s="142"/>
      <c r="CF854" s="142"/>
      <c r="CL854" s="142"/>
      <c r="CR854" s="142"/>
      <c r="CX854" s="142"/>
      <c r="DD854" s="142"/>
      <c r="DJ854" s="142"/>
      <c r="DP854" s="142"/>
      <c r="DV854" s="142"/>
      <c r="EB854" s="142"/>
      <c r="EH854" s="142"/>
      <c r="EN854" s="142"/>
      <c r="ET854" s="142"/>
      <c r="EZ854" s="142"/>
      <c r="FF854" s="142"/>
      <c r="FL854" s="142"/>
      <c r="FR854" s="142"/>
      <c r="FX854" s="142"/>
      <c r="GD854" s="142"/>
      <c r="GJ854" s="142"/>
      <c r="GP854" s="142"/>
      <c r="GV854" s="142"/>
      <c r="HB854" s="142"/>
      <c r="HH854" s="142"/>
      <c r="HN854" s="142"/>
      <c r="HT854" s="142"/>
      <c r="HZ854" s="142"/>
    </row>
    <row r="855">
      <c r="F855" s="142"/>
      <c r="L855" s="142"/>
      <c r="R855" s="142"/>
      <c r="X855" s="142"/>
      <c r="AD855" s="142"/>
      <c r="AJ855" s="142"/>
      <c r="AP855" s="142"/>
      <c r="AV855" s="142"/>
      <c r="BA855" s="142"/>
      <c r="BH855" s="142"/>
      <c r="BN855" s="142"/>
      <c r="BT855" s="142"/>
      <c r="BZ855" s="142"/>
      <c r="CF855" s="142"/>
      <c r="CL855" s="142"/>
      <c r="CR855" s="142"/>
      <c r="CX855" s="142"/>
      <c r="DD855" s="142"/>
      <c r="DJ855" s="142"/>
      <c r="DP855" s="142"/>
      <c r="DV855" s="142"/>
      <c r="EB855" s="142"/>
      <c r="EH855" s="142"/>
      <c r="EN855" s="142"/>
      <c r="ET855" s="142"/>
      <c r="EZ855" s="142"/>
      <c r="FF855" s="142"/>
      <c r="FL855" s="142"/>
      <c r="FR855" s="142"/>
      <c r="FX855" s="142"/>
      <c r="GD855" s="142"/>
      <c r="GJ855" s="142"/>
      <c r="GP855" s="142"/>
      <c r="GV855" s="142"/>
      <c r="HB855" s="142"/>
      <c r="HH855" s="142"/>
      <c r="HN855" s="142"/>
      <c r="HT855" s="142"/>
      <c r="HZ855" s="142"/>
    </row>
    <row r="856">
      <c r="F856" s="142"/>
      <c r="L856" s="142"/>
      <c r="R856" s="142"/>
      <c r="X856" s="142"/>
      <c r="AD856" s="142"/>
      <c r="AJ856" s="142"/>
      <c r="AP856" s="142"/>
      <c r="AV856" s="142"/>
      <c r="BA856" s="142"/>
      <c r="BH856" s="142"/>
      <c r="BN856" s="142"/>
      <c r="BT856" s="142"/>
      <c r="BZ856" s="142"/>
      <c r="CF856" s="142"/>
      <c r="CL856" s="142"/>
      <c r="CR856" s="142"/>
      <c r="CX856" s="142"/>
      <c r="DD856" s="142"/>
      <c r="DJ856" s="142"/>
      <c r="DP856" s="142"/>
      <c r="DV856" s="142"/>
      <c r="EB856" s="142"/>
      <c r="EH856" s="142"/>
      <c r="EN856" s="142"/>
      <c r="ET856" s="142"/>
      <c r="EZ856" s="142"/>
      <c r="FF856" s="142"/>
      <c r="FL856" s="142"/>
      <c r="FR856" s="142"/>
      <c r="FX856" s="142"/>
      <c r="GD856" s="142"/>
      <c r="GJ856" s="142"/>
      <c r="GP856" s="142"/>
      <c r="GV856" s="142"/>
      <c r="HB856" s="142"/>
      <c r="HH856" s="142"/>
      <c r="HN856" s="142"/>
      <c r="HT856" s="142"/>
      <c r="HZ856" s="142"/>
    </row>
    <row r="857">
      <c r="F857" s="142"/>
      <c r="L857" s="142"/>
      <c r="R857" s="142"/>
      <c r="X857" s="142"/>
      <c r="AD857" s="142"/>
      <c r="AJ857" s="142"/>
      <c r="AP857" s="142"/>
      <c r="AV857" s="142"/>
      <c r="BA857" s="142"/>
      <c r="BH857" s="142"/>
      <c r="BN857" s="142"/>
      <c r="BT857" s="142"/>
      <c r="BZ857" s="142"/>
      <c r="CF857" s="142"/>
      <c r="CL857" s="142"/>
      <c r="CR857" s="142"/>
      <c r="CX857" s="142"/>
      <c r="DD857" s="142"/>
      <c r="DJ857" s="142"/>
      <c r="DP857" s="142"/>
      <c r="DV857" s="142"/>
      <c r="EB857" s="142"/>
      <c r="EH857" s="142"/>
      <c r="EN857" s="142"/>
      <c r="ET857" s="142"/>
      <c r="EZ857" s="142"/>
      <c r="FF857" s="142"/>
      <c r="FL857" s="142"/>
      <c r="FR857" s="142"/>
      <c r="FX857" s="142"/>
      <c r="GD857" s="142"/>
      <c r="GJ857" s="142"/>
      <c r="GP857" s="142"/>
      <c r="GV857" s="142"/>
      <c r="HB857" s="142"/>
      <c r="HH857" s="142"/>
      <c r="HN857" s="142"/>
      <c r="HT857" s="142"/>
      <c r="HZ857" s="142"/>
    </row>
    <row r="858">
      <c r="F858" s="142"/>
      <c r="L858" s="142"/>
      <c r="R858" s="142"/>
      <c r="X858" s="142"/>
      <c r="AD858" s="142"/>
      <c r="AJ858" s="142"/>
      <c r="AP858" s="142"/>
      <c r="AV858" s="142"/>
      <c r="BA858" s="142"/>
      <c r="BH858" s="142"/>
      <c r="BN858" s="142"/>
      <c r="BT858" s="142"/>
      <c r="BZ858" s="142"/>
      <c r="CF858" s="142"/>
      <c r="CL858" s="142"/>
      <c r="CR858" s="142"/>
      <c r="CX858" s="142"/>
      <c r="DD858" s="142"/>
      <c r="DJ858" s="142"/>
      <c r="DP858" s="142"/>
      <c r="DV858" s="142"/>
      <c r="EB858" s="142"/>
      <c r="EH858" s="142"/>
      <c r="EN858" s="142"/>
      <c r="ET858" s="142"/>
      <c r="EZ858" s="142"/>
      <c r="FF858" s="142"/>
      <c r="FL858" s="142"/>
      <c r="FR858" s="142"/>
      <c r="FX858" s="142"/>
      <c r="GD858" s="142"/>
      <c r="GJ858" s="142"/>
      <c r="GP858" s="142"/>
      <c r="GV858" s="142"/>
      <c r="HB858" s="142"/>
      <c r="HH858" s="142"/>
      <c r="HN858" s="142"/>
      <c r="HT858" s="142"/>
      <c r="HZ858" s="142"/>
    </row>
    <row r="859">
      <c r="F859" s="142"/>
      <c r="L859" s="142"/>
      <c r="R859" s="142"/>
      <c r="X859" s="142"/>
      <c r="AD859" s="142"/>
      <c r="AJ859" s="142"/>
      <c r="AP859" s="142"/>
      <c r="AV859" s="142"/>
      <c r="BA859" s="142"/>
      <c r="BH859" s="142"/>
      <c r="BN859" s="142"/>
      <c r="BT859" s="142"/>
      <c r="BZ859" s="142"/>
      <c r="CF859" s="142"/>
      <c r="CL859" s="142"/>
      <c r="CR859" s="142"/>
      <c r="CX859" s="142"/>
      <c r="DD859" s="142"/>
      <c r="DJ859" s="142"/>
      <c r="DP859" s="142"/>
      <c r="DV859" s="142"/>
      <c r="EB859" s="142"/>
      <c r="EH859" s="142"/>
      <c r="EN859" s="142"/>
      <c r="ET859" s="142"/>
      <c r="EZ859" s="142"/>
      <c r="FF859" s="142"/>
      <c r="FL859" s="142"/>
      <c r="FR859" s="142"/>
      <c r="FX859" s="142"/>
      <c r="GD859" s="142"/>
      <c r="GJ859" s="142"/>
      <c r="GP859" s="142"/>
      <c r="GV859" s="142"/>
      <c r="HB859" s="142"/>
      <c r="HH859" s="142"/>
      <c r="HN859" s="142"/>
      <c r="HT859" s="142"/>
      <c r="HZ859" s="142"/>
    </row>
    <row r="860">
      <c r="F860" s="142"/>
      <c r="L860" s="142"/>
      <c r="R860" s="142"/>
      <c r="X860" s="142"/>
      <c r="AD860" s="142"/>
      <c r="AJ860" s="142"/>
      <c r="AP860" s="142"/>
      <c r="AV860" s="142"/>
      <c r="BA860" s="142"/>
      <c r="BH860" s="142"/>
      <c r="BN860" s="142"/>
      <c r="BT860" s="142"/>
      <c r="BZ860" s="142"/>
      <c r="CF860" s="142"/>
      <c r="CL860" s="142"/>
      <c r="CR860" s="142"/>
      <c r="CX860" s="142"/>
      <c r="DD860" s="142"/>
      <c r="DJ860" s="142"/>
      <c r="DP860" s="142"/>
      <c r="DV860" s="142"/>
      <c r="EB860" s="142"/>
      <c r="EH860" s="142"/>
      <c r="EN860" s="142"/>
      <c r="ET860" s="142"/>
      <c r="EZ860" s="142"/>
      <c r="FF860" s="142"/>
      <c r="FL860" s="142"/>
      <c r="FR860" s="142"/>
      <c r="FX860" s="142"/>
      <c r="GD860" s="142"/>
      <c r="GJ860" s="142"/>
      <c r="GP860" s="142"/>
      <c r="GV860" s="142"/>
      <c r="HB860" s="142"/>
      <c r="HH860" s="142"/>
      <c r="HN860" s="142"/>
      <c r="HT860" s="142"/>
      <c r="HZ860" s="142"/>
    </row>
    <row r="861">
      <c r="F861" s="142"/>
      <c r="L861" s="142"/>
      <c r="R861" s="142"/>
      <c r="X861" s="142"/>
      <c r="AD861" s="142"/>
      <c r="AJ861" s="142"/>
      <c r="AP861" s="142"/>
      <c r="AV861" s="142"/>
      <c r="BA861" s="142"/>
      <c r="BH861" s="142"/>
      <c r="BN861" s="142"/>
      <c r="BT861" s="142"/>
      <c r="BZ861" s="142"/>
      <c r="CF861" s="142"/>
      <c r="CL861" s="142"/>
      <c r="CR861" s="142"/>
      <c r="CX861" s="142"/>
      <c r="DD861" s="142"/>
      <c r="DJ861" s="142"/>
      <c r="DP861" s="142"/>
      <c r="DV861" s="142"/>
      <c r="EB861" s="142"/>
      <c r="EH861" s="142"/>
      <c r="EN861" s="142"/>
      <c r="ET861" s="142"/>
      <c r="EZ861" s="142"/>
      <c r="FF861" s="142"/>
      <c r="FL861" s="142"/>
      <c r="FR861" s="142"/>
      <c r="FX861" s="142"/>
      <c r="GD861" s="142"/>
      <c r="GJ861" s="142"/>
      <c r="GP861" s="142"/>
      <c r="GV861" s="142"/>
      <c r="HB861" s="142"/>
      <c r="HH861" s="142"/>
      <c r="HN861" s="142"/>
      <c r="HT861" s="142"/>
      <c r="HZ861" s="142"/>
    </row>
    <row r="862">
      <c r="F862" s="142"/>
      <c r="L862" s="142"/>
      <c r="R862" s="142"/>
      <c r="X862" s="142"/>
      <c r="AD862" s="142"/>
      <c r="AJ862" s="142"/>
      <c r="AP862" s="142"/>
      <c r="AV862" s="142"/>
      <c r="BA862" s="142"/>
      <c r="BH862" s="142"/>
      <c r="BN862" s="142"/>
      <c r="BT862" s="142"/>
      <c r="BZ862" s="142"/>
      <c r="CF862" s="142"/>
      <c r="CL862" s="142"/>
      <c r="CR862" s="142"/>
      <c r="CX862" s="142"/>
      <c r="DD862" s="142"/>
      <c r="DJ862" s="142"/>
      <c r="DP862" s="142"/>
      <c r="DV862" s="142"/>
      <c r="EB862" s="142"/>
      <c r="EH862" s="142"/>
      <c r="EN862" s="142"/>
      <c r="ET862" s="142"/>
      <c r="EZ862" s="142"/>
      <c r="FF862" s="142"/>
      <c r="FL862" s="142"/>
      <c r="FR862" s="142"/>
      <c r="FX862" s="142"/>
      <c r="GD862" s="142"/>
      <c r="GJ862" s="142"/>
      <c r="GP862" s="142"/>
      <c r="GV862" s="142"/>
      <c r="HB862" s="142"/>
      <c r="HH862" s="142"/>
      <c r="HN862" s="142"/>
      <c r="HT862" s="142"/>
      <c r="HZ862" s="142"/>
    </row>
    <row r="863">
      <c r="F863" s="142"/>
      <c r="L863" s="142"/>
      <c r="R863" s="142"/>
      <c r="X863" s="142"/>
      <c r="AD863" s="142"/>
      <c r="AJ863" s="142"/>
      <c r="AP863" s="142"/>
      <c r="AV863" s="142"/>
      <c r="BA863" s="142"/>
      <c r="BH863" s="142"/>
      <c r="BN863" s="142"/>
      <c r="BT863" s="142"/>
      <c r="BZ863" s="142"/>
      <c r="CF863" s="142"/>
      <c r="CL863" s="142"/>
      <c r="CR863" s="142"/>
      <c r="CX863" s="142"/>
      <c r="DD863" s="142"/>
      <c r="DJ863" s="142"/>
      <c r="DP863" s="142"/>
      <c r="DV863" s="142"/>
      <c r="EB863" s="142"/>
      <c r="EH863" s="142"/>
      <c r="EN863" s="142"/>
      <c r="ET863" s="142"/>
      <c r="EZ863" s="142"/>
      <c r="FF863" s="142"/>
      <c r="FL863" s="142"/>
      <c r="FR863" s="142"/>
      <c r="FX863" s="142"/>
      <c r="GD863" s="142"/>
      <c r="GJ863" s="142"/>
      <c r="GP863" s="142"/>
      <c r="GV863" s="142"/>
      <c r="HB863" s="142"/>
      <c r="HH863" s="142"/>
      <c r="HN863" s="142"/>
      <c r="HT863" s="142"/>
      <c r="HZ863" s="142"/>
    </row>
    <row r="864">
      <c r="F864" s="142"/>
      <c r="L864" s="142"/>
      <c r="R864" s="142"/>
      <c r="X864" s="142"/>
      <c r="AD864" s="142"/>
      <c r="AJ864" s="142"/>
      <c r="AP864" s="142"/>
      <c r="AV864" s="142"/>
      <c r="BA864" s="142"/>
      <c r="BH864" s="142"/>
      <c r="BN864" s="142"/>
      <c r="BT864" s="142"/>
      <c r="BZ864" s="142"/>
      <c r="CF864" s="142"/>
      <c r="CL864" s="142"/>
      <c r="CR864" s="142"/>
      <c r="CX864" s="142"/>
      <c r="DD864" s="142"/>
      <c r="DJ864" s="142"/>
      <c r="DP864" s="142"/>
      <c r="DV864" s="142"/>
      <c r="EB864" s="142"/>
      <c r="EH864" s="142"/>
      <c r="EN864" s="142"/>
      <c r="ET864" s="142"/>
      <c r="EZ864" s="142"/>
      <c r="FF864" s="142"/>
      <c r="FL864" s="142"/>
      <c r="FR864" s="142"/>
      <c r="FX864" s="142"/>
      <c r="GD864" s="142"/>
      <c r="GJ864" s="142"/>
      <c r="GP864" s="142"/>
      <c r="GV864" s="142"/>
      <c r="HB864" s="142"/>
      <c r="HH864" s="142"/>
      <c r="HN864" s="142"/>
      <c r="HT864" s="142"/>
      <c r="HZ864" s="142"/>
    </row>
    <row r="865">
      <c r="F865" s="142"/>
      <c r="L865" s="142"/>
      <c r="R865" s="142"/>
      <c r="X865" s="142"/>
      <c r="AD865" s="142"/>
      <c r="AJ865" s="142"/>
      <c r="AP865" s="142"/>
      <c r="AV865" s="142"/>
      <c r="BA865" s="142"/>
      <c r="BH865" s="142"/>
      <c r="BN865" s="142"/>
      <c r="BT865" s="142"/>
      <c r="BZ865" s="142"/>
      <c r="CF865" s="142"/>
      <c r="CL865" s="142"/>
      <c r="CR865" s="142"/>
      <c r="CX865" s="142"/>
      <c r="DD865" s="142"/>
      <c r="DJ865" s="142"/>
      <c r="DP865" s="142"/>
      <c r="DV865" s="142"/>
      <c r="EB865" s="142"/>
      <c r="EH865" s="142"/>
      <c r="EN865" s="142"/>
      <c r="ET865" s="142"/>
      <c r="EZ865" s="142"/>
      <c r="FF865" s="142"/>
      <c r="FL865" s="142"/>
      <c r="FR865" s="142"/>
      <c r="FX865" s="142"/>
      <c r="GD865" s="142"/>
      <c r="GJ865" s="142"/>
      <c r="GP865" s="142"/>
      <c r="GV865" s="142"/>
      <c r="HB865" s="142"/>
      <c r="HH865" s="142"/>
      <c r="HN865" s="142"/>
      <c r="HT865" s="142"/>
      <c r="HZ865" s="142"/>
    </row>
    <row r="866">
      <c r="F866" s="142"/>
      <c r="L866" s="142"/>
      <c r="R866" s="142"/>
      <c r="X866" s="142"/>
      <c r="AD866" s="142"/>
      <c r="AJ866" s="142"/>
      <c r="AP866" s="142"/>
      <c r="AV866" s="142"/>
      <c r="BA866" s="142"/>
      <c r="BH866" s="142"/>
      <c r="BN866" s="142"/>
      <c r="BT866" s="142"/>
      <c r="BZ866" s="142"/>
      <c r="CF866" s="142"/>
      <c r="CL866" s="142"/>
      <c r="CR866" s="142"/>
      <c r="CX866" s="142"/>
      <c r="DD866" s="142"/>
      <c r="DJ866" s="142"/>
      <c r="DP866" s="142"/>
      <c r="DV866" s="142"/>
      <c r="EB866" s="142"/>
      <c r="EH866" s="142"/>
      <c r="EN866" s="142"/>
      <c r="ET866" s="142"/>
      <c r="EZ866" s="142"/>
      <c r="FF866" s="142"/>
      <c r="FL866" s="142"/>
      <c r="FR866" s="142"/>
      <c r="FX866" s="142"/>
      <c r="GD866" s="142"/>
      <c r="GJ866" s="142"/>
      <c r="GP866" s="142"/>
      <c r="GV866" s="142"/>
      <c r="HB866" s="142"/>
      <c r="HH866" s="142"/>
      <c r="HN866" s="142"/>
      <c r="HT866" s="142"/>
      <c r="HZ866" s="142"/>
    </row>
    <row r="867">
      <c r="F867" s="142"/>
      <c r="L867" s="142"/>
      <c r="R867" s="142"/>
      <c r="X867" s="142"/>
      <c r="AD867" s="142"/>
      <c r="AJ867" s="142"/>
      <c r="AP867" s="142"/>
      <c r="AV867" s="142"/>
      <c r="BA867" s="142"/>
      <c r="BH867" s="142"/>
      <c r="BN867" s="142"/>
      <c r="BT867" s="142"/>
      <c r="BZ867" s="142"/>
      <c r="CF867" s="142"/>
      <c r="CL867" s="142"/>
      <c r="CR867" s="142"/>
      <c r="CX867" s="142"/>
      <c r="DD867" s="142"/>
      <c r="DJ867" s="142"/>
      <c r="DP867" s="142"/>
      <c r="DV867" s="142"/>
      <c r="EB867" s="142"/>
      <c r="EH867" s="142"/>
      <c r="EN867" s="142"/>
      <c r="ET867" s="142"/>
      <c r="EZ867" s="142"/>
      <c r="FF867" s="142"/>
      <c r="FL867" s="142"/>
      <c r="FR867" s="142"/>
      <c r="FX867" s="142"/>
      <c r="GD867" s="142"/>
      <c r="GJ867" s="142"/>
      <c r="GP867" s="142"/>
      <c r="GV867" s="142"/>
      <c r="HB867" s="142"/>
      <c r="HH867" s="142"/>
      <c r="HN867" s="142"/>
      <c r="HT867" s="142"/>
      <c r="HZ867" s="142"/>
    </row>
    <row r="868">
      <c r="F868" s="142"/>
      <c r="L868" s="142"/>
      <c r="R868" s="142"/>
      <c r="X868" s="142"/>
      <c r="AD868" s="142"/>
      <c r="AJ868" s="142"/>
      <c r="AP868" s="142"/>
      <c r="AV868" s="142"/>
      <c r="BA868" s="142"/>
      <c r="BH868" s="142"/>
      <c r="BN868" s="142"/>
      <c r="BT868" s="142"/>
      <c r="BZ868" s="142"/>
      <c r="CF868" s="142"/>
      <c r="CL868" s="142"/>
      <c r="CR868" s="142"/>
      <c r="CX868" s="142"/>
      <c r="DD868" s="142"/>
      <c r="DJ868" s="142"/>
      <c r="DP868" s="142"/>
      <c r="DV868" s="142"/>
      <c r="EB868" s="142"/>
      <c r="EH868" s="142"/>
      <c r="EN868" s="142"/>
      <c r="ET868" s="142"/>
      <c r="EZ868" s="142"/>
      <c r="FF868" s="142"/>
      <c r="FL868" s="142"/>
      <c r="FR868" s="142"/>
      <c r="FX868" s="142"/>
      <c r="GD868" s="142"/>
      <c r="GJ868" s="142"/>
      <c r="GP868" s="142"/>
      <c r="GV868" s="142"/>
      <c r="HB868" s="142"/>
      <c r="HH868" s="142"/>
      <c r="HN868" s="142"/>
      <c r="HT868" s="142"/>
      <c r="HZ868" s="142"/>
    </row>
    <row r="869">
      <c r="F869" s="142"/>
      <c r="L869" s="142"/>
      <c r="R869" s="142"/>
      <c r="X869" s="142"/>
      <c r="AD869" s="142"/>
      <c r="AJ869" s="142"/>
      <c r="AP869" s="142"/>
      <c r="AV869" s="142"/>
      <c r="BA869" s="142"/>
      <c r="BH869" s="142"/>
      <c r="BN869" s="142"/>
      <c r="BT869" s="142"/>
      <c r="BZ869" s="142"/>
      <c r="CF869" s="142"/>
      <c r="CL869" s="142"/>
      <c r="CR869" s="142"/>
      <c r="CX869" s="142"/>
      <c r="DD869" s="142"/>
      <c r="DJ869" s="142"/>
      <c r="DP869" s="142"/>
      <c r="DV869" s="142"/>
      <c r="EB869" s="142"/>
      <c r="EH869" s="142"/>
      <c r="EN869" s="142"/>
      <c r="ET869" s="142"/>
      <c r="EZ869" s="142"/>
      <c r="FF869" s="142"/>
      <c r="FL869" s="142"/>
      <c r="FR869" s="142"/>
      <c r="FX869" s="142"/>
      <c r="GD869" s="142"/>
      <c r="GJ869" s="142"/>
      <c r="GP869" s="142"/>
      <c r="GV869" s="142"/>
      <c r="HB869" s="142"/>
      <c r="HH869" s="142"/>
      <c r="HN869" s="142"/>
      <c r="HT869" s="142"/>
      <c r="HZ869" s="142"/>
    </row>
    <row r="870">
      <c r="F870" s="142"/>
      <c r="L870" s="142"/>
      <c r="R870" s="142"/>
      <c r="X870" s="142"/>
      <c r="AD870" s="142"/>
      <c r="AJ870" s="142"/>
      <c r="AP870" s="142"/>
      <c r="AV870" s="142"/>
      <c r="BA870" s="142"/>
      <c r="BH870" s="142"/>
      <c r="BN870" s="142"/>
      <c r="BT870" s="142"/>
      <c r="BZ870" s="142"/>
      <c r="CF870" s="142"/>
      <c r="CL870" s="142"/>
      <c r="CR870" s="142"/>
      <c r="CX870" s="142"/>
      <c r="DD870" s="142"/>
      <c r="DJ870" s="142"/>
      <c r="DP870" s="142"/>
      <c r="DV870" s="142"/>
      <c r="EB870" s="142"/>
      <c r="EH870" s="142"/>
      <c r="EN870" s="142"/>
      <c r="ET870" s="142"/>
      <c r="EZ870" s="142"/>
      <c r="FF870" s="142"/>
      <c r="FL870" s="142"/>
      <c r="FR870" s="142"/>
      <c r="FX870" s="142"/>
      <c r="GD870" s="142"/>
      <c r="GJ870" s="142"/>
      <c r="GP870" s="142"/>
      <c r="GV870" s="142"/>
      <c r="HB870" s="142"/>
      <c r="HH870" s="142"/>
      <c r="HN870" s="142"/>
      <c r="HT870" s="142"/>
      <c r="HZ870" s="142"/>
    </row>
    <row r="871">
      <c r="F871" s="142"/>
      <c r="L871" s="142"/>
      <c r="R871" s="142"/>
      <c r="X871" s="142"/>
      <c r="AD871" s="142"/>
      <c r="AJ871" s="142"/>
      <c r="AP871" s="142"/>
      <c r="AV871" s="142"/>
      <c r="BA871" s="142"/>
      <c r="BH871" s="142"/>
      <c r="BN871" s="142"/>
      <c r="BT871" s="142"/>
      <c r="BZ871" s="142"/>
      <c r="CF871" s="142"/>
      <c r="CL871" s="142"/>
      <c r="CR871" s="142"/>
      <c r="CX871" s="142"/>
      <c r="DD871" s="142"/>
      <c r="DJ871" s="142"/>
      <c r="DP871" s="142"/>
      <c r="DV871" s="142"/>
      <c r="EB871" s="142"/>
      <c r="EH871" s="142"/>
      <c r="EN871" s="142"/>
      <c r="ET871" s="142"/>
      <c r="EZ871" s="142"/>
      <c r="FF871" s="142"/>
      <c r="FL871" s="142"/>
      <c r="FR871" s="142"/>
      <c r="FX871" s="142"/>
      <c r="GD871" s="142"/>
      <c r="GJ871" s="142"/>
      <c r="GP871" s="142"/>
      <c r="GV871" s="142"/>
      <c r="HB871" s="142"/>
      <c r="HH871" s="142"/>
      <c r="HN871" s="142"/>
      <c r="HT871" s="142"/>
      <c r="HZ871" s="142"/>
    </row>
    <row r="872">
      <c r="F872" s="142"/>
      <c r="L872" s="142"/>
      <c r="R872" s="142"/>
      <c r="X872" s="142"/>
      <c r="AD872" s="142"/>
      <c r="AJ872" s="142"/>
      <c r="AP872" s="142"/>
      <c r="AV872" s="142"/>
      <c r="BA872" s="142"/>
      <c r="BH872" s="142"/>
      <c r="BN872" s="142"/>
      <c r="BT872" s="142"/>
      <c r="BZ872" s="142"/>
      <c r="CF872" s="142"/>
      <c r="CL872" s="142"/>
      <c r="CR872" s="142"/>
      <c r="CX872" s="142"/>
      <c r="DD872" s="142"/>
      <c r="DJ872" s="142"/>
      <c r="DP872" s="142"/>
      <c r="DV872" s="142"/>
      <c r="EB872" s="142"/>
      <c r="EH872" s="142"/>
      <c r="EN872" s="142"/>
      <c r="ET872" s="142"/>
      <c r="EZ872" s="142"/>
      <c r="FF872" s="142"/>
      <c r="FL872" s="142"/>
      <c r="FR872" s="142"/>
      <c r="FX872" s="142"/>
      <c r="GD872" s="142"/>
      <c r="GJ872" s="142"/>
      <c r="GP872" s="142"/>
      <c r="GV872" s="142"/>
      <c r="HB872" s="142"/>
      <c r="HH872" s="142"/>
      <c r="HN872" s="142"/>
      <c r="HT872" s="142"/>
      <c r="HZ872" s="142"/>
    </row>
    <row r="873">
      <c r="F873" s="142"/>
      <c r="L873" s="142"/>
      <c r="R873" s="142"/>
      <c r="X873" s="142"/>
      <c r="AD873" s="142"/>
      <c r="AJ873" s="142"/>
      <c r="AP873" s="142"/>
      <c r="AV873" s="142"/>
      <c r="BA873" s="142"/>
      <c r="BH873" s="142"/>
      <c r="BN873" s="142"/>
      <c r="BT873" s="142"/>
      <c r="BZ873" s="142"/>
      <c r="CF873" s="142"/>
      <c r="CL873" s="142"/>
      <c r="CR873" s="142"/>
      <c r="CX873" s="142"/>
      <c r="DD873" s="142"/>
      <c r="DJ873" s="142"/>
      <c r="DP873" s="142"/>
      <c r="DV873" s="142"/>
      <c r="EB873" s="142"/>
      <c r="EH873" s="142"/>
      <c r="EN873" s="142"/>
      <c r="ET873" s="142"/>
      <c r="EZ873" s="142"/>
      <c r="FF873" s="142"/>
      <c r="FL873" s="142"/>
      <c r="FR873" s="142"/>
      <c r="FX873" s="142"/>
      <c r="GD873" s="142"/>
      <c r="GJ873" s="142"/>
      <c r="GP873" s="142"/>
      <c r="GV873" s="142"/>
      <c r="HB873" s="142"/>
      <c r="HH873" s="142"/>
      <c r="HN873" s="142"/>
      <c r="HT873" s="142"/>
      <c r="HZ873" s="142"/>
    </row>
    <row r="874">
      <c r="F874" s="142"/>
      <c r="L874" s="142"/>
      <c r="R874" s="142"/>
      <c r="X874" s="142"/>
      <c r="AD874" s="142"/>
      <c r="AJ874" s="142"/>
      <c r="AP874" s="142"/>
      <c r="AV874" s="142"/>
      <c r="BA874" s="142"/>
      <c r="BH874" s="142"/>
      <c r="BN874" s="142"/>
      <c r="BT874" s="142"/>
      <c r="BZ874" s="142"/>
      <c r="CF874" s="142"/>
      <c r="CL874" s="142"/>
      <c r="CR874" s="142"/>
      <c r="CX874" s="142"/>
      <c r="DD874" s="142"/>
      <c r="DJ874" s="142"/>
      <c r="DP874" s="142"/>
      <c r="DV874" s="142"/>
      <c r="EB874" s="142"/>
      <c r="EH874" s="142"/>
      <c r="EN874" s="142"/>
      <c r="ET874" s="142"/>
      <c r="EZ874" s="142"/>
      <c r="FF874" s="142"/>
      <c r="FL874" s="142"/>
      <c r="FR874" s="142"/>
      <c r="FX874" s="142"/>
      <c r="GD874" s="142"/>
      <c r="GJ874" s="142"/>
      <c r="GP874" s="142"/>
      <c r="GV874" s="142"/>
      <c r="HB874" s="142"/>
      <c r="HH874" s="142"/>
      <c r="HN874" s="142"/>
      <c r="HT874" s="142"/>
      <c r="HZ874" s="142"/>
    </row>
    <row r="875">
      <c r="F875" s="142"/>
      <c r="L875" s="142"/>
      <c r="R875" s="142"/>
      <c r="X875" s="142"/>
      <c r="AD875" s="142"/>
      <c r="AJ875" s="142"/>
      <c r="AP875" s="142"/>
      <c r="AV875" s="142"/>
      <c r="BA875" s="142"/>
      <c r="BH875" s="142"/>
      <c r="BN875" s="142"/>
      <c r="BT875" s="142"/>
      <c r="BZ875" s="142"/>
      <c r="CF875" s="142"/>
      <c r="CL875" s="142"/>
      <c r="CR875" s="142"/>
      <c r="CX875" s="142"/>
      <c r="DD875" s="142"/>
      <c r="DJ875" s="142"/>
      <c r="DP875" s="142"/>
      <c r="DV875" s="142"/>
      <c r="EB875" s="142"/>
      <c r="EH875" s="142"/>
      <c r="EN875" s="142"/>
      <c r="ET875" s="142"/>
      <c r="EZ875" s="142"/>
      <c r="FF875" s="142"/>
      <c r="FL875" s="142"/>
      <c r="FR875" s="142"/>
      <c r="FX875" s="142"/>
      <c r="GD875" s="142"/>
      <c r="GJ875" s="142"/>
      <c r="GP875" s="142"/>
      <c r="GV875" s="142"/>
      <c r="HB875" s="142"/>
      <c r="HH875" s="142"/>
      <c r="HN875" s="142"/>
      <c r="HT875" s="142"/>
      <c r="HZ875" s="142"/>
    </row>
    <row r="876">
      <c r="F876" s="142"/>
      <c r="L876" s="142"/>
      <c r="R876" s="142"/>
      <c r="X876" s="142"/>
      <c r="AD876" s="142"/>
      <c r="AJ876" s="142"/>
      <c r="AP876" s="142"/>
      <c r="AV876" s="142"/>
      <c r="BA876" s="142"/>
      <c r="BH876" s="142"/>
      <c r="BN876" s="142"/>
      <c r="BT876" s="142"/>
      <c r="BZ876" s="142"/>
      <c r="CF876" s="142"/>
      <c r="CL876" s="142"/>
      <c r="CR876" s="142"/>
      <c r="CX876" s="142"/>
      <c r="DD876" s="142"/>
      <c r="DJ876" s="142"/>
      <c r="DP876" s="142"/>
      <c r="DV876" s="142"/>
      <c r="EB876" s="142"/>
      <c r="EH876" s="142"/>
      <c r="EN876" s="142"/>
      <c r="ET876" s="142"/>
      <c r="EZ876" s="142"/>
      <c r="FF876" s="142"/>
      <c r="FL876" s="142"/>
      <c r="FR876" s="142"/>
      <c r="FX876" s="142"/>
      <c r="GD876" s="142"/>
      <c r="GJ876" s="142"/>
      <c r="GP876" s="142"/>
      <c r="GV876" s="142"/>
      <c r="HB876" s="142"/>
      <c r="HH876" s="142"/>
      <c r="HN876" s="142"/>
      <c r="HT876" s="142"/>
      <c r="HZ876" s="142"/>
    </row>
    <row r="877">
      <c r="F877" s="142"/>
      <c r="L877" s="142"/>
      <c r="R877" s="142"/>
      <c r="X877" s="142"/>
      <c r="AD877" s="142"/>
      <c r="AJ877" s="142"/>
      <c r="AP877" s="142"/>
      <c r="AV877" s="142"/>
      <c r="BA877" s="142"/>
      <c r="BH877" s="142"/>
      <c r="BN877" s="142"/>
      <c r="BT877" s="142"/>
      <c r="BZ877" s="142"/>
      <c r="CF877" s="142"/>
      <c r="CL877" s="142"/>
      <c r="CR877" s="142"/>
      <c r="CX877" s="142"/>
      <c r="DD877" s="142"/>
      <c r="DJ877" s="142"/>
      <c r="DP877" s="142"/>
      <c r="DV877" s="142"/>
      <c r="EB877" s="142"/>
      <c r="EH877" s="142"/>
      <c r="EN877" s="142"/>
      <c r="ET877" s="142"/>
      <c r="EZ877" s="142"/>
      <c r="FF877" s="142"/>
      <c r="FL877" s="142"/>
      <c r="FR877" s="142"/>
      <c r="FX877" s="142"/>
      <c r="GD877" s="142"/>
      <c r="GJ877" s="142"/>
      <c r="GP877" s="142"/>
      <c r="GV877" s="142"/>
      <c r="HB877" s="142"/>
      <c r="HH877" s="142"/>
      <c r="HN877" s="142"/>
      <c r="HT877" s="142"/>
      <c r="HZ877" s="142"/>
    </row>
    <row r="878">
      <c r="F878" s="142"/>
      <c r="L878" s="142"/>
      <c r="R878" s="142"/>
      <c r="X878" s="142"/>
      <c r="AD878" s="142"/>
      <c r="AJ878" s="142"/>
      <c r="AP878" s="142"/>
      <c r="AV878" s="142"/>
      <c r="BA878" s="142"/>
      <c r="BH878" s="142"/>
      <c r="BN878" s="142"/>
      <c r="BT878" s="142"/>
      <c r="BZ878" s="142"/>
      <c r="CF878" s="142"/>
      <c r="CL878" s="142"/>
      <c r="CR878" s="142"/>
      <c r="CX878" s="142"/>
      <c r="DD878" s="142"/>
      <c r="DJ878" s="142"/>
      <c r="DP878" s="142"/>
      <c r="DV878" s="142"/>
      <c r="EB878" s="142"/>
      <c r="EH878" s="142"/>
      <c r="EN878" s="142"/>
      <c r="ET878" s="142"/>
      <c r="EZ878" s="142"/>
      <c r="FF878" s="142"/>
      <c r="FL878" s="142"/>
      <c r="FR878" s="142"/>
      <c r="FX878" s="142"/>
      <c r="GD878" s="142"/>
      <c r="GJ878" s="142"/>
      <c r="GP878" s="142"/>
      <c r="GV878" s="142"/>
      <c r="HB878" s="142"/>
      <c r="HH878" s="142"/>
      <c r="HN878" s="142"/>
      <c r="HT878" s="142"/>
      <c r="HZ878" s="142"/>
    </row>
    <row r="879">
      <c r="F879" s="142"/>
      <c r="L879" s="142"/>
      <c r="R879" s="142"/>
      <c r="X879" s="142"/>
      <c r="AD879" s="142"/>
      <c r="AJ879" s="142"/>
      <c r="AP879" s="142"/>
      <c r="AV879" s="142"/>
      <c r="BA879" s="142"/>
      <c r="BH879" s="142"/>
      <c r="BN879" s="142"/>
      <c r="BT879" s="142"/>
      <c r="BZ879" s="142"/>
      <c r="CF879" s="142"/>
      <c r="CL879" s="142"/>
      <c r="CR879" s="142"/>
      <c r="CX879" s="142"/>
      <c r="DD879" s="142"/>
      <c r="DJ879" s="142"/>
      <c r="DP879" s="142"/>
      <c r="DV879" s="142"/>
      <c r="EB879" s="142"/>
      <c r="EH879" s="142"/>
      <c r="EN879" s="142"/>
      <c r="ET879" s="142"/>
      <c r="EZ879" s="142"/>
      <c r="FF879" s="142"/>
      <c r="FL879" s="142"/>
      <c r="FR879" s="142"/>
      <c r="FX879" s="142"/>
      <c r="GD879" s="142"/>
      <c r="GJ879" s="142"/>
      <c r="GP879" s="142"/>
      <c r="GV879" s="142"/>
      <c r="HB879" s="142"/>
      <c r="HH879" s="142"/>
      <c r="HN879" s="142"/>
      <c r="HT879" s="142"/>
      <c r="HZ879" s="142"/>
    </row>
    <row r="880">
      <c r="F880" s="142"/>
      <c r="L880" s="142"/>
      <c r="R880" s="142"/>
      <c r="X880" s="142"/>
      <c r="AD880" s="142"/>
      <c r="AJ880" s="142"/>
      <c r="AP880" s="142"/>
      <c r="AV880" s="142"/>
      <c r="BA880" s="142"/>
      <c r="BH880" s="142"/>
      <c r="BN880" s="142"/>
      <c r="BT880" s="142"/>
      <c r="BZ880" s="142"/>
      <c r="CF880" s="142"/>
      <c r="CL880" s="142"/>
      <c r="CR880" s="142"/>
      <c r="CX880" s="142"/>
      <c r="DD880" s="142"/>
      <c r="DJ880" s="142"/>
      <c r="DP880" s="142"/>
      <c r="DV880" s="142"/>
      <c r="EB880" s="142"/>
      <c r="EH880" s="142"/>
      <c r="EN880" s="142"/>
      <c r="ET880" s="142"/>
      <c r="EZ880" s="142"/>
      <c r="FF880" s="142"/>
      <c r="FL880" s="142"/>
      <c r="FR880" s="142"/>
      <c r="FX880" s="142"/>
      <c r="GD880" s="142"/>
      <c r="GJ880" s="142"/>
      <c r="GP880" s="142"/>
      <c r="GV880" s="142"/>
      <c r="HB880" s="142"/>
      <c r="HH880" s="142"/>
      <c r="HN880" s="142"/>
      <c r="HT880" s="142"/>
      <c r="HZ880" s="142"/>
    </row>
    <row r="881">
      <c r="F881" s="142"/>
      <c r="L881" s="142"/>
      <c r="R881" s="142"/>
      <c r="X881" s="142"/>
      <c r="AD881" s="142"/>
      <c r="AJ881" s="142"/>
      <c r="AP881" s="142"/>
      <c r="AV881" s="142"/>
      <c r="BA881" s="142"/>
      <c r="BH881" s="142"/>
      <c r="BN881" s="142"/>
      <c r="BT881" s="142"/>
      <c r="BZ881" s="142"/>
      <c r="CF881" s="142"/>
      <c r="CL881" s="142"/>
      <c r="CR881" s="142"/>
      <c r="CX881" s="142"/>
      <c r="DD881" s="142"/>
      <c r="DJ881" s="142"/>
      <c r="DP881" s="142"/>
      <c r="DV881" s="142"/>
      <c r="EB881" s="142"/>
      <c r="EH881" s="142"/>
      <c r="EN881" s="142"/>
      <c r="ET881" s="142"/>
      <c r="EZ881" s="142"/>
      <c r="FF881" s="142"/>
      <c r="FL881" s="142"/>
      <c r="FR881" s="142"/>
      <c r="FX881" s="142"/>
      <c r="GD881" s="142"/>
      <c r="GJ881" s="142"/>
      <c r="GP881" s="142"/>
      <c r="GV881" s="142"/>
      <c r="HB881" s="142"/>
      <c r="HH881" s="142"/>
      <c r="HN881" s="142"/>
      <c r="HT881" s="142"/>
      <c r="HZ881" s="142"/>
    </row>
    <row r="882">
      <c r="F882" s="142"/>
      <c r="L882" s="142"/>
      <c r="R882" s="142"/>
      <c r="X882" s="142"/>
      <c r="AD882" s="142"/>
      <c r="AJ882" s="142"/>
      <c r="AP882" s="142"/>
      <c r="AV882" s="142"/>
      <c r="BA882" s="142"/>
      <c r="BH882" s="142"/>
      <c r="BN882" s="142"/>
      <c r="BT882" s="142"/>
      <c r="BZ882" s="142"/>
      <c r="CF882" s="142"/>
      <c r="CL882" s="142"/>
      <c r="CR882" s="142"/>
      <c r="CX882" s="142"/>
      <c r="DD882" s="142"/>
      <c r="DJ882" s="142"/>
      <c r="DP882" s="142"/>
      <c r="DV882" s="142"/>
      <c r="EB882" s="142"/>
      <c r="EH882" s="142"/>
      <c r="EN882" s="142"/>
      <c r="ET882" s="142"/>
      <c r="EZ882" s="142"/>
      <c r="FF882" s="142"/>
      <c r="FL882" s="142"/>
      <c r="FR882" s="142"/>
      <c r="FX882" s="142"/>
      <c r="GD882" s="142"/>
      <c r="GJ882" s="142"/>
      <c r="GP882" s="142"/>
      <c r="GV882" s="142"/>
      <c r="HB882" s="142"/>
      <c r="HH882" s="142"/>
      <c r="HN882" s="142"/>
      <c r="HT882" s="142"/>
      <c r="HZ882" s="142"/>
    </row>
    <row r="883">
      <c r="F883" s="142"/>
      <c r="L883" s="142"/>
      <c r="R883" s="142"/>
      <c r="X883" s="142"/>
      <c r="AD883" s="142"/>
      <c r="AJ883" s="142"/>
      <c r="AP883" s="142"/>
      <c r="AV883" s="142"/>
      <c r="BA883" s="142"/>
      <c r="BH883" s="142"/>
      <c r="BN883" s="142"/>
      <c r="BT883" s="142"/>
      <c r="BZ883" s="142"/>
      <c r="CF883" s="142"/>
      <c r="CL883" s="142"/>
      <c r="CR883" s="142"/>
      <c r="CX883" s="142"/>
      <c r="DD883" s="142"/>
      <c r="DJ883" s="142"/>
      <c r="DP883" s="142"/>
      <c r="DV883" s="142"/>
      <c r="EB883" s="142"/>
      <c r="EH883" s="142"/>
      <c r="EN883" s="142"/>
      <c r="ET883" s="142"/>
      <c r="EZ883" s="142"/>
      <c r="FF883" s="142"/>
      <c r="FL883" s="142"/>
      <c r="FR883" s="142"/>
      <c r="FX883" s="142"/>
      <c r="GD883" s="142"/>
      <c r="GJ883" s="142"/>
      <c r="GP883" s="142"/>
      <c r="GV883" s="142"/>
      <c r="HB883" s="142"/>
      <c r="HH883" s="142"/>
      <c r="HN883" s="142"/>
      <c r="HT883" s="142"/>
      <c r="HZ883" s="142"/>
    </row>
    <row r="884">
      <c r="F884" s="142"/>
      <c r="L884" s="142"/>
      <c r="R884" s="142"/>
      <c r="X884" s="142"/>
      <c r="AD884" s="142"/>
      <c r="AJ884" s="142"/>
      <c r="AP884" s="142"/>
      <c r="AV884" s="142"/>
      <c r="BA884" s="142"/>
      <c r="BH884" s="142"/>
      <c r="BN884" s="142"/>
      <c r="BT884" s="142"/>
      <c r="BZ884" s="142"/>
      <c r="CF884" s="142"/>
      <c r="CL884" s="142"/>
      <c r="CR884" s="142"/>
      <c r="CX884" s="142"/>
      <c r="DD884" s="142"/>
      <c r="DJ884" s="142"/>
      <c r="DP884" s="142"/>
      <c r="DV884" s="142"/>
      <c r="EB884" s="142"/>
      <c r="EH884" s="142"/>
      <c r="EN884" s="142"/>
      <c r="ET884" s="142"/>
      <c r="EZ884" s="142"/>
      <c r="FF884" s="142"/>
      <c r="FL884" s="142"/>
      <c r="FR884" s="142"/>
      <c r="FX884" s="142"/>
      <c r="GD884" s="142"/>
      <c r="GJ884" s="142"/>
      <c r="GP884" s="142"/>
      <c r="GV884" s="142"/>
      <c r="HB884" s="142"/>
      <c r="HH884" s="142"/>
      <c r="HN884" s="142"/>
      <c r="HT884" s="142"/>
      <c r="HZ884" s="142"/>
    </row>
    <row r="885">
      <c r="F885" s="142"/>
      <c r="L885" s="142"/>
      <c r="R885" s="142"/>
      <c r="X885" s="142"/>
      <c r="AD885" s="142"/>
      <c r="AJ885" s="142"/>
      <c r="AP885" s="142"/>
      <c r="AV885" s="142"/>
      <c r="BA885" s="142"/>
      <c r="BH885" s="142"/>
      <c r="BN885" s="142"/>
      <c r="BT885" s="142"/>
      <c r="BZ885" s="142"/>
      <c r="CF885" s="142"/>
      <c r="CL885" s="142"/>
      <c r="CR885" s="142"/>
      <c r="CX885" s="142"/>
      <c r="DD885" s="142"/>
      <c r="DJ885" s="142"/>
      <c r="DP885" s="142"/>
      <c r="DV885" s="142"/>
      <c r="EB885" s="142"/>
      <c r="EH885" s="142"/>
      <c r="EN885" s="142"/>
      <c r="ET885" s="142"/>
      <c r="EZ885" s="142"/>
      <c r="FF885" s="142"/>
      <c r="FL885" s="142"/>
      <c r="FR885" s="142"/>
      <c r="FX885" s="142"/>
      <c r="GD885" s="142"/>
      <c r="GJ885" s="142"/>
      <c r="GP885" s="142"/>
      <c r="GV885" s="142"/>
      <c r="HB885" s="142"/>
      <c r="HH885" s="142"/>
      <c r="HN885" s="142"/>
      <c r="HT885" s="142"/>
      <c r="HZ885" s="142"/>
    </row>
    <row r="886">
      <c r="F886" s="142"/>
      <c r="L886" s="142"/>
      <c r="R886" s="142"/>
      <c r="X886" s="142"/>
      <c r="AD886" s="142"/>
      <c r="AJ886" s="142"/>
      <c r="AP886" s="142"/>
      <c r="AV886" s="142"/>
      <c r="BA886" s="142"/>
      <c r="BH886" s="142"/>
      <c r="BN886" s="142"/>
      <c r="BT886" s="142"/>
      <c r="BZ886" s="142"/>
      <c r="CF886" s="142"/>
      <c r="CL886" s="142"/>
      <c r="CR886" s="142"/>
      <c r="CX886" s="142"/>
      <c r="DD886" s="142"/>
      <c r="DJ886" s="142"/>
      <c r="DP886" s="142"/>
      <c r="DV886" s="142"/>
      <c r="EB886" s="142"/>
      <c r="EH886" s="142"/>
      <c r="EN886" s="142"/>
      <c r="ET886" s="142"/>
      <c r="EZ886" s="142"/>
      <c r="FF886" s="142"/>
      <c r="FL886" s="142"/>
      <c r="FR886" s="142"/>
      <c r="FX886" s="142"/>
      <c r="GD886" s="142"/>
      <c r="GJ886" s="142"/>
      <c r="GP886" s="142"/>
      <c r="GV886" s="142"/>
      <c r="HB886" s="142"/>
      <c r="HH886" s="142"/>
      <c r="HN886" s="142"/>
      <c r="HT886" s="142"/>
      <c r="HZ886" s="142"/>
    </row>
    <row r="887">
      <c r="F887" s="142"/>
      <c r="L887" s="142"/>
      <c r="R887" s="142"/>
      <c r="X887" s="142"/>
      <c r="AD887" s="142"/>
      <c r="AJ887" s="142"/>
      <c r="AP887" s="142"/>
      <c r="AV887" s="142"/>
      <c r="BA887" s="142"/>
      <c r="BH887" s="142"/>
      <c r="BN887" s="142"/>
      <c r="BT887" s="142"/>
      <c r="BZ887" s="142"/>
      <c r="CF887" s="142"/>
      <c r="CL887" s="142"/>
      <c r="CR887" s="142"/>
      <c r="CX887" s="142"/>
      <c r="DD887" s="142"/>
      <c r="DJ887" s="142"/>
      <c r="DP887" s="142"/>
      <c r="DV887" s="142"/>
      <c r="EB887" s="142"/>
      <c r="EH887" s="142"/>
      <c r="EN887" s="142"/>
      <c r="ET887" s="142"/>
      <c r="EZ887" s="142"/>
      <c r="FF887" s="142"/>
      <c r="FL887" s="142"/>
      <c r="FR887" s="142"/>
      <c r="FX887" s="142"/>
      <c r="GD887" s="142"/>
      <c r="GJ887" s="142"/>
      <c r="GP887" s="142"/>
      <c r="GV887" s="142"/>
      <c r="HB887" s="142"/>
      <c r="HH887" s="142"/>
      <c r="HN887" s="142"/>
      <c r="HT887" s="142"/>
      <c r="HZ887" s="142"/>
    </row>
    <row r="888">
      <c r="F888" s="142"/>
      <c r="L888" s="142"/>
      <c r="R888" s="142"/>
      <c r="X888" s="142"/>
      <c r="AD888" s="142"/>
      <c r="AJ888" s="142"/>
      <c r="AP888" s="142"/>
      <c r="AV888" s="142"/>
      <c r="BA888" s="142"/>
      <c r="BH888" s="142"/>
      <c r="BN888" s="142"/>
      <c r="BT888" s="142"/>
      <c r="BZ888" s="142"/>
      <c r="CF888" s="142"/>
      <c r="CL888" s="142"/>
      <c r="CR888" s="142"/>
      <c r="CX888" s="142"/>
      <c r="DD888" s="142"/>
      <c r="DJ888" s="142"/>
      <c r="DP888" s="142"/>
      <c r="DV888" s="142"/>
      <c r="EB888" s="142"/>
      <c r="EH888" s="142"/>
      <c r="EN888" s="142"/>
      <c r="ET888" s="142"/>
      <c r="EZ888" s="142"/>
      <c r="FF888" s="142"/>
      <c r="FL888" s="142"/>
      <c r="FR888" s="142"/>
      <c r="FX888" s="142"/>
      <c r="GD888" s="142"/>
      <c r="GJ888" s="142"/>
      <c r="GP888" s="142"/>
      <c r="GV888" s="142"/>
      <c r="HB888" s="142"/>
      <c r="HH888" s="142"/>
      <c r="HN888" s="142"/>
      <c r="HT888" s="142"/>
      <c r="HZ888" s="142"/>
    </row>
    <row r="889">
      <c r="F889" s="142"/>
      <c r="L889" s="142"/>
      <c r="R889" s="142"/>
      <c r="X889" s="142"/>
      <c r="AD889" s="142"/>
      <c r="AJ889" s="142"/>
      <c r="AP889" s="142"/>
      <c r="AV889" s="142"/>
      <c r="BA889" s="142"/>
      <c r="BH889" s="142"/>
      <c r="BN889" s="142"/>
      <c r="BT889" s="142"/>
      <c r="BZ889" s="142"/>
      <c r="CF889" s="142"/>
      <c r="CL889" s="142"/>
      <c r="CR889" s="142"/>
      <c r="CX889" s="142"/>
      <c r="DD889" s="142"/>
      <c r="DJ889" s="142"/>
      <c r="DP889" s="142"/>
      <c r="DV889" s="142"/>
      <c r="EB889" s="142"/>
      <c r="EH889" s="142"/>
      <c r="EN889" s="142"/>
      <c r="ET889" s="142"/>
      <c r="EZ889" s="142"/>
      <c r="FF889" s="142"/>
      <c r="FL889" s="142"/>
      <c r="FR889" s="142"/>
      <c r="FX889" s="142"/>
      <c r="GD889" s="142"/>
      <c r="GJ889" s="142"/>
      <c r="GP889" s="142"/>
      <c r="GV889" s="142"/>
      <c r="HB889" s="142"/>
      <c r="HH889" s="142"/>
      <c r="HN889" s="142"/>
      <c r="HT889" s="142"/>
      <c r="HZ889" s="142"/>
    </row>
    <row r="890">
      <c r="F890" s="142"/>
      <c r="L890" s="142"/>
      <c r="R890" s="142"/>
      <c r="X890" s="142"/>
      <c r="AD890" s="142"/>
      <c r="AJ890" s="142"/>
      <c r="AP890" s="142"/>
      <c r="AV890" s="142"/>
      <c r="BA890" s="142"/>
      <c r="BH890" s="142"/>
      <c r="BN890" s="142"/>
      <c r="BT890" s="142"/>
      <c r="BZ890" s="142"/>
      <c r="CF890" s="142"/>
      <c r="CL890" s="142"/>
      <c r="CR890" s="142"/>
      <c r="CX890" s="142"/>
      <c r="DD890" s="142"/>
      <c r="DJ890" s="142"/>
      <c r="DP890" s="142"/>
      <c r="DV890" s="142"/>
      <c r="EB890" s="142"/>
      <c r="EH890" s="142"/>
      <c r="EN890" s="142"/>
      <c r="ET890" s="142"/>
      <c r="EZ890" s="142"/>
      <c r="FF890" s="142"/>
      <c r="FL890" s="142"/>
      <c r="FR890" s="142"/>
      <c r="FX890" s="142"/>
      <c r="GD890" s="142"/>
      <c r="GJ890" s="142"/>
      <c r="GP890" s="142"/>
      <c r="GV890" s="142"/>
      <c r="HB890" s="142"/>
      <c r="HH890" s="142"/>
      <c r="HN890" s="142"/>
      <c r="HT890" s="142"/>
      <c r="HZ890" s="142"/>
    </row>
    <row r="891">
      <c r="F891" s="142"/>
      <c r="L891" s="142"/>
      <c r="R891" s="142"/>
      <c r="X891" s="142"/>
      <c r="AD891" s="142"/>
      <c r="AJ891" s="142"/>
      <c r="AP891" s="142"/>
      <c r="AV891" s="142"/>
      <c r="BA891" s="142"/>
      <c r="BH891" s="142"/>
      <c r="BN891" s="142"/>
      <c r="BT891" s="142"/>
      <c r="BZ891" s="142"/>
      <c r="CF891" s="142"/>
      <c r="CL891" s="142"/>
      <c r="CR891" s="142"/>
      <c r="CX891" s="142"/>
      <c r="DD891" s="142"/>
      <c r="DJ891" s="142"/>
      <c r="DP891" s="142"/>
      <c r="DV891" s="142"/>
      <c r="EB891" s="142"/>
      <c r="EH891" s="142"/>
      <c r="EN891" s="142"/>
      <c r="ET891" s="142"/>
      <c r="EZ891" s="142"/>
      <c r="FF891" s="142"/>
      <c r="FL891" s="142"/>
      <c r="FR891" s="142"/>
      <c r="FX891" s="142"/>
      <c r="GD891" s="142"/>
      <c r="GJ891" s="142"/>
      <c r="GP891" s="142"/>
      <c r="GV891" s="142"/>
      <c r="HB891" s="142"/>
      <c r="HH891" s="142"/>
      <c r="HN891" s="142"/>
      <c r="HT891" s="142"/>
      <c r="HZ891" s="142"/>
    </row>
    <row r="892">
      <c r="F892" s="142"/>
      <c r="L892" s="142"/>
      <c r="R892" s="142"/>
      <c r="X892" s="142"/>
      <c r="AD892" s="142"/>
      <c r="AJ892" s="142"/>
      <c r="AP892" s="142"/>
      <c r="AV892" s="142"/>
      <c r="BA892" s="142"/>
      <c r="BH892" s="142"/>
      <c r="BN892" s="142"/>
      <c r="BT892" s="142"/>
      <c r="BZ892" s="142"/>
      <c r="CF892" s="142"/>
      <c r="CL892" s="142"/>
      <c r="CR892" s="142"/>
      <c r="CX892" s="142"/>
      <c r="DD892" s="142"/>
      <c r="DJ892" s="142"/>
      <c r="DP892" s="142"/>
      <c r="DV892" s="142"/>
      <c r="EB892" s="142"/>
      <c r="EH892" s="142"/>
      <c r="EN892" s="142"/>
      <c r="ET892" s="142"/>
      <c r="EZ892" s="142"/>
      <c r="FF892" s="142"/>
      <c r="FL892" s="142"/>
      <c r="FR892" s="142"/>
      <c r="FX892" s="142"/>
      <c r="GD892" s="142"/>
      <c r="GJ892" s="142"/>
      <c r="GP892" s="142"/>
      <c r="GV892" s="142"/>
      <c r="HB892" s="142"/>
      <c r="HH892" s="142"/>
      <c r="HN892" s="142"/>
      <c r="HT892" s="142"/>
      <c r="HZ892" s="142"/>
    </row>
    <row r="893">
      <c r="F893" s="142"/>
      <c r="L893" s="142"/>
      <c r="R893" s="142"/>
      <c r="X893" s="142"/>
      <c r="AD893" s="142"/>
      <c r="AJ893" s="142"/>
      <c r="AP893" s="142"/>
      <c r="AV893" s="142"/>
      <c r="BA893" s="142"/>
      <c r="BH893" s="142"/>
      <c r="BN893" s="142"/>
      <c r="BT893" s="142"/>
      <c r="BZ893" s="142"/>
      <c r="CF893" s="142"/>
      <c r="CL893" s="142"/>
      <c r="CR893" s="142"/>
      <c r="CX893" s="142"/>
      <c r="DD893" s="142"/>
      <c r="DJ893" s="142"/>
      <c r="DP893" s="142"/>
      <c r="DV893" s="142"/>
      <c r="EB893" s="142"/>
      <c r="EH893" s="142"/>
      <c r="EN893" s="142"/>
      <c r="ET893" s="142"/>
      <c r="EZ893" s="142"/>
      <c r="FF893" s="142"/>
      <c r="FL893" s="142"/>
      <c r="FR893" s="142"/>
      <c r="FX893" s="142"/>
      <c r="GD893" s="142"/>
      <c r="GJ893" s="142"/>
      <c r="GP893" s="142"/>
      <c r="GV893" s="142"/>
      <c r="HB893" s="142"/>
      <c r="HH893" s="142"/>
      <c r="HN893" s="142"/>
      <c r="HT893" s="142"/>
      <c r="HZ893" s="142"/>
    </row>
    <row r="894">
      <c r="F894" s="142"/>
      <c r="L894" s="142"/>
      <c r="R894" s="142"/>
      <c r="X894" s="142"/>
      <c r="AD894" s="142"/>
      <c r="AJ894" s="142"/>
      <c r="AP894" s="142"/>
      <c r="AV894" s="142"/>
      <c r="BA894" s="142"/>
      <c r="BH894" s="142"/>
      <c r="BN894" s="142"/>
      <c r="BT894" s="142"/>
      <c r="BZ894" s="142"/>
      <c r="CF894" s="142"/>
      <c r="CL894" s="142"/>
      <c r="CR894" s="142"/>
      <c r="CX894" s="142"/>
      <c r="DD894" s="142"/>
      <c r="DJ894" s="142"/>
      <c r="DP894" s="142"/>
      <c r="DV894" s="142"/>
      <c r="EB894" s="142"/>
      <c r="EH894" s="142"/>
      <c r="EN894" s="142"/>
      <c r="ET894" s="142"/>
      <c r="EZ894" s="142"/>
      <c r="FF894" s="142"/>
      <c r="FL894" s="142"/>
      <c r="FR894" s="142"/>
      <c r="FX894" s="142"/>
      <c r="GD894" s="142"/>
      <c r="GJ894" s="142"/>
      <c r="GP894" s="142"/>
      <c r="GV894" s="142"/>
      <c r="HB894" s="142"/>
      <c r="HH894" s="142"/>
      <c r="HN894" s="142"/>
      <c r="HT894" s="142"/>
      <c r="HZ894" s="142"/>
    </row>
    <row r="895">
      <c r="F895" s="142"/>
      <c r="L895" s="142"/>
      <c r="R895" s="142"/>
      <c r="X895" s="142"/>
      <c r="AD895" s="142"/>
      <c r="AJ895" s="142"/>
      <c r="AP895" s="142"/>
      <c r="AV895" s="142"/>
      <c r="BA895" s="142"/>
      <c r="BH895" s="142"/>
      <c r="BN895" s="142"/>
      <c r="BT895" s="142"/>
      <c r="BZ895" s="142"/>
      <c r="CF895" s="142"/>
      <c r="CL895" s="142"/>
      <c r="CR895" s="142"/>
      <c r="CX895" s="142"/>
      <c r="DD895" s="142"/>
      <c r="DJ895" s="142"/>
      <c r="DP895" s="142"/>
      <c r="DV895" s="142"/>
      <c r="EB895" s="142"/>
      <c r="EH895" s="142"/>
      <c r="EN895" s="142"/>
      <c r="ET895" s="142"/>
      <c r="EZ895" s="142"/>
      <c r="FF895" s="142"/>
      <c r="FL895" s="142"/>
      <c r="FR895" s="142"/>
      <c r="FX895" s="142"/>
      <c r="GD895" s="142"/>
      <c r="GJ895" s="142"/>
      <c r="GP895" s="142"/>
      <c r="GV895" s="142"/>
      <c r="HB895" s="142"/>
      <c r="HH895" s="142"/>
      <c r="HN895" s="142"/>
      <c r="HT895" s="142"/>
      <c r="HZ895" s="142"/>
    </row>
    <row r="896">
      <c r="F896" s="142"/>
      <c r="L896" s="142"/>
      <c r="R896" s="142"/>
      <c r="X896" s="142"/>
      <c r="AD896" s="142"/>
      <c r="AJ896" s="142"/>
      <c r="AP896" s="142"/>
      <c r="AV896" s="142"/>
      <c r="BA896" s="142"/>
      <c r="BH896" s="142"/>
      <c r="BN896" s="142"/>
      <c r="BT896" s="142"/>
      <c r="BZ896" s="142"/>
      <c r="CF896" s="142"/>
      <c r="CL896" s="142"/>
      <c r="CR896" s="142"/>
      <c r="CX896" s="142"/>
      <c r="DD896" s="142"/>
      <c r="DJ896" s="142"/>
      <c r="DP896" s="142"/>
      <c r="DV896" s="142"/>
      <c r="EB896" s="142"/>
      <c r="EH896" s="142"/>
      <c r="EN896" s="142"/>
      <c r="ET896" s="142"/>
      <c r="EZ896" s="142"/>
      <c r="FF896" s="142"/>
      <c r="FL896" s="142"/>
      <c r="FR896" s="142"/>
      <c r="FX896" s="142"/>
      <c r="GD896" s="142"/>
      <c r="GJ896" s="142"/>
      <c r="GP896" s="142"/>
      <c r="GV896" s="142"/>
      <c r="HB896" s="142"/>
      <c r="HH896" s="142"/>
      <c r="HN896" s="142"/>
      <c r="HT896" s="142"/>
      <c r="HZ896" s="142"/>
    </row>
    <row r="897">
      <c r="F897" s="142"/>
      <c r="L897" s="142"/>
      <c r="R897" s="142"/>
      <c r="X897" s="142"/>
      <c r="AD897" s="142"/>
      <c r="AJ897" s="142"/>
      <c r="AP897" s="142"/>
      <c r="AV897" s="142"/>
      <c r="BA897" s="142"/>
      <c r="BH897" s="142"/>
      <c r="BN897" s="142"/>
      <c r="BT897" s="142"/>
      <c r="BZ897" s="142"/>
      <c r="CF897" s="142"/>
      <c r="CL897" s="142"/>
      <c r="CR897" s="142"/>
      <c r="CX897" s="142"/>
      <c r="DD897" s="142"/>
      <c r="DJ897" s="142"/>
      <c r="DP897" s="142"/>
      <c r="DV897" s="142"/>
      <c r="EB897" s="142"/>
      <c r="EH897" s="142"/>
      <c r="EN897" s="142"/>
      <c r="ET897" s="142"/>
      <c r="EZ897" s="142"/>
      <c r="FF897" s="142"/>
      <c r="FL897" s="142"/>
      <c r="FR897" s="142"/>
      <c r="FX897" s="142"/>
      <c r="GD897" s="142"/>
      <c r="GJ897" s="142"/>
      <c r="GP897" s="142"/>
      <c r="GV897" s="142"/>
      <c r="HB897" s="142"/>
      <c r="HH897" s="142"/>
      <c r="HN897" s="142"/>
      <c r="HT897" s="142"/>
      <c r="HZ897" s="142"/>
    </row>
    <row r="898">
      <c r="F898" s="142"/>
      <c r="L898" s="142"/>
      <c r="R898" s="142"/>
      <c r="X898" s="142"/>
      <c r="AD898" s="142"/>
      <c r="AJ898" s="142"/>
      <c r="AP898" s="142"/>
      <c r="AV898" s="142"/>
      <c r="BA898" s="142"/>
      <c r="BH898" s="142"/>
      <c r="BN898" s="142"/>
      <c r="BT898" s="142"/>
      <c r="BZ898" s="142"/>
      <c r="CF898" s="142"/>
      <c r="CL898" s="142"/>
      <c r="CR898" s="142"/>
      <c r="CX898" s="142"/>
      <c r="DD898" s="142"/>
      <c r="DJ898" s="142"/>
      <c r="DP898" s="142"/>
      <c r="DV898" s="142"/>
      <c r="EB898" s="142"/>
      <c r="EH898" s="142"/>
      <c r="EN898" s="142"/>
      <c r="ET898" s="142"/>
      <c r="EZ898" s="142"/>
      <c r="FF898" s="142"/>
      <c r="FL898" s="142"/>
      <c r="FR898" s="142"/>
      <c r="FX898" s="142"/>
      <c r="GD898" s="142"/>
      <c r="GJ898" s="142"/>
      <c r="GP898" s="142"/>
      <c r="GV898" s="142"/>
      <c r="HB898" s="142"/>
      <c r="HH898" s="142"/>
      <c r="HN898" s="142"/>
      <c r="HT898" s="142"/>
      <c r="HZ898" s="142"/>
    </row>
    <row r="899">
      <c r="F899" s="142"/>
      <c r="L899" s="142"/>
      <c r="R899" s="142"/>
      <c r="X899" s="142"/>
      <c r="AD899" s="142"/>
      <c r="AJ899" s="142"/>
      <c r="AP899" s="142"/>
      <c r="AV899" s="142"/>
      <c r="BA899" s="142"/>
      <c r="BH899" s="142"/>
      <c r="BN899" s="142"/>
      <c r="BT899" s="142"/>
      <c r="BZ899" s="142"/>
      <c r="CF899" s="142"/>
      <c r="CL899" s="142"/>
      <c r="CR899" s="142"/>
      <c r="CX899" s="142"/>
      <c r="DD899" s="142"/>
      <c r="DJ899" s="142"/>
      <c r="DP899" s="142"/>
      <c r="DV899" s="142"/>
      <c r="EB899" s="142"/>
      <c r="EH899" s="142"/>
      <c r="EN899" s="142"/>
      <c r="ET899" s="142"/>
      <c r="EZ899" s="142"/>
      <c r="FF899" s="142"/>
      <c r="FL899" s="142"/>
      <c r="FR899" s="142"/>
      <c r="FX899" s="142"/>
      <c r="GD899" s="142"/>
      <c r="GJ899" s="142"/>
      <c r="GP899" s="142"/>
      <c r="GV899" s="142"/>
      <c r="HB899" s="142"/>
      <c r="HH899" s="142"/>
      <c r="HN899" s="142"/>
      <c r="HT899" s="142"/>
      <c r="HZ899" s="142"/>
    </row>
    <row r="900">
      <c r="F900" s="142"/>
      <c r="L900" s="142"/>
      <c r="R900" s="142"/>
      <c r="X900" s="142"/>
      <c r="AD900" s="142"/>
      <c r="AJ900" s="142"/>
      <c r="AP900" s="142"/>
      <c r="AV900" s="142"/>
      <c r="BA900" s="142"/>
      <c r="BH900" s="142"/>
      <c r="BN900" s="142"/>
      <c r="BT900" s="142"/>
      <c r="BZ900" s="142"/>
      <c r="CF900" s="142"/>
      <c r="CL900" s="142"/>
      <c r="CR900" s="142"/>
      <c r="CX900" s="142"/>
      <c r="DD900" s="142"/>
      <c r="DJ900" s="142"/>
      <c r="DP900" s="142"/>
      <c r="DV900" s="142"/>
      <c r="EB900" s="142"/>
      <c r="EH900" s="142"/>
      <c r="EN900" s="142"/>
      <c r="ET900" s="142"/>
      <c r="EZ900" s="142"/>
      <c r="FF900" s="142"/>
      <c r="FL900" s="142"/>
      <c r="FR900" s="142"/>
      <c r="FX900" s="142"/>
      <c r="GD900" s="142"/>
      <c r="GJ900" s="142"/>
      <c r="GP900" s="142"/>
      <c r="GV900" s="142"/>
      <c r="HB900" s="142"/>
      <c r="HH900" s="142"/>
      <c r="HN900" s="142"/>
      <c r="HT900" s="142"/>
      <c r="HZ900" s="142"/>
    </row>
    <row r="901">
      <c r="F901" s="142"/>
      <c r="L901" s="142"/>
      <c r="R901" s="142"/>
      <c r="X901" s="142"/>
      <c r="AD901" s="142"/>
      <c r="AJ901" s="142"/>
      <c r="AP901" s="142"/>
      <c r="AV901" s="142"/>
      <c r="BA901" s="142"/>
      <c r="BH901" s="142"/>
      <c r="BN901" s="142"/>
      <c r="BT901" s="142"/>
      <c r="BZ901" s="142"/>
      <c r="CF901" s="142"/>
      <c r="CL901" s="142"/>
      <c r="CR901" s="142"/>
      <c r="CX901" s="142"/>
      <c r="DD901" s="142"/>
      <c r="DJ901" s="142"/>
      <c r="DP901" s="142"/>
      <c r="DV901" s="142"/>
      <c r="EB901" s="142"/>
      <c r="EH901" s="142"/>
      <c r="EN901" s="142"/>
      <c r="ET901" s="142"/>
      <c r="EZ901" s="142"/>
      <c r="FF901" s="142"/>
      <c r="FL901" s="142"/>
      <c r="FR901" s="142"/>
      <c r="FX901" s="142"/>
      <c r="GD901" s="142"/>
      <c r="GJ901" s="142"/>
      <c r="GP901" s="142"/>
      <c r="GV901" s="142"/>
      <c r="HB901" s="142"/>
      <c r="HH901" s="142"/>
      <c r="HN901" s="142"/>
      <c r="HT901" s="142"/>
      <c r="HZ901" s="142"/>
    </row>
    <row r="902">
      <c r="F902" s="142"/>
      <c r="L902" s="142"/>
      <c r="R902" s="142"/>
      <c r="X902" s="142"/>
      <c r="AD902" s="142"/>
      <c r="AJ902" s="142"/>
      <c r="AP902" s="142"/>
      <c r="AV902" s="142"/>
      <c r="BA902" s="142"/>
      <c r="BH902" s="142"/>
      <c r="BN902" s="142"/>
      <c r="BT902" s="142"/>
      <c r="BZ902" s="142"/>
      <c r="CF902" s="142"/>
      <c r="CL902" s="142"/>
      <c r="CR902" s="142"/>
      <c r="CX902" s="142"/>
      <c r="DD902" s="142"/>
      <c r="DJ902" s="142"/>
      <c r="DP902" s="142"/>
      <c r="DV902" s="142"/>
      <c r="EB902" s="142"/>
      <c r="EH902" s="142"/>
      <c r="EN902" s="142"/>
      <c r="ET902" s="142"/>
      <c r="EZ902" s="142"/>
      <c r="FF902" s="142"/>
      <c r="FL902" s="142"/>
      <c r="FR902" s="142"/>
      <c r="FX902" s="142"/>
      <c r="GD902" s="142"/>
      <c r="GJ902" s="142"/>
      <c r="GP902" s="142"/>
      <c r="GV902" s="142"/>
      <c r="HB902" s="142"/>
      <c r="HH902" s="142"/>
      <c r="HN902" s="142"/>
      <c r="HT902" s="142"/>
      <c r="HZ902" s="142"/>
    </row>
    <row r="903">
      <c r="F903" s="142"/>
      <c r="L903" s="142"/>
      <c r="R903" s="142"/>
      <c r="X903" s="142"/>
      <c r="AD903" s="142"/>
      <c r="AJ903" s="142"/>
      <c r="AP903" s="142"/>
      <c r="AV903" s="142"/>
      <c r="BA903" s="142"/>
      <c r="BH903" s="142"/>
      <c r="BN903" s="142"/>
      <c r="BT903" s="142"/>
      <c r="BZ903" s="142"/>
      <c r="CF903" s="142"/>
      <c r="CL903" s="142"/>
      <c r="CR903" s="142"/>
      <c r="CX903" s="142"/>
      <c r="DD903" s="142"/>
      <c r="DJ903" s="142"/>
      <c r="DP903" s="142"/>
      <c r="DV903" s="142"/>
      <c r="EB903" s="142"/>
      <c r="EH903" s="142"/>
      <c r="EN903" s="142"/>
      <c r="ET903" s="142"/>
      <c r="EZ903" s="142"/>
      <c r="FF903" s="142"/>
      <c r="FL903" s="142"/>
      <c r="FR903" s="142"/>
      <c r="FX903" s="142"/>
      <c r="GD903" s="142"/>
      <c r="GJ903" s="142"/>
      <c r="GP903" s="142"/>
      <c r="GV903" s="142"/>
      <c r="HB903" s="142"/>
      <c r="HH903" s="142"/>
      <c r="HN903" s="142"/>
      <c r="HT903" s="142"/>
      <c r="HZ903" s="142"/>
    </row>
    <row r="904">
      <c r="F904" s="142"/>
      <c r="L904" s="142"/>
      <c r="R904" s="142"/>
      <c r="X904" s="142"/>
      <c r="AD904" s="142"/>
      <c r="AJ904" s="142"/>
      <c r="AP904" s="142"/>
      <c r="AV904" s="142"/>
      <c r="BA904" s="142"/>
      <c r="BH904" s="142"/>
      <c r="BN904" s="142"/>
      <c r="BT904" s="142"/>
      <c r="BZ904" s="142"/>
      <c r="CF904" s="142"/>
      <c r="CL904" s="142"/>
      <c r="CR904" s="142"/>
      <c r="CX904" s="142"/>
      <c r="DD904" s="142"/>
      <c r="DJ904" s="142"/>
      <c r="DP904" s="142"/>
      <c r="DV904" s="142"/>
      <c r="EB904" s="142"/>
      <c r="EH904" s="142"/>
      <c r="EN904" s="142"/>
      <c r="ET904" s="142"/>
      <c r="EZ904" s="142"/>
      <c r="FF904" s="142"/>
      <c r="FL904" s="142"/>
      <c r="FR904" s="142"/>
      <c r="FX904" s="142"/>
      <c r="GD904" s="142"/>
      <c r="GJ904" s="142"/>
      <c r="GP904" s="142"/>
      <c r="GV904" s="142"/>
      <c r="HB904" s="142"/>
      <c r="HH904" s="142"/>
      <c r="HN904" s="142"/>
      <c r="HT904" s="142"/>
      <c r="HZ904" s="142"/>
    </row>
    <row r="905">
      <c r="F905" s="142"/>
      <c r="L905" s="142"/>
      <c r="R905" s="142"/>
      <c r="X905" s="142"/>
      <c r="AD905" s="142"/>
      <c r="AJ905" s="142"/>
      <c r="AP905" s="142"/>
      <c r="AV905" s="142"/>
      <c r="BA905" s="142"/>
      <c r="BH905" s="142"/>
      <c r="BN905" s="142"/>
      <c r="BT905" s="142"/>
      <c r="BZ905" s="142"/>
      <c r="CF905" s="142"/>
      <c r="CL905" s="142"/>
      <c r="CR905" s="142"/>
      <c r="CX905" s="142"/>
      <c r="DD905" s="142"/>
      <c r="DJ905" s="142"/>
      <c r="DP905" s="142"/>
      <c r="DV905" s="142"/>
      <c r="EB905" s="142"/>
      <c r="EH905" s="142"/>
      <c r="EN905" s="142"/>
      <c r="ET905" s="142"/>
      <c r="EZ905" s="142"/>
      <c r="FF905" s="142"/>
      <c r="FL905" s="142"/>
      <c r="FR905" s="142"/>
      <c r="FX905" s="142"/>
      <c r="GD905" s="142"/>
      <c r="GJ905" s="142"/>
      <c r="GP905" s="142"/>
      <c r="GV905" s="142"/>
      <c r="HB905" s="142"/>
      <c r="HH905" s="142"/>
      <c r="HN905" s="142"/>
      <c r="HT905" s="142"/>
      <c r="HZ905" s="142"/>
    </row>
    <row r="906">
      <c r="F906" s="142"/>
      <c r="L906" s="142"/>
      <c r="R906" s="142"/>
      <c r="X906" s="142"/>
      <c r="AD906" s="142"/>
      <c r="AJ906" s="142"/>
      <c r="AP906" s="142"/>
      <c r="AV906" s="142"/>
      <c r="BA906" s="142"/>
      <c r="BH906" s="142"/>
      <c r="BN906" s="142"/>
      <c r="BT906" s="142"/>
      <c r="BZ906" s="142"/>
      <c r="CF906" s="142"/>
      <c r="CL906" s="142"/>
      <c r="CR906" s="142"/>
      <c r="CX906" s="142"/>
      <c r="DD906" s="142"/>
      <c r="DJ906" s="142"/>
      <c r="DP906" s="142"/>
      <c r="DV906" s="142"/>
      <c r="EB906" s="142"/>
      <c r="EH906" s="142"/>
      <c r="EN906" s="142"/>
      <c r="ET906" s="142"/>
      <c r="EZ906" s="142"/>
      <c r="FF906" s="142"/>
      <c r="FL906" s="142"/>
      <c r="FR906" s="142"/>
      <c r="FX906" s="142"/>
      <c r="GD906" s="142"/>
      <c r="GJ906" s="142"/>
      <c r="GP906" s="142"/>
      <c r="GV906" s="142"/>
      <c r="HB906" s="142"/>
      <c r="HH906" s="142"/>
      <c r="HN906" s="142"/>
      <c r="HT906" s="142"/>
      <c r="HZ906" s="142"/>
    </row>
    <row r="907">
      <c r="F907" s="142"/>
      <c r="L907" s="142"/>
      <c r="R907" s="142"/>
      <c r="X907" s="142"/>
      <c r="AD907" s="142"/>
      <c r="AJ907" s="142"/>
      <c r="AP907" s="142"/>
      <c r="AV907" s="142"/>
      <c r="BA907" s="142"/>
      <c r="BH907" s="142"/>
      <c r="BN907" s="142"/>
      <c r="BT907" s="142"/>
      <c r="BZ907" s="142"/>
      <c r="CF907" s="142"/>
      <c r="CL907" s="142"/>
      <c r="CR907" s="142"/>
      <c r="CX907" s="142"/>
      <c r="DD907" s="142"/>
      <c r="DJ907" s="142"/>
      <c r="DP907" s="142"/>
      <c r="DV907" s="142"/>
      <c r="EB907" s="142"/>
      <c r="EH907" s="142"/>
      <c r="EN907" s="142"/>
      <c r="ET907" s="142"/>
      <c r="EZ907" s="142"/>
      <c r="FF907" s="142"/>
      <c r="FL907" s="142"/>
      <c r="FR907" s="142"/>
      <c r="FX907" s="142"/>
      <c r="GD907" s="142"/>
      <c r="GJ907" s="142"/>
      <c r="GP907" s="142"/>
      <c r="GV907" s="142"/>
      <c r="HB907" s="142"/>
      <c r="HH907" s="142"/>
      <c r="HN907" s="142"/>
      <c r="HT907" s="142"/>
      <c r="HZ907" s="142"/>
    </row>
    <row r="908">
      <c r="F908" s="142"/>
      <c r="L908" s="142"/>
      <c r="R908" s="142"/>
      <c r="X908" s="142"/>
      <c r="AD908" s="142"/>
      <c r="AJ908" s="142"/>
      <c r="AP908" s="142"/>
      <c r="AV908" s="142"/>
      <c r="BA908" s="142"/>
      <c r="BH908" s="142"/>
      <c r="BN908" s="142"/>
      <c r="BT908" s="142"/>
      <c r="BZ908" s="142"/>
      <c r="CF908" s="142"/>
      <c r="CL908" s="142"/>
      <c r="CR908" s="142"/>
      <c r="CX908" s="142"/>
      <c r="DD908" s="142"/>
      <c r="DJ908" s="142"/>
      <c r="DP908" s="142"/>
      <c r="DV908" s="142"/>
      <c r="EB908" s="142"/>
      <c r="EH908" s="142"/>
      <c r="EN908" s="142"/>
      <c r="ET908" s="142"/>
      <c r="EZ908" s="142"/>
      <c r="FF908" s="142"/>
      <c r="FL908" s="142"/>
      <c r="FR908" s="142"/>
      <c r="FX908" s="142"/>
      <c r="GD908" s="142"/>
      <c r="GJ908" s="142"/>
      <c r="GP908" s="142"/>
      <c r="GV908" s="142"/>
      <c r="HB908" s="142"/>
      <c r="HH908" s="142"/>
      <c r="HN908" s="142"/>
      <c r="HT908" s="142"/>
      <c r="HZ908" s="142"/>
    </row>
    <row r="909">
      <c r="F909" s="142"/>
      <c r="L909" s="142"/>
      <c r="R909" s="142"/>
      <c r="X909" s="142"/>
      <c r="AD909" s="142"/>
      <c r="AJ909" s="142"/>
      <c r="AP909" s="142"/>
      <c r="AV909" s="142"/>
      <c r="BA909" s="142"/>
      <c r="BH909" s="142"/>
      <c r="BN909" s="142"/>
      <c r="BT909" s="142"/>
      <c r="BZ909" s="142"/>
      <c r="CF909" s="142"/>
      <c r="CL909" s="142"/>
      <c r="CR909" s="142"/>
      <c r="CX909" s="142"/>
      <c r="DD909" s="142"/>
      <c r="DJ909" s="142"/>
      <c r="DP909" s="142"/>
      <c r="DV909" s="142"/>
      <c r="EB909" s="142"/>
      <c r="EH909" s="142"/>
      <c r="EN909" s="142"/>
      <c r="ET909" s="142"/>
      <c r="EZ909" s="142"/>
      <c r="FF909" s="142"/>
      <c r="FL909" s="142"/>
      <c r="FR909" s="142"/>
      <c r="FX909" s="142"/>
      <c r="GD909" s="142"/>
      <c r="GJ909" s="142"/>
      <c r="GP909" s="142"/>
      <c r="GV909" s="142"/>
      <c r="HB909" s="142"/>
      <c r="HH909" s="142"/>
      <c r="HN909" s="142"/>
      <c r="HT909" s="142"/>
      <c r="HZ909" s="142"/>
    </row>
    <row r="910">
      <c r="F910" s="142"/>
      <c r="L910" s="142"/>
      <c r="R910" s="142"/>
      <c r="X910" s="142"/>
      <c r="AD910" s="142"/>
      <c r="AJ910" s="142"/>
      <c r="AP910" s="142"/>
      <c r="AV910" s="142"/>
      <c r="BA910" s="142"/>
      <c r="BH910" s="142"/>
      <c r="BN910" s="142"/>
      <c r="BT910" s="142"/>
      <c r="BZ910" s="142"/>
      <c r="CF910" s="142"/>
      <c r="CL910" s="142"/>
      <c r="CR910" s="142"/>
      <c r="CX910" s="142"/>
      <c r="DD910" s="142"/>
      <c r="DJ910" s="142"/>
      <c r="DP910" s="142"/>
      <c r="DV910" s="142"/>
      <c r="EB910" s="142"/>
      <c r="EH910" s="142"/>
      <c r="EN910" s="142"/>
      <c r="ET910" s="142"/>
      <c r="EZ910" s="142"/>
      <c r="FF910" s="142"/>
      <c r="FL910" s="142"/>
      <c r="FR910" s="142"/>
      <c r="FX910" s="142"/>
      <c r="GD910" s="142"/>
      <c r="GJ910" s="142"/>
      <c r="GP910" s="142"/>
      <c r="GV910" s="142"/>
      <c r="HB910" s="142"/>
      <c r="HH910" s="142"/>
      <c r="HN910" s="142"/>
      <c r="HT910" s="142"/>
      <c r="HZ910" s="142"/>
    </row>
    <row r="911">
      <c r="F911" s="142"/>
      <c r="L911" s="142"/>
      <c r="R911" s="142"/>
      <c r="X911" s="142"/>
      <c r="AD911" s="142"/>
      <c r="AJ911" s="142"/>
      <c r="AP911" s="142"/>
      <c r="AV911" s="142"/>
      <c r="BA911" s="142"/>
      <c r="BH911" s="142"/>
      <c r="BN911" s="142"/>
      <c r="BT911" s="142"/>
      <c r="BZ911" s="142"/>
      <c r="CF911" s="142"/>
      <c r="CL911" s="142"/>
      <c r="CR911" s="142"/>
      <c r="CX911" s="142"/>
      <c r="DD911" s="142"/>
      <c r="DJ911" s="142"/>
      <c r="DP911" s="142"/>
      <c r="DV911" s="142"/>
      <c r="EB911" s="142"/>
      <c r="EH911" s="142"/>
      <c r="EN911" s="142"/>
      <c r="ET911" s="142"/>
      <c r="EZ911" s="142"/>
      <c r="FF911" s="142"/>
      <c r="FL911" s="142"/>
      <c r="FR911" s="142"/>
      <c r="FX911" s="142"/>
      <c r="GD911" s="142"/>
      <c r="GJ911" s="142"/>
      <c r="GP911" s="142"/>
      <c r="GV911" s="142"/>
      <c r="HB911" s="142"/>
      <c r="HH911" s="142"/>
      <c r="HN911" s="142"/>
      <c r="HT911" s="142"/>
      <c r="HZ911" s="142"/>
    </row>
    <row r="912">
      <c r="F912" s="142"/>
      <c r="L912" s="142"/>
      <c r="R912" s="142"/>
      <c r="X912" s="142"/>
      <c r="AD912" s="142"/>
      <c r="AJ912" s="142"/>
      <c r="AP912" s="142"/>
      <c r="AV912" s="142"/>
      <c r="BA912" s="142"/>
      <c r="BH912" s="142"/>
      <c r="BN912" s="142"/>
      <c r="BT912" s="142"/>
      <c r="BZ912" s="142"/>
      <c r="CF912" s="142"/>
      <c r="CL912" s="142"/>
      <c r="CR912" s="142"/>
      <c r="CX912" s="142"/>
      <c r="DD912" s="142"/>
      <c r="DJ912" s="142"/>
      <c r="DP912" s="142"/>
      <c r="DV912" s="142"/>
      <c r="EB912" s="142"/>
      <c r="EH912" s="142"/>
      <c r="EN912" s="142"/>
      <c r="ET912" s="142"/>
      <c r="EZ912" s="142"/>
      <c r="FF912" s="142"/>
      <c r="FL912" s="142"/>
      <c r="FR912" s="142"/>
      <c r="FX912" s="142"/>
      <c r="GD912" s="142"/>
      <c r="GJ912" s="142"/>
      <c r="GP912" s="142"/>
      <c r="GV912" s="142"/>
      <c r="HB912" s="142"/>
      <c r="HH912" s="142"/>
      <c r="HN912" s="142"/>
      <c r="HT912" s="142"/>
      <c r="HZ912" s="142"/>
    </row>
    <row r="913">
      <c r="F913" s="142"/>
      <c r="L913" s="142"/>
      <c r="R913" s="142"/>
      <c r="X913" s="142"/>
      <c r="AD913" s="142"/>
      <c r="AJ913" s="142"/>
      <c r="AP913" s="142"/>
      <c r="AV913" s="142"/>
      <c r="BA913" s="142"/>
      <c r="BH913" s="142"/>
      <c r="BN913" s="142"/>
      <c r="BT913" s="142"/>
      <c r="BZ913" s="142"/>
      <c r="CF913" s="142"/>
      <c r="CL913" s="142"/>
      <c r="CR913" s="142"/>
      <c r="CX913" s="142"/>
      <c r="DD913" s="142"/>
      <c r="DJ913" s="142"/>
      <c r="DP913" s="142"/>
      <c r="DV913" s="142"/>
      <c r="EB913" s="142"/>
      <c r="EH913" s="142"/>
      <c r="EN913" s="142"/>
      <c r="ET913" s="142"/>
      <c r="EZ913" s="142"/>
      <c r="FF913" s="142"/>
      <c r="FL913" s="142"/>
      <c r="FR913" s="142"/>
      <c r="FX913" s="142"/>
      <c r="GD913" s="142"/>
      <c r="GJ913" s="142"/>
      <c r="GP913" s="142"/>
      <c r="GV913" s="142"/>
      <c r="HB913" s="142"/>
      <c r="HH913" s="142"/>
      <c r="HN913" s="142"/>
      <c r="HT913" s="142"/>
      <c r="HZ913" s="142"/>
    </row>
    <row r="914">
      <c r="F914" s="142"/>
      <c r="L914" s="142"/>
      <c r="R914" s="142"/>
      <c r="X914" s="142"/>
      <c r="AD914" s="142"/>
      <c r="AJ914" s="142"/>
      <c r="AP914" s="142"/>
      <c r="AV914" s="142"/>
      <c r="BA914" s="142"/>
      <c r="BH914" s="142"/>
      <c r="BN914" s="142"/>
      <c r="BT914" s="142"/>
      <c r="BZ914" s="142"/>
      <c r="CF914" s="142"/>
      <c r="CL914" s="142"/>
      <c r="CR914" s="142"/>
      <c r="CX914" s="142"/>
      <c r="DD914" s="142"/>
      <c r="DJ914" s="142"/>
      <c r="DP914" s="142"/>
      <c r="DV914" s="142"/>
      <c r="EB914" s="142"/>
      <c r="EH914" s="142"/>
      <c r="EN914" s="142"/>
      <c r="ET914" s="142"/>
      <c r="EZ914" s="142"/>
      <c r="FF914" s="142"/>
      <c r="FL914" s="142"/>
      <c r="FR914" s="142"/>
      <c r="FX914" s="142"/>
      <c r="GD914" s="142"/>
      <c r="GJ914" s="142"/>
      <c r="GP914" s="142"/>
      <c r="GV914" s="142"/>
      <c r="HB914" s="142"/>
      <c r="HH914" s="142"/>
      <c r="HN914" s="142"/>
      <c r="HT914" s="142"/>
      <c r="HZ914" s="142"/>
    </row>
    <row r="915">
      <c r="F915" s="142"/>
      <c r="L915" s="142"/>
      <c r="R915" s="142"/>
      <c r="X915" s="142"/>
      <c r="AD915" s="142"/>
      <c r="AJ915" s="142"/>
      <c r="AP915" s="142"/>
      <c r="AV915" s="142"/>
      <c r="BA915" s="142"/>
      <c r="BH915" s="142"/>
      <c r="BN915" s="142"/>
      <c r="BT915" s="142"/>
      <c r="BZ915" s="142"/>
      <c r="CF915" s="142"/>
      <c r="CL915" s="142"/>
      <c r="CR915" s="142"/>
      <c r="CX915" s="142"/>
      <c r="DD915" s="142"/>
      <c r="DJ915" s="142"/>
      <c r="DP915" s="142"/>
      <c r="DV915" s="142"/>
      <c r="EB915" s="142"/>
      <c r="EH915" s="142"/>
      <c r="EN915" s="142"/>
      <c r="ET915" s="142"/>
      <c r="EZ915" s="142"/>
      <c r="FF915" s="142"/>
      <c r="FL915" s="142"/>
      <c r="FR915" s="142"/>
      <c r="FX915" s="142"/>
      <c r="GD915" s="142"/>
      <c r="GJ915" s="142"/>
      <c r="GP915" s="142"/>
      <c r="GV915" s="142"/>
      <c r="HB915" s="142"/>
      <c r="HH915" s="142"/>
      <c r="HN915" s="142"/>
      <c r="HT915" s="142"/>
      <c r="HZ915" s="142"/>
    </row>
    <row r="916">
      <c r="F916" s="142"/>
      <c r="L916" s="142"/>
      <c r="R916" s="142"/>
      <c r="X916" s="142"/>
      <c r="AD916" s="142"/>
      <c r="AJ916" s="142"/>
      <c r="AP916" s="142"/>
      <c r="AV916" s="142"/>
      <c r="BA916" s="142"/>
      <c r="BH916" s="142"/>
      <c r="BN916" s="142"/>
      <c r="BT916" s="142"/>
      <c r="BZ916" s="142"/>
      <c r="CF916" s="142"/>
      <c r="CL916" s="142"/>
      <c r="CR916" s="142"/>
      <c r="CX916" s="142"/>
      <c r="DD916" s="142"/>
      <c r="DJ916" s="142"/>
      <c r="DP916" s="142"/>
      <c r="DV916" s="142"/>
      <c r="EB916" s="142"/>
      <c r="EH916" s="142"/>
      <c r="EN916" s="142"/>
      <c r="ET916" s="142"/>
      <c r="EZ916" s="142"/>
      <c r="FF916" s="142"/>
      <c r="FL916" s="142"/>
      <c r="FR916" s="142"/>
      <c r="FX916" s="142"/>
      <c r="GD916" s="142"/>
      <c r="GJ916" s="142"/>
      <c r="GP916" s="142"/>
      <c r="GV916" s="142"/>
      <c r="HB916" s="142"/>
      <c r="HH916" s="142"/>
      <c r="HN916" s="142"/>
      <c r="HT916" s="142"/>
      <c r="HZ916" s="142"/>
    </row>
    <row r="917">
      <c r="F917" s="142"/>
      <c r="L917" s="142"/>
      <c r="R917" s="142"/>
      <c r="X917" s="142"/>
      <c r="AD917" s="142"/>
      <c r="AJ917" s="142"/>
      <c r="AP917" s="142"/>
      <c r="AV917" s="142"/>
      <c r="BA917" s="142"/>
      <c r="BH917" s="142"/>
      <c r="BN917" s="142"/>
      <c r="BT917" s="142"/>
      <c r="BZ917" s="142"/>
      <c r="CF917" s="142"/>
      <c r="CL917" s="142"/>
      <c r="CR917" s="142"/>
      <c r="CX917" s="142"/>
      <c r="DD917" s="142"/>
      <c r="DJ917" s="142"/>
      <c r="DP917" s="142"/>
      <c r="DV917" s="142"/>
      <c r="EB917" s="142"/>
      <c r="EH917" s="142"/>
      <c r="EN917" s="142"/>
      <c r="ET917" s="142"/>
      <c r="EZ917" s="142"/>
      <c r="FF917" s="142"/>
      <c r="FL917" s="142"/>
      <c r="FR917" s="142"/>
      <c r="FX917" s="142"/>
      <c r="GD917" s="142"/>
      <c r="GJ917" s="142"/>
      <c r="GP917" s="142"/>
      <c r="GV917" s="142"/>
      <c r="HB917" s="142"/>
      <c r="HH917" s="142"/>
      <c r="HN917" s="142"/>
      <c r="HT917" s="142"/>
      <c r="HZ917" s="142"/>
    </row>
    <row r="918">
      <c r="F918" s="142"/>
      <c r="L918" s="142"/>
      <c r="R918" s="142"/>
      <c r="X918" s="142"/>
      <c r="AD918" s="142"/>
      <c r="AJ918" s="142"/>
      <c r="AP918" s="142"/>
      <c r="AV918" s="142"/>
      <c r="BA918" s="142"/>
      <c r="BH918" s="142"/>
      <c r="BN918" s="142"/>
      <c r="BT918" s="142"/>
      <c r="BZ918" s="142"/>
      <c r="CF918" s="142"/>
      <c r="CL918" s="142"/>
      <c r="CR918" s="142"/>
      <c r="CX918" s="142"/>
      <c r="DD918" s="142"/>
      <c r="DJ918" s="142"/>
      <c r="DP918" s="142"/>
      <c r="DV918" s="142"/>
      <c r="EB918" s="142"/>
      <c r="EH918" s="142"/>
      <c r="EN918" s="142"/>
      <c r="ET918" s="142"/>
      <c r="EZ918" s="142"/>
      <c r="FF918" s="142"/>
      <c r="FL918" s="142"/>
      <c r="FR918" s="142"/>
      <c r="FX918" s="142"/>
      <c r="GD918" s="142"/>
      <c r="GJ918" s="142"/>
      <c r="GP918" s="142"/>
      <c r="GV918" s="142"/>
      <c r="HB918" s="142"/>
      <c r="HH918" s="142"/>
      <c r="HN918" s="142"/>
      <c r="HT918" s="142"/>
      <c r="HZ918" s="142"/>
    </row>
    <row r="919">
      <c r="F919" s="142"/>
      <c r="L919" s="142"/>
      <c r="R919" s="142"/>
      <c r="X919" s="142"/>
      <c r="AD919" s="142"/>
      <c r="AJ919" s="142"/>
      <c r="AP919" s="142"/>
      <c r="AV919" s="142"/>
      <c r="BA919" s="142"/>
      <c r="BH919" s="142"/>
      <c r="BN919" s="142"/>
      <c r="BT919" s="142"/>
      <c r="BZ919" s="142"/>
      <c r="CF919" s="142"/>
      <c r="CL919" s="142"/>
      <c r="CR919" s="142"/>
      <c r="CX919" s="142"/>
      <c r="DD919" s="142"/>
      <c r="DJ919" s="142"/>
      <c r="DP919" s="142"/>
      <c r="DV919" s="142"/>
      <c r="EB919" s="142"/>
      <c r="EH919" s="142"/>
      <c r="EN919" s="142"/>
      <c r="ET919" s="142"/>
      <c r="EZ919" s="142"/>
      <c r="FF919" s="142"/>
      <c r="FL919" s="142"/>
      <c r="FR919" s="142"/>
      <c r="FX919" s="142"/>
      <c r="GD919" s="142"/>
      <c r="GJ919" s="142"/>
      <c r="GP919" s="142"/>
      <c r="GV919" s="142"/>
      <c r="HB919" s="142"/>
      <c r="HH919" s="142"/>
      <c r="HN919" s="142"/>
      <c r="HT919" s="142"/>
      <c r="HZ919" s="142"/>
    </row>
    <row r="920">
      <c r="F920" s="142"/>
      <c r="L920" s="142"/>
      <c r="R920" s="142"/>
      <c r="X920" s="142"/>
      <c r="AD920" s="142"/>
      <c r="AJ920" s="142"/>
      <c r="AP920" s="142"/>
      <c r="AV920" s="142"/>
      <c r="BA920" s="142"/>
      <c r="BH920" s="142"/>
      <c r="BN920" s="142"/>
      <c r="BT920" s="142"/>
      <c r="BZ920" s="142"/>
      <c r="CF920" s="142"/>
      <c r="CL920" s="142"/>
      <c r="CR920" s="142"/>
      <c r="CX920" s="142"/>
      <c r="DD920" s="142"/>
      <c r="DJ920" s="142"/>
      <c r="DP920" s="142"/>
      <c r="DV920" s="142"/>
      <c r="EB920" s="142"/>
      <c r="EH920" s="142"/>
      <c r="EN920" s="142"/>
      <c r="ET920" s="142"/>
      <c r="EZ920" s="142"/>
      <c r="FF920" s="142"/>
      <c r="FL920" s="142"/>
      <c r="FR920" s="142"/>
      <c r="FX920" s="142"/>
      <c r="GD920" s="142"/>
      <c r="GJ920" s="142"/>
      <c r="GP920" s="142"/>
      <c r="GV920" s="142"/>
      <c r="HB920" s="142"/>
      <c r="HH920" s="142"/>
      <c r="HN920" s="142"/>
      <c r="HT920" s="142"/>
      <c r="HZ920" s="142"/>
    </row>
    <row r="921">
      <c r="F921" s="142"/>
      <c r="L921" s="142"/>
      <c r="R921" s="142"/>
      <c r="X921" s="142"/>
      <c r="AD921" s="142"/>
      <c r="AJ921" s="142"/>
      <c r="AP921" s="142"/>
      <c r="AV921" s="142"/>
      <c r="BA921" s="142"/>
      <c r="BH921" s="142"/>
      <c r="BN921" s="142"/>
      <c r="BT921" s="142"/>
      <c r="BZ921" s="142"/>
      <c r="CF921" s="142"/>
      <c r="CL921" s="142"/>
      <c r="CR921" s="142"/>
      <c r="CX921" s="142"/>
      <c r="DD921" s="142"/>
      <c r="DJ921" s="142"/>
      <c r="DP921" s="142"/>
      <c r="DV921" s="142"/>
      <c r="EB921" s="142"/>
      <c r="EH921" s="142"/>
      <c r="EN921" s="142"/>
      <c r="ET921" s="142"/>
      <c r="EZ921" s="142"/>
      <c r="FF921" s="142"/>
      <c r="FL921" s="142"/>
      <c r="FR921" s="142"/>
      <c r="FX921" s="142"/>
      <c r="GD921" s="142"/>
      <c r="GJ921" s="142"/>
      <c r="GP921" s="142"/>
      <c r="GV921" s="142"/>
      <c r="HB921" s="142"/>
      <c r="HH921" s="142"/>
      <c r="HN921" s="142"/>
      <c r="HT921" s="142"/>
      <c r="HZ921" s="142"/>
    </row>
    <row r="922">
      <c r="F922" s="142"/>
      <c r="L922" s="142"/>
      <c r="R922" s="142"/>
      <c r="X922" s="142"/>
      <c r="AD922" s="142"/>
      <c r="AJ922" s="142"/>
      <c r="AP922" s="142"/>
      <c r="AV922" s="142"/>
      <c r="BA922" s="142"/>
      <c r="BH922" s="142"/>
      <c r="BN922" s="142"/>
      <c r="BT922" s="142"/>
      <c r="BZ922" s="142"/>
      <c r="CF922" s="142"/>
      <c r="CL922" s="142"/>
      <c r="CR922" s="142"/>
      <c r="CX922" s="142"/>
      <c r="DD922" s="142"/>
      <c r="DJ922" s="142"/>
      <c r="DP922" s="142"/>
      <c r="DV922" s="142"/>
      <c r="EB922" s="142"/>
      <c r="EH922" s="142"/>
      <c r="EN922" s="142"/>
      <c r="ET922" s="142"/>
      <c r="EZ922" s="142"/>
      <c r="FF922" s="142"/>
      <c r="FL922" s="142"/>
      <c r="FR922" s="142"/>
      <c r="FX922" s="142"/>
      <c r="GD922" s="142"/>
      <c r="GJ922" s="142"/>
      <c r="GP922" s="142"/>
      <c r="GV922" s="142"/>
      <c r="HB922" s="142"/>
      <c r="HH922" s="142"/>
      <c r="HN922" s="142"/>
      <c r="HT922" s="142"/>
      <c r="HZ922" s="142"/>
    </row>
    <row r="923">
      <c r="F923" s="142"/>
      <c r="L923" s="142"/>
      <c r="R923" s="142"/>
      <c r="X923" s="142"/>
      <c r="AD923" s="142"/>
      <c r="AJ923" s="142"/>
      <c r="AP923" s="142"/>
      <c r="AV923" s="142"/>
      <c r="BA923" s="142"/>
      <c r="BH923" s="142"/>
      <c r="BN923" s="142"/>
      <c r="BT923" s="142"/>
      <c r="BZ923" s="142"/>
      <c r="CF923" s="142"/>
      <c r="CL923" s="142"/>
      <c r="CR923" s="142"/>
      <c r="CX923" s="142"/>
      <c r="DD923" s="142"/>
      <c r="DJ923" s="142"/>
      <c r="DP923" s="142"/>
      <c r="DV923" s="142"/>
      <c r="EB923" s="142"/>
      <c r="EH923" s="142"/>
      <c r="EN923" s="142"/>
      <c r="ET923" s="142"/>
      <c r="EZ923" s="142"/>
      <c r="FF923" s="142"/>
      <c r="FL923" s="142"/>
      <c r="FR923" s="142"/>
      <c r="FX923" s="142"/>
      <c r="GD923" s="142"/>
      <c r="GJ923" s="142"/>
      <c r="GP923" s="142"/>
      <c r="GV923" s="142"/>
      <c r="HB923" s="142"/>
      <c r="HH923" s="142"/>
      <c r="HN923" s="142"/>
      <c r="HT923" s="142"/>
      <c r="HZ923" s="142"/>
    </row>
    <row r="924">
      <c r="F924" s="142"/>
      <c r="L924" s="142"/>
      <c r="R924" s="142"/>
      <c r="X924" s="142"/>
      <c r="AD924" s="142"/>
      <c r="AJ924" s="142"/>
      <c r="AP924" s="142"/>
      <c r="AV924" s="142"/>
      <c r="BA924" s="142"/>
      <c r="BH924" s="142"/>
      <c r="BN924" s="142"/>
      <c r="BT924" s="142"/>
      <c r="BZ924" s="142"/>
      <c r="CF924" s="142"/>
      <c r="CL924" s="142"/>
      <c r="CR924" s="142"/>
      <c r="CX924" s="142"/>
      <c r="DD924" s="142"/>
      <c r="DJ924" s="142"/>
      <c r="DP924" s="142"/>
      <c r="DV924" s="142"/>
      <c r="EB924" s="142"/>
      <c r="EH924" s="142"/>
      <c r="EN924" s="142"/>
      <c r="ET924" s="142"/>
      <c r="EZ924" s="142"/>
      <c r="FF924" s="142"/>
      <c r="FL924" s="142"/>
      <c r="FR924" s="142"/>
      <c r="FX924" s="142"/>
      <c r="GD924" s="142"/>
      <c r="GJ924" s="142"/>
      <c r="GP924" s="142"/>
      <c r="GV924" s="142"/>
      <c r="HB924" s="142"/>
      <c r="HH924" s="142"/>
      <c r="HN924" s="142"/>
      <c r="HT924" s="142"/>
      <c r="HZ924" s="142"/>
    </row>
    <row r="925">
      <c r="F925" s="142"/>
      <c r="L925" s="142"/>
      <c r="R925" s="142"/>
      <c r="X925" s="142"/>
      <c r="AD925" s="142"/>
      <c r="AJ925" s="142"/>
      <c r="AP925" s="142"/>
      <c r="AV925" s="142"/>
      <c r="BA925" s="142"/>
      <c r="BH925" s="142"/>
      <c r="BN925" s="142"/>
      <c r="BT925" s="142"/>
      <c r="BZ925" s="142"/>
      <c r="CF925" s="142"/>
      <c r="CL925" s="142"/>
      <c r="CR925" s="142"/>
      <c r="CX925" s="142"/>
      <c r="DD925" s="142"/>
      <c r="DJ925" s="142"/>
      <c r="DP925" s="142"/>
      <c r="DV925" s="142"/>
      <c r="EB925" s="142"/>
      <c r="EH925" s="142"/>
      <c r="EN925" s="142"/>
      <c r="ET925" s="142"/>
      <c r="EZ925" s="142"/>
      <c r="FF925" s="142"/>
      <c r="FL925" s="142"/>
      <c r="FR925" s="142"/>
      <c r="FX925" s="142"/>
      <c r="GD925" s="142"/>
      <c r="GJ925" s="142"/>
      <c r="GP925" s="142"/>
      <c r="GV925" s="142"/>
      <c r="HB925" s="142"/>
      <c r="HH925" s="142"/>
      <c r="HN925" s="142"/>
      <c r="HT925" s="142"/>
      <c r="HZ925" s="142"/>
    </row>
    <row r="926">
      <c r="F926" s="142"/>
      <c r="L926" s="142"/>
      <c r="R926" s="142"/>
      <c r="X926" s="142"/>
      <c r="AD926" s="142"/>
      <c r="AJ926" s="142"/>
      <c r="AP926" s="142"/>
      <c r="AV926" s="142"/>
      <c r="BA926" s="142"/>
      <c r="BH926" s="142"/>
      <c r="BN926" s="142"/>
      <c r="BT926" s="142"/>
      <c r="BZ926" s="142"/>
      <c r="CF926" s="142"/>
      <c r="CL926" s="142"/>
      <c r="CR926" s="142"/>
      <c r="CX926" s="142"/>
      <c r="DD926" s="142"/>
      <c r="DJ926" s="142"/>
      <c r="DP926" s="142"/>
      <c r="DV926" s="142"/>
      <c r="EB926" s="142"/>
      <c r="EH926" s="142"/>
      <c r="EN926" s="142"/>
      <c r="ET926" s="142"/>
      <c r="EZ926" s="142"/>
      <c r="FF926" s="142"/>
      <c r="FL926" s="142"/>
      <c r="FR926" s="142"/>
      <c r="FX926" s="142"/>
      <c r="GD926" s="142"/>
      <c r="GJ926" s="142"/>
      <c r="GP926" s="142"/>
      <c r="GV926" s="142"/>
      <c r="HB926" s="142"/>
      <c r="HH926" s="142"/>
      <c r="HN926" s="142"/>
      <c r="HT926" s="142"/>
      <c r="HZ926" s="142"/>
    </row>
    <row r="927">
      <c r="F927" s="142"/>
      <c r="L927" s="142"/>
      <c r="R927" s="142"/>
      <c r="X927" s="142"/>
      <c r="AD927" s="142"/>
      <c r="AJ927" s="142"/>
      <c r="AP927" s="142"/>
      <c r="AV927" s="142"/>
      <c r="BA927" s="142"/>
      <c r="BH927" s="142"/>
      <c r="BN927" s="142"/>
      <c r="BT927" s="142"/>
      <c r="BZ927" s="142"/>
      <c r="CF927" s="142"/>
      <c r="CL927" s="142"/>
      <c r="CR927" s="142"/>
      <c r="CX927" s="142"/>
      <c r="DD927" s="142"/>
      <c r="DJ927" s="142"/>
      <c r="DP927" s="142"/>
      <c r="DV927" s="142"/>
      <c r="EB927" s="142"/>
      <c r="EH927" s="142"/>
      <c r="EN927" s="142"/>
      <c r="ET927" s="142"/>
      <c r="EZ927" s="142"/>
      <c r="FF927" s="142"/>
      <c r="FL927" s="142"/>
      <c r="FR927" s="142"/>
      <c r="FX927" s="142"/>
      <c r="GD927" s="142"/>
      <c r="GJ927" s="142"/>
      <c r="GP927" s="142"/>
      <c r="GV927" s="142"/>
      <c r="HB927" s="142"/>
      <c r="HH927" s="142"/>
      <c r="HN927" s="142"/>
      <c r="HT927" s="142"/>
      <c r="HZ927" s="142"/>
    </row>
    <row r="928">
      <c r="F928" s="142"/>
      <c r="L928" s="142"/>
      <c r="R928" s="142"/>
      <c r="X928" s="142"/>
      <c r="AD928" s="142"/>
      <c r="AJ928" s="142"/>
      <c r="AP928" s="142"/>
      <c r="AV928" s="142"/>
      <c r="BA928" s="142"/>
      <c r="BH928" s="142"/>
      <c r="BN928" s="142"/>
      <c r="BT928" s="142"/>
      <c r="BZ928" s="142"/>
      <c r="CF928" s="142"/>
      <c r="CL928" s="142"/>
      <c r="CR928" s="142"/>
      <c r="CX928" s="142"/>
      <c r="DD928" s="142"/>
      <c r="DJ928" s="142"/>
      <c r="DP928" s="142"/>
      <c r="DV928" s="142"/>
      <c r="EB928" s="142"/>
      <c r="EH928" s="142"/>
      <c r="EN928" s="142"/>
      <c r="ET928" s="142"/>
      <c r="EZ928" s="142"/>
      <c r="FF928" s="142"/>
      <c r="FL928" s="142"/>
      <c r="FR928" s="142"/>
      <c r="FX928" s="142"/>
      <c r="GD928" s="142"/>
      <c r="GJ928" s="142"/>
      <c r="GP928" s="142"/>
      <c r="GV928" s="142"/>
      <c r="HB928" s="142"/>
      <c r="HH928" s="142"/>
      <c r="HN928" s="142"/>
      <c r="HT928" s="142"/>
      <c r="HZ928" s="142"/>
    </row>
    <row r="929">
      <c r="F929" s="142"/>
      <c r="L929" s="142"/>
      <c r="R929" s="142"/>
      <c r="X929" s="142"/>
      <c r="AD929" s="142"/>
      <c r="AJ929" s="142"/>
      <c r="AP929" s="142"/>
      <c r="AV929" s="142"/>
      <c r="BA929" s="142"/>
      <c r="BH929" s="142"/>
      <c r="BN929" s="142"/>
      <c r="BT929" s="142"/>
      <c r="BZ929" s="142"/>
      <c r="CF929" s="142"/>
      <c r="CL929" s="142"/>
      <c r="CR929" s="142"/>
      <c r="CX929" s="142"/>
      <c r="DD929" s="142"/>
      <c r="DJ929" s="142"/>
      <c r="DP929" s="142"/>
      <c r="DV929" s="142"/>
      <c r="EB929" s="142"/>
      <c r="EH929" s="142"/>
      <c r="EN929" s="142"/>
      <c r="ET929" s="142"/>
      <c r="EZ929" s="142"/>
      <c r="FF929" s="142"/>
      <c r="FL929" s="142"/>
      <c r="FR929" s="142"/>
      <c r="FX929" s="142"/>
      <c r="GD929" s="142"/>
      <c r="GJ929" s="142"/>
      <c r="GP929" s="142"/>
      <c r="GV929" s="142"/>
      <c r="HB929" s="142"/>
      <c r="HH929" s="142"/>
      <c r="HN929" s="142"/>
      <c r="HT929" s="142"/>
      <c r="HZ929" s="142"/>
    </row>
    <row r="930">
      <c r="F930" s="142"/>
      <c r="L930" s="142"/>
      <c r="R930" s="142"/>
      <c r="X930" s="142"/>
      <c r="AD930" s="142"/>
      <c r="AJ930" s="142"/>
      <c r="AP930" s="142"/>
      <c r="AV930" s="142"/>
      <c r="BA930" s="142"/>
      <c r="BH930" s="142"/>
      <c r="BN930" s="142"/>
      <c r="BT930" s="142"/>
      <c r="BZ930" s="142"/>
      <c r="CF930" s="142"/>
      <c r="CL930" s="142"/>
      <c r="CR930" s="142"/>
      <c r="CX930" s="142"/>
      <c r="DD930" s="142"/>
      <c r="DJ930" s="142"/>
      <c r="DP930" s="142"/>
      <c r="DV930" s="142"/>
      <c r="EB930" s="142"/>
      <c r="EH930" s="142"/>
      <c r="EN930" s="142"/>
      <c r="ET930" s="142"/>
      <c r="EZ930" s="142"/>
      <c r="FF930" s="142"/>
      <c r="FL930" s="142"/>
      <c r="FR930" s="142"/>
      <c r="FX930" s="142"/>
      <c r="GD930" s="142"/>
      <c r="GJ930" s="142"/>
      <c r="GP930" s="142"/>
      <c r="GV930" s="142"/>
      <c r="HB930" s="142"/>
      <c r="HH930" s="142"/>
      <c r="HN930" s="142"/>
      <c r="HT930" s="142"/>
      <c r="HZ930" s="142"/>
    </row>
    <row r="931">
      <c r="F931" s="142"/>
      <c r="L931" s="142"/>
      <c r="R931" s="142"/>
      <c r="X931" s="142"/>
      <c r="AD931" s="142"/>
      <c r="AJ931" s="142"/>
      <c r="AP931" s="142"/>
      <c r="AV931" s="142"/>
      <c r="BA931" s="142"/>
      <c r="BH931" s="142"/>
      <c r="BN931" s="142"/>
      <c r="BT931" s="142"/>
      <c r="BZ931" s="142"/>
      <c r="CF931" s="142"/>
      <c r="CL931" s="142"/>
      <c r="CR931" s="142"/>
      <c r="CX931" s="142"/>
      <c r="DD931" s="142"/>
      <c r="DJ931" s="142"/>
      <c r="DP931" s="142"/>
      <c r="DV931" s="142"/>
      <c r="EB931" s="142"/>
      <c r="EH931" s="142"/>
      <c r="EN931" s="142"/>
      <c r="ET931" s="142"/>
      <c r="EZ931" s="142"/>
      <c r="FF931" s="142"/>
      <c r="FL931" s="142"/>
      <c r="FR931" s="142"/>
      <c r="FX931" s="142"/>
      <c r="GD931" s="142"/>
      <c r="GJ931" s="142"/>
      <c r="GP931" s="142"/>
      <c r="GV931" s="142"/>
      <c r="HB931" s="142"/>
      <c r="HH931" s="142"/>
      <c r="HN931" s="142"/>
      <c r="HT931" s="142"/>
      <c r="HZ931" s="142"/>
    </row>
    <row r="932">
      <c r="F932" s="142"/>
      <c r="L932" s="142"/>
      <c r="R932" s="142"/>
      <c r="X932" s="142"/>
      <c r="AD932" s="142"/>
      <c r="AJ932" s="142"/>
      <c r="AP932" s="142"/>
      <c r="AV932" s="142"/>
      <c r="BA932" s="142"/>
      <c r="BH932" s="142"/>
      <c r="BN932" s="142"/>
      <c r="BT932" s="142"/>
      <c r="BZ932" s="142"/>
      <c r="CF932" s="142"/>
      <c r="CL932" s="142"/>
      <c r="CR932" s="142"/>
      <c r="CX932" s="142"/>
      <c r="DD932" s="142"/>
      <c r="DJ932" s="142"/>
      <c r="DP932" s="142"/>
      <c r="DV932" s="142"/>
      <c r="EB932" s="142"/>
      <c r="EH932" s="142"/>
      <c r="EN932" s="142"/>
      <c r="ET932" s="142"/>
      <c r="EZ932" s="142"/>
      <c r="FF932" s="142"/>
      <c r="FL932" s="142"/>
      <c r="FR932" s="142"/>
      <c r="FX932" s="142"/>
      <c r="GD932" s="142"/>
      <c r="GJ932" s="142"/>
      <c r="GP932" s="142"/>
      <c r="GV932" s="142"/>
      <c r="HB932" s="142"/>
      <c r="HH932" s="142"/>
      <c r="HN932" s="142"/>
      <c r="HT932" s="142"/>
      <c r="HZ932" s="142"/>
    </row>
    <row r="933">
      <c r="F933" s="142"/>
      <c r="L933" s="142"/>
      <c r="R933" s="142"/>
      <c r="X933" s="142"/>
      <c r="AD933" s="142"/>
      <c r="AJ933" s="142"/>
      <c r="AP933" s="142"/>
      <c r="AV933" s="142"/>
      <c r="BA933" s="142"/>
      <c r="BH933" s="142"/>
      <c r="BN933" s="142"/>
      <c r="BT933" s="142"/>
      <c r="BZ933" s="142"/>
      <c r="CF933" s="142"/>
      <c r="CL933" s="142"/>
      <c r="CR933" s="142"/>
      <c r="CX933" s="142"/>
      <c r="DD933" s="142"/>
      <c r="DJ933" s="142"/>
      <c r="DP933" s="142"/>
      <c r="DV933" s="142"/>
      <c r="EB933" s="142"/>
      <c r="EH933" s="142"/>
      <c r="EN933" s="142"/>
      <c r="ET933" s="142"/>
      <c r="EZ933" s="142"/>
      <c r="FF933" s="142"/>
      <c r="FL933" s="142"/>
      <c r="FR933" s="142"/>
      <c r="FX933" s="142"/>
      <c r="GD933" s="142"/>
      <c r="GJ933" s="142"/>
      <c r="GP933" s="142"/>
      <c r="GV933" s="142"/>
      <c r="HB933" s="142"/>
      <c r="HH933" s="142"/>
      <c r="HN933" s="142"/>
      <c r="HT933" s="142"/>
      <c r="HZ933" s="142"/>
    </row>
    <row r="934">
      <c r="F934" s="142"/>
      <c r="L934" s="142"/>
      <c r="R934" s="142"/>
      <c r="X934" s="142"/>
      <c r="AD934" s="142"/>
      <c r="AJ934" s="142"/>
      <c r="AP934" s="142"/>
      <c r="AV934" s="142"/>
      <c r="BA934" s="142"/>
      <c r="BH934" s="142"/>
      <c r="BN934" s="142"/>
      <c r="BT934" s="142"/>
      <c r="BZ934" s="142"/>
      <c r="CF934" s="142"/>
      <c r="CL934" s="142"/>
      <c r="CR934" s="142"/>
      <c r="CX934" s="142"/>
      <c r="DD934" s="142"/>
      <c r="DJ934" s="142"/>
      <c r="DP934" s="142"/>
      <c r="DV934" s="142"/>
      <c r="EB934" s="142"/>
      <c r="EH934" s="142"/>
      <c r="EN934" s="142"/>
      <c r="ET934" s="142"/>
      <c r="EZ934" s="142"/>
      <c r="FF934" s="142"/>
      <c r="FL934" s="142"/>
      <c r="FR934" s="142"/>
      <c r="FX934" s="142"/>
      <c r="GD934" s="142"/>
      <c r="GJ934" s="142"/>
      <c r="GP934" s="142"/>
      <c r="GV934" s="142"/>
      <c r="HB934" s="142"/>
      <c r="HH934" s="142"/>
      <c r="HN934" s="142"/>
      <c r="HT934" s="142"/>
      <c r="HZ934" s="142"/>
    </row>
    <row r="935">
      <c r="F935" s="142"/>
      <c r="L935" s="142"/>
      <c r="R935" s="142"/>
      <c r="X935" s="142"/>
      <c r="AD935" s="142"/>
      <c r="AJ935" s="142"/>
      <c r="AP935" s="142"/>
      <c r="AV935" s="142"/>
      <c r="BA935" s="142"/>
      <c r="BH935" s="142"/>
      <c r="BN935" s="142"/>
      <c r="BT935" s="142"/>
      <c r="BZ935" s="142"/>
      <c r="CF935" s="142"/>
      <c r="CL935" s="142"/>
      <c r="CR935" s="142"/>
      <c r="CX935" s="142"/>
      <c r="DD935" s="142"/>
      <c r="DJ935" s="142"/>
      <c r="DP935" s="142"/>
      <c r="DV935" s="142"/>
      <c r="EB935" s="142"/>
      <c r="EH935" s="142"/>
      <c r="EN935" s="142"/>
      <c r="ET935" s="142"/>
      <c r="EZ935" s="142"/>
      <c r="FF935" s="142"/>
      <c r="FL935" s="142"/>
      <c r="FR935" s="142"/>
      <c r="FX935" s="142"/>
      <c r="GD935" s="142"/>
      <c r="GJ935" s="142"/>
      <c r="GP935" s="142"/>
      <c r="GV935" s="142"/>
      <c r="HB935" s="142"/>
      <c r="HH935" s="142"/>
      <c r="HN935" s="142"/>
      <c r="HT935" s="142"/>
      <c r="HZ935" s="142"/>
    </row>
    <row r="936">
      <c r="F936" s="142"/>
      <c r="L936" s="142"/>
      <c r="R936" s="142"/>
      <c r="X936" s="142"/>
      <c r="AD936" s="142"/>
      <c r="AJ936" s="142"/>
      <c r="AP936" s="142"/>
      <c r="AV936" s="142"/>
      <c r="BA936" s="142"/>
      <c r="BH936" s="142"/>
      <c r="BN936" s="142"/>
      <c r="BT936" s="142"/>
      <c r="BZ936" s="142"/>
      <c r="CF936" s="142"/>
      <c r="CL936" s="142"/>
      <c r="CR936" s="142"/>
      <c r="CX936" s="142"/>
      <c r="DD936" s="142"/>
      <c r="DJ936" s="142"/>
      <c r="DP936" s="142"/>
      <c r="DV936" s="142"/>
      <c r="EB936" s="142"/>
      <c r="EH936" s="142"/>
      <c r="EN936" s="142"/>
      <c r="ET936" s="142"/>
      <c r="EZ936" s="142"/>
      <c r="FF936" s="142"/>
      <c r="FL936" s="142"/>
      <c r="FR936" s="142"/>
      <c r="FX936" s="142"/>
      <c r="GD936" s="142"/>
      <c r="GJ936" s="142"/>
      <c r="GP936" s="142"/>
      <c r="GV936" s="142"/>
      <c r="HB936" s="142"/>
      <c r="HH936" s="142"/>
      <c r="HN936" s="142"/>
      <c r="HT936" s="142"/>
      <c r="HZ936" s="142"/>
    </row>
    <row r="937">
      <c r="F937" s="142"/>
      <c r="L937" s="142"/>
      <c r="R937" s="142"/>
      <c r="X937" s="142"/>
      <c r="AD937" s="142"/>
      <c r="AJ937" s="142"/>
      <c r="AP937" s="142"/>
      <c r="AV937" s="142"/>
      <c r="BA937" s="142"/>
      <c r="BH937" s="142"/>
      <c r="BN937" s="142"/>
      <c r="BT937" s="142"/>
      <c r="BZ937" s="142"/>
      <c r="CF937" s="142"/>
      <c r="CL937" s="142"/>
      <c r="CR937" s="142"/>
      <c r="CX937" s="142"/>
      <c r="DD937" s="142"/>
      <c r="DJ937" s="142"/>
      <c r="DP937" s="142"/>
      <c r="DV937" s="142"/>
      <c r="EB937" s="142"/>
      <c r="EH937" s="142"/>
      <c r="EN937" s="142"/>
      <c r="ET937" s="142"/>
      <c r="EZ937" s="142"/>
      <c r="FF937" s="142"/>
      <c r="FL937" s="142"/>
      <c r="FR937" s="142"/>
      <c r="FX937" s="142"/>
      <c r="GD937" s="142"/>
      <c r="GJ937" s="142"/>
      <c r="GP937" s="142"/>
      <c r="GV937" s="142"/>
      <c r="HB937" s="142"/>
      <c r="HH937" s="142"/>
      <c r="HN937" s="142"/>
      <c r="HT937" s="142"/>
      <c r="HZ937" s="142"/>
    </row>
    <row r="938">
      <c r="F938" s="142"/>
      <c r="L938" s="142"/>
      <c r="R938" s="142"/>
      <c r="X938" s="142"/>
      <c r="AD938" s="142"/>
      <c r="AJ938" s="142"/>
      <c r="AP938" s="142"/>
      <c r="AV938" s="142"/>
      <c r="BA938" s="142"/>
      <c r="BH938" s="142"/>
      <c r="BN938" s="142"/>
      <c r="BT938" s="142"/>
      <c r="BZ938" s="142"/>
      <c r="CF938" s="142"/>
      <c r="CL938" s="142"/>
      <c r="CR938" s="142"/>
      <c r="CX938" s="142"/>
      <c r="DD938" s="142"/>
      <c r="DJ938" s="142"/>
      <c r="DP938" s="142"/>
      <c r="DV938" s="142"/>
      <c r="EB938" s="142"/>
      <c r="EH938" s="142"/>
      <c r="EN938" s="142"/>
      <c r="ET938" s="142"/>
      <c r="EZ938" s="142"/>
      <c r="FF938" s="142"/>
      <c r="FL938" s="142"/>
      <c r="FR938" s="142"/>
      <c r="FX938" s="142"/>
      <c r="GD938" s="142"/>
      <c r="GJ938" s="142"/>
      <c r="GP938" s="142"/>
      <c r="GV938" s="142"/>
      <c r="HB938" s="142"/>
      <c r="HH938" s="142"/>
      <c r="HN938" s="142"/>
      <c r="HT938" s="142"/>
      <c r="HZ938" s="142"/>
    </row>
    <row r="939">
      <c r="F939" s="142"/>
      <c r="L939" s="142"/>
      <c r="R939" s="142"/>
      <c r="X939" s="142"/>
      <c r="AD939" s="142"/>
      <c r="AJ939" s="142"/>
      <c r="AP939" s="142"/>
      <c r="AV939" s="142"/>
      <c r="BA939" s="142"/>
      <c r="BH939" s="142"/>
      <c r="BN939" s="142"/>
      <c r="BT939" s="142"/>
      <c r="BZ939" s="142"/>
      <c r="CF939" s="142"/>
      <c r="CL939" s="142"/>
      <c r="CR939" s="142"/>
      <c r="CX939" s="142"/>
      <c r="DD939" s="142"/>
      <c r="DJ939" s="142"/>
      <c r="DP939" s="142"/>
      <c r="DV939" s="142"/>
      <c r="EB939" s="142"/>
      <c r="EH939" s="142"/>
      <c r="EN939" s="142"/>
      <c r="ET939" s="142"/>
      <c r="EZ939" s="142"/>
      <c r="FF939" s="142"/>
      <c r="FL939" s="142"/>
      <c r="FR939" s="142"/>
      <c r="FX939" s="142"/>
      <c r="GD939" s="142"/>
      <c r="GJ939" s="142"/>
      <c r="GP939" s="142"/>
      <c r="GV939" s="142"/>
      <c r="HB939" s="142"/>
      <c r="HH939" s="142"/>
      <c r="HN939" s="142"/>
      <c r="HT939" s="142"/>
      <c r="HZ939" s="142"/>
    </row>
    <row r="940">
      <c r="F940" s="142"/>
      <c r="L940" s="142"/>
      <c r="R940" s="142"/>
      <c r="X940" s="142"/>
      <c r="AD940" s="142"/>
      <c r="AJ940" s="142"/>
      <c r="AP940" s="142"/>
      <c r="AV940" s="142"/>
      <c r="BA940" s="142"/>
      <c r="BH940" s="142"/>
      <c r="BN940" s="142"/>
      <c r="BT940" s="142"/>
      <c r="BZ940" s="142"/>
      <c r="CF940" s="142"/>
      <c r="CL940" s="142"/>
      <c r="CR940" s="142"/>
      <c r="CX940" s="142"/>
      <c r="DD940" s="142"/>
      <c r="DJ940" s="142"/>
      <c r="DP940" s="142"/>
      <c r="DV940" s="142"/>
      <c r="EB940" s="142"/>
      <c r="EH940" s="142"/>
      <c r="EN940" s="142"/>
      <c r="ET940" s="142"/>
      <c r="EZ940" s="142"/>
      <c r="FF940" s="142"/>
      <c r="FL940" s="142"/>
      <c r="FR940" s="142"/>
      <c r="FX940" s="142"/>
      <c r="GD940" s="142"/>
      <c r="GJ940" s="142"/>
      <c r="GP940" s="142"/>
      <c r="GV940" s="142"/>
      <c r="HB940" s="142"/>
      <c r="HH940" s="142"/>
      <c r="HN940" s="142"/>
      <c r="HT940" s="142"/>
      <c r="HZ940" s="142"/>
    </row>
    <row r="941">
      <c r="F941" s="142"/>
      <c r="L941" s="142"/>
      <c r="R941" s="142"/>
      <c r="X941" s="142"/>
      <c r="AD941" s="142"/>
      <c r="AJ941" s="142"/>
      <c r="AP941" s="142"/>
      <c r="AV941" s="142"/>
      <c r="BA941" s="142"/>
      <c r="BH941" s="142"/>
      <c r="BN941" s="142"/>
      <c r="BT941" s="142"/>
      <c r="BZ941" s="142"/>
      <c r="CF941" s="142"/>
      <c r="CL941" s="142"/>
      <c r="CR941" s="142"/>
      <c r="CX941" s="142"/>
      <c r="DD941" s="142"/>
      <c r="DJ941" s="142"/>
      <c r="DP941" s="142"/>
      <c r="DV941" s="142"/>
      <c r="EB941" s="142"/>
      <c r="EH941" s="142"/>
      <c r="EN941" s="142"/>
      <c r="ET941" s="142"/>
      <c r="EZ941" s="142"/>
      <c r="FF941" s="142"/>
      <c r="FL941" s="142"/>
      <c r="FR941" s="142"/>
      <c r="FX941" s="142"/>
      <c r="GD941" s="142"/>
      <c r="GJ941" s="142"/>
      <c r="GP941" s="142"/>
      <c r="GV941" s="142"/>
      <c r="HB941" s="142"/>
      <c r="HH941" s="142"/>
      <c r="HN941" s="142"/>
      <c r="HT941" s="142"/>
      <c r="HZ941" s="142"/>
    </row>
    <row r="942">
      <c r="F942" s="142"/>
      <c r="L942" s="142"/>
      <c r="R942" s="142"/>
      <c r="X942" s="142"/>
      <c r="AD942" s="142"/>
      <c r="AJ942" s="142"/>
      <c r="AP942" s="142"/>
      <c r="AV942" s="142"/>
      <c r="BA942" s="142"/>
      <c r="BH942" s="142"/>
      <c r="BN942" s="142"/>
      <c r="BT942" s="142"/>
      <c r="BZ942" s="142"/>
      <c r="CF942" s="142"/>
      <c r="CL942" s="142"/>
      <c r="CR942" s="142"/>
      <c r="CX942" s="142"/>
      <c r="DD942" s="142"/>
      <c r="DJ942" s="142"/>
      <c r="DP942" s="142"/>
      <c r="DV942" s="142"/>
      <c r="EB942" s="142"/>
      <c r="EH942" s="142"/>
      <c r="EN942" s="142"/>
      <c r="ET942" s="142"/>
      <c r="EZ942" s="142"/>
      <c r="FF942" s="142"/>
      <c r="FL942" s="142"/>
      <c r="FR942" s="142"/>
      <c r="FX942" s="142"/>
      <c r="GD942" s="142"/>
      <c r="GJ942" s="142"/>
      <c r="GP942" s="142"/>
      <c r="GV942" s="142"/>
      <c r="HB942" s="142"/>
      <c r="HH942" s="142"/>
      <c r="HN942" s="142"/>
      <c r="HT942" s="142"/>
      <c r="HZ942" s="142"/>
    </row>
    <row r="943">
      <c r="F943" s="142"/>
      <c r="L943" s="142"/>
      <c r="R943" s="142"/>
      <c r="X943" s="142"/>
      <c r="AD943" s="142"/>
      <c r="AJ943" s="142"/>
      <c r="AP943" s="142"/>
      <c r="AV943" s="142"/>
      <c r="BA943" s="142"/>
      <c r="BH943" s="142"/>
      <c r="BN943" s="142"/>
      <c r="BT943" s="142"/>
      <c r="BZ943" s="142"/>
      <c r="CF943" s="142"/>
      <c r="CL943" s="142"/>
      <c r="CR943" s="142"/>
      <c r="CX943" s="142"/>
      <c r="DD943" s="142"/>
      <c r="DJ943" s="142"/>
      <c r="DP943" s="142"/>
      <c r="DV943" s="142"/>
      <c r="EB943" s="142"/>
      <c r="EH943" s="142"/>
      <c r="EN943" s="142"/>
      <c r="ET943" s="142"/>
      <c r="EZ943" s="142"/>
      <c r="FF943" s="142"/>
      <c r="FL943" s="142"/>
      <c r="FR943" s="142"/>
      <c r="FX943" s="142"/>
      <c r="GD943" s="142"/>
      <c r="GJ943" s="142"/>
      <c r="GP943" s="142"/>
      <c r="GV943" s="142"/>
      <c r="HB943" s="142"/>
      <c r="HH943" s="142"/>
      <c r="HN943" s="142"/>
      <c r="HT943" s="142"/>
      <c r="HZ943" s="142"/>
    </row>
    <row r="944">
      <c r="F944" s="142"/>
      <c r="L944" s="142"/>
      <c r="R944" s="142"/>
      <c r="X944" s="142"/>
      <c r="AD944" s="142"/>
      <c r="AJ944" s="142"/>
      <c r="AP944" s="142"/>
      <c r="AV944" s="142"/>
      <c r="BA944" s="142"/>
      <c r="BH944" s="142"/>
      <c r="BN944" s="142"/>
      <c r="BT944" s="142"/>
      <c r="BZ944" s="142"/>
      <c r="CF944" s="142"/>
      <c r="CL944" s="142"/>
      <c r="CR944" s="142"/>
      <c r="CX944" s="142"/>
      <c r="DD944" s="142"/>
      <c r="DJ944" s="142"/>
      <c r="DP944" s="142"/>
      <c r="DV944" s="142"/>
      <c r="EB944" s="142"/>
      <c r="EH944" s="142"/>
      <c r="EN944" s="142"/>
      <c r="ET944" s="142"/>
      <c r="EZ944" s="142"/>
      <c r="FF944" s="142"/>
      <c r="FL944" s="142"/>
      <c r="FR944" s="142"/>
      <c r="FX944" s="142"/>
      <c r="GD944" s="142"/>
      <c r="GJ944" s="142"/>
      <c r="GP944" s="142"/>
      <c r="GV944" s="142"/>
      <c r="HB944" s="142"/>
      <c r="HH944" s="142"/>
      <c r="HN944" s="142"/>
      <c r="HT944" s="142"/>
      <c r="HZ944" s="142"/>
    </row>
    <row r="945">
      <c r="F945" s="142"/>
      <c r="L945" s="142"/>
      <c r="R945" s="142"/>
      <c r="X945" s="142"/>
      <c r="AD945" s="142"/>
      <c r="AJ945" s="142"/>
      <c r="AP945" s="142"/>
      <c r="AV945" s="142"/>
      <c r="BA945" s="142"/>
      <c r="BH945" s="142"/>
      <c r="BN945" s="142"/>
      <c r="BT945" s="142"/>
      <c r="BZ945" s="142"/>
      <c r="CF945" s="142"/>
      <c r="CL945" s="142"/>
      <c r="CR945" s="142"/>
      <c r="CX945" s="142"/>
      <c r="DD945" s="142"/>
      <c r="DJ945" s="142"/>
      <c r="DP945" s="142"/>
      <c r="DV945" s="142"/>
      <c r="EB945" s="142"/>
      <c r="EH945" s="142"/>
      <c r="EN945" s="142"/>
      <c r="ET945" s="142"/>
      <c r="EZ945" s="142"/>
      <c r="FF945" s="142"/>
      <c r="FL945" s="142"/>
      <c r="FR945" s="142"/>
      <c r="FX945" s="142"/>
      <c r="GD945" s="142"/>
      <c r="GJ945" s="142"/>
      <c r="GP945" s="142"/>
      <c r="GV945" s="142"/>
      <c r="HB945" s="142"/>
      <c r="HH945" s="142"/>
      <c r="HN945" s="142"/>
      <c r="HT945" s="142"/>
      <c r="HZ945" s="142"/>
    </row>
    <row r="946">
      <c r="F946" s="142"/>
      <c r="L946" s="142"/>
      <c r="R946" s="142"/>
      <c r="X946" s="142"/>
      <c r="AD946" s="142"/>
      <c r="AJ946" s="142"/>
      <c r="AP946" s="142"/>
      <c r="AV946" s="142"/>
      <c r="BA946" s="142"/>
      <c r="BH946" s="142"/>
      <c r="BN946" s="142"/>
      <c r="BT946" s="142"/>
      <c r="BZ946" s="142"/>
      <c r="CF946" s="142"/>
      <c r="CL946" s="142"/>
      <c r="CR946" s="142"/>
      <c r="CX946" s="142"/>
      <c r="DD946" s="142"/>
      <c r="DJ946" s="142"/>
      <c r="DP946" s="142"/>
      <c r="DV946" s="142"/>
      <c r="EB946" s="142"/>
      <c r="EH946" s="142"/>
      <c r="EN946" s="142"/>
      <c r="ET946" s="142"/>
      <c r="EZ946" s="142"/>
      <c r="FF946" s="142"/>
      <c r="FL946" s="142"/>
      <c r="FR946" s="142"/>
      <c r="FX946" s="142"/>
      <c r="GD946" s="142"/>
      <c r="GJ946" s="142"/>
      <c r="GP946" s="142"/>
      <c r="GV946" s="142"/>
      <c r="HB946" s="142"/>
      <c r="HH946" s="142"/>
      <c r="HN946" s="142"/>
      <c r="HT946" s="142"/>
      <c r="HZ946" s="142"/>
    </row>
    <row r="947">
      <c r="F947" s="142"/>
      <c r="L947" s="142"/>
      <c r="R947" s="142"/>
      <c r="X947" s="142"/>
      <c r="AD947" s="142"/>
      <c r="AJ947" s="142"/>
      <c r="AP947" s="142"/>
      <c r="AV947" s="142"/>
      <c r="BA947" s="142"/>
      <c r="BH947" s="142"/>
      <c r="BN947" s="142"/>
      <c r="BT947" s="142"/>
      <c r="BZ947" s="142"/>
      <c r="CF947" s="142"/>
      <c r="CL947" s="142"/>
      <c r="CR947" s="142"/>
      <c r="CX947" s="142"/>
      <c r="DD947" s="142"/>
      <c r="DJ947" s="142"/>
      <c r="DP947" s="142"/>
      <c r="DV947" s="142"/>
      <c r="EB947" s="142"/>
      <c r="EH947" s="142"/>
      <c r="EN947" s="142"/>
      <c r="ET947" s="142"/>
      <c r="EZ947" s="142"/>
      <c r="FF947" s="142"/>
      <c r="FL947" s="142"/>
      <c r="FR947" s="142"/>
      <c r="FX947" s="142"/>
      <c r="GD947" s="142"/>
      <c r="GJ947" s="142"/>
      <c r="GP947" s="142"/>
      <c r="GV947" s="142"/>
      <c r="HB947" s="142"/>
      <c r="HH947" s="142"/>
      <c r="HN947" s="142"/>
      <c r="HT947" s="142"/>
      <c r="HZ947" s="142"/>
    </row>
    <row r="948">
      <c r="F948" s="142"/>
      <c r="L948" s="142"/>
      <c r="R948" s="142"/>
      <c r="X948" s="142"/>
      <c r="AD948" s="142"/>
      <c r="AJ948" s="142"/>
      <c r="AP948" s="142"/>
      <c r="AV948" s="142"/>
      <c r="BA948" s="142"/>
      <c r="BH948" s="142"/>
      <c r="BN948" s="142"/>
      <c r="BT948" s="142"/>
      <c r="BZ948" s="142"/>
      <c r="CF948" s="142"/>
      <c r="CL948" s="142"/>
      <c r="CR948" s="142"/>
      <c r="CX948" s="142"/>
      <c r="DD948" s="142"/>
      <c r="DJ948" s="142"/>
      <c r="DP948" s="142"/>
      <c r="DV948" s="142"/>
      <c r="EB948" s="142"/>
      <c r="EH948" s="142"/>
      <c r="EN948" s="142"/>
      <c r="ET948" s="142"/>
      <c r="EZ948" s="142"/>
      <c r="FF948" s="142"/>
      <c r="FL948" s="142"/>
      <c r="FR948" s="142"/>
      <c r="FX948" s="142"/>
      <c r="GD948" s="142"/>
      <c r="GJ948" s="142"/>
      <c r="GP948" s="142"/>
      <c r="GV948" s="142"/>
      <c r="HB948" s="142"/>
      <c r="HH948" s="142"/>
      <c r="HN948" s="142"/>
      <c r="HT948" s="142"/>
      <c r="HZ948" s="142"/>
    </row>
    <row r="949">
      <c r="F949" s="142"/>
      <c r="L949" s="142"/>
      <c r="R949" s="142"/>
      <c r="X949" s="142"/>
      <c r="AD949" s="142"/>
      <c r="AJ949" s="142"/>
      <c r="AP949" s="142"/>
      <c r="AV949" s="142"/>
      <c r="BA949" s="142"/>
      <c r="BH949" s="142"/>
      <c r="BN949" s="142"/>
      <c r="BT949" s="142"/>
      <c r="BZ949" s="142"/>
      <c r="CF949" s="142"/>
      <c r="CL949" s="142"/>
      <c r="CR949" s="142"/>
      <c r="CX949" s="142"/>
      <c r="DD949" s="142"/>
      <c r="DJ949" s="142"/>
      <c r="DP949" s="142"/>
      <c r="DV949" s="142"/>
      <c r="EB949" s="142"/>
      <c r="EH949" s="142"/>
      <c r="EN949" s="142"/>
      <c r="ET949" s="142"/>
      <c r="EZ949" s="142"/>
      <c r="FF949" s="142"/>
      <c r="FL949" s="142"/>
      <c r="FR949" s="142"/>
      <c r="FX949" s="142"/>
      <c r="GD949" s="142"/>
      <c r="GJ949" s="142"/>
      <c r="GP949" s="142"/>
      <c r="GV949" s="142"/>
      <c r="HB949" s="142"/>
      <c r="HH949" s="142"/>
      <c r="HN949" s="142"/>
      <c r="HT949" s="142"/>
      <c r="HZ949" s="142"/>
    </row>
    <row r="950">
      <c r="F950" s="142"/>
      <c r="L950" s="142"/>
      <c r="R950" s="142"/>
      <c r="X950" s="142"/>
      <c r="AD950" s="142"/>
      <c r="AJ950" s="142"/>
      <c r="AP950" s="142"/>
      <c r="AV950" s="142"/>
      <c r="BA950" s="142"/>
      <c r="BH950" s="142"/>
      <c r="BN950" s="142"/>
      <c r="BT950" s="142"/>
      <c r="BZ950" s="142"/>
      <c r="CF950" s="142"/>
      <c r="CL950" s="142"/>
      <c r="CR950" s="142"/>
      <c r="CX950" s="142"/>
      <c r="DD950" s="142"/>
      <c r="DJ950" s="142"/>
      <c r="DP950" s="142"/>
      <c r="DV950" s="142"/>
      <c r="EB950" s="142"/>
      <c r="EH950" s="142"/>
      <c r="EN950" s="142"/>
      <c r="ET950" s="142"/>
      <c r="EZ950" s="142"/>
      <c r="FF950" s="142"/>
      <c r="FL950" s="142"/>
      <c r="FR950" s="142"/>
      <c r="FX950" s="142"/>
      <c r="GD950" s="142"/>
      <c r="GJ950" s="142"/>
      <c r="GP950" s="142"/>
      <c r="GV950" s="142"/>
      <c r="HB950" s="142"/>
      <c r="HH950" s="142"/>
      <c r="HN950" s="142"/>
      <c r="HT950" s="142"/>
      <c r="HZ950" s="142"/>
    </row>
    <row r="951">
      <c r="F951" s="142"/>
      <c r="L951" s="142"/>
      <c r="R951" s="142"/>
      <c r="X951" s="142"/>
      <c r="AD951" s="142"/>
      <c r="AJ951" s="142"/>
      <c r="AP951" s="142"/>
      <c r="AV951" s="142"/>
      <c r="BA951" s="142"/>
      <c r="BH951" s="142"/>
      <c r="BN951" s="142"/>
      <c r="BT951" s="142"/>
      <c r="BZ951" s="142"/>
      <c r="CF951" s="142"/>
      <c r="CL951" s="142"/>
      <c r="CR951" s="142"/>
      <c r="CX951" s="142"/>
      <c r="DD951" s="142"/>
      <c r="DJ951" s="142"/>
      <c r="DP951" s="142"/>
      <c r="DV951" s="142"/>
      <c r="EB951" s="142"/>
      <c r="EH951" s="142"/>
      <c r="EN951" s="142"/>
      <c r="ET951" s="142"/>
      <c r="EZ951" s="142"/>
      <c r="FF951" s="142"/>
      <c r="FL951" s="142"/>
      <c r="FR951" s="142"/>
      <c r="FX951" s="142"/>
      <c r="GD951" s="142"/>
      <c r="GJ951" s="142"/>
      <c r="GP951" s="142"/>
      <c r="GV951" s="142"/>
      <c r="HB951" s="142"/>
      <c r="HH951" s="142"/>
      <c r="HN951" s="142"/>
      <c r="HT951" s="142"/>
      <c r="HZ951" s="142"/>
    </row>
    <row r="952">
      <c r="F952" s="142"/>
      <c r="L952" s="142"/>
      <c r="R952" s="142"/>
      <c r="X952" s="142"/>
      <c r="AD952" s="142"/>
      <c r="AJ952" s="142"/>
      <c r="AP952" s="142"/>
      <c r="AV952" s="142"/>
      <c r="BA952" s="142"/>
      <c r="BH952" s="142"/>
      <c r="BN952" s="142"/>
      <c r="BT952" s="142"/>
      <c r="BZ952" s="142"/>
      <c r="CF952" s="142"/>
      <c r="CL952" s="142"/>
      <c r="CR952" s="142"/>
      <c r="CX952" s="142"/>
      <c r="DD952" s="142"/>
      <c r="DJ952" s="142"/>
      <c r="DP952" s="142"/>
      <c r="DV952" s="142"/>
      <c r="EB952" s="142"/>
      <c r="EH952" s="142"/>
      <c r="EN952" s="142"/>
      <c r="ET952" s="142"/>
      <c r="EZ952" s="142"/>
      <c r="FF952" s="142"/>
      <c r="FL952" s="142"/>
      <c r="FR952" s="142"/>
      <c r="FX952" s="142"/>
      <c r="GD952" s="142"/>
      <c r="GJ952" s="142"/>
      <c r="GP952" s="142"/>
      <c r="GV952" s="142"/>
      <c r="HB952" s="142"/>
      <c r="HH952" s="142"/>
      <c r="HN952" s="142"/>
      <c r="HT952" s="142"/>
      <c r="HZ952" s="142"/>
    </row>
    <row r="953">
      <c r="F953" s="142"/>
      <c r="L953" s="142"/>
      <c r="R953" s="142"/>
      <c r="X953" s="142"/>
      <c r="AD953" s="142"/>
      <c r="AJ953" s="142"/>
      <c r="AP953" s="142"/>
      <c r="AV953" s="142"/>
      <c r="BA953" s="142"/>
      <c r="BH953" s="142"/>
      <c r="BN953" s="142"/>
      <c r="BT953" s="142"/>
      <c r="BZ953" s="142"/>
      <c r="CF953" s="142"/>
      <c r="CL953" s="142"/>
      <c r="CR953" s="142"/>
      <c r="CX953" s="142"/>
      <c r="DD953" s="142"/>
      <c r="DJ953" s="142"/>
      <c r="DP953" s="142"/>
      <c r="DV953" s="142"/>
      <c r="EB953" s="142"/>
      <c r="EH953" s="142"/>
      <c r="EN953" s="142"/>
      <c r="ET953" s="142"/>
      <c r="EZ953" s="142"/>
      <c r="FF953" s="142"/>
      <c r="FL953" s="142"/>
      <c r="FR953" s="142"/>
      <c r="FX953" s="142"/>
      <c r="GD953" s="142"/>
      <c r="GJ953" s="142"/>
      <c r="GP953" s="142"/>
      <c r="GV953" s="142"/>
      <c r="HB953" s="142"/>
      <c r="HH953" s="142"/>
      <c r="HN953" s="142"/>
      <c r="HT953" s="142"/>
      <c r="HZ953" s="142"/>
    </row>
    <row r="954">
      <c r="F954" s="142"/>
      <c r="L954" s="142"/>
      <c r="R954" s="142"/>
      <c r="X954" s="142"/>
      <c r="AD954" s="142"/>
      <c r="AJ954" s="142"/>
      <c r="AP954" s="142"/>
      <c r="AV954" s="142"/>
      <c r="BA954" s="142"/>
      <c r="BH954" s="142"/>
      <c r="BN954" s="142"/>
      <c r="BT954" s="142"/>
      <c r="BZ954" s="142"/>
      <c r="CF954" s="142"/>
      <c r="CL954" s="142"/>
      <c r="CR954" s="142"/>
      <c r="CX954" s="142"/>
      <c r="DD954" s="142"/>
      <c r="DJ954" s="142"/>
      <c r="DP954" s="142"/>
      <c r="DV954" s="142"/>
      <c r="EB954" s="142"/>
      <c r="EH954" s="142"/>
      <c r="EN954" s="142"/>
      <c r="ET954" s="142"/>
      <c r="EZ954" s="142"/>
      <c r="FF954" s="142"/>
      <c r="FL954" s="142"/>
      <c r="FR954" s="142"/>
      <c r="FX954" s="142"/>
      <c r="GD954" s="142"/>
      <c r="GJ954" s="142"/>
      <c r="GP954" s="142"/>
      <c r="GV954" s="142"/>
      <c r="HB954" s="142"/>
      <c r="HH954" s="142"/>
      <c r="HN954" s="142"/>
      <c r="HT954" s="142"/>
      <c r="HZ954" s="142"/>
    </row>
    <row r="955">
      <c r="F955" s="142"/>
      <c r="L955" s="142"/>
      <c r="R955" s="142"/>
      <c r="X955" s="142"/>
      <c r="AD955" s="142"/>
      <c r="AJ955" s="142"/>
      <c r="AP955" s="142"/>
      <c r="AV955" s="142"/>
      <c r="BA955" s="142"/>
      <c r="BH955" s="142"/>
      <c r="BN955" s="142"/>
      <c r="BT955" s="142"/>
      <c r="BZ955" s="142"/>
      <c r="CF955" s="142"/>
      <c r="CL955" s="142"/>
      <c r="CR955" s="142"/>
      <c r="CX955" s="142"/>
      <c r="DD955" s="142"/>
      <c r="DJ955" s="142"/>
      <c r="DP955" s="142"/>
      <c r="DV955" s="142"/>
      <c r="EB955" s="142"/>
      <c r="EH955" s="142"/>
      <c r="EN955" s="142"/>
      <c r="ET955" s="142"/>
      <c r="EZ955" s="142"/>
      <c r="FF955" s="142"/>
      <c r="FL955" s="142"/>
      <c r="FR955" s="142"/>
      <c r="FX955" s="142"/>
      <c r="GD955" s="142"/>
      <c r="GJ955" s="142"/>
      <c r="GP955" s="142"/>
      <c r="GV955" s="142"/>
      <c r="HB955" s="142"/>
      <c r="HH955" s="142"/>
      <c r="HN955" s="142"/>
      <c r="HT955" s="142"/>
      <c r="HZ955" s="142"/>
    </row>
    <row r="956">
      <c r="F956" s="142"/>
      <c r="L956" s="142"/>
      <c r="R956" s="142"/>
      <c r="X956" s="142"/>
      <c r="AD956" s="142"/>
      <c r="AJ956" s="142"/>
      <c r="AP956" s="142"/>
      <c r="AV956" s="142"/>
      <c r="BA956" s="142"/>
      <c r="BH956" s="142"/>
      <c r="BN956" s="142"/>
      <c r="BT956" s="142"/>
      <c r="BZ956" s="142"/>
      <c r="CF956" s="142"/>
      <c r="CL956" s="142"/>
      <c r="CR956" s="142"/>
      <c r="CX956" s="142"/>
      <c r="DD956" s="142"/>
      <c r="DJ956" s="142"/>
      <c r="DP956" s="142"/>
      <c r="DV956" s="142"/>
      <c r="EB956" s="142"/>
      <c r="EH956" s="142"/>
      <c r="EN956" s="142"/>
      <c r="ET956" s="142"/>
      <c r="EZ956" s="142"/>
      <c r="FF956" s="142"/>
      <c r="FL956" s="142"/>
      <c r="FR956" s="142"/>
      <c r="FX956" s="142"/>
      <c r="GD956" s="142"/>
      <c r="GJ956" s="142"/>
      <c r="GP956" s="142"/>
      <c r="GV956" s="142"/>
      <c r="HB956" s="142"/>
      <c r="HH956" s="142"/>
      <c r="HN956" s="142"/>
      <c r="HT956" s="142"/>
      <c r="HZ956" s="142"/>
    </row>
    <row r="957">
      <c r="F957" s="142"/>
      <c r="L957" s="142"/>
      <c r="R957" s="142"/>
      <c r="X957" s="142"/>
      <c r="AD957" s="142"/>
      <c r="AJ957" s="142"/>
      <c r="AP957" s="142"/>
      <c r="AV957" s="142"/>
      <c r="BA957" s="142"/>
      <c r="BH957" s="142"/>
      <c r="BN957" s="142"/>
      <c r="BT957" s="142"/>
      <c r="BZ957" s="142"/>
      <c r="CF957" s="142"/>
      <c r="CL957" s="142"/>
      <c r="CR957" s="142"/>
      <c r="CX957" s="142"/>
      <c r="DD957" s="142"/>
      <c r="DJ957" s="142"/>
      <c r="DP957" s="142"/>
      <c r="DV957" s="142"/>
      <c r="EB957" s="142"/>
      <c r="EH957" s="142"/>
      <c r="EN957" s="142"/>
      <c r="ET957" s="142"/>
      <c r="EZ957" s="142"/>
      <c r="FF957" s="142"/>
      <c r="FL957" s="142"/>
      <c r="FR957" s="142"/>
      <c r="FX957" s="142"/>
      <c r="GD957" s="142"/>
      <c r="GJ957" s="142"/>
      <c r="GP957" s="142"/>
      <c r="GV957" s="142"/>
      <c r="HB957" s="142"/>
      <c r="HH957" s="142"/>
      <c r="HN957" s="142"/>
      <c r="HT957" s="142"/>
      <c r="HZ957" s="142"/>
    </row>
    <row r="958">
      <c r="F958" s="142"/>
      <c r="L958" s="142"/>
      <c r="R958" s="142"/>
      <c r="X958" s="142"/>
      <c r="AD958" s="142"/>
      <c r="AJ958" s="142"/>
      <c r="AP958" s="142"/>
      <c r="AV958" s="142"/>
      <c r="BA958" s="142"/>
      <c r="BH958" s="142"/>
      <c r="BN958" s="142"/>
      <c r="BT958" s="142"/>
      <c r="BZ958" s="142"/>
      <c r="CF958" s="142"/>
      <c r="CL958" s="142"/>
      <c r="CR958" s="142"/>
      <c r="CX958" s="142"/>
      <c r="DD958" s="142"/>
      <c r="DJ958" s="142"/>
      <c r="DP958" s="142"/>
      <c r="DV958" s="142"/>
      <c r="EB958" s="142"/>
      <c r="EH958" s="142"/>
      <c r="EN958" s="142"/>
      <c r="ET958" s="142"/>
      <c r="EZ958" s="142"/>
      <c r="FF958" s="142"/>
      <c r="FL958" s="142"/>
      <c r="FR958" s="142"/>
      <c r="FX958" s="142"/>
      <c r="GD958" s="142"/>
      <c r="GJ958" s="142"/>
      <c r="GP958" s="142"/>
      <c r="GV958" s="142"/>
      <c r="HB958" s="142"/>
      <c r="HH958" s="142"/>
      <c r="HN958" s="142"/>
      <c r="HT958" s="142"/>
      <c r="HZ958" s="142"/>
    </row>
    <row r="959">
      <c r="F959" s="142"/>
      <c r="L959" s="142"/>
      <c r="R959" s="142"/>
      <c r="X959" s="142"/>
      <c r="AD959" s="142"/>
      <c r="AJ959" s="142"/>
      <c r="AP959" s="142"/>
      <c r="AV959" s="142"/>
      <c r="BA959" s="142"/>
      <c r="BH959" s="142"/>
      <c r="BN959" s="142"/>
      <c r="BT959" s="142"/>
      <c r="BZ959" s="142"/>
      <c r="CF959" s="142"/>
      <c r="CL959" s="142"/>
      <c r="CR959" s="142"/>
      <c r="CX959" s="142"/>
      <c r="DD959" s="142"/>
      <c r="DJ959" s="142"/>
      <c r="DP959" s="142"/>
      <c r="DV959" s="142"/>
      <c r="EB959" s="142"/>
      <c r="EH959" s="142"/>
      <c r="EN959" s="142"/>
      <c r="ET959" s="142"/>
      <c r="EZ959" s="142"/>
      <c r="FF959" s="142"/>
      <c r="FL959" s="142"/>
      <c r="FR959" s="142"/>
      <c r="FX959" s="142"/>
      <c r="GD959" s="142"/>
      <c r="GJ959" s="142"/>
      <c r="GP959" s="142"/>
      <c r="GV959" s="142"/>
      <c r="HB959" s="142"/>
      <c r="HH959" s="142"/>
      <c r="HN959" s="142"/>
      <c r="HT959" s="142"/>
      <c r="HZ959" s="142"/>
    </row>
    <row r="960">
      <c r="F960" s="142"/>
      <c r="L960" s="142"/>
      <c r="R960" s="142"/>
      <c r="X960" s="142"/>
      <c r="AD960" s="142"/>
      <c r="AJ960" s="142"/>
      <c r="AP960" s="142"/>
      <c r="AV960" s="142"/>
      <c r="BA960" s="142"/>
      <c r="BH960" s="142"/>
      <c r="BN960" s="142"/>
      <c r="BT960" s="142"/>
      <c r="BZ960" s="142"/>
      <c r="CF960" s="142"/>
      <c r="CL960" s="142"/>
      <c r="CR960" s="142"/>
      <c r="CX960" s="142"/>
      <c r="DD960" s="142"/>
      <c r="DJ960" s="142"/>
      <c r="DP960" s="142"/>
      <c r="DV960" s="142"/>
      <c r="EB960" s="142"/>
      <c r="EH960" s="142"/>
      <c r="EN960" s="142"/>
      <c r="ET960" s="142"/>
      <c r="EZ960" s="142"/>
      <c r="FF960" s="142"/>
      <c r="FL960" s="142"/>
      <c r="FR960" s="142"/>
      <c r="FX960" s="142"/>
      <c r="GD960" s="142"/>
      <c r="GJ960" s="142"/>
      <c r="GP960" s="142"/>
      <c r="GV960" s="142"/>
      <c r="HB960" s="142"/>
      <c r="HH960" s="142"/>
      <c r="HN960" s="142"/>
      <c r="HT960" s="142"/>
      <c r="HZ960" s="142"/>
    </row>
    <row r="961">
      <c r="F961" s="142"/>
      <c r="L961" s="142"/>
      <c r="R961" s="142"/>
      <c r="X961" s="142"/>
      <c r="AD961" s="142"/>
      <c r="AJ961" s="142"/>
      <c r="AP961" s="142"/>
      <c r="AV961" s="142"/>
      <c r="BA961" s="142"/>
      <c r="BH961" s="142"/>
      <c r="BN961" s="142"/>
      <c r="BT961" s="142"/>
      <c r="BZ961" s="142"/>
      <c r="CF961" s="142"/>
      <c r="CL961" s="142"/>
      <c r="CR961" s="142"/>
      <c r="CX961" s="142"/>
      <c r="DD961" s="142"/>
      <c r="DJ961" s="142"/>
      <c r="DP961" s="142"/>
      <c r="DV961" s="142"/>
      <c r="EB961" s="142"/>
      <c r="EH961" s="142"/>
      <c r="EN961" s="142"/>
      <c r="ET961" s="142"/>
      <c r="EZ961" s="142"/>
      <c r="FF961" s="142"/>
      <c r="FL961" s="142"/>
      <c r="FR961" s="142"/>
      <c r="FX961" s="142"/>
      <c r="GD961" s="142"/>
      <c r="GJ961" s="142"/>
      <c r="GP961" s="142"/>
      <c r="GV961" s="142"/>
      <c r="HB961" s="142"/>
      <c r="HH961" s="142"/>
      <c r="HN961" s="142"/>
      <c r="HT961" s="142"/>
      <c r="HZ961" s="142"/>
    </row>
    <row r="962">
      <c r="F962" s="142"/>
      <c r="L962" s="142"/>
      <c r="R962" s="142"/>
      <c r="X962" s="142"/>
      <c r="AD962" s="142"/>
      <c r="AJ962" s="142"/>
      <c r="AP962" s="142"/>
      <c r="AV962" s="142"/>
      <c r="BA962" s="142"/>
      <c r="BH962" s="142"/>
      <c r="BN962" s="142"/>
      <c r="BT962" s="142"/>
      <c r="BZ962" s="142"/>
      <c r="CF962" s="142"/>
      <c r="CL962" s="142"/>
      <c r="CR962" s="142"/>
      <c r="CX962" s="142"/>
      <c r="DD962" s="142"/>
      <c r="DJ962" s="142"/>
      <c r="DP962" s="142"/>
      <c r="DV962" s="142"/>
      <c r="EB962" s="142"/>
      <c r="EH962" s="142"/>
      <c r="EN962" s="142"/>
      <c r="ET962" s="142"/>
      <c r="EZ962" s="142"/>
      <c r="FF962" s="142"/>
      <c r="FL962" s="142"/>
      <c r="FR962" s="142"/>
      <c r="FX962" s="142"/>
      <c r="GD962" s="142"/>
      <c r="GJ962" s="142"/>
      <c r="GP962" s="142"/>
      <c r="GV962" s="142"/>
      <c r="HB962" s="142"/>
      <c r="HH962" s="142"/>
      <c r="HN962" s="142"/>
      <c r="HT962" s="142"/>
      <c r="HZ962" s="142"/>
    </row>
    <row r="963">
      <c r="F963" s="142"/>
      <c r="L963" s="142"/>
      <c r="R963" s="142"/>
      <c r="X963" s="142"/>
      <c r="AD963" s="142"/>
      <c r="AJ963" s="142"/>
      <c r="AP963" s="142"/>
      <c r="AV963" s="142"/>
      <c r="BA963" s="142"/>
      <c r="BH963" s="142"/>
      <c r="BN963" s="142"/>
      <c r="BT963" s="142"/>
      <c r="BZ963" s="142"/>
      <c r="CF963" s="142"/>
      <c r="CL963" s="142"/>
      <c r="CR963" s="142"/>
      <c r="CX963" s="142"/>
      <c r="DD963" s="142"/>
      <c r="DJ963" s="142"/>
      <c r="DP963" s="142"/>
      <c r="DV963" s="142"/>
      <c r="EB963" s="142"/>
      <c r="EH963" s="142"/>
      <c r="EN963" s="142"/>
      <c r="ET963" s="142"/>
      <c r="EZ963" s="142"/>
      <c r="FF963" s="142"/>
      <c r="FL963" s="142"/>
      <c r="FR963" s="142"/>
      <c r="FX963" s="142"/>
      <c r="GD963" s="142"/>
      <c r="GJ963" s="142"/>
      <c r="GP963" s="142"/>
      <c r="GV963" s="142"/>
      <c r="HB963" s="142"/>
      <c r="HH963" s="142"/>
      <c r="HN963" s="142"/>
      <c r="HT963" s="142"/>
      <c r="HZ963" s="142"/>
    </row>
    <row r="964">
      <c r="F964" s="142"/>
      <c r="L964" s="142"/>
      <c r="R964" s="142"/>
      <c r="X964" s="142"/>
      <c r="AD964" s="142"/>
      <c r="AJ964" s="142"/>
      <c r="AP964" s="142"/>
      <c r="AV964" s="142"/>
      <c r="BA964" s="142"/>
      <c r="BH964" s="142"/>
      <c r="BN964" s="142"/>
      <c r="BT964" s="142"/>
      <c r="BZ964" s="142"/>
      <c r="CF964" s="142"/>
      <c r="CL964" s="142"/>
      <c r="CR964" s="142"/>
      <c r="CX964" s="142"/>
      <c r="DD964" s="142"/>
      <c r="DJ964" s="142"/>
      <c r="DP964" s="142"/>
      <c r="DV964" s="142"/>
      <c r="EB964" s="142"/>
      <c r="EH964" s="142"/>
      <c r="EN964" s="142"/>
      <c r="ET964" s="142"/>
      <c r="EZ964" s="142"/>
      <c r="FF964" s="142"/>
      <c r="FL964" s="142"/>
      <c r="FR964" s="142"/>
      <c r="FX964" s="142"/>
      <c r="GD964" s="142"/>
      <c r="GJ964" s="142"/>
      <c r="GP964" s="142"/>
      <c r="GV964" s="142"/>
      <c r="HB964" s="142"/>
      <c r="HH964" s="142"/>
      <c r="HN964" s="142"/>
      <c r="HT964" s="142"/>
      <c r="HZ964" s="142"/>
    </row>
    <row r="965">
      <c r="F965" s="142"/>
      <c r="L965" s="142"/>
      <c r="R965" s="142"/>
      <c r="X965" s="142"/>
      <c r="AD965" s="142"/>
      <c r="AJ965" s="142"/>
      <c r="AP965" s="142"/>
      <c r="AV965" s="142"/>
      <c r="BA965" s="142"/>
      <c r="BH965" s="142"/>
      <c r="BN965" s="142"/>
      <c r="BT965" s="142"/>
      <c r="BZ965" s="142"/>
      <c r="CF965" s="142"/>
      <c r="CL965" s="142"/>
      <c r="CR965" s="142"/>
      <c r="CX965" s="142"/>
      <c r="DD965" s="142"/>
      <c r="DJ965" s="142"/>
      <c r="DP965" s="142"/>
      <c r="DV965" s="142"/>
      <c r="EB965" s="142"/>
      <c r="EH965" s="142"/>
      <c r="EN965" s="142"/>
      <c r="ET965" s="142"/>
      <c r="EZ965" s="142"/>
      <c r="FF965" s="142"/>
      <c r="FL965" s="142"/>
      <c r="FR965" s="142"/>
      <c r="FX965" s="142"/>
      <c r="GD965" s="142"/>
      <c r="GJ965" s="142"/>
      <c r="GP965" s="142"/>
      <c r="GV965" s="142"/>
      <c r="HB965" s="142"/>
      <c r="HH965" s="142"/>
      <c r="HN965" s="142"/>
      <c r="HT965" s="142"/>
      <c r="HZ965" s="142"/>
    </row>
    <row r="966">
      <c r="F966" s="142"/>
      <c r="L966" s="142"/>
      <c r="R966" s="142"/>
      <c r="X966" s="142"/>
      <c r="AD966" s="142"/>
      <c r="AJ966" s="142"/>
      <c r="AP966" s="142"/>
      <c r="AV966" s="142"/>
      <c r="BA966" s="142"/>
      <c r="BH966" s="142"/>
      <c r="BN966" s="142"/>
      <c r="BT966" s="142"/>
      <c r="BZ966" s="142"/>
      <c r="CF966" s="142"/>
      <c r="CL966" s="142"/>
      <c r="CR966" s="142"/>
      <c r="CX966" s="142"/>
      <c r="DD966" s="142"/>
      <c r="DJ966" s="142"/>
      <c r="DP966" s="142"/>
      <c r="DV966" s="142"/>
      <c r="EB966" s="142"/>
      <c r="EH966" s="142"/>
      <c r="EN966" s="142"/>
      <c r="ET966" s="142"/>
      <c r="EZ966" s="142"/>
      <c r="FF966" s="142"/>
      <c r="FL966" s="142"/>
      <c r="FR966" s="142"/>
      <c r="FX966" s="142"/>
      <c r="GD966" s="142"/>
      <c r="GJ966" s="142"/>
      <c r="GP966" s="142"/>
      <c r="GV966" s="142"/>
      <c r="HB966" s="142"/>
      <c r="HH966" s="142"/>
      <c r="HN966" s="142"/>
      <c r="HT966" s="142"/>
      <c r="HZ966" s="142"/>
    </row>
    <row r="967">
      <c r="F967" s="142"/>
      <c r="L967" s="142"/>
      <c r="R967" s="142"/>
      <c r="X967" s="142"/>
      <c r="AD967" s="142"/>
      <c r="AJ967" s="142"/>
      <c r="AP967" s="142"/>
      <c r="AV967" s="142"/>
      <c r="BA967" s="142"/>
      <c r="BH967" s="142"/>
      <c r="BN967" s="142"/>
      <c r="BT967" s="142"/>
      <c r="BZ967" s="142"/>
      <c r="CF967" s="142"/>
      <c r="CL967" s="142"/>
      <c r="CR967" s="142"/>
      <c r="CX967" s="142"/>
      <c r="DD967" s="142"/>
      <c r="DJ967" s="142"/>
      <c r="DP967" s="142"/>
      <c r="DV967" s="142"/>
      <c r="EB967" s="142"/>
      <c r="EH967" s="142"/>
      <c r="EN967" s="142"/>
      <c r="ET967" s="142"/>
      <c r="EZ967" s="142"/>
      <c r="FF967" s="142"/>
      <c r="FL967" s="142"/>
      <c r="FR967" s="142"/>
      <c r="FX967" s="142"/>
      <c r="GD967" s="142"/>
      <c r="GJ967" s="142"/>
      <c r="GP967" s="142"/>
      <c r="GV967" s="142"/>
      <c r="HB967" s="142"/>
      <c r="HH967" s="142"/>
      <c r="HN967" s="142"/>
      <c r="HT967" s="142"/>
      <c r="HZ967" s="142"/>
    </row>
    <row r="968">
      <c r="F968" s="142"/>
      <c r="L968" s="142"/>
      <c r="R968" s="142"/>
      <c r="X968" s="142"/>
      <c r="AD968" s="142"/>
      <c r="AJ968" s="142"/>
      <c r="AP968" s="142"/>
      <c r="AV968" s="142"/>
      <c r="BA968" s="142"/>
      <c r="BH968" s="142"/>
      <c r="BN968" s="142"/>
      <c r="BT968" s="142"/>
      <c r="BZ968" s="142"/>
      <c r="CF968" s="142"/>
      <c r="CL968" s="142"/>
      <c r="CR968" s="142"/>
      <c r="CX968" s="142"/>
      <c r="DD968" s="142"/>
      <c r="DJ968" s="142"/>
      <c r="DP968" s="142"/>
      <c r="DV968" s="142"/>
      <c r="EB968" s="142"/>
      <c r="EH968" s="142"/>
      <c r="EN968" s="142"/>
      <c r="ET968" s="142"/>
      <c r="EZ968" s="142"/>
      <c r="FF968" s="142"/>
      <c r="FL968" s="142"/>
      <c r="FR968" s="142"/>
      <c r="FX968" s="142"/>
      <c r="GD968" s="142"/>
      <c r="GJ968" s="142"/>
      <c r="GP968" s="142"/>
      <c r="GV968" s="142"/>
      <c r="HB968" s="142"/>
      <c r="HH968" s="142"/>
      <c r="HN968" s="142"/>
      <c r="HT968" s="142"/>
      <c r="HZ968" s="142"/>
    </row>
    <row r="969">
      <c r="F969" s="142"/>
      <c r="L969" s="142"/>
      <c r="R969" s="142"/>
      <c r="X969" s="142"/>
      <c r="AD969" s="142"/>
      <c r="AJ969" s="142"/>
      <c r="AP969" s="142"/>
      <c r="AV969" s="142"/>
      <c r="BA969" s="142"/>
      <c r="BH969" s="142"/>
      <c r="BN969" s="142"/>
      <c r="BT969" s="142"/>
      <c r="BZ969" s="142"/>
      <c r="CF969" s="142"/>
      <c r="CL969" s="142"/>
      <c r="CR969" s="142"/>
      <c r="CX969" s="142"/>
      <c r="DD969" s="142"/>
      <c r="DJ969" s="142"/>
      <c r="DP969" s="142"/>
      <c r="DV969" s="142"/>
      <c r="EB969" s="142"/>
      <c r="EH969" s="142"/>
      <c r="EN969" s="142"/>
      <c r="ET969" s="142"/>
      <c r="EZ969" s="142"/>
      <c r="FF969" s="142"/>
      <c r="FL969" s="142"/>
      <c r="FR969" s="142"/>
      <c r="FX969" s="142"/>
      <c r="GD969" s="142"/>
      <c r="GJ969" s="142"/>
      <c r="GP969" s="142"/>
      <c r="GV969" s="142"/>
      <c r="HB969" s="142"/>
      <c r="HH969" s="142"/>
      <c r="HN969" s="142"/>
      <c r="HT969" s="142"/>
      <c r="HZ969" s="142"/>
    </row>
    <row r="970">
      <c r="F970" s="142"/>
      <c r="L970" s="142"/>
      <c r="R970" s="142"/>
      <c r="X970" s="142"/>
      <c r="AD970" s="142"/>
      <c r="AJ970" s="142"/>
      <c r="AP970" s="142"/>
      <c r="AV970" s="142"/>
      <c r="BA970" s="142"/>
      <c r="BH970" s="142"/>
      <c r="BN970" s="142"/>
      <c r="BT970" s="142"/>
      <c r="BZ970" s="142"/>
      <c r="CF970" s="142"/>
      <c r="CL970" s="142"/>
      <c r="CR970" s="142"/>
      <c r="CX970" s="142"/>
      <c r="DD970" s="142"/>
      <c r="DJ970" s="142"/>
      <c r="DP970" s="142"/>
      <c r="DV970" s="142"/>
      <c r="EB970" s="142"/>
      <c r="EH970" s="142"/>
      <c r="EN970" s="142"/>
      <c r="ET970" s="142"/>
      <c r="EZ970" s="142"/>
      <c r="FF970" s="142"/>
      <c r="FL970" s="142"/>
      <c r="FR970" s="142"/>
      <c r="FX970" s="142"/>
      <c r="GD970" s="142"/>
      <c r="GJ970" s="142"/>
      <c r="GP970" s="142"/>
      <c r="GV970" s="142"/>
      <c r="HB970" s="142"/>
      <c r="HH970" s="142"/>
      <c r="HN970" s="142"/>
      <c r="HT970" s="142"/>
      <c r="HZ970" s="142"/>
    </row>
    <row r="971">
      <c r="F971" s="142"/>
      <c r="L971" s="142"/>
      <c r="R971" s="142"/>
      <c r="X971" s="142"/>
      <c r="AD971" s="142"/>
      <c r="AJ971" s="142"/>
      <c r="AP971" s="142"/>
      <c r="AV971" s="142"/>
      <c r="BA971" s="142"/>
      <c r="BH971" s="142"/>
      <c r="BN971" s="142"/>
      <c r="BT971" s="142"/>
      <c r="BZ971" s="142"/>
      <c r="CF971" s="142"/>
      <c r="CL971" s="142"/>
      <c r="CR971" s="142"/>
      <c r="CX971" s="142"/>
      <c r="DD971" s="142"/>
      <c r="DJ971" s="142"/>
      <c r="DP971" s="142"/>
      <c r="DV971" s="142"/>
      <c r="EB971" s="142"/>
      <c r="EH971" s="142"/>
      <c r="EN971" s="142"/>
      <c r="ET971" s="142"/>
      <c r="EZ971" s="142"/>
      <c r="FF971" s="142"/>
      <c r="FL971" s="142"/>
      <c r="FR971" s="142"/>
      <c r="FX971" s="142"/>
      <c r="GD971" s="142"/>
      <c r="GJ971" s="142"/>
      <c r="GP971" s="142"/>
      <c r="GV971" s="142"/>
      <c r="HB971" s="142"/>
      <c r="HH971" s="142"/>
      <c r="HN971" s="142"/>
      <c r="HT971" s="142"/>
      <c r="HZ971" s="142"/>
    </row>
    <row r="972">
      <c r="F972" s="142"/>
      <c r="L972" s="142"/>
      <c r="R972" s="142"/>
      <c r="X972" s="142"/>
      <c r="AD972" s="142"/>
      <c r="AJ972" s="142"/>
      <c r="AP972" s="142"/>
      <c r="AV972" s="142"/>
      <c r="BA972" s="142"/>
      <c r="BH972" s="142"/>
      <c r="BN972" s="142"/>
      <c r="BT972" s="142"/>
      <c r="BZ972" s="142"/>
      <c r="CF972" s="142"/>
      <c r="CL972" s="142"/>
      <c r="CR972" s="142"/>
      <c r="CX972" s="142"/>
      <c r="DD972" s="142"/>
      <c r="DJ972" s="142"/>
      <c r="DP972" s="142"/>
      <c r="DV972" s="142"/>
      <c r="EB972" s="142"/>
      <c r="EH972" s="142"/>
      <c r="EN972" s="142"/>
      <c r="ET972" s="142"/>
      <c r="EZ972" s="142"/>
      <c r="FF972" s="142"/>
      <c r="FL972" s="142"/>
      <c r="FR972" s="142"/>
      <c r="FX972" s="142"/>
      <c r="GD972" s="142"/>
      <c r="GJ972" s="142"/>
      <c r="GP972" s="142"/>
      <c r="GV972" s="142"/>
      <c r="HB972" s="142"/>
      <c r="HH972" s="142"/>
      <c r="HN972" s="142"/>
      <c r="HT972" s="142"/>
      <c r="HZ972" s="142"/>
    </row>
    <row r="973">
      <c r="F973" s="142"/>
      <c r="L973" s="142"/>
      <c r="R973" s="142"/>
      <c r="X973" s="142"/>
      <c r="AD973" s="142"/>
      <c r="AJ973" s="142"/>
      <c r="AP973" s="142"/>
      <c r="AV973" s="142"/>
      <c r="BA973" s="142"/>
      <c r="BH973" s="142"/>
      <c r="BN973" s="142"/>
      <c r="BT973" s="142"/>
      <c r="BZ973" s="142"/>
      <c r="CF973" s="142"/>
      <c r="CL973" s="142"/>
      <c r="CR973" s="142"/>
      <c r="CX973" s="142"/>
      <c r="DD973" s="142"/>
      <c r="DJ973" s="142"/>
      <c r="DP973" s="142"/>
      <c r="DV973" s="142"/>
      <c r="EB973" s="142"/>
      <c r="EH973" s="142"/>
      <c r="EN973" s="142"/>
      <c r="ET973" s="142"/>
      <c r="EZ973" s="142"/>
      <c r="FF973" s="142"/>
      <c r="FL973" s="142"/>
      <c r="FR973" s="142"/>
      <c r="FX973" s="142"/>
      <c r="GD973" s="142"/>
      <c r="GJ973" s="142"/>
      <c r="GP973" s="142"/>
      <c r="GV973" s="142"/>
      <c r="HB973" s="142"/>
      <c r="HH973" s="142"/>
      <c r="HN973" s="142"/>
      <c r="HT973" s="142"/>
      <c r="HZ973" s="142"/>
    </row>
    <row r="974">
      <c r="F974" s="142"/>
      <c r="L974" s="142"/>
      <c r="R974" s="142"/>
      <c r="X974" s="142"/>
      <c r="AD974" s="142"/>
      <c r="AJ974" s="142"/>
      <c r="AP974" s="142"/>
      <c r="AV974" s="142"/>
      <c r="BA974" s="142"/>
      <c r="BH974" s="142"/>
      <c r="BN974" s="142"/>
      <c r="BT974" s="142"/>
      <c r="BZ974" s="142"/>
      <c r="CF974" s="142"/>
      <c r="CL974" s="142"/>
      <c r="CR974" s="142"/>
      <c r="CX974" s="142"/>
      <c r="DD974" s="142"/>
      <c r="DJ974" s="142"/>
      <c r="DP974" s="142"/>
      <c r="DV974" s="142"/>
      <c r="EB974" s="142"/>
      <c r="EH974" s="142"/>
      <c r="EN974" s="142"/>
      <c r="ET974" s="142"/>
      <c r="EZ974" s="142"/>
      <c r="FF974" s="142"/>
      <c r="FL974" s="142"/>
      <c r="FR974" s="142"/>
      <c r="FX974" s="142"/>
      <c r="GD974" s="142"/>
      <c r="GJ974" s="142"/>
      <c r="GP974" s="142"/>
      <c r="GV974" s="142"/>
      <c r="HB974" s="142"/>
      <c r="HH974" s="142"/>
      <c r="HN974" s="142"/>
      <c r="HT974" s="142"/>
      <c r="HZ974" s="142"/>
    </row>
    <row r="975">
      <c r="F975" s="142"/>
      <c r="L975" s="142"/>
      <c r="R975" s="142"/>
      <c r="X975" s="142"/>
      <c r="AD975" s="142"/>
      <c r="AJ975" s="142"/>
      <c r="AP975" s="142"/>
      <c r="AV975" s="142"/>
      <c r="BA975" s="142"/>
      <c r="BH975" s="142"/>
      <c r="BN975" s="142"/>
      <c r="BT975" s="142"/>
      <c r="BZ975" s="142"/>
      <c r="CF975" s="142"/>
      <c r="CL975" s="142"/>
      <c r="CR975" s="142"/>
      <c r="CX975" s="142"/>
      <c r="DD975" s="142"/>
      <c r="DJ975" s="142"/>
      <c r="DP975" s="142"/>
      <c r="DV975" s="142"/>
      <c r="EB975" s="142"/>
      <c r="EH975" s="142"/>
      <c r="EN975" s="142"/>
      <c r="ET975" s="142"/>
      <c r="EZ975" s="142"/>
      <c r="FF975" s="142"/>
      <c r="FL975" s="142"/>
      <c r="FR975" s="142"/>
      <c r="FX975" s="142"/>
      <c r="GD975" s="142"/>
      <c r="GJ975" s="142"/>
      <c r="GP975" s="142"/>
      <c r="GV975" s="142"/>
      <c r="HB975" s="142"/>
      <c r="HH975" s="142"/>
      <c r="HN975" s="142"/>
      <c r="HT975" s="142"/>
      <c r="HZ975" s="142"/>
    </row>
    <row r="976">
      <c r="F976" s="142"/>
      <c r="L976" s="142"/>
      <c r="R976" s="142"/>
      <c r="X976" s="142"/>
      <c r="AD976" s="142"/>
      <c r="AJ976" s="142"/>
      <c r="AP976" s="142"/>
      <c r="AV976" s="142"/>
      <c r="BA976" s="142"/>
      <c r="BH976" s="142"/>
      <c r="BN976" s="142"/>
      <c r="BT976" s="142"/>
      <c r="BZ976" s="142"/>
      <c r="CF976" s="142"/>
      <c r="CL976" s="142"/>
      <c r="CR976" s="142"/>
      <c r="CX976" s="142"/>
      <c r="DD976" s="142"/>
      <c r="DJ976" s="142"/>
      <c r="DP976" s="142"/>
      <c r="DV976" s="142"/>
      <c r="EB976" s="142"/>
      <c r="EH976" s="142"/>
      <c r="EN976" s="142"/>
      <c r="ET976" s="142"/>
      <c r="EZ976" s="142"/>
      <c r="FF976" s="142"/>
      <c r="FL976" s="142"/>
      <c r="FR976" s="142"/>
      <c r="FX976" s="142"/>
      <c r="GD976" s="142"/>
      <c r="GJ976" s="142"/>
      <c r="GP976" s="142"/>
      <c r="GV976" s="142"/>
      <c r="HB976" s="142"/>
      <c r="HH976" s="142"/>
      <c r="HN976" s="142"/>
      <c r="HT976" s="142"/>
      <c r="HZ976" s="142"/>
    </row>
    <row r="977">
      <c r="F977" s="142"/>
      <c r="L977" s="142"/>
      <c r="R977" s="142"/>
      <c r="X977" s="142"/>
      <c r="AD977" s="142"/>
      <c r="AJ977" s="142"/>
      <c r="AP977" s="142"/>
      <c r="AV977" s="142"/>
      <c r="BA977" s="142"/>
      <c r="BH977" s="142"/>
      <c r="BN977" s="142"/>
      <c r="BT977" s="142"/>
      <c r="BZ977" s="142"/>
      <c r="CF977" s="142"/>
      <c r="CL977" s="142"/>
      <c r="CR977" s="142"/>
      <c r="CX977" s="142"/>
      <c r="DD977" s="142"/>
      <c r="DJ977" s="142"/>
      <c r="DP977" s="142"/>
      <c r="DV977" s="142"/>
      <c r="EB977" s="142"/>
      <c r="EH977" s="142"/>
      <c r="EN977" s="142"/>
      <c r="ET977" s="142"/>
      <c r="EZ977" s="142"/>
      <c r="FF977" s="142"/>
      <c r="FL977" s="142"/>
      <c r="FR977" s="142"/>
      <c r="FX977" s="142"/>
      <c r="GD977" s="142"/>
      <c r="GJ977" s="142"/>
      <c r="GP977" s="142"/>
      <c r="GV977" s="142"/>
      <c r="HB977" s="142"/>
      <c r="HH977" s="142"/>
      <c r="HN977" s="142"/>
      <c r="HT977" s="142"/>
      <c r="HZ977" s="142"/>
    </row>
    <row r="978">
      <c r="F978" s="142"/>
      <c r="L978" s="142"/>
      <c r="R978" s="142"/>
      <c r="X978" s="142"/>
      <c r="AD978" s="142"/>
      <c r="AJ978" s="142"/>
      <c r="AP978" s="142"/>
      <c r="AV978" s="142"/>
      <c r="BA978" s="142"/>
      <c r="BH978" s="142"/>
      <c r="BN978" s="142"/>
      <c r="BT978" s="142"/>
      <c r="BZ978" s="142"/>
      <c r="CF978" s="142"/>
      <c r="CL978" s="142"/>
      <c r="CR978" s="142"/>
      <c r="CX978" s="142"/>
      <c r="DD978" s="142"/>
      <c r="DJ978" s="142"/>
      <c r="DP978" s="142"/>
      <c r="DV978" s="142"/>
      <c r="EB978" s="142"/>
      <c r="EH978" s="142"/>
      <c r="EN978" s="142"/>
      <c r="ET978" s="142"/>
      <c r="EZ978" s="142"/>
      <c r="FF978" s="142"/>
      <c r="FL978" s="142"/>
      <c r="FR978" s="142"/>
      <c r="FX978" s="142"/>
      <c r="GD978" s="142"/>
      <c r="GJ978" s="142"/>
      <c r="GP978" s="142"/>
      <c r="GV978" s="142"/>
      <c r="HB978" s="142"/>
      <c r="HH978" s="142"/>
      <c r="HN978" s="142"/>
      <c r="HT978" s="142"/>
      <c r="HZ978" s="142"/>
    </row>
    <row r="979">
      <c r="F979" s="142"/>
      <c r="L979" s="142"/>
      <c r="R979" s="142"/>
      <c r="X979" s="142"/>
      <c r="AD979" s="142"/>
      <c r="AJ979" s="142"/>
      <c r="AP979" s="142"/>
      <c r="AV979" s="142"/>
      <c r="BA979" s="142"/>
      <c r="BH979" s="142"/>
      <c r="BN979" s="142"/>
      <c r="BT979" s="142"/>
      <c r="BZ979" s="142"/>
      <c r="CF979" s="142"/>
      <c r="CL979" s="142"/>
      <c r="CR979" s="142"/>
      <c r="CX979" s="142"/>
      <c r="DD979" s="142"/>
      <c r="DJ979" s="142"/>
      <c r="DP979" s="142"/>
      <c r="DV979" s="142"/>
      <c r="EB979" s="142"/>
      <c r="EH979" s="142"/>
      <c r="EN979" s="142"/>
      <c r="ET979" s="142"/>
      <c r="EZ979" s="142"/>
      <c r="FF979" s="142"/>
      <c r="FL979" s="142"/>
      <c r="FR979" s="142"/>
      <c r="FX979" s="142"/>
      <c r="GD979" s="142"/>
      <c r="GJ979" s="142"/>
      <c r="GP979" s="142"/>
      <c r="GV979" s="142"/>
      <c r="HB979" s="142"/>
      <c r="HH979" s="142"/>
      <c r="HN979" s="142"/>
      <c r="HT979" s="142"/>
      <c r="HZ979" s="142"/>
    </row>
    <row r="980">
      <c r="F980" s="142"/>
      <c r="L980" s="142"/>
      <c r="R980" s="142"/>
      <c r="X980" s="142"/>
      <c r="AD980" s="142"/>
      <c r="AJ980" s="142"/>
      <c r="AP980" s="142"/>
      <c r="AV980" s="142"/>
      <c r="BA980" s="142"/>
      <c r="BH980" s="142"/>
      <c r="BN980" s="142"/>
      <c r="BT980" s="142"/>
      <c r="BZ980" s="142"/>
      <c r="CF980" s="142"/>
      <c r="CL980" s="142"/>
      <c r="CR980" s="142"/>
      <c r="CX980" s="142"/>
      <c r="DD980" s="142"/>
      <c r="DJ980" s="142"/>
      <c r="DP980" s="142"/>
      <c r="DV980" s="142"/>
      <c r="EB980" s="142"/>
      <c r="EH980" s="142"/>
      <c r="EN980" s="142"/>
      <c r="ET980" s="142"/>
      <c r="EZ980" s="142"/>
      <c r="FF980" s="142"/>
      <c r="FL980" s="142"/>
      <c r="FR980" s="142"/>
      <c r="FX980" s="142"/>
      <c r="GD980" s="142"/>
      <c r="GJ980" s="142"/>
      <c r="GP980" s="142"/>
      <c r="GV980" s="142"/>
      <c r="HB980" s="142"/>
      <c r="HH980" s="142"/>
      <c r="HN980" s="142"/>
      <c r="HT980" s="142"/>
      <c r="HZ980" s="142"/>
    </row>
    <row r="981">
      <c r="F981" s="142"/>
      <c r="L981" s="142"/>
      <c r="R981" s="142"/>
      <c r="X981" s="142"/>
      <c r="AD981" s="142"/>
      <c r="AJ981" s="142"/>
      <c r="AP981" s="142"/>
      <c r="AV981" s="142"/>
      <c r="BA981" s="142"/>
      <c r="BH981" s="142"/>
      <c r="BN981" s="142"/>
      <c r="BT981" s="142"/>
      <c r="BZ981" s="142"/>
      <c r="CF981" s="142"/>
      <c r="CL981" s="142"/>
      <c r="CR981" s="142"/>
      <c r="CX981" s="142"/>
      <c r="DD981" s="142"/>
      <c r="DJ981" s="142"/>
      <c r="DP981" s="142"/>
      <c r="DV981" s="142"/>
      <c r="EB981" s="142"/>
      <c r="EH981" s="142"/>
      <c r="EN981" s="142"/>
      <c r="ET981" s="142"/>
      <c r="EZ981" s="142"/>
      <c r="FF981" s="142"/>
      <c r="FL981" s="142"/>
      <c r="FR981" s="142"/>
      <c r="FX981" s="142"/>
      <c r="GD981" s="142"/>
      <c r="GJ981" s="142"/>
      <c r="GP981" s="142"/>
      <c r="GV981" s="142"/>
      <c r="HB981" s="142"/>
      <c r="HH981" s="142"/>
      <c r="HN981" s="142"/>
      <c r="HT981" s="142"/>
      <c r="HZ981" s="142"/>
    </row>
    <row r="982">
      <c r="F982" s="142"/>
      <c r="L982" s="142"/>
      <c r="R982" s="142"/>
      <c r="X982" s="142"/>
      <c r="AD982" s="142"/>
      <c r="AJ982" s="142"/>
      <c r="AP982" s="142"/>
      <c r="AV982" s="142"/>
      <c r="BA982" s="142"/>
      <c r="BH982" s="142"/>
      <c r="BN982" s="142"/>
      <c r="BT982" s="142"/>
      <c r="BZ982" s="142"/>
      <c r="CF982" s="142"/>
      <c r="CL982" s="142"/>
      <c r="CR982" s="142"/>
      <c r="CX982" s="142"/>
      <c r="DD982" s="142"/>
      <c r="DJ982" s="142"/>
      <c r="DP982" s="142"/>
      <c r="DV982" s="142"/>
      <c r="EB982" s="142"/>
      <c r="EH982" s="142"/>
      <c r="EN982" s="142"/>
      <c r="ET982" s="142"/>
      <c r="EZ982" s="142"/>
      <c r="FF982" s="142"/>
      <c r="FL982" s="142"/>
      <c r="FR982" s="142"/>
      <c r="FX982" s="142"/>
      <c r="GD982" s="142"/>
      <c r="GJ982" s="142"/>
      <c r="GP982" s="142"/>
      <c r="GV982" s="142"/>
      <c r="HB982" s="142"/>
      <c r="HH982" s="142"/>
      <c r="HN982" s="142"/>
      <c r="HT982" s="142"/>
      <c r="HZ982" s="142"/>
    </row>
    <row r="983">
      <c r="F983" s="142"/>
      <c r="L983" s="142"/>
      <c r="R983" s="142"/>
      <c r="X983" s="142"/>
      <c r="AD983" s="142"/>
      <c r="AJ983" s="142"/>
      <c r="AP983" s="142"/>
      <c r="AV983" s="142"/>
      <c r="BA983" s="142"/>
      <c r="BH983" s="142"/>
      <c r="BN983" s="142"/>
      <c r="BT983" s="142"/>
      <c r="BZ983" s="142"/>
      <c r="CF983" s="142"/>
      <c r="CL983" s="142"/>
      <c r="CR983" s="142"/>
      <c r="CX983" s="142"/>
      <c r="DD983" s="142"/>
      <c r="DJ983" s="142"/>
      <c r="DP983" s="142"/>
      <c r="DV983" s="142"/>
      <c r="EB983" s="142"/>
      <c r="EH983" s="142"/>
      <c r="EN983" s="142"/>
      <c r="ET983" s="142"/>
      <c r="EZ983" s="142"/>
      <c r="FF983" s="142"/>
      <c r="FL983" s="142"/>
      <c r="FR983" s="142"/>
      <c r="FX983" s="142"/>
      <c r="GD983" s="142"/>
      <c r="GJ983" s="142"/>
      <c r="GP983" s="142"/>
      <c r="GV983" s="142"/>
      <c r="HB983" s="142"/>
      <c r="HH983" s="142"/>
      <c r="HN983" s="142"/>
      <c r="HT983" s="142"/>
      <c r="HZ983" s="142"/>
    </row>
    <row r="984">
      <c r="F984" s="142"/>
      <c r="L984" s="142"/>
      <c r="R984" s="142"/>
      <c r="X984" s="142"/>
      <c r="AD984" s="142"/>
      <c r="AJ984" s="142"/>
      <c r="AP984" s="142"/>
      <c r="AV984" s="142"/>
      <c r="BA984" s="142"/>
      <c r="BH984" s="142"/>
      <c r="BN984" s="142"/>
      <c r="BT984" s="142"/>
      <c r="BZ984" s="142"/>
      <c r="CF984" s="142"/>
      <c r="CL984" s="142"/>
      <c r="CR984" s="142"/>
      <c r="CX984" s="142"/>
      <c r="DD984" s="142"/>
      <c r="DJ984" s="142"/>
      <c r="DP984" s="142"/>
      <c r="DV984" s="142"/>
      <c r="EB984" s="142"/>
      <c r="EH984" s="142"/>
      <c r="EN984" s="142"/>
      <c r="ET984" s="142"/>
      <c r="EZ984" s="142"/>
      <c r="FF984" s="142"/>
      <c r="FL984" s="142"/>
      <c r="FR984" s="142"/>
      <c r="FX984" s="142"/>
      <c r="GD984" s="142"/>
      <c r="GJ984" s="142"/>
      <c r="GP984" s="142"/>
      <c r="GV984" s="142"/>
      <c r="HB984" s="142"/>
      <c r="HH984" s="142"/>
      <c r="HN984" s="142"/>
      <c r="HT984" s="142"/>
      <c r="HZ984" s="142"/>
    </row>
    <row r="985">
      <c r="F985" s="142"/>
      <c r="L985" s="142"/>
      <c r="R985" s="142"/>
      <c r="X985" s="142"/>
      <c r="AD985" s="142"/>
      <c r="AJ985" s="142"/>
      <c r="AP985" s="142"/>
      <c r="AV985" s="142"/>
      <c r="BA985" s="142"/>
      <c r="BH985" s="142"/>
      <c r="BN985" s="142"/>
      <c r="BT985" s="142"/>
      <c r="BZ985" s="142"/>
      <c r="CF985" s="142"/>
      <c r="CL985" s="142"/>
      <c r="CR985" s="142"/>
      <c r="CX985" s="142"/>
      <c r="DD985" s="142"/>
      <c r="DJ985" s="142"/>
      <c r="DP985" s="142"/>
      <c r="DV985" s="142"/>
      <c r="EB985" s="142"/>
      <c r="EH985" s="142"/>
      <c r="EN985" s="142"/>
      <c r="ET985" s="142"/>
      <c r="EZ985" s="142"/>
      <c r="FF985" s="142"/>
      <c r="FL985" s="142"/>
      <c r="FR985" s="142"/>
      <c r="FX985" s="142"/>
      <c r="GD985" s="142"/>
      <c r="GJ985" s="142"/>
      <c r="GP985" s="142"/>
      <c r="GV985" s="142"/>
      <c r="HB985" s="142"/>
      <c r="HH985" s="142"/>
      <c r="HN985" s="142"/>
      <c r="HT985" s="142"/>
      <c r="HZ985" s="142"/>
    </row>
    <row r="986">
      <c r="F986" s="142"/>
      <c r="L986" s="142"/>
      <c r="R986" s="142"/>
      <c r="X986" s="142"/>
      <c r="AD986" s="142"/>
      <c r="AJ986" s="142"/>
      <c r="AP986" s="142"/>
      <c r="AV986" s="142"/>
      <c r="BA986" s="142"/>
      <c r="BH986" s="142"/>
      <c r="BN986" s="142"/>
      <c r="BT986" s="142"/>
      <c r="BZ986" s="142"/>
      <c r="CF986" s="142"/>
      <c r="CL986" s="142"/>
      <c r="CR986" s="142"/>
      <c r="CX986" s="142"/>
      <c r="DD986" s="142"/>
      <c r="DJ986" s="142"/>
      <c r="DP986" s="142"/>
      <c r="DV986" s="142"/>
      <c r="EB986" s="142"/>
      <c r="EH986" s="142"/>
      <c r="EN986" s="142"/>
      <c r="ET986" s="142"/>
      <c r="EZ986" s="142"/>
      <c r="FF986" s="142"/>
      <c r="FL986" s="142"/>
      <c r="FR986" s="142"/>
      <c r="FX986" s="142"/>
      <c r="GD986" s="142"/>
      <c r="GJ986" s="142"/>
      <c r="GP986" s="142"/>
      <c r="GV986" s="142"/>
      <c r="HB986" s="142"/>
      <c r="HH986" s="142"/>
      <c r="HN986" s="142"/>
      <c r="HT986" s="142"/>
      <c r="HZ986" s="142"/>
    </row>
    <row r="987">
      <c r="F987" s="142"/>
      <c r="L987" s="142"/>
      <c r="R987" s="142"/>
      <c r="X987" s="142"/>
      <c r="AD987" s="142"/>
      <c r="AJ987" s="142"/>
      <c r="AP987" s="142"/>
      <c r="AV987" s="142"/>
      <c r="BA987" s="142"/>
      <c r="BH987" s="142"/>
      <c r="BN987" s="142"/>
      <c r="BT987" s="142"/>
      <c r="BZ987" s="142"/>
      <c r="CF987" s="142"/>
      <c r="CL987" s="142"/>
      <c r="CR987" s="142"/>
      <c r="CX987" s="142"/>
      <c r="DD987" s="142"/>
      <c r="DJ987" s="142"/>
      <c r="DP987" s="142"/>
      <c r="DV987" s="142"/>
      <c r="EB987" s="142"/>
      <c r="EH987" s="142"/>
      <c r="EN987" s="142"/>
      <c r="ET987" s="142"/>
      <c r="EZ987" s="142"/>
      <c r="FF987" s="142"/>
      <c r="FL987" s="142"/>
      <c r="FR987" s="142"/>
      <c r="FX987" s="142"/>
      <c r="GD987" s="142"/>
      <c r="GJ987" s="142"/>
      <c r="GP987" s="142"/>
      <c r="GV987" s="142"/>
      <c r="HB987" s="142"/>
      <c r="HH987" s="142"/>
      <c r="HN987" s="142"/>
      <c r="HT987" s="142"/>
      <c r="HZ987" s="142"/>
    </row>
    <row r="988">
      <c r="F988" s="142"/>
      <c r="L988" s="142"/>
      <c r="R988" s="142"/>
      <c r="X988" s="142"/>
      <c r="AD988" s="142"/>
      <c r="AJ988" s="142"/>
      <c r="AP988" s="142"/>
      <c r="AV988" s="142"/>
      <c r="BA988" s="142"/>
      <c r="BH988" s="142"/>
      <c r="BN988" s="142"/>
      <c r="BT988" s="142"/>
      <c r="BZ988" s="142"/>
      <c r="CF988" s="142"/>
      <c r="CL988" s="142"/>
      <c r="CR988" s="142"/>
      <c r="CX988" s="142"/>
      <c r="DD988" s="142"/>
      <c r="DJ988" s="142"/>
      <c r="DP988" s="142"/>
      <c r="DV988" s="142"/>
      <c r="EB988" s="142"/>
      <c r="EH988" s="142"/>
      <c r="EN988" s="142"/>
      <c r="ET988" s="142"/>
      <c r="EZ988" s="142"/>
      <c r="FF988" s="142"/>
      <c r="FL988" s="142"/>
      <c r="FR988" s="142"/>
      <c r="FX988" s="142"/>
      <c r="GD988" s="142"/>
      <c r="GJ988" s="142"/>
      <c r="GP988" s="142"/>
      <c r="GV988" s="142"/>
      <c r="HB988" s="142"/>
      <c r="HH988" s="142"/>
      <c r="HN988" s="142"/>
      <c r="HT988" s="142"/>
      <c r="HZ988" s="142"/>
    </row>
    <row r="989">
      <c r="F989" s="142"/>
      <c r="L989" s="142"/>
      <c r="R989" s="142"/>
      <c r="X989" s="142"/>
      <c r="AD989" s="142"/>
      <c r="AJ989" s="142"/>
      <c r="AP989" s="142"/>
      <c r="AV989" s="142"/>
      <c r="BA989" s="142"/>
      <c r="BH989" s="142"/>
      <c r="BN989" s="142"/>
      <c r="BT989" s="142"/>
      <c r="BZ989" s="142"/>
      <c r="CF989" s="142"/>
      <c r="CL989" s="142"/>
      <c r="CR989" s="142"/>
      <c r="CX989" s="142"/>
      <c r="DD989" s="142"/>
      <c r="DJ989" s="142"/>
      <c r="DP989" s="142"/>
      <c r="DV989" s="142"/>
      <c r="EB989" s="142"/>
      <c r="EH989" s="142"/>
      <c r="EN989" s="142"/>
      <c r="ET989" s="142"/>
      <c r="EZ989" s="142"/>
      <c r="FF989" s="142"/>
      <c r="FL989" s="142"/>
      <c r="FR989" s="142"/>
      <c r="FX989" s="142"/>
      <c r="GD989" s="142"/>
      <c r="GJ989" s="142"/>
      <c r="GP989" s="142"/>
      <c r="GV989" s="142"/>
      <c r="HB989" s="142"/>
      <c r="HH989" s="142"/>
      <c r="HN989" s="142"/>
      <c r="HT989" s="142"/>
      <c r="HZ989" s="142"/>
    </row>
    <row r="990">
      <c r="F990" s="142"/>
      <c r="L990" s="142"/>
      <c r="R990" s="142"/>
      <c r="X990" s="142"/>
      <c r="AD990" s="142"/>
      <c r="AJ990" s="142"/>
      <c r="AP990" s="142"/>
      <c r="AV990" s="142"/>
      <c r="BA990" s="142"/>
      <c r="BH990" s="142"/>
      <c r="BN990" s="142"/>
      <c r="BT990" s="142"/>
      <c r="BZ990" s="142"/>
      <c r="CF990" s="142"/>
      <c r="CL990" s="142"/>
      <c r="CR990" s="142"/>
      <c r="CX990" s="142"/>
      <c r="DD990" s="142"/>
      <c r="DJ990" s="142"/>
      <c r="DP990" s="142"/>
      <c r="DV990" s="142"/>
      <c r="EB990" s="142"/>
      <c r="EH990" s="142"/>
      <c r="EN990" s="142"/>
      <c r="ET990" s="142"/>
      <c r="EZ990" s="142"/>
      <c r="FF990" s="142"/>
      <c r="FL990" s="142"/>
      <c r="FR990" s="142"/>
      <c r="FX990" s="142"/>
      <c r="GD990" s="142"/>
      <c r="GJ990" s="142"/>
      <c r="GP990" s="142"/>
      <c r="GV990" s="142"/>
      <c r="HB990" s="142"/>
      <c r="HH990" s="142"/>
      <c r="HN990" s="142"/>
      <c r="HT990" s="142"/>
      <c r="HZ990" s="142"/>
    </row>
    <row r="991">
      <c r="F991" s="142"/>
      <c r="L991" s="142"/>
      <c r="R991" s="142"/>
      <c r="X991" s="142"/>
      <c r="AD991" s="142"/>
      <c r="AJ991" s="142"/>
      <c r="AP991" s="142"/>
      <c r="AV991" s="142"/>
      <c r="BA991" s="142"/>
      <c r="BH991" s="142"/>
      <c r="BN991" s="142"/>
      <c r="BT991" s="142"/>
      <c r="BZ991" s="142"/>
      <c r="CF991" s="142"/>
      <c r="CL991" s="142"/>
      <c r="CR991" s="142"/>
      <c r="CX991" s="142"/>
      <c r="DD991" s="142"/>
      <c r="DJ991" s="142"/>
      <c r="DP991" s="142"/>
      <c r="DV991" s="142"/>
      <c r="EB991" s="142"/>
      <c r="EH991" s="142"/>
      <c r="EN991" s="142"/>
      <c r="ET991" s="142"/>
      <c r="EZ991" s="142"/>
      <c r="FF991" s="142"/>
      <c r="FL991" s="142"/>
      <c r="FR991" s="142"/>
      <c r="FX991" s="142"/>
      <c r="GD991" s="142"/>
      <c r="GJ991" s="142"/>
      <c r="GP991" s="142"/>
      <c r="GV991" s="142"/>
      <c r="HB991" s="142"/>
      <c r="HH991" s="142"/>
      <c r="HN991" s="142"/>
      <c r="HT991" s="142"/>
      <c r="HZ991" s="142"/>
    </row>
    <row r="992">
      <c r="F992" s="142"/>
      <c r="L992" s="142"/>
      <c r="R992" s="142"/>
      <c r="X992" s="142"/>
      <c r="AD992" s="142"/>
      <c r="AJ992" s="142"/>
      <c r="AP992" s="142"/>
      <c r="AV992" s="142"/>
      <c r="BA992" s="142"/>
      <c r="BH992" s="142"/>
      <c r="BN992" s="142"/>
      <c r="BT992" s="142"/>
      <c r="BZ992" s="142"/>
      <c r="CF992" s="142"/>
      <c r="CL992" s="142"/>
      <c r="CR992" s="142"/>
      <c r="CX992" s="142"/>
      <c r="DD992" s="142"/>
      <c r="DJ992" s="142"/>
      <c r="DP992" s="142"/>
      <c r="DV992" s="142"/>
      <c r="EB992" s="142"/>
      <c r="EH992" s="142"/>
      <c r="EN992" s="142"/>
      <c r="ET992" s="142"/>
      <c r="EZ992" s="142"/>
      <c r="FF992" s="142"/>
      <c r="FL992" s="142"/>
      <c r="FR992" s="142"/>
      <c r="FX992" s="142"/>
      <c r="GD992" s="142"/>
      <c r="GJ992" s="142"/>
      <c r="GP992" s="142"/>
      <c r="GV992" s="142"/>
      <c r="HB992" s="142"/>
      <c r="HH992" s="142"/>
      <c r="HN992" s="142"/>
      <c r="HT992" s="142"/>
      <c r="HZ992" s="142"/>
    </row>
    <row r="993">
      <c r="F993" s="142"/>
      <c r="L993" s="142"/>
      <c r="R993" s="142"/>
      <c r="X993" s="142"/>
      <c r="AD993" s="142"/>
      <c r="AJ993" s="142"/>
      <c r="AP993" s="142"/>
      <c r="AV993" s="142"/>
      <c r="BA993" s="142"/>
      <c r="BH993" s="142"/>
      <c r="BN993" s="142"/>
      <c r="BT993" s="142"/>
      <c r="BZ993" s="142"/>
      <c r="CF993" s="142"/>
      <c r="CL993" s="142"/>
      <c r="CR993" s="142"/>
      <c r="CX993" s="142"/>
      <c r="DD993" s="142"/>
      <c r="DJ993" s="142"/>
      <c r="DP993" s="142"/>
      <c r="DV993" s="142"/>
      <c r="EB993" s="142"/>
      <c r="EH993" s="142"/>
      <c r="EN993" s="142"/>
      <c r="ET993" s="142"/>
      <c r="EZ993" s="142"/>
      <c r="FF993" s="142"/>
      <c r="FL993" s="142"/>
      <c r="FR993" s="142"/>
      <c r="FX993" s="142"/>
      <c r="GD993" s="142"/>
      <c r="GJ993" s="142"/>
      <c r="GP993" s="142"/>
      <c r="GV993" s="142"/>
      <c r="HB993" s="142"/>
      <c r="HH993" s="142"/>
      <c r="HN993" s="142"/>
      <c r="HT993" s="142"/>
      <c r="HZ993" s="142"/>
    </row>
    <row r="994">
      <c r="F994" s="142"/>
      <c r="L994" s="142"/>
      <c r="R994" s="142"/>
      <c r="X994" s="142"/>
      <c r="AD994" s="142"/>
      <c r="AJ994" s="142"/>
      <c r="AP994" s="142"/>
      <c r="AV994" s="142"/>
      <c r="BA994" s="142"/>
      <c r="BH994" s="142"/>
      <c r="BN994" s="142"/>
      <c r="BT994" s="142"/>
      <c r="BZ994" s="142"/>
      <c r="CF994" s="142"/>
      <c r="CL994" s="142"/>
      <c r="CR994" s="142"/>
      <c r="CX994" s="142"/>
      <c r="DD994" s="142"/>
      <c r="DJ994" s="142"/>
      <c r="DP994" s="142"/>
      <c r="DV994" s="142"/>
      <c r="EB994" s="142"/>
      <c r="EH994" s="142"/>
      <c r="EN994" s="142"/>
      <c r="ET994" s="142"/>
      <c r="EZ994" s="142"/>
      <c r="FF994" s="142"/>
      <c r="FL994" s="142"/>
      <c r="FR994" s="142"/>
      <c r="FX994" s="142"/>
      <c r="GD994" s="142"/>
      <c r="GJ994" s="142"/>
      <c r="GP994" s="142"/>
      <c r="GV994" s="142"/>
      <c r="HB994" s="142"/>
      <c r="HH994" s="142"/>
      <c r="HN994" s="142"/>
      <c r="HT994" s="142"/>
      <c r="HZ994" s="142"/>
    </row>
    <row r="995">
      <c r="F995" s="142"/>
      <c r="L995" s="142"/>
      <c r="R995" s="142"/>
      <c r="X995" s="142"/>
      <c r="AD995" s="142"/>
      <c r="AJ995" s="142"/>
      <c r="AP995" s="142"/>
      <c r="AV995" s="142"/>
      <c r="BA995" s="142"/>
      <c r="BH995" s="142"/>
      <c r="BN995" s="142"/>
      <c r="BT995" s="142"/>
      <c r="BZ995" s="142"/>
      <c r="CF995" s="142"/>
      <c r="CL995" s="142"/>
      <c r="CR995" s="142"/>
      <c r="CX995" s="142"/>
      <c r="DD995" s="142"/>
      <c r="DJ995" s="142"/>
      <c r="DP995" s="142"/>
      <c r="DV995" s="142"/>
      <c r="EB995" s="142"/>
      <c r="EH995" s="142"/>
      <c r="EN995" s="142"/>
      <c r="ET995" s="142"/>
      <c r="EZ995" s="142"/>
      <c r="FF995" s="142"/>
      <c r="FL995" s="142"/>
      <c r="FR995" s="142"/>
      <c r="FX995" s="142"/>
      <c r="GD995" s="142"/>
      <c r="GJ995" s="142"/>
      <c r="GP995" s="142"/>
      <c r="GV995" s="142"/>
      <c r="HB995" s="142"/>
      <c r="HH995" s="142"/>
      <c r="HN995" s="142"/>
      <c r="HT995" s="142"/>
      <c r="HZ995" s="142"/>
    </row>
    <row r="996">
      <c r="F996" s="142"/>
      <c r="L996" s="142"/>
      <c r="R996" s="142"/>
      <c r="X996" s="142"/>
      <c r="AD996" s="142"/>
      <c r="AJ996" s="142"/>
      <c r="AP996" s="142"/>
      <c r="AV996" s="142"/>
      <c r="BA996" s="142"/>
      <c r="BH996" s="142"/>
      <c r="BN996" s="142"/>
      <c r="BT996" s="142"/>
      <c r="BZ996" s="142"/>
      <c r="CF996" s="142"/>
      <c r="CL996" s="142"/>
      <c r="CR996" s="142"/>
      <c r="CX996" s="142"/>
      <c r="DD996" s="142"/>
      <c r="DJ996" s="142"/>
      <c r="DP996" s="142"/>
      <c r="DV996" s="142"/>
      <c r="EB996" s="142"/>
      <c r="EH996" s="142"/>
      <c r="EN996" s="142"/>
      <c r="ET996" s="142"/>
      <c r="EZ996" s="142"/>
      <c r="FF996" s="142"/>
      <c r="FL996" s="142"/>
      <c r="FR996" s="142"/>
      <c r="FX996" s="142"/>
      <c r="GD996" s="142"/>
      <c r="GJ996" s="142"/>
      <c r="GP996" s="142"/>
      <c r="GV996" s="142"/>
      <c r="HB996" s="142"/>
      <c r="HH996" s="142"/>
      <c r="HN996" s="142"/>
      <c r="HT996" s="142"/>
      <c r="HZ996" s="142"/>
    </row>
    <row r="997">
      <c r="F997" s="142"/>
      <c r="L997" s="142"/>
      <c r="R997" s="142"/>
      <c r="X997" s="142"/>
      <c r="AD997" s="142"/>
      <c r="AJ997" s="142"/>
      <c r="AP997" s="142"/>
      <c r="AV997" s="142"/>
      <c r="BA997" s="142"/>
      <c r="BH997" s="142"/>
      <c r="BN997" s="142"/>
      <c r="BT997" s="142"/>
      <c r="BZ997" s="142"/>
      <c r="CF997" s="142"/>
      <c r="CL997" s="142"/>
      <c r="CR997" s="142"/>
      <c r="CX997" s="142"/>
      <c r="DD997" s="142"/>
      <c r="DJ997" s="142"/>
      <c r="DP997" s="142"/>
      <c r="DV997" s="142"/>
      <c r="EB997" s="142"/>
      <c r="EH997" s="142"/>
      <c r="EN997" s="142"/>
      <c r="ET997" s="142"/>
      <c r="EZ997" s="142"/>
      <c r="FF997" s="142"/>
      <c r="FL997" s="142"/>
      <c r="FR997" s="142"/>
      <c r="FX997" s="142"/>
      <c r="GD997" s="142"/>
      <c r="GJ997" s="142"/>
      <c r="GP997" s="142"/>
      <c r="GV997" s="142"/>
      <c r="HB997" s="142"/>
      <c r="HH997" s="142"/>
      <c r="HN997" s="142"/>
      <c r="HT997" s="142"/>
      <c r="HZ997" s="142"/>
    </row>
    <row r="998">
      <c r="F998" s="142"/>
      <c r="L998" s="142"/>
      <c r="R998" s="142"/>
      <c r="X998" s="142"/>
      <c r="AD998" s="142"/>
      <c r="AJ998" s="142"/>
      <c r="AP998" s="142"/>
      <c r="AV998" s="142"/>
      <c r="BA998" s="142"/>
      <c r="BH998" s="142"/>
      <c r="BN998" s="142"/>
      <c r="BT998" s="142"/>
      <c r="BZ998" s="142"/>
      <c r="CF998" s="142"/>
      <c r="CL998" s="142"/>
      <c r="CR998" s="142"/>
      <c r="CX998" s="142"/>
      <c r="DD998" s="142"/>
      <c r="DJ998" s="142"/>
      <c r="DP998" s="142"/>
      <c r="DV998" s="142"/>
      <c r="EB998" s="142"/>
      <c r="EH998" s="142"/>
      <c r="EN998" s="142"/>
      <c r="ET998" s="142"/>
      <c r="EZ998" s="142"/>
      <c r="FF998" s="142"/>
      <c r="FL998" s="142"/>
      <c r="FR998" s="142"/>
      <c r="FX998" s="142"/>
      <c r="GD998" s="142"/>
      <c r="GJ998" s="142"/>
      <c r="GP998" s="142"/>
      <c r="GV998" s="142"/>
      <c r="HB998" s="142"/>
      <c r="HH998" s="142"/>
      <c r="HN998" s="142"/>
      <c r="HT998" s="142"/>
      <c r="HZ998" s="142"/>
    </row>
    <row r="999">
      <c r="F999" s="142"/>
      <c r="L999" s="142"/>
      <c r="R999" s="142"/>
      <c r="X999" s="142"/>
      <c r="AD999" s="142"/>
      <c r="AJ999" s="142"/>
      <c r="AP999" s="142"/>
      <c r="AV999" s="142"/>
      <c r="BA999" s="142"/>
      <c r="BH999" s="142"/>
      <c r="BN999" s="142"/>
      <c r="BT999" s="142"/>
      <c r="BZ999" s="142"/>
      <c r="CF999" s="142"/>
      <c r="CL999" s="142"/>
      <c r="CR999" s="142"/>
      <c r="CX999" s="142"/>
      <c r="DD999" s="142"/>
      <c r="DJ999" s="142"/>
      <c r="DP999" s="142"/>
      <c r="DV999" s="142"/>
      <c r="EB999" s="142"/>
      <c r="EH999" s="142"/>
      <c r="EN999" s="142"/>
      <c r="ET999" s="142"/>
      <c r="EZ999" s="142"/>
      <c r="FF999" s="142"/>
      <c r="FL999" s="142"/>
      <c r="FR999" s="142"/>
      <c r="FX999" s="142"/>
      <c r="GD999" s="142"/>
      <c r="GJ999" s="142"/>
      <c r="GP999" s="142"/>
      <c r="GV999" s="142"/>
      <c r="HB999" s="142"/>
      <c r="HH999" s="142"/>
      <c r="HN999" s="142"/>
      <c r="HT999" s="142"/>
      <c r="HZ999" s="142"/>
    </row>
    <row r="1000">
      <c r="F1000" s="142"/>
      <c r="L1000" s="142"/>
      <c r="R1000" s="142"/>
      <c r="X1000" s="142"/>
      <c r="AD1000" s="142"/>
      <c r="AJ1000" s="142"/>
      <c r="AP1000" s="142"/>
      <c r="AV1000" s="142"/>
      <c r="BA1000" s="142"/>
      <c r="BH1000" s="142"/>
      <c r="BN1000" s="142"/>
      <c r="BT1000" s="142"/>
      <c r="BZ1000" s="142"/>
      <c r="CF1000" s="142"/>
      <c r="CL1000" s="142"/>
      <c r="CR1000" s="142"/>
      <c r="CX1000" s="142"/>
      <c r="DD1000" s="142"/>
      <c r="DJ1000" s="142"/>
      <c r="DP1000" s="142"/>
      <c r="DV1000" s="142"/>
      <c r="EB1000" s="142"/>
      <c r="EH1000" s="142"/>
      <c r="EN1000" s="142"/>
      <c r="ET1000" s="142"/>
      <c r="EZ1000" s="142"/>
      <c r="FF1000" s="142"/>
      <c r="FL1000" s="142"/>
      <c r="FR1000" s="142"/>
      <c r="FX1000" s="142"/>
      <c r="GD1000" s="142"/>
      <c r="GJ1000" s="142"/>
      <c r="GP1000" s="142"/>
      <c r="GV1000" s="142"/>
      <c r="HB1000" s="142"/>
      <c r="HH1000" s="142"/>
      <c r="HN1000" s="142"/>
      <c r="HT1000" s="142"/>
      <c r="HZ1000" s="14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10" max="10" width="15.5"/>
  </cols>
  <sheetData>
    <row r="1">
      <c r="A1" s="160" t="str">
        <f>IFERROR(__xludf.DUMMYFUNCTION("IMPORTRANGE(""https://docs.google.com/spreadsheets/d/1Gna-QPqm5nMkASafIfGgLUIyj2TONZSOf-NI_7eoyt8/edit?gid=0#gid=0"",""CONVENTIONAL SOYBEAN!A1:ED4"")"),"#REF!")</f>
        <v>#REF!</v>
      </c>
      <c r="B1" s="160"/>
      <c r="C1" s="160"/>
      <c r="D1" s="160"/>
      <c r="E1" s="160"/>
      <c r="F1" s="161"/>
      <c r="G1" s="160"/>
      <c r="H1" s="160"/>
      <c r="I1" s="160"/>
      <c r="J1" s="160"/>
      <c r="K1" s="160"/>
      <c r="L1" s="161"/>
      <c r="M1" s="160"/>
      <c r="N1" s="160"/>
      <c r="O1" s="160"/>
      <c r="P1" s="160"/>
      <c r="Q1" s="160"/>
      <c r="R1" s="161"/>
      <c r="S1" s="160"/>
      <c r="T1" s="160"/>
      <c r="U1" s="160"/>
      <c r="V1" s="160"/>
      <c r="W1" s="160"/>
      <c r="X1" s="161"/>
      <c r="Y1" s="160"/>
      <c r="Z1" s="160"/>
      <c r="AA1" s="160"/>
      <c r="AB1" s="160"/>
      <c r="AC1" s="160"/>
      <c r="AD1" s="161"/>
      <c r="AE1" s="160"/>
      <c r="AF1" s="160"/>
      <c r="AG1" s="160"/>
      <c r="AH1" s="160"/>
      <c r="AI1" s="160"/>
      <c r="AJ1" s="161"/>
      <c r="AK1" s="160"/>
      <c r="AL1" s="160"/>
      <c r="AM1" s="160"/>
      <c r="AN1" s="160"/>
      <c r="AO1" s="160"/>
      <c r="AP1" s="161"/>
      <c r="AQ1" s="160"/>
      <c r="AR1" s="160"/>
      <c r="AS1" s="160"/>
      <c r="AT1" s="160"/>
      <c r="AU1" s="160"/>
      <c r="AV1" s="161"/>
      <c r="AW1" s="160"/>
      <c r="AX1" s="160"/>
      <c r="AY1" s="160"/>
      <c r="AZ1" s="160"/>
      <c r="BA1" s="160"/>
      <c r="BB1" s="161"/>
      <c r="BC1" s="160"/>
      <c r="BD1" s="160"/>
      <c r="BE1" s="160"/>
      <c r="BF1" s="160"/>
      <c r="BG1" s="160"/>
      <c r="BH1" s="161"/>
      <c r="BI1" s="160"/>
      <c r="BJ1" s="160"/>
      <c r="BK1" s="160"/>
      <c r="BL1" s="160"/>
      <c r="BM1" s="160"/>
      <c r="BN1" s="161"/>
      <c r="BO1" s="160"/>
      <c r="BP1" s="160"/>
      <c r="BQ1" s="160"/>
      <c r="BR1" s="160"/>
      <c r="BS1" s="160"/>
      <c r="BT1" s="161"/>
      <c r="BU1" s="160"/>
      <c r="BV1" s="160"/>
      <c r="BW1" s="160"/>
      <c r="BX1" s="160"/>
      <c r="BY1" s="160"/>
      <c r="BZ1" s="161"/>
      <c r="CA1" s="160"/>
      <c r="CB1" s="160"/>
      <c r="CC1" s="160"/>
      <c r="CD1" s="160"/>
      <c r="CE1" s="160"/>
      <c r="CF1" s="161"/>
      <c r="CG1" s="160"/>
      <c r="CH1" s="160"/>
      <c r="CI1" s="160"/>
      <c r="CJ1" s="160"/>
      <c r="CK1" s="160"/>
      <c r="CL1" s="161"/>
      <c r="CM1" s="160"/>
      <c r="CN1" s="160"/>
      <c r="CO1" s="160"/>
      <c r="CP1" s="160"/>
      <c r="CQ1" s="160"/>
      <c r="CR1" s="161"/>
      <c r="CS1" s="160"/>
      <c r="CT1" s="160"/>
      <c r="CU1" s="160"/>
      <c r="CV1" s="160"/>
      <c r="CW1" s="160"/>
      <c r="CX1" s="161"/>
      <c r="CY1" s="160"/>
      <c r="CZ1" s="160"/>
      <c r="DA1" s="160"/>
      <c r="DB1" s="160"/>
      <c r="DC1" s="160"/>
      <c r="DD1" s="161"/>
      <c r="DE1" s="160"/>
      <c r="DF1" s="160"/>
      <c r="DG1" s="160"/>
      <c r="DH1" s="160"/>
      <c r="DI1" s="160"/>
      <c r="DJ1" s="161"/>
      <c r="DK1" s="160"/>
      <c r="DL1" s="160"/>
      <c r="DM1" s="160"/>
      <c r="DN1" s="160"/>
      <c r="DO1" s="160"/>
      <c r="DP1" s="161"/>
      <c r="DQ1" s="160"/>
      <c r="DR1" s="160"/>
      <c r="DS1" s="160"/>
      <c r="DT1" s="160"/>
      <c r="DU1" s="160"/>
      <c r="DV1" s="161"/>
      <c r="DW1" s="160"/>
      <c r="DX1" s="160"/>
      <c r="DY1" s="160"/>
      <c r="DZ1" s="160"/>
      <c r="EA1" s="160"/>
      <c r="EB1" s="161"/>
      <c r="EC1" s="160"/>
      <c r="ED1" s="160"/>
      <c r="EE1" s="160"/>
      <c r="EF1" s="160"/>
      <c r="EG1" s="160"/>
      <c r="EH1" s="160"/>
      <c r="EI1" s="160"/>
      <c r="EJ1" s="160"/>
      <c r="EK1" s="160"/>
      <c r="EL1" s="160"/>
      <c r="EM1" s="160"/>
      <c r="EN1" s="160"/>
      <c r="EO1" s="160"/>
      <c r="EP1" s="160"/>
      <c r="EQ1" s="160"/>
      <c r="ER1" s="160"/>
      <c r="ES1" s="160"/>
      <c r="ET1" s="160"/>
      <c r="EU1" s="160"/>
      <c r="EV1" s="160"/>
      <c r="EW1" s="160"/>
      <c r="EX1" s="160"/>
      <c r="EY1" s="160"/>
      <c r="EZ1" s="160"/>
      <c r="FA1" s="160"/>
      <c r="FB1" s="160"/>
      <c r="FC1" s="160"/>
      <c r="FD1" s="160"/>
      <c r="FE1" s="160"/>
      <c r="FF1" s="160"/>
      <c r="FG1" s="160"/>
      <c r="FH1" s="160"/>
      <c r="FI1" s="160"/>
      <c r="FJ1" s="160"/>
      <c r="FK1" s="160"/>
      <c r="FL1" s="160"/>
      <c r="FM1" s="160"/>
      <c r="FN1" s="160"/>
      <c r="FO1" s="160"/>
      <c r="FP1" s="160"/>
      <c r="FQ1" s="160"/>
      <c r="FR1" s="160"/>
      <c r="FS1" s="160"/>
      <c r="FT1" s="160"/>
      <c r="FU1" s="160"/>
      <c r="FV1" s="160"/>
      <c r="FW1" s="160"/>
      <c r="FX1" s="160"/>
      <c r="FY1" s="160"/>
      <c r="FZ1" s="160"/>
      <c r="GA1" s="160"/>
      <c r="GB1" s="160"/>
      <c r="GC1" s="160"/>
      <c r="GD1" s="160"/>
      <c r="GE1" s="160"/>
      <c r="GF1" s="160"/>
      <c r="GG1" s="160"/>
      <c r="GH1" s="160"/>
      <c r="GI1" s="160"/>
      <c r="GJ1" s="160"/>
      <c r="GK1" s="160"/>
      <c r="GL1" s="160"/>
      <c r="GM1" s="160"/>
      <c r="GN1" s="160"/>
      <c r="GO1" s="160"/>
      <c r="GP1" s="160"/>
      <c r="GQ1" s="160"/>
      <c r="GR1" s="160"/>
      <c r="GS1" s="160"/>
      <c r="GT1" s="160"/>
      <c r="GU1" s="160"/>
      <c r="GV1" s="160"/>
      <c r="GW1" s="160"/>
      <c r="GX1" s="160"/>
      <c r="GY1" s="160"/>
      <c r="GZ1" s="160"/>
      <c r="HA1" s="160"/>
      <c r="HB1" s="160"/>
      <c r="HC1" s="160"/>
      <c r="HD1" s="160"/>
      <c r="HE1" s="160"/>
      <c r="HF1" s="160"/>
      <c r="HG1" s="160"/>
      <c r="HH1" s="160"/>
      <c r="HI1" s="160"/>
      <c r="HJ1" s="160"/>
      <c r="HK1" s="160"/>
      <c r="HL1" s="160"/>
      <c r="HM1" s="160"/>
      <c r="HN1" s="160"/>
      <c r="HO1" s="160"/>
      <c r="HP1" s="160"/>
      <c r="HQ1" s="160"/>
      <c r="HR1" s="160"/>
      <c r="HS1" s="160"/>
      <c r="HT1" s="160"/>
      <c r="HU1" s="160"/>
      <c r="HV1" s="160"/>
      <c r="HW1" s="160"/>
      <c r="HX1" s="160"/>
      <c r="HY1" s="160"/>
      <c r="HZ1" s="160"/>
      <c r="IA1" s="160"/>
      <c r="IB1" s="160"/>
      <c r="IC1" s="160"/>
      <c r="ID1" s="160"/>
      <c r="IE1" s="160"/>
      <c r="IF1" s="160"/>
      <c r="IG1" s="160"/>
      <c r="IH1" s="160"/>
      <c r="II1" s="160"/>
    </row>
    <row r="2">
      <c r="A2" s="137"/>
      <c r="B2" s="137"/>
      <c r="C2" s="137"/>
      <c r="D2" s="137"/>
      <c r="E2" s="137"/>
      <c r="F2" s="138"/>
      <c r="G2" s="137"/>
      <c r="H2" s="137"/>
      <c r="I2" s="137"/>
      <c r="J2" s="137"/>
      <c r="K2" s="137"/>
      <c r="L2" s="138"/>
      <c r="M2" s="137"/>
      <c r="N2" s="137"/>
      <c r="O2" s="137"/>
      <c r="P2" s="137"/>
      <c r="Q2" s="137"/>
      <c r="R2" s="138"/>
      <c r="S2" s="137"/>
      <c r="T2" s="137"/>
      <c r="U2" s="137"/>
      <c r="V2" s="137"/>
      <c r="W2" s="137"/>
      <c r="X2" s="138"/>
      <c r="Y2" s="137"/>
      <c r="Z2" s="137"/>
      <c r="AA2" s="137"/>
      <c r="AB2" s="137"/>
      <c r="AC2" s="137"/>
      <c r="AD2" s="138"/>
      <c r="AE2" s="137"/>
      <c r="AF2" s="137"/>
      <c r="AG2" s="137"/>
      <c r="AH2" s="137"/>
      <c r="AI2" s="137"/>
      <c r="AJ2" s="138"/>
      <c r="AK2" s="137"/>
      <c r="AL2" s="137"/>
      <c r="AM2" s="137"/>
      <c r="AN2" s="137"/>
      <c r="AO2" s="137"/>
      <c r="AP2" s="138"/>
      <c r="AQ2" s="137"/>
      <c r="AR2" s="137"/>
      <c r="AS2" s="137"/>
      <c r="AT2" s="137"/>
      <c r="AU2" s="137"/>
      <c r="AV2" s="138"/>
      <c r="AW2" s="137"/>
      <c r="AX2" s="137"/>
      <c r="AY2" s="137"/>
      <c r="AZ2" s="137"/>
      <c r="BA2" s="137"/>
      <c r="BB2" s="138"/>
      <c r="BC2" s="137"/>
      <c r="BD2" s="137"/>
      <c r="BE2" s="137"/>
      <c r="BF2" s="137"/>
      <c r="BG2" s="137"/>
      <c r="BH2" s="138"/>
      <c r="BI2" s="137"/>
      <c r="BJ2" s="137"/>
      <c r="BK2" s="137"/>
      <c r="BL2" s="137"/>
      <c r="BM2" s="137"/>
      <c r="BN2" s="138"/>
      <c r="BO2" s="137"/>
      <c r="BP2" s="137"/>
      <c r="BQ2" s="137"/>
      <c r="BR2" s="137"/>
      <c r="BS2" s="137"/>
      <c r="BT2" s="138"/>
      <c r="BU2" s="137"/>
      <c r="BV2" s="137"/>
      <c r="BW2" s="137"/>
      <c r="BX2" s="137"/>
      <c r="BY2" s="137"/>
      <c r="BZ2" s="138"/>
      <c r="CA2" s="137"/>
      <c r="CB2" s="137"/>
      <c r="CC2" s="137"/>
      <c r="CD2" s="137"/>
      <c r="CE2" s="137"/>
      <c r="CF2" s="138"/>
      <c r="CG2" s="137"/>
      <c r="CH2" s="137"/>
      <c r="CI2" s="137"/>
      <c r="CJ2" s="137"/>
      <c r="CK2" s="137"/>
      <c r="CL2" s="138"/>
      <c r="CM2" s="137"/>
      <c r="CN2" s="137"/>
      <c r="CO2" s="137"/>
      <c r="CP2" s="137"/>
      <c r="CQ2" s="137"/>
      <c r="CR2" s="138"/>
      <c r="CS2" s="137"/>
      <c r="CT2" s="137"/>
      <c r="CU2" s="137"/>
      <c r="CV2" s="137"/>
      <c r="CW2" s="137"/>
      <c r="CX2" s="138"/>
      <c r="CY2" s="137"/>
      <c r="CZ2" s="137"/>
      <c r="DA2" s="137"/>
      <c r="DB2" s="137"/>
      <c r="DC2" s="137"/>
      <c r="DD2" s="138"/>
      <c r="DE2" s="137"/>
      <c r="DF2" s="137"/>
      <c r="DG2" s="137"/>
      <c r="DH2" s="137"/>
      <c r="DI2" s="137"/>
      <c r="DJ2" s="138"/>
      <c r="DK2" s="137"/>
      <c r="DL2" s="137"/>
      <c r="DM2" s="137"/>
      <c r="DN2" s="137"/>
      <c r="DO2" s="137"/>
      <c r="DP2" s="138"/>
      <c r="DQ2" s="137"/>
      <c r="DR2" s="137"/>
      <c r="DS2" s="137"/>
      <c r="DT2" s="137"/>
      <c r="DU2" s="137"/>
      <c r="DV2" s="138"/>
      <c r="DW2" s="137"/>
      <c r="DX2" s="137"/>
      <c r="DY2" s="137"/>
      <c r="DZ2" s="137"/>
      <c r="EA2" s="137"/>
      <c r="EB2" s="138"/>
      <c r="EC2" s="137"/>
      <c r="ED2" s="137"/>
      <c r="EE2" s="137"/>
      <c r="EF2" s="137"/>
      <c r="EG2" s="137"/>
      <c r="EH2" s="137"/>
      <c r="EI2" s="137"/>
      <c r="EJ2" s="137"/>
      <c r="EK2" s="137"/>
      <c r="EL2" s="137"/>
      <c r="EM2" s="137"/>
      <c r="EN2" s="137"/>
      <c r="EO2" s="137"/>
      <c r="EP2" s="137"/>
      <c r="EQ2" s="137"/>
      <c r="ER2" s="137"/>
      <c r="ES2" s="137"/>
      <c r="ET2" s="137"/>
      <c r="EU2" s="137"/>
      <c r="EV2" s="137"/>
      <c r="EW2" s="137"/>
      <c r="EX2" s="137"/>
      <c r="EY2" s="137"/>
      <c r="EZ2" s="137"/>
      <c r="FA2" s="137"/>
      <c r="FB2" s="137"/>
      <c r="FC2" s="137"/>
      <c r="FD2" s="137"/>
      <c r="FE2" s="137"/>
      <c r="FF2" s="137"/>
      <c r="FG2" s="137"/>
      <c r="FH2" s="137"/>
      <c r="FI2" s="137"/>
      <c r="FJ2" s="137"/>
      <c r="FK2" s="137"/>
      <c r="FL2" s="137"/>
      <c r="FM2" s="137"/>
      <c r="FN2" s="137"/>
      <c r="FO2" s="137"/>
      <c r="FP2" s="137"/>
      <c r="FQ2" s="137"/>
      <c r="FR2" s="137"/>
      <c r="FS2" s="137"/>
      <c r="FT2" s="137"/>
      <c r="FU2" s="137"/>
      <c r="FV2" s="137"/>
      <c r="FW2" s="137"/>
      <c r="FX2" s="137"/>
      <c r="FY2" s="137"/>
      <c r="FZ2" s="137"/>
      <c r="GA2" s="137"/>
      <c r="GB2" s="137"/>
      <c r="GC2" s="137"/>
      <c r="GD2" s="137"/>
      <c r="GE2" s="137"/>
      <c r="GF2" s="137"/>
      <c r="GG2" s="137"/>
      <c r="GH2" s="137"/>
      <c r="GI2" s="137"/>
      <c r="GJ2" s="137"/>
      <c r="GK2" s="137"/>
      <c r="GL2" s="137"/>
      <c r="GM2" s="137"/>
      <c r="GN2" s="137"/>
      <c r="GO2" s="137"/>
      <c r="GP2" s="137"/>
      <c r="GQ2" s="137"/>
      <c r="GR2" s="137"/>
      <c r="GS2" s="137"/>
      <c r="GT2" s="137"/>
      <c r="GU2" s="137"/>
      <c r="GV2" s="137"/>
      <c r="GW2" s="137"/>
      <c r="GX2" s="137"/>
      <c r="GY2" s="137"/>
      <c r="GZ2" s="137"/>
      <c r="HA2" s="137"/>
      <c r="HB2" s="137"/>
      <c r="HC2" s="137"/>
      <c r="HD2" s="137"/>
      <c r="HE2" s="137"/>
      <c r="HF2" s="137"/>
      <c r="HG2" s="137"/>
      <c r="HH2" s="137"/>
      <c r="HI2" s="137"/>
      <c r="HJ2" s="137"/>
      <c r="HK2" s="137"/>
      <c r="HL2" s="137"/>
      <c r="HM2" s="137"/>
      <c r="HN2" s="137"/>
      <c r="HO2" s="137"/>
      <c r="HP2" s="137"/>
      <c r="HQ2" s="137"/>
      <c r="HR2" s="137"/>
      <c r="HS2" s="137"/>
      <c r="HT2" s="137"/>
      <c r="HU2" s="137"/>
      <c r="HV2" s="137"/>
      <c r="HW2" s="137"/>
      <c r="HX2" s="137"/>
      <c r="HY2" s="137"/>
      <c r="HZ2" s="137"/>
      <c r="IA2" s="137"/>
      <c r="IB2" s="137"/>
      <c r="IC2" s="137"/>
      <c r="ID2" s="137"/>
      <c r="IE2" s="137"/>
      <c r="IF2" s="137"/>
      <c r="IG2" s="137"/>
      <c r="IH2" s="137"/>
      <c r="II2" s="137"/>
    </row>
    <row r="3">
      <c r="A3" s="137"/>
      <c r="B3" s="137"/>
      <c r="C3" s="137"/>
      <c r="D3" s="137"/>
      <c r="E3" s="137"/>
      <c r="F3" s="138"/>
      <c r="G3" s="137"/>
      <c r="H3" s="137"/>
      <c r="I3" s="137"/>
      <c r="J3" s="137"/>
      <c r="K3" s="137"/>
      <c r="L3" s="138"/>
      <c r="M3" s="137"/>
      <c r="N3" s="137"/>
      <c r="O3" s="137"/>
      <c r="P3" s="137"/>
      <c r="Q3" s="137"/>
      <c r="R3" s="138"/>
      <c r="S3" s="137"/>
      <c r="T3" s="137"/>
      <c r="U3" s="137"/>
      <c r="V3" s="137"/>
      <c r="W3" s="137"/>
      <c r="X3" s="138"/>
      <c r="Y3" s="137"/>
      <c r="Z3" s="137"/>
      <c r="AA3" s="137"/>
      <c r="AB3" s="137"/>
      <c r="AC3" s="137"/>
      <c r="AD3" s="138"/>
      <c r="AE3" s="137"/>
      <c r="AF3" s="137"/>
      <c r="AG3" s="137"/>
      <c r="AH3" s="137"/>
      <c r="AI3" s="137"/>
      <c r="AJ3" s="138"/>
      <c r="AK3" s="137"/>
      <c r="AL3" s="137"/>
      <c r="AM3" s="137"/>
      <c r="AN3" s="137"/>
      <c r="AO3" s="137"/>
      <c r="AP3" s="138"/>
      <c r="AQ3" s="137"/>
      <c r="AR3" s="137"/>
      <c r="AS3" s="137"/>
      <c r="AT3" s="137"/>
      <c r="AU3" s="137"/>
      <c r="AV3" s="138"/>
      <c r="AW3" s="137"/>
      <c r="AX3" s="137"/>
      <c r="AY3" s="137"/>
      <c r="AZ3" s="137"/>
      <c r="BA3" s="137"/>
      <c r="BB3" s="138"/>
      <c r="BC3" s="137"/>
      <c r="BD3" s="137"/>
      <c r="BE3" s="137"/>
      <c r="BF3" s="137"/>
      <c r="BG3" s="137"/>
      <c r="BH3" s="138"/>
      <c r="BI3" s="137"/>
      <c r="BJ3" s="137"/>
      <c r="BK3" s="137"/>
      <c r="BL3" s="137"/>
      <c r="BM3" s="137"/>
      <c r="BN3" s="138"/>
      <c r="BO3" s="137"/>
      <c r="BP3" s="137"/>
      <c r="BQ3" s="137"/>
      <c r="BR3" s="137"/>
      <c r="BS3" s="137"/>
      <c r="BT3" s="138"/>
      <c r="BU3" s="137"/>
      <c r="BV3" s="137"/>
      <c r="BW3" s="137"/>
      <c r="BX3" s="137"/>
      <c r="BY3" s="137"/>
      <c r="BZ3" s="138"/>
      <c r="CA3" s="137"/>
      <c r="CB3" s="137"/>
      <c r="CC3" s="137"/>
      <c r="CD3" s="137"/>
      <c r="CE3" s="137"/>
      <c r="CF3" s="138"/>
      <c r="CG3" s="137"/>
      <c r="CH3" s="137"/>
      <c r="CI3" s="137"/>
      <c r="CJ3" s="137"/>
      <c r="CK3" s="137"/>
      <c r="CL3" s="138"/>
      <c r="CM3" s="137"/>
      <c r="CN3" s="137"/>
      <c r="CO3" s="137"/>
      <c r="CP3" s="137"/>
      <c r="CQ3" s="137"/>
      <c r="CR3" s="138"/>
      <c r="CS3" s="137"/>
      <c r="CT3" s="137"/>
      <c r="CU3" s="137"/>
      <c r="CV3" s="137"/>
      <c r="CW3" s="137"/>
      <c r="CX3" s="138"/>
      <c r="CY3" s="137"/>
      <c r="CZ3" s="137"/>
      <c r="DA3" s="137"/>
      <c r="DB3" s="137"/>
      <c r="DC3" s="137"/>
      <c r="DD3" s="138"/>
      <c r="DE3" s="137"/>
      <c r="DF3" s="137"/>
      <c r="DG3" s="137"/>
      <c r="DH3" s="137"/>
      <c r="DI3" s="137"/>
      <c r="DJ3" s="138"/>
      <c r="DK3" s="137"/>
      <c r="DL3" s="137"/>
      <c r="DM3" s="137"/>
      <c r="DN3" s="137"/>
      <c r="DO3" s="137"/>
      <c r="DP3" s="138"/>
      <c r="DQ3" s="137"/>
      <c r="DR3" s="137"/>
      <c r="DS3" s="137"/>
      <c r="DT3" s="137"/>
      <c r="DU3" s="137"/>
      <c r="DV3" s="138"/>
      <c r="DW3" s="137"/>
      <c r="DX3" s="137"/>
      <c r="DY3" s="137"/>
      <c r="DZ3" s="137"/>
      <c r="EA3" s="137"/>
      <c r="EB3" s="138"/>
      <c r="EC3" s="137"/>
      <c r="ED3" s="137"/>
      <c r="EE3" s="137"/>
      <c r="EF3" s="137"/>
      <c r="EG3" s="137"/>
      <c r="EH3" s="137"/>
      <c r="EI3" s="137"/>
      <c r="EJ3" s="137"/>
      <c r="EK3" s="137"/>
      <c r="EL3" s="137"/>
      <c r="EM3" s="137"/>
      <c r="EN3" s="137"/>
      <c r="EO3" s="137"/>
      <c r="EP3" s="137"/>
      <c r="EQ3" s="137"/>
      <c r="ER3" s="137"/>
      <c r="ES3" s="137"/>
      <c r="ET3" s="137"/>
      <c r="EU3" s="137"/>
      <c r="EV3" s="137"/>
      <c r="EW3" s="137"/>
      <c r="EX3" s="137"/>
      <c r="EY3" s="137"/>
      <c r="EZ3" s="137"/>
      <c r="FA3" s="137"/>
      <c r="FB3" s="137"/>
      <c r="FC3" s="137"/>
      <c r="FD3" s="137"/>
      <c r="FE3" s="137"/>
      <c r="FF3" s="137"/>
      <c r="FG3" s="137"/>
      <c r="FH3" s="137"/>
      <c r="FI3" s="137"/>
      <c r="FJ3" s="137"/>
      <c r="FK3" s="137"/>
      <c r="FL3" s="137"/>
      <c r="FM3" s="137"/>
      <c r="FN3" s="137"/>
      <c r="FO3" s="137"/>
      <c r="FP3" s="137"/>
      <c r="FQ3" s="137"/>
      <c r="FR3" s="137"/>
      <c r="FS3" s="137"/>
      <c r="FT3" s="137"/>
      <c r="FU3" s="137"/>
      <c r="FV3" s="137"/>
      <c r="FW3" s="137"/>
      <c r="FX3" s="137"/>
      <c r="FY3" s="137"/>
      <c r="FZ3" s="137"/>
      <c r="GA3" s="137"/>
      <c r="GB3" s="137"/>
      <c r="GC3" s="137"/>
      <c r="GD3" s="137"/>
      <c r="GE3" s="137"/>
      <c r="GF3" s="137"/>
      <c r="GG3" s="137"/>
      <c r="GH3" s="137"/>
      <c r="GI3" s="137"/>
      <c r="GJ3" s="137"/>
      <c r="GK3" s="137"/>
      <c r="GL3" s="137"/>
      <c r="GM3" s="137"/>
      <c r="GN3" s="137"/>
      <c r="GO3" s="137"/>
      <c r="GP3" s="137"/>
      <c r="GQ3" s="137"/>
      <c r="GR3" s="137"/>
      <c r="GS3" s="137"/>
      <c r="GT3" s="137"/>
      <c r="GU3" s="137"/>
      <c r="GV3" s="137"/>
      <c r="GW3" s="137"/>
      <c r="GX3" s="137"/>
      <c r="GY3" s="137"/>
      <c r="GZ3" s="137"/>
      <c r="HA3" s="137"/>
      <c r="HB3" s="137"/>
      <c r="HC3" s="137"/>
      <c r="HD3" s="137"/>
      <c r="HE3" s="137"/>
      <c r="HF3" s="137"/>
      <c r="HG3" s="137"/>
      <c r="HH3" s="137"/>
      <c r="HI3" s="137"/>
      <c r="HJ3" s="137"/>
      <c r="HK3" s="137"/>
      <c r="HL3" s="137"/>
      <c r="HM3" s="137"/>
      <c r="HN3" s="137"/>
      <c r="HO3" s="137"/>
      <c r="HP3" s="137"/>
      <c r="HQ3" s="137"/>
      <c r="HR3" s="137"/>
      <c r="HS3" s="137"/>
      <c r="HT3" s="137"/>
      <c r="HU3" s="137"/>
      <c r="HV3" s="137"/>
      <c r="HW3" s="137"/>
      <c r="HX3" s="137"/>
      <c r="HY3" s="137"/>
      <c r="HZ3" s="137"/>
      <c r="IA3" s="137"/>
      <c r="IB3" s="137"/>
      <c r="IC3" s="137"/>
      <c r="ID3" s="137"/>
      <c r="IE3" s="137"/>
      <c r="IF3" s="137"/>
      <c r="IG3" s="137"/>
      <c r="IH3" s="137"/>
      <c r="II3" s="137"/>
    </row>
    <row r="4">
      <c r="A4" s="162"/>
      <c r="B4" s="162"/>
      <c r="C4" s="162"/>
      <c r="D4" s="162"/>
      <c r="E4" s="162"/>
      <c r="F4" s="163"/>
      <c r="G4" s="162"/>
      <c r="H4" s="162"/>
      <c r="I4" s="162"/>
      <c r="J4" s="162"/>
      <c r="K4" s="162"/>
      <c r="L4" s="163"/>
      <c r="M4" s="162"/>
      <c r="N4" s="162"/>
      <c r="O4" s="162"/>
      <c r="P4" s="162"/>
      <c r="Q4" s="162"/>
      <c r="R4" s="163"/>
      <c r="S4" s="162"/>
      <c r="T4" s="162"/>
      <c r="U4" s="162"/>
      <c r="V4" s="162"/>
      <c r="W4" s="162"/>
      <c r="X4" s="163"/>
      <c r="Y4" s="162"/>
      <c r="Z4" s="162"/>
      <c r="AA4" s="162"/>
      <c r="AB4" s="162"/>
      <c r="AC4" s="162"/>
      <c r="AD4" s="163"/>
      <c r="AE4" s="162"/>
      <c r="AF4" s="162"/>
      <c r="AG4" s="162"/>
      <c r="AH4" s="162"/>
      <c r="AI4" s="162"/>
      <c r="AJ4" s="163"/>
      <c r="AK4" s="162"/>
      <c r="AL4" s="162"/>
      <c r="AM4" s="162"/>
      <c r="AN4" s="162"/>
      <c r="AO4" s="162"/>
      <c r="AP4" s="163"/>
      <c r="AQ4" s="162"/>
      <c r="AR4" s="162"/>
      <c r="AS4" s="162"/>
      <c r="AT4" s="162"/>
      <c r="AU4" s="162"/>
      <c r="AV4" s="163"/>
      <c r="AW4" s="162"/>
      <c r="AX4" s="162"/>
      <c r="AY4" s="162"/>
      <c r="AZ4" s="162"/>
      <c r="BA4" s="162"/>
      <c r="BB4" s="163"/>
      <c r="BC4" s="162"/>
      <c r="BD4" s="162"/>
      <c r="BE4" s="162"/>
      <c r="BF4" s="162"/>
      <c r="BG4" s="162"/>
      <c r="BH4" s="163"/>
      <c r="BI4" s="162"/>
      <c r="BJ4" s="162"/>
      <c r="BK4" s="162"/>
      <c r="BL4" s="162"/>
      <c r="BM4" s="162"/>
      <c r="BN4" s="163"/>
      <c r="BO4" s="162"/>
      <c r="BP4" s="162"/>
      <c r="BQ4" s="162"/>
      <c r="BR4" s="162"/>
      <c r="BS4" s="162"/>
      <c r="BT4" s="163"/>
      <c r="BU4" s="162"/>
      <c r="BV4" s="162"/>
      <c r="BW4" s="162"/>
      <c r="BX4" s="162"/>
      <c r="BY4" s="162"/>
      <c r="BZ4" s="163"/>
      <c r="CA4" s="162"/>
      <c r="CB4" s="162"/>
      <c r="CC4" s="162"/>
      <c r="CD4" s="162"/>
      <c r="CE4" s="162"/>
      <c r="CF4" s="163"/>
      <c r="CG4" s="162"/>
      <c r="CH4" s="162"/>
      <c r="CI4" s="162"/>
      <c r="CJ4" s="162"/>
      <c r="CK4" s="162"/>
      <c r="CL4" s="163"/>
      <c r="CM4" s="162"/>
      <c r="CN4" s="162"/>
      <c r="CO4" s="162"/>
      <c r="CP4" s="162"/>
      <c r="CQ4" s="162"/>
      <c r="CR4" s="163"/>
      <c r="CS4" s="162"/>
      <c r="CT4" s="162"/>
      <c r="CU4" s="162"/>
      <c r="CV4" s="162"/>
      <c r="CW4" s="162"/>
      <c r="CX4" s="163"/>
      <c r="CY4" s="162"/>
      <c r="CZ4" s="162"/>
      <c r="DA4" s="162"/>
      <c r="DB4" s="162"/>
      <c r="DC4" s="162"/>
      <c r="DD4" s="163"/>
      <c r="DE4" s="162"/>
      <c r="DF4" s="162"/>
      <c r="DG4" s="162"/>
      <c r="DH4" s="162"/>
      <c r="DI4" s="162"/>
      <c r="DJ4" s="163"/>
      <c r="DK4" s="162"/>
      <c r="DL4" s="162"/>
      <c r="DM4" s="162"/>
      <c r="DN4" s="162"/>
      <c r="DO4" s="162"/>
      <c r="DP4" s="163"/>
      <c r="DQ4" s="162"/>
      <c r="DR4" s="162"/>
      <c r="DS4" s="162"/>
      <c r="DT4" s="162"/>
      <c r="DU4" s="162"/>
      <c r="DV4" s="163"/>
      <c r="DW4" s="162"/>
      <c r="DX4" s="162"/>
      <c r="DY4" s="162"/>
      <c r="DZ4" s="162"/>
      <c r="EA4" s="162"/>
      <c r="EB4" s="163"/>
      <c r="EC4" s="162"/>
      <c r="ED4" s="162"/>
      <c r="EE4" s="162"/>
      <c r="EF4" s="162"/>
      <c r="EG4" s="162"/>
      <c r="EH4" s="162"/>
      <c r="EI4" s="162"/>
      <c r="EJ4" s="162"/>
      <c r="EK4" s="162"/>
      <c r="EL4" s="162"/>
      <c r="EM4" s="162"/>
      <c r="EN4" s="162"/>
      <c r="EO4" s="162"/>
      <c r="EP4" s="162"/>
      <c r="EQ4" s="162"/>
      <c r="ER4" s="162"/>
      <c r="ES4" s="162"/>
      <c r="ET4" s="162"/>
      <c r="EU4" s="162"/>
      <c r="EV4" s="162"/>
      <c r="EW4" s="162"/>
      <c r="EX4" s="162"/>
      <c r="EY4" s="162"/>
      <c r="EZ4" s="162"/>
      <c r="FA4" s="162"/>
      <c r="FB4" s="162"/>
      <c r="FC4" s="162"/>
      <c r="FD4" s="162"/>
      <c r="FE4" s="162"/>
      <c r="FF4" s="162"/>
      <c r="FG4" s="162"/>
      <c r="FH4" s="162"/>
      <c r="FI4" s="162"/>
      <c r="FJ4" s="162"/>
      <c r="FK4" s="162"/>
      <c r="FL4" s="162"/>
      <c r="FM4" s="162"/>
      <c r="FN4" s="162"/>
      <c r="FO4" s="162"/>
      <c r="FP4" s="162"/>
      <c r="FQ4" s="162"/>
      <c r="FR4" s="162"/>
      <c r="FS4" s="162"/>
      <c r="FT4" s="162"/>
      <c r="FU4" s="162"/>
      <c r="FV4" s="162"/>
      <c r="FW4" s="162"/>
      <c r="FX4" s="162"/>
      <c r="FY4" s="162"/>
      <c r="FZ4" s="162"/>
      <c r="GA4" s="162"/>
      <c r="GB4" s="162"/>
      <c r="GC4" s="162"/>
      <c r="GD4" s="162"/>
      <c r="GE4" s="162"/>
      <c r="GF4" s="162"/>
      <c r="GG4" s="162"/>
      <c r="GH4" s="162"/>
      <c r="GI4" s="162"/>
      <c r="GJ4" s="162"/>
      <c r="GK4" s="162"/>
      <c r="GL4" s="162"/>
      <c r="GM4" s="162"/>
      <c r="GN4" s="162"/>
      <c r="GO4" s="162"/>
      <c r="GP4" s="162"/>
      <c r="GQ4" s="162"/>
      <c r="GR4" s="162"/>
      <c r="GS4" s="162"/>
      <c r="GT4" s="162"/>
      <c r="GU4" s="162"/>
      <c r="GV4" s="162"/>
      <c r="GW4" s="162"/>
      <c r="GX4" s="162"/>
      <c r="GY4" s="162"/>
      <c r="GZ4" s="162"/>
      <c r="HA4" s="162"/>
      <c r="HB4" s="162"/>
      <c r="HC4" s="162"/>
      <c r="HD4" s="162"/>
      <c r="HE4" s="162"/>
      <c r="HF4" s="162"/>
      <c r="HG4" s="162"/>
      <c r="HH4" s="162"/>
      <c r="HI4" s="162"/>
      <c r="HJ4" s="162"/>
      <c r="HK4" s="162"/>
      <c r="HL4" s="162"/>
      <c r="HM4" s="162"/>
      <c r="HN4" s="162"/>
      <c r="HO4" s="162"/>
      <c r="HP4" s="162"/>
      <c r="HQ4" s="162"/>
      <c r="HR4" s="162"/>
      <c r="HS4" s="162"/>
      <c r="HT4" s="162"/>
      <c r="HU4" s="162"/>
      <c r="HV4" s="162"/>
      <c r="HW4" s="162"/>
      <c r="HX4" s="162"/>
      <c r="HY4" s="162"/>
      <c r="HZ4" s="162"/>
      <c r="IA4" s="162"/>
      <c r="IB4" s="162"/>
      <c r="IC4" s="162"/>
      <c r="ID4" s="162"/>
      <c r="IE4" s="162"/>
      <c r="IF4" s="162"/>
      <c r="IG4" s="162"/>
      <c r="IH4" s="162"/>
      <c r="II4" s="162"/>
    </row>
    <row r="5">
      <c r="F5" s="142"/>
      <c r="L5" s="142"/>
      <c r="R5" s="142"/>
      <c r="X5" s="142"/>
      <c r="AD5" s="142"/>
      <c r="AJ5" s="142"/>
      <c r="AP5" s="142"/>
      <c r="AV5" s="142"/>
      <c r="BB5" s="142"/>
      <c r="BH5" s="142"/>
      <c r="BN5" s="142"/>
      <c r="BT5" s="142"/>
      <c r="BZ5" s="142"/>
      <c r="CF5" s="142"/>
      <c r="CL5" s="142"/>
      <c r="CR5" s="142"/>
      <c r="CX5" s="142"/>
      <c r="DD5" s="142"/>
      <c r="DJ5" s="142"/>
      <c r="DP5" s="142"/>
      <c r="DV5" s="142"/>
      <c r="EB5" s="142"/>
    </row>
    <row r="6">
      <c r="F6" s="142"/>
      <c r="L6" s="142"/>
      <c r="R6" s="142"/>
      <c r="X6" s="142"/>
      <c r="AD6" s="142"/>
      <c r="AJ6" s="142"/>
      <c r="AP6" s="142"/>
      <c r="AV6" s="142"/>
      <c r="BB6" s="142"/>
      <c r="BH6" s="142"/>
      <c r="BN6" s="142"/>
      <c r="BT6" s="142"/>
      <c r="BZ6" s="142"/>
      <c r="CF6" s="142"/>
      <c r="CL6" s="142"/>
      <c r="CR6" s="142"/>
      <c r="CX6" s="142"/>
      <c r="DD6" s="142"/>
      <c r="DJ6" s="142"/>
      <c r="DP6" s="142"/>
      <c r="DV6" s="142"/>
      <c r="EB6" s="142"/>
    </row>
    <row r="7">
      <c r="F7" s="142"/>
      <c r="L7" s="142"/>
      <c r="R7" s="142"/>
      <c r="X7" s="142"/>
      <c r="AD7" s="142"/>
      <c r="AJ7" s="142"/>
      <c r="AP7" s="142"/>
      <c r="AV7" s="142"/>
      <c r="BB7" s="142"/>
      <c r="BH7" s="142"/>
      <c r="BN7" s="142"/>
      <c r="BT7" s="142"/>
      <c r="BZ7" s="142"/>
      <c r="CF7" s="142"/>
      <c r="CL7" s="142"/>
      <c r="CR7" s="142"/>
      <c r="CX7" s="142"/>
      <c r="DD7" s="142"/>
      <c r="DJ7" s="142"/>
      <c r="DP7" s="142"/>
      <c r="DV7" s="142"/>
      <c r="EB7" s="142"/>
    </row>
    <row r="8">
      <c r="A8" t="str">
        <f>IFERROR(__xludf.DUMMYFUNCTION("IMPORTRANGE(""https://docs.google.com/spreadsheets/d/1Gna-QPqm5nMkASafIfGgLUIyj2TONZSOf-NI_7eoyt8/edit?gid=0#gid=0"",""CONVENTIONAL SOYBEAN!A7:ED45"")"),"#REF!")</f>
        <v>#REF!</v>
      </c>
      <c r="F8" s="142"/>
      <c r="L8" s="142"/>
      <c r="R8" s="142"/>
      <c r="X8" s="142"/>
      <c r="AD8" s="142"/>
      <c r="AJ8" s="142"/>
      <c r="AP8" s="142"/>
      <c r="AV8" s="142"/>
      <c r="BB8" s="142"/>
      <c r="BH8" s="142"/>
      <c r="BN8" s="142"/>
      <c r="BT8" s="142"/>
      <c r="BZ8" s="142"/>
      <c r="CF8" s="142"/>
      <c r="CL8" s="142"/>
      <c r="CR8" s="142"/>
      <c r="CX8" s="142"/>
      <c r="DD8" s="142"/>
      <c r="DJ8" s="142"/>
      <c r="DP8" s="142"/>
      <c r="DV8" s="142"/>
      <c r="EB8" s="142"/>
    </row>
    <row r="9">
      <c r="A9" s="143"/>
      <c r="B9" s="143"/>
      <c r="C9" s="143"/>
      <c r="D9" s="143"/>
      <c r="E9" s="143"/>
      <c r="F9" s="144"/>
      <c r="G9" s="143"/>
      <c r="H9" s="143"/>
      <c r="I9" s="143"/>
      <c r="J9" s="143"/>
      <c r="K9" s="143"/>
      <c r="L9" s="144"/>
      <c r="M9" s="143"/>
      <c r="N9" s="143"/>
      <c r="O9" s="143"/>
      <c r="P9" s="143"/>
      <c r="Q9" s="143"/>
      <c r="R9" s="144"/>
      <c r="S9" s="143"/>
      <c r="T9" s="143"/>
      <c r="U9" s="143"/>
      <c r="V9" s="143"/>
      <c r="W9" s="143"/>
      <c r="X9" s="144"/>
      <c r="Y9" s="143"/>
      <c r="Z9" s="143"/>
      <c r="AA9" s="143"/>
      <c r="AB9" s="143"/>
      <c r="AC9" s="143"/>
      <c r="AD9" s="144"/>
      <c r="AE9" s="143"/>
      <c r="AF9" s="143"/>
      <c r="AG9" s="143"/>
      <c r="AH9" s="143"/>
      <c r="AI9" s="143"/>
      <c r="AJ9" s="144"/>
      <c r="AK9" s="143"/>
      <c r="AL9" s="143"/>
      <c r="AM9" s="143"/>
      <c r="AN9" s="143"/>
      <c r="AO9" s="143"/>
      <c r="AP9" s="144"/>
      <c r="AQ9" s="143"/>
      <c r="AR9" s="143"/>
      <c r="AS9" s="143"/>
      <c r="AT9" s="143"/>
      <c r="AU9" s="143"/>
      <c r="AV9" s="144"/>
      <c r="AW9" s="143"/>
      <c r="AX9" s="143"/>
      <c r="AY9" s="143"/>
      <c r="AZ9" s="143"/>
      <c r="BA9" s="143"/>
      <c r="BB9" s="144"/>
      <c r="BC9" s="143"/>
      <c r="BD9" s="143"/>
      <c r="BE9" s="143"/>
      <c r="BF9" s="143"/>
      <c r="BG9" s="143"/>
      <c r="BH9" s="144"/>
      <c r="BI9" s="143"/>
      <c r="BJ9" s="143"/>
      <c r="BK9" s="143"/>
      <c r="BL9" s="143"/>
      <c r="BM9" s="143"/>
      <c r="BN9" s="144"/>
      <c r="BO9" s="143"/>
      <c r="BP9" s="143"/>
      <c r="BQ9" s="143"/>
      <c r="BR9" s="143"/>
      <c r="BS9" s="143"/>
      <c r="BT9" s="144"/>
      <c r="BU9" s="143"/>
      <c r="BV9" s="143"/>
      <c r="BW9" s="143"/>
      <c r="BX9" s="143"/>
      <c r="BY9" s="143"/>
      <c r="BZ9" s="144"/>
      <c r="CA9" s="143"/>
      <c r="CB9" s="143"/>
      <c r="CC9" s="143"/>
      <c r="CD9" s="143"/>
      <c r="CE9" s="143"/>
      <c r="CF9" s="144"/>
      <c r="CG9" s="143"/>
      <c r="CH9" s="143"/>
      <c r="CI9" s="143"/>
      <c r="CJ9" s="143"/>
      <c r="CK9" s="143"/>
      <c r="CL9" s="144"/>
      <c r="CM9" s="143"/>
      <c r="CN9" s="143"/>
      <c r="CO9" s="143"/>
      <c r="CP9" s="143"/>
      <c r="CQ9" s="143"/>
      <c r="CR9" s="144"/>
      <c r="CS9" s="143"/>
      <c r="CT9" s="143"/>
      <c r="CU9" s="143"/>
      <c r="CV9" s="143"/>
      <c r="CW9" s="143"/>
      <c r="CX9" s="144"/>
      <c r="CY9" s="143"/>
      <c r="CZ9" s="143"/>
      <c r="DA9" s="143"/>
      <c r="DB9" s="143"/>
      <c r="DC9" s="143"/>
      <c r="DD9" s="144"/>
      <c r="DE9" s="143"/>
      <c r="DF9" s="143"/>
      <c r="DG9" s="143"/>
      <c r="DH9" s="143"/>
      <c r="DI9" s="143"/>
      <c r="DJ9" s="144"/>
      <c r="DK9" s="143"/>
      <c r="DL9" s="143"/>
      <c r="DM9" s="143"/>
      <c r="DN9" s="143"/>
      <c r="DO9" s="143"/>
      <c r="DP9" s="144"/>
      <c r="DQ9" s="143"/>
      <c r="DR9" s="143"/>
      <c r="DS9" s="143"/>
      <c r="DT9" s="143"/>
      <c r="DU9" s="143"/>
      <c r="DV9" s="144"/>
      <c r="DW9" s="143"/>
      <c r="DX9" s="143"/>
      <c r="DY9" s="143"/>
      <c r="DZ9" s="143"/>
      <c r="EA9" s="143"/>
      <c r="EB9" s="144"/>
      <c r="EC9" s="143"/>
      <c r="ED9" s="143"/>
      <c r="EE9" s="143"/>
      <c r="EF9" s="143"/>
      <c r="EG9" s="143"/>
      <c r="EH9" s="143"/>
      <c r="EI9" s="143"/>
      <c r="EJ9" s="143"/>
      <c r="EK9" s="143"/>
      <c r="EL9" s="143"/>
      <c r="EM9" s="143"/>
      <c r="EN9" s="143"/>
      <c r="EO9" s="143"/>
      <c r="EP9" s="143"/>
      <c r="EQ9" s="143"/>
      <c r="ER9" s="143"/>
      <c r="ES9" s="143"/>
      <c r="ET9" s="143"/>
      <c r="EU9" s="143"/>
      <c r="EV9" s="143"/>
      <c r="EW9" s="143"/>
      <c r="EX9" s="143"/>
      <c r="EY9" s="143"/>
      <c r="EZ9" s="143"/>
      <c r="FA9" s="143"/>
      <c r="FB9" s="143"/>
      <c r="FC9" s="143"/>
      <c r="FD9" s="143"/>
      <c r="FE9" s="143"/>
      <c r="FF9" s="143"/>
      <c r="FG9" s="143"/>
      <c r="FH9" s="143"/>
      <c r="FI9" s="143"/>
      <c r="FJ9" s="143"/>
      <c r="FK9" s="143"/>
      <c r="FL9" s="143"/>
      <c r="FM9" s="143"/>
      <c r="FN9" s="143"/>
      <c r="FO9" s="143"/>
      <c r="FP9" s="143"/>
      <c r="FQ9" s="143"/>
      <c r="FR9" s="143"/>
      <c r="FS9" s="143"/>
      <c r="FT9" s="143"/>
      <c r="FU9" s="143"/>
      <c r="FV9" s="143"/>
      <c r="FW9" s="143"/>
      <c r="FX9" s="143"/>
      <c r="FY9" s="143"/>
      <c r="FZ9" s="143"/>
      <c r="GA9" s="143"/>
      <c r="GB9" s="143"/>
      <c r="GC9" s="143"/>
      <c r="GD9" s="143"/>
      <c r="GE9" s="143"/>
      <c r="GF9" s="143"/>
      <c r="GG9" s="143"/>
      <c r="GH9" s="143"/>
      <c r="GI9" s="143"/>
      <c r="GJ9" s="143"/>
      <c r="GK9" s="143"/>
      <c r="GL9" s="143"/>
      <c r="GM9" s="143"/>
      <c r="GN9" s="143"/>
      <c r="GO9" s="143"/>
      <c r="GP9" s="143"/>
      <c r="GQ9" s="143"/>
      <c r="GR9" s="143"/>
      <c r="GS9" s="143"/>
      <c r="GT9" s="143"/>
      <c r="GU9" s="143"/>
      <c r="GV9" s="143"/>
      <c r="GW9" s="143"/>
      <c r="GX9" s="143"/>
      <c r="GY9" s="143"/>
      <c r="GZ9" s="143"/>
      <c r="HA9" s="143"/>
      <c r="HB9" s="143"/>
      <c r="HC9" s="143"/>
      <c r="HD9" s="143"/>
      <c r="HE9" s="143"/>
      <c r="HF9" s="143"/>
      <c r="HG9" s="143"/>
      <c r="HH9" s="143"/>
      <c r="HI9" s="143"/>
      <c r="HJ9" s="143"/>
      <c r="HK9" s="143"/>
      <c r="HL9" s="143"/>
      <c r="HM9" s="143"/>
      <c r="HN9" s="143"/>
      <c r="HO9" s="143"/>
      <c r="HP9" s="143"/>
      <c r="HQ9" s="143"/>
      <c r="HR9" s="143"/>
      <c r="HS9" s="143"/>
      <c r="HT9" s="143"/>
      <c r="HU9" s="143"/>
      <c r="HV9" s="143"/>
      <c r="HW9" s="143"/>
      <c r="HX9" s="143"/>
      <c r="HY9" s="143"/>
      <c r="HZ9" s="143"/>
      <c r="IA9" s="143"/>
      <c r="IB9" s="143"/>
      <c r="IC9" s="143"/>
      <c r="ID9" s="143"/>
      <c r="IE9" s="143"/>
      <c r="IF9" s="143"/>
      <c r="IG9" s="143"/>
      <c r="IH9" s="143"/>
      <c r="II9" s="143"/>
    </row>
    <row r="10">
      <c r="A10" s="145"/>
      <c r="B10" s="145"/>
      <c r="C10" s="145"/>
      <c r="D10" s="145"/>
      <c r="E10" s="145"/>
      <c r="F10" s="146"/>
      <c r="G10" s="145"/>
      <c r="H10" s="145"/>
      <c r="I10" s="145"/>
      <c r="J10" s="145"/>
      <c r="K10" s="145"/>
      <c r="L10" s="146"/>
      <c r="M10" s="145"/>
      <c r="N10" s="145"/>
      <c r="O10" s="145"/>
      <c r="P10" s="145"/>
      <c r="Q10" s="145"/>
      <c r="R10" s="146"/>
      <c r="S10" s="145"/>
      <c r="T10" s="145"/>
      <c r="U10" s="145"/>
      <c r="V10" s="145"/>
      <c r="W10" s="145"/>
      <c r="X10" s="146"/>
      <c r="Y10" s="145"/>
      <c r="Z10" s="145"/>
      <c r="AA10" s="145"/>
      <c r="AB10" s="145"/>
      <c r="AC10" s="145"/>
      <c r="AD10" s="146"/>
      <c r="AE10" s="145"/>
      <c r="AF10" s="145"/>
      <c r="AG10" s="145"/>
      <c r="AH10" s="145"/>
      <c r="AI10" s="145"/>
      <c r="AJ10" s="146"/>
      <c r="AK10" s="145"/>
      <c r="AL10" s="145"/>
      <c r="AM10" s="145"/>
      <c r="AN10" s="145"/>
      <c r="AO10" s="145"/>
      <c r="AP10" s="146"/>
      <c r="AQ10" s="145"/>
      <c r="AR10" s="145"/>
      <c r="AS10" s="145"/>
      <c r="AT10" s="145"/>
      <c r="AU10" s="145"/>
      <c r="AV10" s="146"/>
      <c r="AW10" s="145"/>
      <c r="AX10" s="145"/>
      <c r="AY10" s="145"/>
      <c r="AZ10" s="145"/>
      <c r="BA10" s="145"/>
      <c r="BB10" s="146"/>
      <c r="BC10" s="145"/>
      <c r="BD10" s="145"/>
      <c r="BE10" s="145"/>
      <c r="BF10" s="145"/>
      <c r="BG10" s="145"/>
      <c r="BH10" s="146"/>
      <c r="BI10" s="145"/>
      <c r="BJ10" s="145"/>
      <c r="BK10" s="145"/>
      <c r="BL10" s="145"/>
      <c r="BM10" s="145"/>
      <c r="BN10" s="146"/>
      <c r="BO10" s="145"/>
      <c r="BP10" s="145"/>
      <c r="BQ10" s="145"/>
      <c r="BR10" s="145"/>
      <c r="BS10" s="145"/>
      <c r="BT10" s="146"/>
      <c r="BU10" s="145"/>
      <c r="BV10" s="145"/>
      <c r="BW10" s="145"/>
      <c r="BX10" s="145"/>
      <c r="BY10" s="145"/>
      <c r="BZ10" s="146"/>
      <c r="CA10" s="145"/>
      <c r="CB10" s="145"/>
      <c r="CC10" s="145"/>
      <c r="CD10" s="145"/>
      <c r="CE10" s="145"/>
      <c r="CF10" s="146"/>
      <c r="CG10" s="145"/>
      <c r="CH10" s="145"/>
      <c r="CI10" s="145"/>
      <c r="CJ10" s="145"/>
      <c r="CK10" s="145"/>
      <c r="CL10" s="146"/>
      <c r="CM10" s="145"/>
      <c r="CN10" s="145"/>
      <c r="CO10" s="145"/>
      <c r="CP10" s="145"/>
      <c r="CQ10" s="145"/>
      <c r="CR10" s="146"/>
      <c r="CS10" s="145"/>
      <c r="CT10" s="145"/>
      <c r="CU10" s="145"/>
      <c r="CV10" s="145"/>
      <c r="CW10" s="145"/>
      <c r="CX10" s="146"/>
      <c r="CY10" s="145"/>
      <c r="CZ10" s="145"/>
      <c r="DA10" s="145"/>
      <c r="DB10" s="145"/>
      <c r="DC10" s="145"/>
      <c r="DD10" s="146"/>
      <c r="DE10" s="145"/>
      <c r="DF10" s="145"/>
      <c r="DG10" s="145"/>
      <c r="DH10" s="145"/>
      <c r="DI10" s="145"/>
      <c r="DJ10" s="146"/>
      <c r="DK10" s="145"/>
      <c r="DL10" s="145"/>
      <c r="DM10" s="145"/>
      <c r="DN10" s="145"/>
      <c r="DO10" s="145"/>
      <c r="DP10" s="146"/>
      <c r="DQ10" s="145"/>
      <c r="DR10" s="145"/>
      <c r="DS10" s="145"/>
      <c r="DT10" s="145"/>
      <c r="DU10" s="145"/>
      <c r="DV10" s="146"/>
      <c r="DW10" s="145"/>
      <c r="DX10" s="145"/>
      <c r="DY10" s="145"/>
      <c r="DZ10" s="145"/>
      <c r="EA10" s="145"/>
      <c r="EB10" s="146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  <c r="EO10" s="145"/>
      <c r="EP10" s="145"/>
      <c r="EQ10" s="145"/>
      <c r="ER10" s="145"/>
      <c r="ES10" s="145"/>
      <c r="ET10" s="145"/>
      <c r="EU10" s="145"/>
      <c r="EV10" s="145"/>
      <c r="EW10" s="145"/>
      <c r="EX10" s="145"/>
      <c r="EY10" s="145"/>
      <c r="EZ10" s="145"/>
      <c r="FA10" s="145"/>
      <c r="FB10" s="145"/>
      <c r="FC10" s="145"/>
      <c r="FD10" s="145"/>
      <c r="FE10" s="145"/>
      <c r="FF10" s="145"/>
      <c r="FG10" s="145"/>
      <c r="FH10" s="145"/>
      <c r="FI10" s="145"/>
      <c r="FJ10" s="145"/>
      <c r="FK10" s="145"/>
      <c r="FL10" s="145"/>
      <c r="FM10" s="145"/>
      <c r="FN10" s="145"/>
      <c r="FO10" s="145"/>
      <c r="FP10" s="145"/>
      <c r="FQ10" s="145"/>
      <c r="FR10" s="145"/>
      <c r="FS10" s="145"/>
      <c r="FT10" s="145"/>
      <c r="FU10" s="145"/>
      <c r="FV10" s="145"/>
      <c r="FW10" s="145"/>
      <c r="FX10" s="145"/>
      <c r="FY10" s="145"/>
      <c r="FZ10" s="145"/>
      <c r="GA10" s="145"/>
      <c r="GB10" s="145"/>
      <c r="GC10" s="145"/>
      <c r="GD10" s="145"/>
      <c r="GE10" s="145"/>
      <c r="GF10" s="145"/>
      <c r="GG10" s="145"/>
      <c r="GH10" s="145"/>
      <c r="GI10" s="145"/>
      <c r="GJ10" s="145"/>
      <c r="GK10" s="145"/>
      <c r="GL10" s="145"/>
      <c r="GM10" s="145"/>
      <c r="GN10" s="145"/>
      <c r="GO10" s="145"/>
      <c r="GP10" s="145"/>
      <c r="GQ10" s="145"/>
      <c r="GR10" s="145"/>
      <c r="GS10" s="145"/>
      <c r="GT10" s="145"/>
      <c r="GU10" s="145"/>
      <c r="GV10" s="145"/>
      <c r="GW10" s="145"/>
      <c r="GX10" s="145"/>
      <c r="GY10" s="145"/>
      <c r="GZ10" s="145"/>
      <c r="HA10" s="145"/>
      <c r="HB10" s="145"/>
      <c r="HC10" s="145"/>
      <c r="HD10" s="145"/>
      <c r="HE10" s="145"/>
      <c r="HF10" s="145"/>
      <c r="HG10" s="145"/>
      <c r="HH10" s="145"/>
      <c r="HI10" s="145"/>
      <c r="HJ10" s="145"/>
      <c r="HK10" s="145"/>
      <c r="HL10" s="145"/>
      <c r="HM10" s="145"/>
      <c r="HN10" s="145"/>
      <c r="HO10" s="145"/>
      <c r="HP10" s="145"/>
      <c r="HQ10" s="145"/>
      <c r="HR10" s="145"/>
      <c r="HS10" s="145"/>
      <c r="HT10" s="145"/>
      <c r="HU10" s="145"/>
      <c r="HV10" s="145"/>
      <c r="HW10" s="145"/>
      <c r="HX10" s="145"/>
      <c r="HY10" s="145"/>
      <c r="HZ10" s="145"/>
      <c r="IA10" s="145"/>
      <c r="IB10" s="145"/>
      <c r="IC10" s="145"/>
      <c r="ID10" s="145"/>
      <c r="IE10" s="145"/>
      <c r="IF10" s="145"/>
      <c r="IG10" s="145"/>
      <c r="IH10" s="145"/>
      <c r="II10" s="145"/>
    </row>
    <row r="11">
      <c r="A11" s="145"/>
      <c r="B11" s="145"/>
      <c r="C11" s="145"/>
      <c r="D11" s="145"/>
      <c r="E11" s="145"/>
      <c r="F11" s="146"/>
      <c r="G11" s="145"/>
      <c r="H11" s="145"/>
      <c r="I11" s="145"/>
      <c r="J11" s="145"/>
      <c r="K11" s="145"/>
      <c r="L11" s="146"/>
      <c r="M11" s="145"/>
      <c r="N11" s="145"/>
      <c r="O11" s="145"/>
      <c r="P11" s="145"/>
      <c r="Q11" s="145"/>
      <c r="R11" s="146"/>
      <c r="S11" s="145"/>
      <c r="T11" s="145"/>
      <c r="U11" s="145"/>
      <c r="V11" s="145"/>
      <c r="W11" s="145"/>
      <c r="X11" s="146"/>
      <c r="Y11" s="145"/>
      <c r="Z11" s="145"/>
      <c r="AA11" s="145"/>
      <c r="AB11" s="145"/>
      <c r="AC11" s="145"/>
      <c r="AD11" s="146"/>
      <c r="AE11" s="145"/>
      <c r="AF11" s="145"/>
      <c r="AG11" s="145"/>
      <c r="AH11" s="145"/>
      <c r="AI11" s="145"/>
      <c r="AJ11" s="146"/>
      <c r="AK11" s="145"/>
      <c r="AL11" s="145"/>
      <c r="AM11" s="145"/>
      <c r="AN11" s="145"/>
      <c r="AO11" s="145"/>
      <c r="AP11" s="146"/>
      <c r="AQ11" s="145"/>
      <c r="AR11" s="145"/>
      <c r="AS11" s="145"/>
      <c r="AT11" s="145"/>
      <c r="AU11" s="145"/>
      <c r="AV11" s="146"/>
      <c r="AW11" s="145"/>
      <c r="AX11" s="145"/>
      <c r="AY11" s="145"/>
      <c r="AZ11" s="145"/>
      <c r="BA11" s="145"/>
      <c r="BB11" s="146"/>
      <c r="BC11" s="145"/>
      <c r="BD11" s="145"/>
      <c r="BE11" s="145"/>
      <c r="BF11" s="145"/>
      <c r="BG11" s="145"/>
      <c r="BH11" s="146"/>
      <c r="BI11" s="145"/>
      <c r="BJ11" s="145"/>
      <c r="BK11" s="145"/>
      <c r="BL11" s="145"/>
      <c r="BM11" s="145"/>
      <c r="BN11" s="146"/>
      <c r="BO11" s="145"/>
      <c r="BP11" s="145"/>
      <c r="BQ11" s="145"/>
      <c r="BR11" s="145"/>
      <c r="BS11" s="145"/>
      <c r="BT11" s="146"/>
      <c r="BU11" s="145"/>
      <c r="BV11" s="145"/>
      <c r="BW11" s="145"/>
      <c r="BX11" s="145"/>
      <c r="BY11" s="145"/>
      <c r="BZ11" s="146"/>
      <c r="CA11" s="145"/>
      <c r="CB11" s="145"/>
      <c r="CC11" s="145"/>
      <c r="CD11" s="145"/>
      <c r="CE11" s="145"/>
      <c r="CF11" s="146"/>
      <c r="CG11" s="145"/>
      <c r="CH11" s="145"/>
      <c r="CI11" s="145"/>
      <c r="CJ11" s="145"/>
      <c r="CK11" s="145"/>
      <c r="CL11" s="146"/>
      <c r="CM11" s="145"/>
      <c r="CN11" s="145"/>
      <c r="CO11" s="145"/>
      <c r="CP11" s="145"/>
      <c r="CQ11" s="145"/>
      <c r="CR11" s="146"/>
      <c r="CS11" s="145"/>
      <c r="CT11" s="145"/>
      <c r="CU11" s="145"/>
      <c r="CV11" s="145"/>
      <c r="CW11" s="145"/>
      <c r="CX11" s="146"/>
      <c r="CY11" s="145"/>
      <c r="CZ11" s="145"/>
      <c r="DA11" s="145"/>
      <c r="DB11" s="145"/>
      <c r="DC11" s="145"/>
      <c r="DD11" s="146"/>
      <c r="DE11" s="145"/>
      <c r="DF11" s="145"/>
      <c r="DG11" s="145"/>
      <c r="DH11" s="145"/>
      <c r="DI11" s="145"/>
      <c r="DJ11" s="146"/>
      <c r="DK11" s="145"/>
      <c r="DL11" s="145"/>
      <c r="DM11" s="145"/>
      <c r="DN11" s="145"/>
      <c r="DO11" s="145"/>
      <c r="DP11" s="146"/>
      <c r="DQ11" s="145"/>
      <c r="DR11" s="145"/>
      <c r="DS11" s="145"/>
      <c r="DT11" s="145"/>
      <c r="DU11" s="145"/>
      <c r="DV11" s="146"/>
      <c r="DW11" s="145"/>
      <c r="DX11" s="145"/>
      <c r="DY11" s="145"/>
      <c r="DZ11" s="145"/>
      <c r="EA11" s="145"/>
      <c r="EB11" s="146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  <c r="EO11" s="145"/>
      <c r="EP11" s="145"/>
      <c r="EQ11" s="145"/>
      <c r="ER11" s="145"/>
      <c r="ES11" s="145"/>
      <c r="ET11" s="145"/>
      <c r="EU11" s="145"/>
      <c r="EV11" s="145"/>
      <c r="EW11" s="145"/>
      <c r="EX11" s="145"/>
      <c r="EY11" s="145"/>
      <c r="EZ11" s="145"/>
      <c r="FA11" s="145"/>
      <c r="FB11" s="145"/>
      <c r="FC11" s="145"/>
      <c r="FD11" s="145"/>
      <c r="FE11" s="145"/>
      <c r="FF11" s="145"/>
      <c r="FG11" s="145"/>
      <c r="FH11" s="145"/>
      <c r="FI11" s="145"/>
      <c r="FJ11" s="145"/>
      <c r="FK11" s="145"/>
      <c r="FL11" s="145"/>
      <c r="FM11" s="145"/>
      <c r="FN11" s="145"/>
      <c r="FO11" s="145"/>
      <c r="FP11" s="145"/>
      <c r="FQ11" s="145"/>
      <c r="FR11" s="145"/>
      <c r="FS11" s="145"/>
      <c r="FT11" s="145"/>
      <c r="FU11" s="145"/>
      <c r="FV11" s="145"/>
      <c r="FW11" s="145"/>
      <c r="FX11" s="145"/>
      <c r="FY11" s="145"/>
      <c r="FZ11" s="145"/>
      <c r="GA11" s="145"/>
      <c r="GB11" s="145"/>
      <c r="GC11" s="145"/>
      <c r="GD11" s="145"/>
      <c r="GE11" s="145"/>
      <c r="GF11" s="145"/>
      <c r="GG11" s="145"/>
      <c r="GH11" s="145"/>
      <c r="GI11" s="145"/>
      <c r="GJ11" s="145"/>
      <c r="GK11" s="145"/>
      <c r="GL11" s="145"/>
      <c r="GM11" s="145"/>
      <c r="GN11" s="145"/>
      <c r="GO11" s="145"/>
      <c r="GP11" s="145"/>
      <c r="GQ11" s="145"/>
      <c r="GR11" s="145"/>
      <c r="GS11" s="145"/>
      <c r="GT11" s="145"/>
      <c r="GU11" s="145"/>
      <c r="GV11" s="145"/>
      <c r="GW11" s="145"/>
      <c r="GX11" s="145"/>
      <c r="GY11" s="145"/>
      <c r="GZ11" s="145"/>
      <c r="HA11" s="145"/>
      <c r="HB11" s="145"/>
      <c r="HC11" s="145"/>
      <c r="HD11" s="145"/>
      <c r="HE11" s="145"/>
      <c r="HF11" s="145"/>
      <c r="HG11" s="145"/>
      <c r="HH11" s="145"/>
      <c r="HI11" s="145"/>
      <c r="HJ11" s="145"/>
      <c r="HK11" s="145"/>
      <c r="HL11" s="145"/>
      <c r="HM11" s="145"/>
      <c r="HN11" s="145"/>
      <c r="HO11" s="145"/>
      <c r="HP11" s="145"/>
      <c r="HQ11" s="145"/>
      <c r="HR11" s="145"/>
      <c r="HS11" s="145"/>
      <c r="HT11" s="145"/>
      <c r="HU11" s="145"/>
      <c r="HV11" s="145"/>
      <c r="HW11" s="145"/>
      <c r="HX11" s="145"/>
      <c r="HY11" s="145"/>
      <c r="HZ11" s="145"/>
      <c r="IA11" s="145"/>
      <c r="IB11" s="145"/>
      <c r="IC11" s="145"/>
      <c r="ID11" s="145"/>
      <c r="IE11" s="145"/>
      <c r="IF11" s="145"/>
      <c r="IG11" s="145"/>
      <c r="IH11" s="145"/>
      <c r="II11" s="145"/>
    </row>
    <row r="12">
      <c r="A12" s="147"/>
      <c r="B12" s="147"/>
      <c r="C12" s="147"/>
      <c r="D12" s="147"/>
      <c r="E12" s="147"/>
      <c r="F12" s="148"/>
      <c r="G12" s="147"/>
      <c r="H12" s="147"/>
      <c r="I12" s="147"/>
      <c r="J12" s="147"/>
      <c r="K12" s="147"/>
      <c r="L12" s="148"/>
      <c r="M12" s="147"/>
      <c r="N12" s="147"/>
      <c r="O12" s="147"/>
      <c r="P12" s="147"/>
      <c r="Q12" s="147"/>
      <c r="R12" s="148"/>
      <c r="S12" s="147"/>
      <c r="T12" s="147"/>
      <c r="U12" s="147"/>
      <c r="V12" s="147"/>
      <c r="W12" s="147"/>
      <c r="X12" s="148"/>
      <c r="Y12" s="147"/>
      <c r="Z12" s="147"/>
      <c r="AA12" s="147"/>
      <c r="AB12" s="147"/>
      <c r="AC12" s="147"/>
      <c r="AD12" s="148"/>
      <c r="AE12" s="147"/>
      <c r="AF12" s="147"/>
      <c r="AG12" s="147"/>
      <c r="AH12" s="147"/>
      <c r="AI12" s="147"/>
      <c r="AJ12" s="148"/>
      <c r="AK12" s="147"/>
      <c r="AL12" s="147"/>
      <c r="AM12" s="147"/>
      <c r="AN12" s="147"/>
      <c r="AO12" s="147"/>
      <c r="AP12" s="148"/>
      <c r="AQ12" s="147"/>
      <c r="AR12" s="147"/>
      <c r="AS12" s="147"/>
      <c r="AT12" s="147"/>
      <c r="AU12" s="147"/>
      <c r="AV12" s="148"/>
      <c r="AW12" s="147"/>
      <c r="AX12" s="147"/>
      <c r="AY12" s="147"/>
      <c r="AZ12" s="147"/>
      <c r="BA12" s="147"/>
      <c r="BB12" s="148"/>
      <c r="BC12" s="147"/>
      <c r="BD12" s="147"/>
      <c r="BE12" s="147"/>
      <c r="BF12" s="147"/>
      <c r="BG12" s="147"/>
      <c r="BH12" s="148"/>
      <c r="BI12" s="147"/>
      <c r="BJ12" s="147"/>
      <c r="BK12" s="147"/>
      <c r="BL12" s="147"/>
      <c r="BM12" s="147"/>
      <c r="BN12" s="148"/>
      <c r="BO12" s="147"/>
      <c r="BP12" s="147"/>
      <c r="BQ12" s="147"/>
      <c r="BR12" s="147"/>
      <c r="BS12" s="147"/>
      <c r="BT12" s="148"/>
      <c r="BU12" s="147"/>
      <c r="BV12" s="147"/>
      <c r="BW12" s="147"/>
      <c r="BX12" s="147"/>
      <c r="BY12" s="147"/>
      <c r="BZ12" s="148"/>
      <c r="CA12" s="147"/>
      <c r="CB12" s="147"/>
      <c r="CC12" s="147"/>
      <c r="CD12" s="147"/>
      <c r="CE12" s="147"/>
      <c r="CF12" s="148"/>
      <c r="CG12" s="147"/>
      <c r="CH12" s="147"/>
      <c r="CI12" s="147"/>
      <c r="CJ12" s="147"/>
      <c r="CK12" s="147"/>
      <c r="CL12" s="148"/>
      <c r="CM12" s="147"/>
      <c r="CN12" s="147"/>
      <c r="CO12" s="147"/>
      <c r="CP12" s="147"/>
      <c r="CQ12" s="147"/>
      <c r="CR12" s="148"/>
      <c r="CS12" s="147"/>
      <c r="CT12" s="147"/>
      <c r="CU12" s="147"/>
      <c r="CV12" s="147"/>
      <c r="CW12" s="147"/>
      <c r="CX12" s="148"/>
      <c r="CY12" s="147"/>
      <c r="CZ12" s="147"/>
      <c r="DA12" s="147"/>
      <c r="DB12" s="147"/>
      <c r="DC12" s="147"/>
      <c r="DD12" s="148"/>
      <c r="DE12" s="147"/>
      <c r="DF12" s="147"/>
      <c r="DG12" s="147"/>
      <c r="DH12" s="147"/>
      <c r="DI12" s="147"/>
      <c r="DJ12" s="148"/>
      <c r="DK12" s="147"/>
      <c r="DL12" s="147"/>
      <c r="DM12" s="147"/>
      <c r="DN12" s="147"/>
      <c r="DO12" s="147"/>
      <c r="DP12" s="148"/>
      <c r="DQ12" s="147"/>
      <c r="DR12" s="147"/>
      <c r="DS12" s="147"/>
      <c r="DT12" s="147"/>
      <c r="DU12" s="147"/>
      <c r="DV12" s="148"/>
      <c r="DW12" s="147"/>
      <c r="DX12" s="147"/>
      <c r="DY12" s="147"/>
      <c r="DZ12" s="147"/>
      <c r="EA12" s="147"/>
      <c r="EB12" s="148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  <c r="FK12" s="147"/>
      <c r="FL12" s="147"/>
      <c r="FM12" s="147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7"/>
      <c r="GF12" s="147"/>
      <c r="GG12" s="147"/>
      <c r="GH12" s="147"/>
      <c r="GI12" s="147"/>
      <c r="GJ12" s="147"/>
      <c r="GK12" s="147"/>
      <c r="GL12" s="147"/>
      <c r="GM12" s="147"/>
      <c r="GN12" s="147"/>
      <c r="GO12" s="147"/>
      <c r="GP12" s="147"/>
      <c r="GQ12" s="147"/>
      <c r="GR12" s="147"/>
      <c r="GS12" s="147"/>
      <c r="GT12" s="147"/>
      <c r="GU12" s="147"/>
      <c r="GV12" s="147"/>
      <c r="GW12" s="147"/>
      <c r="GX12" s="147"/>
      <c r="GY12" s="147"/>
      <c r="GZ12" s="147"/>
      <c r="HA12" s="147"/>
      <c r="HB12" s="147"/>
      <c r="HC12" s="147"/>
      <c r="HD12" s="147"/>
      <c r="HE12" s="147"/>
      <c r="HF12" s="147"/>
      <c r="HG12" s="147"/>
      <c r="HH12" s="147"/>
      <c r="HI12" s="147"/>
      <c r="HJ12" s="147"/>
      <c r="HK12" s="147"/>
      <c r="HL12" s="147"/>
      <c r="HM12" s="147"/>
      <c r="HN12" s="147"/>
      <c r="HO12" s="147"/>
      <c r="HP12" s="147"/>
      <c r="HQ12" s="147"/>
      <c r="HR12" s="147"/>
      <c r="HS12" s="147"/>
      <c r="HT12" s="147"/>
      <c r="HU12" s="147"/>
      <c r="HV12" s="147"/>
      <c r="HW12" s="147"/>
      <c r="HX12" s="147"/>
      <c r="HY12" s="147"/>
      <c r="HZ12" s="147"/>
      <c r="IA12" s="147"/>
      <c r="IB12" s="147"/>
      <c r="IC12" s="147"/>
      <c r="ID12" s="147"/>
      <c r="IE12" s="147"/>
      <c r="IF12" s="147"/>
      <c r="IG12" s="147"/>
      <c r="IH12" s="147"/>
      <c r="II12" s="147"/>
    </row>
    <row r="13">
      <c r="A13" s="149"/>
      <c r="B13" s="149"/>
      <c r="C13" s="149"/>
      <c r="D13" s="149"/>
      <c r="E13" s="149"/>
      <c r="F13" s="150"/>
      <c r="G13" s="149"/>
      <c r="H13" s="149"/>
      <c r="I13" s="149"/>
      <c r="J13" s="149"/>
      <c r="K13" s="149"/>
      <c r="L13" s="150"/>
      <c r="M13" s="149"/>
      <c r="N13" s="149"/>
      <c r="O13" s="149"/>
      <c r="P13" s="149"/>
      <c r="Q13" s="149"/>
      <c r="R13" s="150"/>
      <c r="S13" s="149"/>
      <c r="T13" s="149"/>
      <c r="U13" s="149"/>
      <c r="V13" s="149"/>
      <c r="W13" s="149"/>
      <c r="X13" s="150"/>
      <c r="Y13" s="149"/>
      <c r="Z13" s="149"/>
      <c r="AA13" s="149"/>
      <c r="AB13" s="149"/>
      <c r="AC13" s="149"/>
      <c r="AD13" s="150"/>
      <c r="AE13" s="149"/>
      <c r="AF13" s="149"/>
      <c r="AG13" s="149"/>
      <c r="AH13" s="149"/>
      <c r="AI13" s="149"/>
      <c r="AJ13" s="150"/>
      <c r="AK13" s="149"/>
      <c r="AL13" s="149"/>
      <c r="AM13" s="149"/>
      <c r="AN13" s="149"/>
      <c r="AO13" s="149"/>
      <c r="AP13" s="150"/>
      <c r="AQ13" s="149"/>
      <c r="AR13" s="149"/>
      <c r="AS13" s="149"/>
      <c r="AT13" s="149"/>
      <c r="AU13" s="149"/>
      <c r="AV13" s="150"/>
      <c r="AW13" s="149"/>
      <c r="AX13" s="149"/>
      <c r="AY13" s="149"/>
      <c r="AZ13" s="149"/>
      <c r="BA13" s="149"/>
      <c r="BB13" s="150"/>
      <c r="BC13" s="149"/>
      <c r="BD13" s="149"/>
      <c r="BE13" s="149"/>
      <c r="BF13" s="149"/>
      <c r="BG13" s="149"/>
      <c r="BH13" s="150"/>
      <c r="BI13" s="149"/>
      <c r="BJ13" s="149"/>
      <c r="BK13" s="149"/>
      <c r="BL13" s="149"/>
      <c r="BM13" s="149"/>
      <c r="BN13" s="150"/>
      <c r="BO13" s="149"/>
      <c r="BP13" s="149"/>
      <c r="BQ13" s="149"/>
      <c r="BR13" s="149"/>
      <c r="BS13" s="149"/>
      <c r="BT13" s="150"/>
      <c r="BU13" s="149"/>
      <c r="BV13" s="149"/>
      <c r="BW13" s="149"/>
      <c r="BX13" s="149"/>
      <c r="BY13" s="149"/>
      <c r="BZ13" s="150"/>
      <c r="CA13" s="149"/>
      <c r="CB13" s="149"/>
      <c r="CC13" s="149"/>
      <c r="CD13" s="149"/>
      <c r="CE13" s="149"/>
      <c r="CF13" s="150"/>
      <c r="CG13" s="149"/>
      <c r="CH13" s="149"/>
      <c r="CI13" s="149"/>
      <c r="CJ13" s="149"/>
      <c r="CK13" s="149"/>
      <c r="CL13" s="150"/>
      <c r="CM13" s="149"/>
      <c r="CN13" s="149"/>
      <c r="CO13" s="149"/>
      <c r="CP13" s="149"/>
      <c r="CQ13" s="149"/>
      <c r="CR13" s="150"/>
      <c r="CS13" s="149"/>
      <c r="CT13" s="149"/>
      <c r="CU13" s="149"/>
      <c r="CV13" s="149"/>
      <c r="CW13" s="149"/>
      <c r="CX13" s="150"/>
      <c r="CY13" s="149"/>
      <c r="CZ13" s="149"/>
      <c r="DA13" s="149"/>
      <c r="DB13" s="149"/>
      <c r="DC13" s="149"/>
      <c r="DD13" s="150"/>
      <c r="DE13" s="149"/>
      <c r="DF13" s="149"/>
      <c r="DG13" s="149"/>
      <c r="DH13" s="149"/>
      <c r="DI13" s="149"/>
      <c r="DJ13" s="150"/>
      <c r="DK13" s="149"/>
      <c r="DL13" s="149"/>
      <c r="DM13" s="149"/>
      <c r="DN13" s="149"/>
      <c r="DO13" s="149"/>
      <c r="DP13" s="150"/>
      <c r="DQ13" s="149"/>
      <c r="DR13" s="149"/>
      <c r="DS13" s="149"/>
      <c r="DT13" s="149"/>
      <c r="DU13" s="149"/>
      <c r="DV13" s="150"/>
      <c r="DW13" s="149"/>
      <c r="DX13" s="149"/>
      <c r="DY13" s="149"/>
      <c r="DZ13" s="149"/>
      <c r="EA13" s="149"/>
      <c r="EB13" s="150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  <c r="GF13" s="149"/>
      <c r="GG13" s="149"/>
      <c r="GH13" s="149"/>
      <c r="GI13" s="149"/>
      <c r="GJ13" s="149"/>
      <c r="GK13" s="149"/>
      <c r="GL13" s="149"/>
      <c r="GM13" s="149"/>
      <c r="GN13" s="149"/>
      <c r="GO13" s="149"/>
      <c r="GP13" s="149"/>
      <c r="GQ13" s="149"/>
      <c r="GR13" s="149"/>
      <c r="GS13" s="149"/>
      <c r="GT13" s="149"/>
      <c r="GU13" s="149"/>
      <c r="GV13" s="149"/>
      <c r="GW13" s="149"/>
      <c r="GX13" s="149"/>
      <c r="GY13" s="149"/>
      <c r="GZ13" s="149"/>
      <c r="HA13" s="149"/>
      <c r="HB13" s="149"/>
      <c r="HC13" s="149"/>
      <c r="HD13" s="149"/>
      <c r="HE13" s="149"/>
      <c r="HF13" s="149"/>
      <c r="HG13" s="149"/>
      <c r="HH13" s="149"/>
      <c r="HI13" s="149"/>
      <c r="HJ13" s="149"/>
      <c r="HK13" s="149"/>
      <c r="HL13" s="149"/>
      <c r="HM13" s="149"/>
      <c r="HN13" s="149"/>
      <c r="HO13" s="149"/>
      <c r="HP13" s="149"/>
      <c r="HQ13" s="149"/>
      <c r="HR13" s="149"/>
      <c r="HS13" s="149"/>
      <c r="HT13" s="149"/>
      <c r="HU13" s="149"/>
      <c r="HV13" s="149"/>
      <c r="HW13" s="149"/>
      <c r="HX13" s="149"/>
      <c r="HY13" s="149"/>
      <c r="HZ13" s="149"/>
      <c r="IA13" s="149"/>
      <c r="IB13" s="149"/>
      <c r="IC13" s="149"/>
      <c r="ID13" s="149"/>
      <c r="IE13" s="149"/>
      <c r="IF13" s="149"/>
      <c r="IG13" s="149"/>
      <c r="IH13" s="149"/>
      <c r="II13" s="149"/>
    </row>
    <row r="14">
      <c r="A14" s="149"/>
      <c r="B14" s="149"/>
      <c r="C14" s="149"/>
      <c r="D14" s="149"/>
      <c r="E14" s="149"/>
      <c r="F14" s="150"/>
      <c r="G14" s="149"/>
      <c r="H14" s="149"/>
      <c r="I14" s="149"/>
      <c r="J14" s="149"/>
      <c r="K14" s="149"/>
      <c r="L14" s="150"/>
      <c r="M14" s="149"/>
      <c r="N14" s="149"/>
      <c r="O14" s="149"/>
      <c r="P14" s="149"/>
      <c r="Q14" s="149"/>
      <c r="R14" s="150"/>
      <c r="S14" s="149"/>
      <c r="T14" s="149"/>
      <c r="U14" s="149"/>
      <c r="V14" s="149"/>
      <c r="W14" s="149"/>
      <c r="X14" s="150"/>
      <c r="Y14" s="149"/>
      <c r="Z14" s="149"/>
      <c r="AA14" s="149"/>
      <c r="AB14" s="149"/>
      <c r="AC14" s="149"/>
      <c r="AD14" s="150"/>
      <c r="AE14" s="149"/>
      <c r="AF14" s="149"/>
      <c r="AG14" s="149"/>
      <c r="AH14" s="149"/>
      <c r="AI14" s="149"/>
      <c r="AJ14" s="150"/>
      <c r="AK14" s="149"/>
      <c r="AL14" s="149"/>
      <c r="AM14" s="149"/>
      <c r="AN14" s="149"/>
      <c r="AO14" s="149"/>
      <c r="AP14" s="150"/>
      <c r="AQ14" s="149"/>
      <c r="AR14" s="149"/>
      <c r="AS14" s="149"/>
      <c r="AT14" s="149"/>
      <c r="AU14" s="149"/>
      <c r="AV14" s="150"/>
      <c r="AW14" s="149"/>
      <c r="AX14" s="149"/>
      <c r="AY14" s="149"/>
      <c r="AZ14" s="149"/>
      <c r="BA14" s="149"/>
      <c r="BB14" s="150"/>
      <c r="BC14" s="149"/>
      <c r="BD14" s="149"/>
      <c r="BE14" s="149"/>
      <c r="BF14" s="149"/>
      <c r="BG14" s="149"/>
      <c r="BH14" s="150"/>
      <c r="BI14" s="149"/>
      <c r="BJ14" s="149"/>
      <c r="BK14" s="149"/>
      <c r="BL14" s="149"/>
      <c r="BM14" s="149"/>
      <c r="BN14" s="150"/>
      <c r="BO14" s="149"/>
      <c r="BP14" s="149"/>
      <c r="BQ14" s="149"/>
      <c r="BR14" s="149"/>
      <c r="BS14" s="149"/>
      <c r="BT14" s="150"/>
      <c r="BU14" s="149"/>
      <c r="BV14" s="149"/>
      <c r="BW14" s="149"/>
      <c r="BX14" s="149"/>
      <c r="BY14" s="149"/>
      <c r="BZ14" s="150"/>
      <c r="CA14" s="149"/>
      <c r="CB14" s="149"/>
      <c r="CC14" s="149"/>
      <c r="CD14" s="149"/>
      <c r="CE14" s="149"/>
      <c r="CF14" s="150"/>
      <c r="CG14" s="149"/>
      <c r="CH14" s="149"/>
      <c r="CI14" s="149"/>
      <c r="CJ14" s="149"/>
      <c r="CK14" s="149"/>
      <c r="CL14" s="150"/>
      <c r="CM14" s="149"/>
      <c r="CN14" s="149"/>
      <c r="CO14" s="149"/>
      <c r="CP14" s="149"/>
      <c r="CQ14" s="149"/>
      <c r="CR14" s="150"/>
      <c r="CS14" s="149"/>
      <c r="CT14" s="149"/>
      <c r="CU14" s="149"/>
      <c r="CV14" s="149"/>
      <c r="CW14" s="149"/>
      <c r="CX14" s="150"/>
      <c r="CY14" s="149"/>
      <c r="CZ14" s="149"/>
      <c r="DA14" s="149"/>
      <c r="DB14" s="149"/>
      <c r="DC14" s="149"/>
      <c r="DD14" s="150"/>
      <c r="DE14" s="149"/>
      <c r="DF14" s="149"/>
      <c r="DG14" s="149"/>
      <c r="DH14" s="149"/>
      <c r="DI14" s="149"/>
      <c r="DJ14" s="150"/>
      <c r="DK14" s="149"/>
      <c r="DL14" s="149"/>
      <c r="DM14" s="149"/>
      <c r="DN14" s="149"/>
      <c r="DO14" s="149"/>
      <c r="DP14" s="150"/>
      <c r="DQ14" s="149"/>
      <c r="DR14" s="149"/>
      <c r="DS14" s="149"/>
      <c r="DT14" s="149"/>
      <c r="DU14" s="149"/>
      <c r="DV14" s="150"/>
      <c r="DW14" s="149"/>
      <c r="DX14" s="149"/>
      <c r="DY14" s="149"/>
      <c r="DZ14" s="149"/>
      <c r="EA14" s="149"/>
      <c r="EB14" s="150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  <c r="GF14" s="149"/>
      <c r="GG14" s="149"/>
      <c r="GH14" s="149"/>
      <c r="GI14" s="149"/>
      <c r="GJ14" s="149"/>
      <c r="GK14" s="149"/>
      <c r="GL14" s="149"/>
      <c r="GM14" s="149"/>
      <c r="GN14" s="149"/>
      <c r="GO14" s="149"/>
      <c r="GP14" s="149"/>
      <c r="GQ14" s="149"/>
      <c r="GR14" s="149"/>
      <c r="GS14" s="149"/>
      <c r="GT14" s="149"/>
      <c r="GU14" s="149"/>
      <c r="GV14" s="149"/>
      <c r="GW14" s="149"/>
      <c r="GX14" s="149"/>
      <c r="GY14" s="149"/>
      <c r="GZ14" s="149"/>
      <c r="HA14" s="149"/>
      <c r="HB14" s="149"/>
      <c r="HC14" s="149"/>
      <c r="HD14" s="149"/>
      <c r="HE14" s="149"/>
      <c r="HF14" s="149"/>
      <c r="HG14" s="149"/>
      <c r="HH14" s="149"/>
      <c r="HI14" s="149"/>
      <c r="HJ14" s="149"/>
      <c r="HK14" s="149"/>
      <c r="HL14" s="149"/>
      <c r="HM14" s="149"/>
      <c r="HN14" s="149"/>
      <c r="HO14" s="149"/>
      <c r="HP14" s="149"/>
      <c r="HQ14" s="149"/>
      <c r="HR14" s="149"/>
      <c r="HS14" s="149"/>
      <c r="HT14" s="149"/>
      <c r="HU14" s="149"/>
      <c r="HV14" s="149"/>
      <c r="HW14" s="149"/>
      <c r="HX14" s="149"/>
      <c r="HY14" s="149"/>
      <c r="HZ14" s="149"/>
      <c r="IA14" s="149"/>
      <c r="IB14" s="149"/>
      <c r="IC14" s="149"/>
      <c r="ID14" s="149"/>
      <c r="IE14" s="149"/>
      <c r="IF14" s="149"/>
      <c r="IG14" s="149"/>
      <c r="IH14" s="149"/>
      <c r="II14" s="149"/>
    </row>
    <row r="15">
      <c r="A15" s="149"/>
      <c r="B15" s="149"/>
      <c r="C15" s="149"/>
      <c r="D15" s="149"/>
      <c r="E15" s="149"/>
      <c r="F15" s="150"/>
      <c r="G15" s="149"/>
      <c r="H15" s="149"/>
      <c r="I15" s="149"/>
      <c r="J15" s="149"/>
      <c r="K15" s="149"/>
      <c r="L15" s="150"/>
      <c r="M15" s="149"/>
      <c r="N15" s="149"/>
      <c r="O15" s="149"/>
      <c r="P15" s="149"/>
      <c r="Q15" s="149"/>
      <c r="R15" s="150"/>
      <c r="S15" s="149"/>
      <c r="T15" s="149"/>
      <c r="U15" s="149"/>
      <c r="V15" s="149"/>
      <c r="W15" s="149"/>
      <c r="X15" s="150"/>
      <c r="Y15" s="149"/>
      <c r="Z15" s="149"/>
      <c r="AA15" s="149"/>
      <c r="AB15" s="149"/>
      <c r="AC15" s="149"/>
      <c r="AD15" s="150"/>
      <c r="AE15" s="149"/>
      <c r="AF15" s="149"/>
      <c r="AG15" s="149"/>
      <c r="AH15" s="149"/>
      <c r="AI15" s="149"/>
      <c r="AJ15" s="150"/>
      <c r="AK15" s="149"/>
      <c r="AL15" s="149"/>
      <c r="AM15" s="149"/>
      <c r="AN15" s="149"/>
      <c r="AO15" s="149"/>
      <c r="AP15" s="150"/>
      <c r="AQ15" s="149"/>
      <c r="AR15" s="149"/>
      <c r="AS15" s="149"/>
      <c r="AT15" s="149"/>
      <c r="AU15" s="149"/>
      <c r="AV15" s="150"/>
      <c r="AW15" s="149"/>
      <c r="AX15" s="149"/>
      <c r="AY15" s="149"/>
      <c r="AZ15" s="149"/>
      <c r="BA15" s="149"/>
      <c r="BB15" s="150"/>
      <c r="BC15" s="149"/>
      <c r="BD15" s="149"/>
      <c r="BE15" s="149"/>
      <c r="BF15" s="149"/>
      <c r="BG15" s="149"/>
      <c r="BH15" s="150"/>
      <c r="BI15" s="149"/>
      <c r="BJ15" s="149"/>
      <c r="BK15" s="149"/>
      <c r="BL15" s="149"/>
      <c r="BM15" s="149"/>
      <c r="BN15" s="150"/>
      <c r="BO15" s="149"/>
      <c r="BP15" s="149"/>
      <c r="BQ15" s="149"/>
      <c r="BR15" s="149"/>
      <c r="BS15" s="149"/>
      <c r="BT15" s="150"/>
      <c r="BU15" s="149"/>
      <c r="BV15" s="149"/>
      <c r="BW15" s="149"/>
      <c r="BX15" s="149"/>
      <c r="BY15" s="149"/>
      <c r="BZ15" s="150"/>
      <c r="CA15" s="149"/>
      <c r="CB15" s="149"/>
      <c r="CC15" s="149"/>
      <c r="CD15" s="149"/>
      <c r="CE15" s="149"/>
      <c r="CF15" s="150"/>
      <c r="CG15" s="149"/>
      <c r="CH15" s="149"/>
      <c r="CI15" s="149"/>
      <c r="CJ15" s="149"/>
      <c r="CK15" s="149"/>
      <c r="CL15" s="150"/>
      <c r="CM15" s="149"/>
      <c r="CN15" s="149"/>
      <c r="CO15" s="149"/>
      <c r="CP15" s="149"/>
      <c r="CQ15" s="149"/>
      <c r="CR15" s="150"/>
      <c r="CS15" s="149"/>
      <c r="CT15" s="149"/>
      <c r="CU15" s="149"/>
      <c r="CV15" s="149"/>
      <c r="CW15" s="149"/>
      <c r="CX15" s="150"/>
      <c r="CY15" s="149"/>
      <c r="CZ15" s="149"/>
      <c r="DA15" s="149"/>
      <c r="DB15" s="149"/>
      <c r="DC15" s="149"/>
      <c r="DD15" s="150"/>
      <c r="DE15" s="149"/>
      <c r="DF15" s="149"/>
      <c r="DG15" s="149"/>
      <c r="DH15" s="149"/>
      <c r="DI15" s="149"/>
      <c r="DJ15" s="150"/>
      <c r="DK15" s="149"/>
      <c r="DL15" s="149"/>
      <c r="DM15" s="149"/>
      <c r="DN15" s="149"/>
      <c r="DO15" s="149"/>
      <c r="DP15" s="150"/>
      <c r="DQ15" s="149"/>
      <c r="DR15" s="149"/>
      <c r="DS15" s="149"/>
      <c r="DT15" s="149"/>
      <c r="DU15" s="149"/>
      <c r="DV15" s="150"/>
      <c r="DW15" s="149"/>
      <c r="DX15" s="149"/>
      <c r="DY15" s="149"/>
      <c r="DZ15" s="149"/>
      <c r="EA15" s="149"/>
      <c r="EB15" s="150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  <c r="GF15" s="149"/>
      <c r="GG15" s="149"/>
      <c r="GH15" s="149"/>
      <c r="GI15" s="149"/>
      <c r="GJ15" s="149"/>
      <c r="GK15" s="149"/>
      <c r="GL15" s="149"/>
      <c r="GM15" s="149"/>
      <c r="GN15" s="149"/>
      <c r="GO15" s="149"/>
      <c r="GP15" s="149"/>
      <c r="GQ15" s="149"/>
      <c r="GR15" s="149"/>
      <c r="GS15" s="149"/>
      <c r="GT15" s="149"/>
      <c r="GU15" s="149"/>
      <c r="GV15" s="149"/>
      <c r="GW15" s="149"/>
      <c r="GX15" s="149"/>
      <c r="GY15" s="149"/>
      <c r="GZ15" s="149"/>
      <c r="HA15" s="149"/>
      <c r="HB15" s="149"/>
      <c r="HC15" s="149"/>
      <c r="HD15" s="149"/>
      <c r="HE15" s="149"/>
      <c r="HF15" s="149"/>
      <c r="HG15" s="149"/>
      <c r="HH15" s="149"/>
      <c r="HI15" s="149"/>
      <c r="HJ15" s="149"/>
      <c r="HK15" s="149"/>
      <c r="HL15" s="149"/>
      <c r="HM15" s="149"/>
      <c r="HN15" s="149"/>
      <c r="HO15" s="149"/>
      <c r="HP15" s="149"/>
      <c r="HQ15" s="149"/>
      <c r="HR15" s="149"/>
      <c r="HS15" s="149"/>
      <c r="HT15" s="149"/>
      <c r="HU15" s="149"/>
      <c r="HV15" s="149"/>
      <c r="HW15" s="149"/>
      <c r="HX15" s="149"/>
      <c r="HY15" s="149"/>
      <c r="HZ15" s="149"/>
      <c r="IA15" s="149"/>
      <c r="IB15" s="149"/>
      <c r="IC15" s="149"/>
      <c r="ID15" s="149"/>
      <c r="IE15" s="149"/>
      <c r="IF15" s="149"/>
      <c r="IG15" s="149"/>
      <c r="IH15" s="149"/>
      <c r="II15" s="149"/>
    </row>
    <row r="16">
      <c r="A16" s="149"/>
      <c r="B16" s="149"/>
      <c r="C16" s="149"/>
      <c r="D16" s="149"/>
      <c r="E16" s="149"/>
      <c r="F16" s="150"/>
      <c r="G16" s="149"/>
      <c r="H16" s="149"/>
      <c r="I16" s="149"/>
      <c r="J16" s="149"/>
      <c r="K16" s="149"/>
      <c r="L16" s="150"/>
      <c r="M16" s="149"/>
      <c r="N16" s="149"/>
      <c r="O16" s="149"/>
      <c r="P16" s="149"/>
      <c r="Q16" s="149"/>
      <c r="R16" s="150"/>
      <c r="S16" s="149"/>
      <c r="T16" s="149"/>
      <c r="U16" s="149"/>
      <c r="V16" s="149"/>
      <c r="W16" s="149"/>
      <c r="X16" s="150"/>
      <c r="Y16" s="149"/>
      <c r="Z16" s="149"/>
      <c r="AA16" s="149"/>
      <c r="AB16" s="149"/>
      <c r="AC16" s="149"/>
      <c r="AD16" s="150"/>
      <c r="AE16" s="149"/>
      <c r="AF16" s="149"/>
      <c r="AG16" s="149"/>
      <c r="AH16" s="149"/>
      <c r="AI16" s="149"/>
      <c r="AJ16" s="150"/>
      <c r="AK16" s="149"/>
      <c r="AL16" s="149"/>
      <c r="AM16" s="149"/>
      <c r="AN16" s="149"/>
      <c r="AO16" s="149"/>
      <c r="AP16" s="150"/>
      <c r="AQ16" s="149"/>
      <c r="AR16" s="149"/>
      <c r="AS16" s="149"/>
      <c r="AT16" s="149"/>
      <c r="AU16" s="149"/>
      <c r="AV16" s="150"/>
      <c r="AW16" s="149"/>
      <c r="AX16" s="149"/>
      <c r="AY16" s="149"/>
      <c r="AZ16" s="149"/>
      <c r="BA16" s="149"/>
      <c r="BB16" s="150"/>
      <c r="BC16" s="149"/>
      <c r="BD16" s="149"/>
      <c r="BE16" s="149"/>
      <c r="BF16" s="149"/>
      <c r="BG16" s="149"/>
      <c r="BH16" s="150"/>
      <c r="BI16" s="149"/>
      <c r="BJ16" s="149"/>
      <c r="BK16" s="149"/>
      <c r="BL16" s="149"/>
      <c r="BM16" s="149"/>
      <c r="BN16" s="150"/>
      <c r="BO16" s="149"/>
      <c r="BP16" s="149"/>
      <c r="BQ16" s="149"/>
      <c r="BR16" s="149"/>
      <c r="BS16" s="149"/>
      <c r="BT16" s="150"/>
      <c r="BU16" s="149"/>
      <c r="BV16" s="149"/>
      <c r="BW16" s="149"/>
      <c r="BX16" s="149"/>
      <c r="BY16" s="149"/>
      <c r="BZ16" s="150"/>
      <c r="CA16" s="149"/>
      <c r="CB16" s="149"/>
      <c r="CC16" s="149"/>
      <c r="CD16" s="149"/>
      <c r="CE16" s="149"/>
      <c r="CF16" s="150"/>
      <c r="CG16" s="149"/>
      <c r="CH16" s="149"/>
      <c r="CI16" s="149"/>
      <c r="CJ16" s="149"/>
      <c r="CK16" s="149"/>
      <c r="CL16" s="150"/>
      <c r="CM16" s="149"/>
      <c r="CN16" s="149"/>
      <c r="CO16" s="149"/>
      <c r="CP16" s="149"/>
      <c r="CQ16" s="149"/>
      <c r="CR16" s="150"/>
      <c r="CS16" s="149"/>
      <c r="CT16" s="149"/>
      <c r="CU16" s="149"/>
      <c r="CV16" s="149"/>
      <c r="CW16" s="149"/>
      <c r="CX16" s="150"/>
      <c r="CY16" s="149"/>
      <c r="CZ16" s="149"/>
      <c r="DA16" s="149"/>
      <c r="DB16" s="149"/>
      <c r="DC16" s="149"/>
      <c r="DD16" s="150"/>
      <c r="DE16" s="149"/>
      <c r="DF16" s="149"/>
      <c r="DG16" s="149"/>
      <c r="DH16" s="149"/>
      <c r="DI16" s="149"/>
      <c r="DJ16" s="150"/>
      <c r="DK16" s="149"/>
      <c r="DL16" s="149"/>
      <c r="DM16" s="149"/>
      <c r="DN16" s="149"/>
      <c r="DO16" s="149"/>
      <c r="DP16" s="150"/>
      <c r="DQ16" s="149"/>
      <c r="DR16" s="149"/>
      <c r="DS16" s="149"/>
      <c r="DT16" s="149"/>
      <c r="DU16" s="149"/>
      <c r="DV16" s="150"/>
      <c r="DW16" s="149"/>
      <c r="DX16" s="149"/>
      <c r="DY16" s="149"/>
      <c r="DZ16" s="149"/>
      <c r="EA16" s="149"/>
      <c r="EB16" s="150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  <c r="GF16" s="149"/>
      <c r="GG16" s="149"/>
      <c r="GH16" s="149"/>
      <c r="GI16" s="149"/>
      <c r="GJ16" s="149"/>
      <c r="GK16" s="149"/>
      <c r="GL16" s="149"/>
      <c r="GM16" s="149"/>
      <c r="GN16" s="149"/>
      <c r="GO16" s="149"/>
      <c r="GP16" s="149"/>
      <c r="GQ16" s="149"/>
      <c r="GR16" s="149"/>
      <c r="GS16" s="149"/>
      <c r="GT16" s="149"/>
      <c r="GU16" s="149"/>
      <c r="GV16" s="149"/>
      <c r="GW16" s="149"/>
      <c r="GX16" s="149"/>
      <c r="GY16" s="149"/>
      <c r="GZ16" s="149"/>
      <c r="HA16" s="149"/>
      <c r="HB16" s="149"/>
      <c r="HC16" s="149"/>
      <c r="HD16" s="149"/>
      <c r="HE16" s="149"/>
      <c r="HF16" s="149"/>
      <c r="HG16" s="149"/>
      <c r="HH16" s="149"/>
      <c r="HI16" s="149"/>
      <c r="HJ16" s="149"/>
      <c r="HK16" s="149"/>
      <c r="HL16" s="149"/>
      <c r="HM16" s="149"/>
      <c r="HN16" s="149"/>
      <c r="HO16" s="149"/>
      <c r="HP16" s="149"/>
      <c r="HQ16" s="149"/>
      <c r="HR16" s="149"/>
      <c r="HS16" s="149"/>
      <c r="HT16" s="149"/>
      <c r="HU16" s="149"/>
      <c r="HV16" s="149"/>
      <c r="HW16" s="149"/>
      <c r="HX16" s="149"/>
      <c r="HY16" s="149"/>
      <c r="HZ16" s="149"/>
      <c r="IA16" s="149"/>
      <c r="IB16" s="149"/>
      <c r="IC16" s="149"/>
      <c r="ID16" s="149"/>
      <c r="IE16" s="149"/>
      <c r="IF16" s="149"/>
      <c r="IG16" s="149"/>
      <c r="IH16" s="149"/>
      <c r="II16" s="149"/>
    </row>
    <row r="17">
      <c r="A17" s="149"/>
      <c r="B17" s="149"/>
      <c r="C17" s="149"/>
      <c r="D17" s="149"/>
      <c r="E17" s="149"/>
      <c r="F17" s="150"/>
      <c r="G17" s="149"/>
      <c r="H17" s="149"/>
      <c r="I17" s="149"/>
      <c r="J17" s="149"/>
      <c r="K17" s="149"/>
      <c r="L17" s="150"/>
      <c r="M17" s="149"/>
      <c r="N17" s="149"/>
      <c r="O17" s="149"/>
      <c r="P17" s="149"/>
      <c r="Q17" s="149"/>
      <c r="R17" s="150"/>
      <c r="S17" s="149"/>
      <c r="T17" s="149"/>
      <c r="U17" s="149"/>
      <c r="V17" s="149"/>
      <c r="W17" s="149"/>
      <c r="X17" s="150"/>
      <c r="Y17" s="149"/>
      <c r="Z17" s="149"/>
      <c r="AA17" s="149"/>
      <c r="AB17" s="149"/>
      <c r="AC17" s="149"/>
      <c r="AD17" s="150"/>
      <c r="AE17" s="149"/>
      <c r="AF17" s="149"/>
      <c r="AG17" s="149"/>
      <c r="AH17" s="149"/>
      <c r="AI17" s="149"/>
      <c r="AJ17" s="150"/>
      <c r="AK17" s="149"/>
      <c r="AL17" s="149"/>
      <c r="AM17" s="149"/>
      <c r="AN17" s="149"/>
      <c r="AO17" s="149"/>
      <c r="AP17" s="150"/>
      <c r="AQ17" s="149"/>
      <c r="AR17" s="149"/>
      <c r="AS17" s="149"/>
      <c r="AT17" s="149"/>
      <c r="AU17" s="149"/>
      <c r="AV17" s="150"/>
      <c r="AW17" s="149"/>
      <c r="AX17" s="149"/>
      <c r="AY17" s="149"/>
      <c r="AZ17" s="149"/>
      <c r="BA17" s="149"/>
      <c r="BB17" s="150"/>
      <c r="BC17" s="149"/>
      <c r="BD17" s="149"/>
      <c r="BE17" s="149"/>
      <c r="BF17" s="149"/>
      <c r="BG17" s="149"/>
      <c r="BH17" s="150"/>
      <c r="BI17" s="149"/>
      <c r="BJ17" s="149"/>
      <c r="BK17" s="149"/>
      <c r="BL17" s="149"/>
      <c r="BM17" s="149"/>
      <c r="BN17" s="150"/>
      <c r="BO17" s="149"/>
      <c r="BP17" s="149"/>
      <c r="BQ17" s="149"/>
      <c r="BR17" s="149"/>
      <c r="BS17" s="149"/>
      <c r="BT17" s="150"/>
      <c r="BU17" s="149"/>
      <c r="BV17" s="149"/>
      <c r="BW17" s="149"/>
      <c r="BX17" s="149"/>
      <c r="BY17" s="149"/>
      <c r="BZ17" s="150"/>
      <c r="CA17" s="149"/>
      <c r="CB17" s="149"/>
      <c r="CC17" s="149"/>
      <c r="CD17" s="149"/>
      <c r="CE17" s="149"/>
      <c r="CF17" s="150"/>
      <c r="CG17" s="149"/>
      <c r="CH17" s="149"/>
      <c r="CI17" s="149"/>
      <c r="CJ17" s="149"/>
      <c r="CK17" s="149"/>
      <c r="CL17" s="150"/>
      <c r="CM17" s="149"/>
      <c r="CN17" s="149"/>
      <c r="CO17" s="149"/>
      <c r="CP17" s="149"/>
      <c r="CQ17" s="149"/>
      <c r="CR17" s="150"/>
      <c r="CS17" s="149"/>
      <c r="CT17" s="149"/>
      <c r="CU17" s="149"/>
      <c r="CV17" s="149"/>
      <c r="CW17" s="149"/>
      <c r="CX17" s="150"/>
      <c r="CY17" s="149"/>
      <c r="CZ17" s="149"/>
      <c r="DA17" s="149"/>
      <c r="DB17" s="149"/>
      <c r="DC17" s="149"/>
      <c r="DD17" s="150"/>
      <c r="DE17" s="149"/>
      <c r="DF17" s="149"/>
      <c r="DG17" s="149"/>
      <c r="DH17" s="149"/>
      <c r="DI17" s="149"/>
      <c r="DJ17" s="150"/>
      <c r="DK17" s="149"/>
      <c r="DL17" s="149"/>
      <c r="DM17" s="149"/>
      <c r="DN17" s="149"/>
      <c r="DO17" s="149"/>
      <c r="DP17" s="150"/>
      <c r="DQ17" s="149"/>
      <c r="DR17" s="149"/>
      <c r="DS17" s="149"/>
      <c r="DT17" s="149"/>
      <c r="DU17" s="149"/>
      <c r="DV17" s="150"/>
      <c r="DW17" s="149"/>
      <c r="DX17" s="149"/>
      <c r="DY17" s="149"/>
      <c r="DZ17" s="149"/>
      <c r="EA17" s="149"/>
      <c r="EB17" s="150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  <c r="GF17" s="149"/>
      <c r="GG17" s="149"/>
      <c r="GH17" s="149"/>
      <c r="GI17" s="149"/>
      <c r="GJ17" s="149"/>
      <c r="GK17" s="149"/>
      <c r="GL17" s="149"/>
      <c r="GM17" s="149"/>
      <c r="GN17" s="149"/>
      <c r="GO17" s="149"/>
      <c r="GP17" s="149"/>
      <c r="GQ17" s="149"/>
      <c r="GR17" s="149"/>
      <c r="GS17" s="149"/>
      <c r="GT17" s="149"/>
      <c r="GU17" s="149"/>
      <c r="GV17" s="149"/>
      <c r="GW17" s="149"/>
      <c r="GX17" s="149"/>
      <c r="GY17" s="149"/>
      <c r="GZ17" s="149"/>
      <c r="HA17" s="149"/>
      <c r="HB17" s="149"/>
      <c r="HC17" s="149"/>
      <c r="HD17" s="149"/>
      <c r="HE17" s="149"/>
      <c r="HF17" s="149"/>
      <c r="HG17" s="149"/>
      <c r="HH17" s="149"/>
      <c r="HI17" s="149"/>
      <c r="HJ17" s="149"/>
      <c r="HK17" s="149"/>
      <c r="HL17" s="149"/>
      <c r="HM17" s="149"/>
      <c r="HN17" s="149"/>
      <c r="HO17" s="149"/>
      <c r="HP17" s="149"/>
      <c r="HQ17" s="149"/>
      <c r="HR17" s="149"/>
      <c r="HS17" s="149"/>
      <c r="HT17" s="149"/>
      <c r="HU17" s="149"/>
      <c r="HV17" s="149"/>
      <c r="HW17" s="149"/>
      <c r="HX17" s="149"/>
      <c r="HY17" s="149"/>
      <c r="HZ17" s="149"/>
      <c r="IA17" s="149"/>
      <c r="IB17" s="149"/>
      <c r="IC17" s="149"/>
      <c r="ID17" s="149"/>
      <c r="IE17" s="149"/>
      <c r="IF17" s="149"/>
      <c r="IG17" s="149"/>
      <c r="IH17" s="149"/>
      <c r="II17" s="149"/>
    </row>
    <row r="18">
      <c r="A18" s="149"/>
      <c r="B18" s="149"/>
      <c r="C18" s="149"/>
      <c r="D18" s="149"/>
      <c r="E18" s="149"/>
      <c r="F18" s="150"/>
      <c r="G18" s="149"/>
      <c r="H18" s="149"/>
      <c r="I18" s="149"/>
      <c r="J18" s="149"/>
      <c r="K18" s="149"/>
      <c r="L18" s="150"/>
      <c r="M18" s="149"/>
      <c r="N18" s="149"/>
      <c r="O18" s="149"/>
      <c r="P18" s="149"/>
      <c r="Q18" s="149"/>
      <c r="R18" s="150"/>
      <c r="S18" s="149"/>
      <c r="T18" s="149"/>
      <c r="U18" s="149"/>
      <c r="V18" s="149"/>
      <c r="W18" s="149"/>
      <c r="X18" s="150"/>
      <c r="Y18" s="149"/>
      <c r="Z18" s="149"/>
      <c r="AA18" s="149"/>
      <c r="AB18" s="149"/>
      <c r="AC18" s="149"/>
      <c r="AD18" s="150"/>
      <c r="AE18" s="149"/>
      <c r="AF18" s="149"/>
      <c r="AG18" s="149"/>
      <c r="AH18" s="149"/>
      <c r="AI18" s="149"/>
      <c r="AJ18" s="150"/>
      <c r="AK18" s="149"/>
      <c r="AL18" s="149"/>
      <c r="AM18" s="149"/>
      <c r="AN18" s="149"/>
      <c r="AO18" s="149"/>
      <c r="AP18" s="150"/>
      <c r="AQ18" s="149"/>
      <c r="AR18" s="149"/>
      <c r="AS18" s="149"/>
      <c r="AT18" s="149"/>
      <c r="AU18" s="149"/>
      <c r="AV18" s="150"/>
      <c r="AW18" s="149"/>
      <c r="AX18" s="149"/>
      <c r="AY18" s="149"/>
      <c r="AZ18" s="149"/>
      <c r="BA18" s="149"/>
      <c r="BB18" s="150"/>
      <c r="BC18" s="149"/>
      <c r="BD18" s="149"/>
      <c r="BE18" s="149"/>
      <c r="BF18" s="149"/>
      <c r="BG18" s="149"/>
      <c r="BH18" s="150"/>
      <c r="BI18" s="149"/>
      <c r="BJ18" s="149"/>
      <c r="BK18" s="149"/>
      <c r="BL18" s="149"/>
      <c r="BM18" s="149"/>
      <c r="BN18" s="150"/>
      <c r="BO18" s="149"/>
      <c r="BP18" s="149"/>
      <c r="BQ18" s="149"/>
      <c r="BR18" s="149"/>
      <c r="BS18" s="149"/>
      <c r="BT18" s="150"/>
      <c r="BU18" s="149"/>
      <c r="BV18" s="149"/>
      <c r="BW18" s="149"/>
      <c r="BX18" s="149"/>
      <c r="BY18" s="149"/>
      <c r="BZ18" s="150"/>
      <c r="CA18" s="149"/>
      <c r="CB18" s="149"/>
      <c r="CC18" s="149"/>
      <c r="CD18" s="149"/>
      <c r="CE18" s="149"/>
      <c r="CF18" s="150"/>
      <c r="CG18" s="149"/>
      <c r="CH18" s="149"/>
      <c r="CI18" s="149"/>
      <c r="CJ18" s="149"/>
      <c r="CK18" s="149"/>
      <c r="CL18" s="150"/>
      <c r="CM18" s="149"/>
      <c r="CN18" s="149"/>
      <c r="CO18" s="149"/>
      <c r="CP18" s="149"/>
      <c r="CQ18" s="149"/>
      <c r="CR18" s="150"/>
      <c r="CS18" s="149"/>
      <c r="CT18" s="149"/>
      <c r="CU18" s="149"/>
      <c r="CV18" s="149"/>
      <c r="CW18" s="149"/>
      <c r="CX18" s="150"/>
      <c r="CY18" s="149"/>
      <c r="CZ18" s="149"/>
      <c r="DA18" s="149"/>
      <c r="DB18" s="149"/>
      <c r="DC18" s="149"/>
      <c r="DD18" s="150"/>
      <c r="DE18" s="149"/>
      <c r="DF18" s="149"/>
      <c r="DG18" s="149"/>
      <c r="DH18" s="149"/>
      <c r="DI18" s="149"/>
      <c r="DJ18" s="150"/>
      <c r="DK18" s="149"/>
      <c r="DL18" s="149"/>
      <c r="DM18" s="149"/>
      <c r="DN18" s="149"/>
      <c r="DO18" s="149"/>
      <c r="DP18" s="150"/>
      <c r="DQ18" s="149"/>
      <c r="DR18" s="149"/>
      <c r="DS18" s="149"/>
      <c r="DT18" s="149"/>
      <c r="DU18" s="149"/>
      <c r="DV18" s="150"/>
      <c r="DW18" s="149"/>
      <c r="DX18" s="149"/>
      <c r="DY18" s="149"/>
      <c r="DZ18" s="149"/>
      <c r="EA18" s="149"/>
      <c r="EB18" s="150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  <c r="GF18" s="149"/>
      <c r="GG18" s="149"/>
      <c r="GH18" s="149"/>
      <c r="GI18" s="149"/>
      <c r="GJ18" s="149"/>
      <c r="GK18" s="149"/>
      <c r="GL18" s="149"/>
      <c r="GM18" s="149"/>
      <c r="GN18" s="149"/>
      <c r="GO18" s="149"/>
      <c r="GP18" s="149"/>
      <c r="GQ18" s="149"/>
      <c r="GR18" s="149"/>
      <c r="GS18" s="149"/>
      <c r="GT18" s="149"/>
      <c r="GU18" s="149"/>
      <c r="GV18" s="149"/>
      <c r="GW18" s="149"/>
      <c r="GX18" s="149"/>
      <c r="GY18" s="149"/>
      <c r="GZ18" s="149"/>
      <c r="HA18" s="149"/>
      <c r="HB18" s="149"/>
      <c r="HC18" s="149"/>
      <c r="HD18" s="149"/>
      <c r="HE18" s="149"/>
      <c r="HF18" s="149"/>
      <c r="HG18" s="149"/>
      <c r="HH18" s="149"/>
      <c r="HI18" s="149"/>
      <c r="HJ18" s="149"/>
      <c r="HK18" s="149"/>
      <c r="HL18" s="149"/>
      <c r="HM18" s="149"/>
      <c r="HN18" s="149"/>
      <c r="HO18" s="149"/>
      <c r="HP18" s="149"/>
      <c r="HQ18" s="149"/>
      <c r="HR18" s="149"/>
      <c r="HS18" s="149"/>
      <c r="HT18" s="149"/>
      <c r="HU18" s="149"/>
      <c r="HV18" s="149"/>
      <c r="HW18" s="149"/>
      <c r="HX18" s="149"/>
      <c r="HY18" s="149"/>
      <c r="HZ18" s="149"/>
      <c r="IA18" s="149"/>
      <c r="IB18" s="149"/>
      <c r="IC18" s="149"/>
      <c r="ID18" s="149"/>
      <c r="IE18" s="149"/>
      <c r="IF18" s="149"/>
      <c r="IG18" s="149"/>
      <c r="IH18" s="149"/>
      <c r="II18" s="149"/>
    </row>
    <row r="19">
      <c r="A19" s="149"/>
      <c r="B19" s="149"/>
      <c r="C19" s="149"/>
      <c r="D19" s="149"/>
      <c r="E19" s="149"/>
      <c r="F19" s="150"/>
      <c r="G19" s="149"/>
      <c r="H19" s="149"/>
      <c r="I19" s="149"/>
      <c r="J19" s="149"/>
      <c r="K19" s="149"/>
      <c r="L19" s="150"/>
      <c r="M19" s="149"/>
      <c r="N19" s="149"/>
      <c r="O19" s="149"/>
      <c r="P19" s="149"/>
      <c r="Q19" s="149"/>
      <c r="R19" s="150"/>
      <c r="S19" s="149"/>
      <c r="T19" s="149"/>
      <c r="U19" s="149"/>
      <c r="V19" s="149"/>
      <c r="W19" s="149"/>
      <c r="X19" s="150"/>
      <c r="Y19" s="149"/>
      <c r="Z19" s="149"/>
      <c r="AA19" s="149"/>
      <c r="AB19" s="149"/>
      <c r="AC19" s="149"/>
      <c r="AD19" s="150"/>
      <c r="AE19" s="149"/>
      <c r="AF19" s="149"/>
      <c r="AG19" s="149"/>
      <c r="AH19" s="149"/>
      <c r="AI19" s="149"/>
      <c r="AJ19" s="150"/>
      <c r="AK19" s="149"/>
      <c r="AL19" s="149"/>
      <c r="AM19" s="149"/>
      <c r="AN19" s="149"/>
      <c r="AO19" s="149"/>
      <c r="AP19" s="150"/>
      <c r="AQ19" s="149"/>
      <c r="AR19" s="149"/>
      <c r="AS19" s="149"/>
      <c r="AT19" s="149"/>
      <c r="AU19" s="149"/>
      <c r="AV19" s="150"/>
      <c r="AW19" s="149"/>
      <c r="AX19" s="149"/>
      <c r="AY19" s="149"/>
      <c r="AZ19" s="149"/>
      <c r="BA19" s="149"/>
      <c r="BB19" s="150"/>
      <c r="BC19" s="149"/>
      <c r="BD19" s="149"/>
      <c r="BE19" s="149"/>
      <c r="BF19" s="149"/>
      <c r="BG19" s="149"/>
      <c r="BH19" s="150"/>
      <c r="BI19" s="149"/>
      <c r="BJ19" s="149"/>
      <c r="BK19" s="149"/>
      <c r="BL19" s="149"/>
      <c r="BM19" s="149"/>
      <c r="BN19" s="150"/>
      <c r="BO19" s="149"/>
      <c r="BP19" s="149"/>
      <c r="BQ19" s="149"/>
      <c r="BR19" s="149"/>
      <c r="BS19" s="149"/>
      <c r="BT19" s="150"/>
      <c r="BU19" s="149"/>
      <c r="BV19" s="149"/>
      <c r="BW19" s="149"/>
      <c r="BX19" s="149"/>
      <c r="BY19" s="149"/>
      <c r="BZ19" s="150"/>
      <c r="CA19" s="149"/>
      <c r="CB19" s="149"/>
      <c r="CC19" s="149"/>
      <c r="CD19" s="149"/>
      <c r="CE19" s="149"/>
      <c r="CF19" s="150"/>
      <c r="CG19" s="149"/>
      <c r="CH19" s="149"/>
      <c r="CI19" s="149"/>
      <c r="CJ19" s="149"/>
      <c r="CK19" s="149"/>
      <c r="CL19" s="150"/>
      <c r="CM19" s="149"/>
      <c r="CN19" s="149"/>
      <c r="CO19" s="149"/>
      <c r="CP19" s="149"/>
      <c r="CQ19" s="149"/>
      <c r="CR19" s="150"/>
      <c r="CS19" s="149"/>
      <c r="CT19" s="149"/>
      <c r="CU19" s="149"/>
      <c r="CV19" s="149"/>
      <c r="CW19" s="149"/>
      <c r="CX19" s="150"/>
      <c r="CY19" s="149"/>
      <c r="CZ19" s="149"/>
      <c r="DA19" s="149"/>
      <c r="DB19" s="149"/>
      <c r="DC19" s="149"/>
      <c r="DD19" s="150"/>
      <c r="DE19" s="149"/>
      <c r="DF19" s="149"/>
      <c r="DG19" s="149"/>
      <c r="DH19" s="149"/>
      <c r="DI19" s="149"/>
      <c r="DJ19" s="150"/>
      <c r="DK19" s="149"/>
      <c r="DL19" s="149"/>
      <c r="DM19" s="149"/>
      <c r="DN19" s="149"/>
      <c r="DO19" s="149"/>
      <c r="DP19" s="150"/>
      <c r="DQ19" s="149"/>
      <c r="DR19" s="149"/>
      <c r="DS19" s="149"/>
      <c r="DT19" s="149"/>
      <c r="DU19" s="149"/>
      <c r="DV19" s="150"/>
      <c r="DW19" s="149"/>
      <c r="DX19" s="149"/>
      <c r="DY19" s="149"/>
      <c r="DZ19" s="149"/>
      <c r="EA19" s="149"/>
      <c r="EB19" s="150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  <c r="GF19" s="149"/>
      <c r="GG19" s="149"/>
      <c r="GH19" s="149"/>
      <c r="GI19" s="149"/>
      <c r="GJ19" s="149"/>
      <c r="GK19" s="149"/>
      <c r="GL19" s="149"/>
      <c r="GM19" s="149"/>
      <c r="GN19" s="149"/>
      <c r="GO19" s="149"/>
      <c r="GP19" s="149"/>
      <c r="GQ19" s="149"/>
      <c r="GR19" s="149"/>
      <c r="GS19" s="149"/>
      <c r="GT19" s="149"/>
      <c r="GU19" s="149"/>
      <c r="GV19" s="149"/>
      <c r="GW19" s="149"/>
      <c r="GX19" s="149"/>
      <c r="GY19" s="149"/>
      <c r="GZ19" s="149"/>
      <c r="HA19" s="149"/>
      <c r="HB19" s="149"/>
      <c r="HC19" s="149"/>
      <c r="HD19" s="149"/>
      <c r="HE19" s="149"/>
      <c r="HF19" s="149"/>
      <c r="HG19" s="149"/>
      <c r="HH19" s="149"/>
      <c r="HI19" s="149"/>
      <c r="HJ19" s="149"/>
      <c r="HK19" s="149"/>
      <c r="HL19" s="149"/>
      <c r="HM19" s="149"/>
      <c r="HN19" s="149"/>
      <c r="HO19" s="149"/>
      <c r="HP19" s="149"/>
      <c r="HQ19" s="149"/>
      <c r="HR19" s="149"/>
      <c r="HS19" s="149"/>
      <c r="HT19" s="149"/>
      <c r="HU19" s="149"/>
      <c r="HV19" s="149"/>
      <c r="HW19" s="149"/>
      <c r="HX19" s="149"/>
      <c r="HY19" s="149"/>
      <c r="HZ19" s="149"/>
      <c r="IA19" s="149"/>
      <c r="IB19" s="149"/>
      <c r="IC19" s="149"/>
      <c r="ID19" s="149"/>
      <c r="IE19" s="149"/>
      <c r="IF19" s="149"/>
      <c r="IG19" s="149"/>
      <c r="IH19" s="149"/>
      <c r="II19" s="149"/>
    </row>
    <row r="20">
      <c r="A20" s="149"/>
      <c r="B20" s="149"/>
      <c r="C20" s="149"/>
      <c r="D20" s="149"/>
      <c r="E20" s="149"/>
      <c r="F20" s="150"/>
      <c r="G20" s="149"/>
      <c r="H20" s="149"/>
      <c r="I20" s="149"/>
      <c r="J20" s="149"/>
      <c r="K20" s="149"/>
      <c r="L20" s="150"/>
      <c r="M20" s="149"/>
      <c r="N20" s="149"/>
      <c r="O20" s="149"/>
      <c r="P20" s="149"/>
      <c r="Q20" s="149"/>
      <c r="R20" s="150"/>
      <c r="S20" s="149"/>
      <c r="T20" s="149"/>
      <c r="U20" s="149"/>
      <c r="V20" s="149"/>
      <c r="W20" s="149"/>
      <c r="X20" s="150"/>
      <c r="Y20" s="149"/>
      <c r="Z20" s="149"/>
      <c r="AA20" s="149"/>
      <c r="AB20" s="149"/>
      <c r="AC20" s="149"/>
      <c r="AD20" s="150"/>
      <c r="AE20" s="149"/>
      <c r="AF20" s="149"/>
      <c r="AG20" s="149"/>
      <c r="AH20" s="149"/>
      <c r="AI20" s="149"/>
      <c r="AJ20" s="150"/>
      <c r="AK20" s="149"/>
      <c r="AL20" s="149"/>
      <c r="AM20" s="149"/>
      <c r="AN20" s="149"/>
      <c r="AO20" s="149"/>
      <c r="AP20" s="150"/>
      <c r="AQ20" s="149"/>
      <c r="AR20" s="149"/>
      <c r="AS20" s="149"/>
      <c r="AT20" s="149"/>
      <c r="AU20" s="149"/>
      <c r="AV20" s="150"/>
      <c r="AW20" s="149"/>
      <c r="AX20" s="149"/>
      <c r="AY20" s="149"/>
      <c r="AZ20" s="149"/>
      <c r="BA20" s="149"/>
      <c r="BB20" s="150"/>
      <c r="BC20" s="149"/>
      <c r="BD20" s="149"/>
      <c r="BE20" s="149"/>
      <c r="BF20" s="149"/>
      <c r="BG20" s="149"/>
      <c r="BH20" s="150"/>
      <c r="BI20" s="149"/>
      <c r="BJ20" s="149"/>
      <c r="BK20" s="149"/>
      <c r="BL20" s="149"/>
      <c r="BM20" s="149"/>
      <c r="BN20" s="150"/>
      <c r="BO20" s="149"/>
      <c r="BP20" s="149"/>
      <c r="BQ20" s="149"/>
      <c r="BR20" s="149"/>
      <c r="BS20" s="149"/>
      <c r="BT20" s="150"/>
      <c r="BU20" s="149"/>
      <c r="BV20" s="149"/>
      <c r="BW20" s="149"/>
      <c r="BX20" s="149"/>
      <c r="BY20" s="149"/>
      <c r="BZ20" s="150"/>
      <c r="CA20" s="149"/>
      <c r="CB20" s="149"/>
      <c r="CC20" s="149"/>
      <c r="CD20" s="149"/>
      <c r="CE20" s="149"/>
      <c r="CF20" s="150"/>
      <c r="CG20" s="149"/>
      <c r="CH20" s="149"/>
      <c r="CI20" s="149"/>
      <c r="CJ20" s="149"/>
      <c r="CK20" s="149"/>
      <c r="CL20" s="150"/>
      <c r="CM20" s="149"/>
      <c r="CN20" s="149"/>
      <c r="CO20" s="149"/>
      <c r="CP20" s="149"/>
      <c r="CQ20" s="149"/>
      <c r="CR20" s="150"/>
      <c r="CS20" s="149"/>
      <c r="CT20" s="149"/>
      <c r="CU20" s="149"/>
      <c r="CV20" s="149"/>
      <c r="CW20" s="149"/>
      <c r="CX20" s="150"/>
      <c r="CY20" s="149"/>
      <c r="CZ20" s="149"/>
      <c r="DA20" s="149"/>
      <c r="DB20" s="149"/>
      <c r="DC20" s="149"/>
      <c r="DD20" s="150"/>
      <c r="DE20" s="149"/>
      <c r="DF20" s="149"/>
      <c r="DG20" s="149"/>
      <c r="DH20" s="149"/>
      <c r="DI20" s="149"/>
      <c r="DJ20" s="150"/>
      <c r="DK20" s="149"/>
      <c r="DL20" s="149"/>
      <c r="DM20" s="149"/>
      <c r="DN20" s="149"/>
      <c r="DO20" s="149"/>
      <c r="DP20" s="150"/>
      <c r="DQ20" s="149"/>
      <c r="DR20" s="149"/>
      <c r="DS20" s="149"/>
      <c r="DT20" s="149"/>
      <c r="DU20" s="149"/>
      <c r="DV20" s="150"/>
      <c r="DW20" s="149"/>
      <c r="DX20" s="149"/>
      <c r="DY20" s="149"/>
      <c r="DZ20" s="149"/>
      <c r="EA20" s="149"/>
      <c r="EB20" s="150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  <c r="GF20" s="149"/>
      <c r="GG20" s="149"/>
      <c r="GH20" s="149"/>
      <c r="GI20" s="149"/>
      <c r="GJ20" s="149"/>
      <c r="GK20" s="149"/>
      <c r="GL20" s="149"/>
      <c r="GM20" s="149"/>
      <c r="GN20" s="149"/>
      <c r="GO20" s="149"/>
      <c r="GP20" s="149"/>
      <c r="GQ20" s="149"/>
      <c r="GR20" s="149"/>
      <c r="GS20" s="149"/>
      <c r="GT20" s="149"/>
      <c r="GU20" s="149"/>
      <c r="GV20" s="149"/>
      <c r="GW20" s="149"/>
      <c r="GX20" s="149"/>
      <c r="GY20" s="149"/>
      <c r="GZ20" s="149"/>
      <c r="HA20" s="149"/>
      <c r="HB20" s="149"/>
      <c r="HC20" s="149"/>
      <c r="HD20" s="149"/>
      <c r="HE20" s="149"/>
      <c r="HF20" s="149"/>
      <c r="HG20" s="149"/>
      <c r="HH20" s="149"/>
      <c r="HI20" s="149"/>
      <c r="HJ20" s="149"/>
      <c r="HK20" s="149"/>
      <c r="HL20" s="149"/>
      <c r="HM20" s="149"/>
      <c r="HN20" s="149"/>
      <c r="HO20" s="149"/>
      <c r="HP20" s="149"/>
      <c r="HQ20" s="149"/>
      <c r="HR20" s="149"/>
      <c r="HS20" s="149"/>
      <c r="HT20" s="149"/>
      <c r="HU20" s="149"/>
      <c r="HV20" s="149"/>
      <c r="HW20" s="149"/>
      <c r="HX20" s="149"/>
      <c r="HY20" s="149"/>
      <c r="HZ20" s="149"/>
      <c r="IA20" s="149"/>
      <c r="IB20" s="149"/>
      <c r="IC20" s="149"/>
      <c r="ID20" s="149"/>
      <c r="IE20" s="149"/>
      <c r="IF20" s="149"/>
      <c r="IG20" s="149"/>
      <c r="IH20" s="149"/>
      <c r="II20" s="149"/>
    </row>
    <row r="21">
      <c r="A21" s="149"/>
      <c r="B21" s="149"/>
      <c r="C21" s="149"/>
      <c r="D21" s="149"/>
      <c r="E21" s="149"/>
      <c r="F21" s="150"/>
      <c r="G21" s="149"/>
      <c r="H21" s="149"/>
      <c r="I21" s="149"/>
      <c r="J21" s="149"/>
      <c r="K21" s="149"/>
      <c r="L21" s="150"/>
      <c r="M21" s="149"/>
      <c r="N21" s="149"/>
      <c r="O21" s="149"/>
      <c r="P21" s="149"/>
      <c r="Q21" s="149"/>
      <c r="R21" s="150"/>
      <c r="S21" s="149"/>
      <c r="T21" s="149"/>
      <c r="U21" s="149"/>
      <c r="V21" s="149"/>
      <c r="W21" s="149"/>
      <c r="X21" s="150"/>
      <c r="Y21" s="149"/>
      <c r="Z21" s="149"/>
      <c r="AA21" s="149"/>
      <c r="AB21" s="149"/>
      <c r="AC21" s="149"/>
      <c r="AD21" s="150"/>
      <c r="AE21" s="149"/>
      <c r="AF21" s="149"/>
      <c r="AG21" s="149"/>
      <c r="AH21" s="149"/>
      <c r="AI21" s="149"/>
      <c r="AJ21" s="150"/>
      <c r="AK21" s="149"/>
      <c r="AL21" s="149"/>
      <c r="AM21" s="149"/>
      <c r="AN21" s="149"/>
      <c r="AO21" s="149"/>
      <c r="AP21" s="150"/>
      <c r="AQ21" s="149"/>
      <c r="AR21" s="149"/>
      <c r="AS21" s="149"/>
      <c r="AT21" s="149"/>
      <c r="AU21" s="149"/>
      <c r="AV21" s="150"/>
      <c r="AW21" s="149"/>
      <c r="AX21" s="149"/>
      <c r="AY21" s="149"/>
      <c r="AZ21" s="149"/>
      <c r="BA21" s="149"/>
      <c r="BB21" s="150"/>
      <c r="BC21" s="149"/>
      <c r="BD21" s="149"/>
      <c r="BE21" s="149"/>
      <c r="BF21" s="149"/>
      <c r="BG21" s="149"/>
      <c r="BH21" s="150"/>
      <c r="BI21" s="149"/>
      <c r="BJ21" s="149"/>
      <c r="BK21" s="149"/>
      <c r="BL21" s="149"/>
      <c r="BM21" s="149"/>
      <c r="BN21" s="150"/>
      <c r="BO21" s="149"/>
      <c r="BP21" s="149"/>
      <c r="BQ21" s="149"/>
      <c r="BR21" s="149"/>
      <c r="BS21" s="149"/>
      <c r="BT21" s="150"/>
      <c r="BU21" s="149"/>
      <c r="BV21" s="149"/>
      <c r="BW21" s="149"/>
      <c r="BX21" s="149"/>
      <c r="BY21" s="149"/>
      <c r="BZ21" s="150"/>
      <c r="CA21" s="149"/>
      <c r="CB21" s="149"/>
      <c r="CC21" s="149"/>
      <c r="CD21" s="149"/>
      <c r="CE21" s="149"/>
      <c r="CF21" s="150"/>
      <c r="CG21" s="149"/>
      <c r="CH21" s="149"/>
      <c r="CI21" s="149"/>
      <c r="CJ21" s="149"/>
      <c r="CK21" s="149"/>
      <c r="CL21" s="150"/>
      <c r="CM21" s="149"/>
      <c r="CN21" s="149"/>
      <c r="CO21" s="149"/>
      <c r="CP21" s="149"/>
      <c r="CQ21" s="149"/>
      <c r="CR21" s="150"/>
      <c r="CS21" s="149"/>
      <c r="CT21" s="149"/>
      <c r="CU21" s="149"/>
      <c r="CV21" s="149"/>
      <c r="CW21" s="149"/>
      <c r="CX21" s="150"/>
      <c r="CY21" s="149"/>
      <c r="CZ21" s="149"/>
      <c r="DA21" s="149"/>
      <c r="DB21" s="149"/>
      <c r="DC21" s="149"/>
      <c r="DD21" s="150"/>
      <c r="DE21" s="149"/>
      <c r="DF21" s="149"/>
      <c r="DG21" s="149"/>
      <c r="DH21" s="149"/>
      <c r="DI21" s="149"/>
      <c r="DJ21" s="150"/>
      <c r="DK21" s="149"/>
      <c r="DL21" s="149"/>
      <c r="DM21" s="149"/>
      <c r="DN21" s="149"/>
      <c r="DO21" s="149"/>
      <c r="DP21" s="150"/>
      <c r="DQ21" s="149"/>
      <c r="DR21" s="149"/>
      <c r="DS21" s="149"/>
      <c r="DT21" s="149"/>
      <c r="DU21" s="149"/>
      <c r="DV21" s="150"/>
      <c r="DW21" s="149"/>
      <c r="DX21" s="149"/>
      <c r="DY21" s="149"/>
      <c r="DZ21" s="149"/>
      <c r="EA21" s="149"/>
      <c r="EB21" s="150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  <c r="GF21" s="149"/>
      <c r="GG21" s="149"/>
      <c r="GH21" s="149"/>
      <c r="GI21" s="149"/>
      <c r="GJ21" s="149"/>
      <c r="GK21" s="149"/>
      <c r="GL21" s="149"/>
      <c r="GM21" s="149"/>
      <c r="GN21" s="149"/>
      <c r="GO21" s="149"/>
      <c r="GP21" s="149"/>
      <c r="GQ21" s="149"/>
      <c r="GR21" s="149"/>
      <c r="GS21" s="149"/>
      <c r="GT21" s="149"/>
      <c r="GU21" s="149"/>
      <c r="GV21" s="149"/>
      <c r="GW21" s="149"/>
      <c r="GX21" s="149"/>
      <c r="GY21" s="149"/>
      <c r="GZ21" s="149"/>
      <c r="HA21" s="149"/>
      <c r="HB21" s="149"/>
      <c r="HC21" s="149"/>
      <c r="HD21" s="149"/>
      <c r="HE21" s="149"/>
      <c r="HF21" s="149"/>
      <c r="HG21" s="149"/>
      <c r="HH21" s="149"/>
      <c r="HI21" s="149"/>
      <c r="HJ21" s="149"/>
      <c r="HK21" s="149"/>
      <c r="HL21" s="149"/>
      <c r="HM21" s="149"/>
      <c r="HN21" s="149"/>
      <c r="HO21" s="149"/>
      <c r="HP21" s="149"/>
      <c r="HQ21" s="149"/>
      <c r="HR21" s="149"/>
      <c r="HS21" s="149"/>
      <c r="HT21" s="149"/>
      <c r="HU21" s="149"/>
      <c r="HV21" s="149"/>
      <c r="HW21" s="149"/>
      <c r="HX21" s="149"/>
      <c r="HY21" s="149"/>
      <c r="HZ21" s="149"/>
      <c r="IA21" s="149"/>
      <c r="IB21" s="149"/>
      <c r="IC21" s="149"/>
      <c r="ID21" s="149"/>
      <c r="IE21" s="149"/>
      <c r="IF21" s="149"/>
      <c r="IG21" s="149"/>
      <c r="IH21" s="149"/>
      <c r="II21" s="149"/>
    </row>
    <row r="22">
      <c r="A22" s="149"/>
      <c r="B22" s="149"/>
      <c r="C22" s="149"/>
      <c r="D22" s="149"/>
      <c r="E22" s="149"/>
      <c r="F22" s="150"/>
      <c r="G22" s="149"/>
      <c r="H22" s="149"/>
      <c r="I22" s="149"/>
      <c r="J22" s="149"/>
      <c r="K22" s="149"/>
      <c r="L22" s="150"/>
      <c r="M22" s="149"/>
      <c r="N22" s="149"/>
      <c r="O22" s="149"/>
      <c r="P22" s="149"/>
      <c r="Q22" s="149"/>
      <c r="R22" s="150"/>
      <c r="S22" s="149"/>
      <c r="T22" s="149"/>
      <c r="U22" s="149"/>
      <c r="V22" s="149"/>
      <c r="W22" s="149"/>
      <c r="X22" s="150"/>
      <c r="Y22" s="149"/>
      <c r="Z22" s="149"/>
      <c r="AA22" s="149"/>
      <c r="AB22" s="149"/>
      <c r="AC22" s="149"/>
      <c r="AD22" s="150"/>
      <c r="AE22" s="149"/>
      <c r="AF22" s="149"/>
      <c r="AG22" s="149"/>
      <c r="AH22" s="149"/>
      <c r="AI22" s="149"/>
      <c r="AJ22" s="150"/>
      <c r="AK22" s="149"/>
      <c r="AL22" s="149"/>
      <c r="AM22" s="149"/>
      <c r="AN22" s="149"/>
      <c r="AO22" s="149"/>
      <c r="AP22" s="150"/>
      <c r="AQ22" s="149"/>
      <c r="AR22" s="149"/>
      <c r="AS22" s="149"/>
      <c r="AT22" s="149"/>
      <c r="AU22" s="149"/>
      <c r="AV22" s="150"/>
      <c r="AW22" s="149"/>
      <c r="AX22" s="149"/>
      <c r="AY22" s="149"/>
      <c r="AZ22" s="149"/>
      <c r="BA22" s="149"/>
      <c r="BB22" s="150"/>
      <c r="BC22" s="149"/>
      <c r="BD22" s="149"/>
      <c r="BE22" s="149"/>
      <c r="BF22" s="149"/>
      <c r="BG22" s="149"/>
      <c r="BH22" s="150"/>
      <c r="BI22" s="149"/>
      <c r="BJ22" s="149"/>
      <c r="BK22" s="149"/>
      <c r="BL22" s="149"/>
      <c r="BM22" s="149"/>
      <c r="BN22" s="150"/>
      <c r="BO22" s="149"/>
      <c r="BP22" s="149"/>
      <c r="BQ22" s="149"/>
      <c r="BR22" s="149"/>
      <c r="BS22" s="149"/>
      <c r="BT22" s="150"/>
      <c r="BU22" s="149"/>
      <c r="BV22" s="149"/>
      <c r="BW22" s="149"/>
      <c r="BX22" s="149"/>
      <c r="BY22" s="149"/>
      <c r="BZ22" s="150"/>
      <c r="CA22" s="149"/>
      <c r="CB22" s="149"/>
      <c r="CC22" s="149"/>
      <c r="CD22" s="149"/>
      <c r="CE22" s="149"/>
      <c r="CF22" s="150"/>
      <c r="CG22" s="149"/>
      <c r="CH22" s="149"/>
      <c r="CI22" s="149"/>
      <c r="CJ22" s="149"/>
      <c r="CK22" s="149"/>
      <c r="CL22" s="150"/>
      <c r="CM22" s="149"/>
      <c r="CN22" s="149"/>
      <c r="CO22" s="149"/>
      <c r="CP22" s="149"/>
      <c r="CQ22" s="149"/>
      <c r="CR22" s="150"/>
      <c r="CS22" s="149"/>
      <c r="CT22" s="149"/>
      <c r="CU22" s="149"/>
      <c r="CV22" s="149"/>
      <c r="CW22" s="149"/>
      <c r="CX22" s="150"/>
      <c r="CY22" s="149"/>
      <c r="CZ22" s="149"/>
      <c r="DA22" s="149"/>
      <c r="DB22" s="149"/>
      <c r="DC22" s="149"/>
      <c r="DD22" s="150"/>
      <c r="DE22" s="149"/>
      <c r="DF22" s="149"/>
      <c r="DG22" s="149"/>
      <c r="DH22" s="149"/>
      <c r="DI22" s="149"/>
      <c r="DJ22" s="150"/>
      <c r="DK22" s="149"/>
      <c r="DL22" s="149"/>
      <c r="DM22" s="149"/>
      <c r="DN22" s="149"/>
      <c r="DO22" s="149"/>
      <c r="DP22" s="150"/>
      <c r="DQ22" s="149"/>
      <c r="DR22" s="149"/>
      <c r="DS22" s="149"/>
      <c r="DT22" s="149"/>
      <c r="DU22" s="149"/>
      <c r="DV22" s="150"/>
      <c r="DW22" s="149"/>
      <c r="DX22" s="149"/>
      <c r="DY22" s="149"/>
      <c r="DZ22" s="149"/>
      <c r="EA22" s="149"/>
      <c r="EB22" s="150"/>
      <c r="EC22" s="149"/>
      <c r="ED22" s="149"/>
      <c r="EE22" s="149"/>
      <c r="EF22" s="149"/>
      <c r="EG22" s="149"/>
      <c r="EH22" s="149"/>
      <c r="EI22" s="149"/>
      <c r="EJ22" s="149"/>
      <c r="EK22" s="149"/>
      <c r="EL22" s="149"/>
      <c r="EM22" s="149"/>
      <c r="EN22" s="149"/>
      <c r="EO22" s="149"/>
      <c r="EP22" s="149"/>
      <c r="EQ22" s="149"/>
      <c r="ER22" s="149"/>
      <c r="ES22" s="149"/>
      <c r="ET22" s="149"/>
      <c r="EU22" s="149"/>
      <c r="EV22" s="149"/>
      <c r="EW22" s="149"/>
      <c r="EX22" s="149"/>
      <c r="EY22" s="149"/>
      <c r="EZ22" s="149"/>
      <c r="FA22" s="149"/>
      <c r="FB22" s="149"/>
      <c r="FC22" s="149"/>
      <c r="FD22" s="149"/>
      <c r="FE22" s="149"/>
      <c r="FF22" s="149"/>
      <c r="FG22" s="149"/>
      <c r="FH22" s="149"/>
      <c r="FI22" s="149"/>
      <c r="FJ22" s="149"/>
      <c r="FK22" s="149"/>
      <c r="FL22" s="149"/>
      <c r="FM22" s="149"/>
      <c r="FN22" s="149"/>
      <c r="FO22" s="149"/>
      <c r="FP22" s="149"/>
      <c r="FQ22" s="149"/>
      <c r="FR22" s="149"/>
      <c r="FS22" s="149"/>
      <c r="FT22" s="149"/>
      <c r="FU22" s="149"/>
      <c r="FV22" s="149"/>
      <c r="FW22" s="149"/>
      <c r="FX22" s="149"/>
      <c r="FY22" s="149"/>
      <c r="FZ22" s="149"/>
      <c r="GA22" s="149"/>
      <c r="GB22" s="149"/>
      <c r="GC22" s="149"/>
      <c r="GD22" s="149"/>
      <c r="GE22" s="149"/>
      <c r="GF22" s="149"/>
      <c r="GG22" s="149"/>
      <c r="GH22" s="149"/>
      <c r="GI22" s="149"/>
      <c r="GJ22" s="149"/>
      <c r="GK22" s="149"/>
      <c r="GL22" s="149"/>
      <c r="GM22" s="149"/>
      <c r="GN22" s="149"/>
      <c r="GO22" s="149"/>
      <c r="GP22" s="149"/>
      <c r="GQ22" s="149"/>
      <c r="GR22" s="149"/>
      <c r="GS22" s="149"/>
      <c r="GT22" s="149"/>
      <c r="GU22" s="149"/>
      <c r="GV22" s="149"/>
      <c r="GW22" s="149"/>
      <c r="GX22" s="149"/>
      <c r="GY22" s="149"/>
      <c r="GZ22" s="149"/>
      <c r="HA22" s="149"/>
      <c r="HB22" s="149"/>
      <c r="HC22" s="149"/>
      <c r="HD22" s="149"/>
      <c r="HE22" s="149"/>
      <c r="HF22" s="149"/>
      <c r="HG22" s="149"/>
      <c r="HH22" s="149"/>
      <c r="HI22" s="149"/>
      <c r="HJ22" s="149"/>
      <c r="HK22" s="149"/>
      <c r="HL22" s="149"/>
      <c r="HM22" s="149"/>
      <c r="HN22" s="149"/>
      <c r="HO22" s="149"/>
      <c r="HP22" s="149"/>
      <c r="HQ22" s="149"/>
      <c r="HR22" s="149"/>
      <c r="HS22" s="149"/>
      <c r="HT22" s="149"/>
      <c r="HU22" s="149"/>
      <c r="HV22" s="149"/>
      <c r="HW22" s="149"/>
      <c r="HX22" s="149"/>
      <c r="HY22" s="149"/>
      <c r="HZ22" s="149"/>
      <c r="IA22" s="149"/>
      <c r="IB22" s="149"/>
      <c r="IC22" s="149"/>
      <c r="ID22" s="149"/>
      <c r="IE22" s="149"/>
      <c r="IF22" s="149"/>
      <c r="IG22" s="149"/>
      <c r="IH22" s="149"/>
      <c r="II22" s="149"/>
    </row>
    <row r="23">
      <c r="A23" s="149"/>
      <c r="B23" s="149"/>
      <c r="C23" s="149"/>
      <c r="D23" s="149"/>
      <c r="E23" s="149"/>
      <c r="F23" s="150"/>
      <c r="G23" s="149"/>
      <c r="H23" s="149"/>
      <c r="I23" s="149"/>
      <c r="J23" s="149"/>
      <c r="K23" s="149"/>
      <c r="L23" s="150"/>
      <c r="M23" s="149"/>
      <c r="N23" s="149"/>
      <c r="O23" s="149"/>
      <c r="P23" s="149"/>
      <c r="Q23" s="149"/>
      <c r="R23" s="150"/>
      <c r="S23" s="149"/>
      <c r="T23" s="149"/>
      <c r="U23" s="149"/>
      <c r="V23" s="149"/>
      <c r="W23" s="149"/>
      <c r="X23" s="150"/>
      <c r="Y23" s="149"/>
      <c r="Z23" s="149"/>
      <c r="AA23" s="149"/>
      <c r="AB23" s="149"/>
      <c r="AC23" s="149"/>
      <c r="AD23" s="150"/>
      <c r="AE23" s="149"/>
      <c r="AF23" s="149"/>
      <c r="AG23" s="149"/>
      <c r="AH23" s="149"/>
      <c r="AI23" s="149"/>
      <c r="AJ23" s="150"/>
      <c r="AK23" s="149"/>
      <c r="AL23" s="149"/>
      <c r="AM23" s="149"/>
      <c r="AN23" s="149"/>
      <c r="AO23" s="149"/>
      <c r="AP23" s="150"/>
      <c r="AQ23" s="149"/>
      <c r="AR23" s="149"/>
      <c r="AS23" s="149"/>
      <c r="AT23" s="149"/>
      <c r="AU23" s="149"/>
      <c r="AV23" s="150"/>
      <c r="AW23" s="149"/>
      <c r="AX23" s="149"/>
      <c r="AY23" s="149"/>
      <c r="AZ23" s="149"/>
      <c r="BA23" s="149"/>
      <c r="BB23" s="150"/>
      <c r="BC23" s="149"/>
      <c r="BD23" s="149"/>
      <c r="BE23" s="149"/>
      <c r="BF23" s="149"/>
      <c r="BG23" s="149"/>
      <c r="BH23" s="150"/>
      <c r="BI23" s="149"/>
      <c r="BJ23" s="149"/>
      <c r="BK23" s="149"/>
      <c r="BL23" s="149"/>
      <c r="BM23" s="149"/>
      <c r="BN23" s="150"/>
      <c r="BO23" s="149"/>
      <c r="BP23" s="149"/>
      <c r="BQ23" s="149"/>
      <c r="BR23" s="149"/>
      <c r="BS23" s="149"/>
      <c r="BT23" s="150"/>
      <c r="BU23" s="149"/>
      <c r="BV23" s="149"/>
      <c r="BW23" s="149"/>
      <c r="BX23" s="149"/>
      <c r="BY23" s="149"/>
      <c r="BZ23" s="150"/>
      <c r="CA23" s="149"/>
      <c r="CB23" s="149"/>
      <c r="CC23" s="149"/>
      <c r="CD23" s="149"/>
      <c r="CE23" s="149"/>
      <c r="CF23" s="150"/>
      <c r="CG23" s="149"/>
      <c r="CH23" s="149"/>
      <c r="CI23" s="149"/>
      <c r="CJ23" s="149"/>
      <c r="CK23" s="149"/>
      <c r="CL23" s="150"/>
      <c r="CM23" s="149"/>
      <c r="CN23" s="149"/>
      <c r="CO23" s="149"/>
      <c r="CP23" s="149"/>
      <c r="CQ23" s="149"/>
      <c r="CR23" s="150"/>
      <c r="CS23" s="149"/>
      <c r="CT23" s="149"/>
      <c r="CU23" s="149"/>
      <c r="CV23" s="149"/>
      <c r="CW23" s="149"/>
      <c r="CX23" s="150"/>
      <c r="CY23" s="149"/>
      <c r="CZ23" s="149"/>
      <c r="DA23" s="149"/>
      <c r="DB23" s="149"/>
      <c r="DC23" s="149"/>
      <c r="DD23" s="150"/>
      <c r="DE23" s="149"/>
      <c r="DF23" s="149"/>
      <c r="DG23" s="149"/>
      <c r="DH23" s="149"/>
      <c r="DI23" s="149"/>
      <c r="DJ23" s="150"/>
      <c r="DK23" s="149"/>
      <c r="DL23" s="149"/>
      <c r="DM23" s="149"/>
      <c r="DN23" s="149"/>
      <c r="DO23" s="149"/>
      <c r="DP23" s="150"/>
      <c r="DQ23" s="149"/>
      <c r="DR23" s="149"/>
      <c r="DS23" s="149"/>
      <c r="DT23" s="149"/>
      <c r="DU23" s="149"/>
      <c r="DV23" s="150"/>
      <c r="DW23" s="149"/>
      <c r="DX23" s="149"/>
      <c r="DY23" s="149"/>
      <c r="DZ23" s="149"/>
      <c r="EA23" s="149"/>
      <c r="EB23" s="150"/>
      <c r="EC23" s="149"/>
      <c r="ED23" s="149"/>
      <c r="EE23" s="149"/>
      <c r="EF23" s="149"/>
      <c r="EG23" s="149"/>
      <c r="EH23" s="149"/>
      <c r="EI23" s="149"/>
      <c r="EJ23" s="149"/>
      <c r="EK23" s="149"/>
      <c r="EL23" s="149"/>
      <c r="EM23" s="149"/>
      <c r="EN23" s="149"/>
      <c r="EO23" s="149"/>
      <c r="EP23" s="149"/>
      <c r="EQ23" s="149"/>
      <c r="ER23" s="149"/>
      <c r="ES23" s="149"/>
      <c r="ET23" s="149"/>
      <c r="EU23" s="149"/>
      <c r="EV23" s="149"/>
      <c r="EW23" s="149"/>
      <c r="EX23" s="149"/>
      <c r="EY23" s="149"/>
      <c r="EZ23" s="149"/>
      <c r="FA23" s="149"/>
      <c r="FB23" s="149"/>
      <c r="FC23" s="149"/>
      <c r="FD23" s="149"/>
      <c r="FE23" s="149"/>
      <c r="FF23" s="149"/>
      <c r="FG23" s="149"/>
      <c r="FH23" s="149"/>
      <c r="FI23" s="149"/>
      <c r="FJ23" s="149"/>
      <c r="FK23" s="149"/>
      <c r="FL23" s="149"/>
      <c r="FM23" s="149"/>
      <c r="FN23" s="149"/>
      <c r="FO23" s="149"/>
      <c r="FP23" s="149"/>
      <c r="FQ23" s="149"/>
      <c r="FR23" s="149"/>
      <c r="FS23" s="149"/>
      <c r="FT23" s="149"/>
      <c r="FU23" s="149"/>
      <c r="FV23" s="149"/>
      <c r="FW23" s="149"/>
      <c r="FX23" s="149"/>
      <c r="FY23" s="149"/>
      <c r="FZ23" s="149"/>
      <c r="GA23" s="149"/>
      <c r="GB23" s="149"/>
      <c r="GC23" s="149"/>
      <c r="GD23" s="149"/>
      <c r="GE23" s="149"/>
      <c r="GF23" s="149"/>
      <c r="GG23" s="149"/>
      <c r="GH23" s="149"/>
      <c r="GI23" s="149"/>
      <c r="GJ23" s="149"/>
      <c r="GK23" s="149"/>
      <c r="GL23" s="149"/>
      <c r="GM23" s="149"/>
      <c r="GN23" s="149"/>
      <c r="GO23" s="149"/>
      <c r="GP23" s="149"/>
      <c r="GQ23" s="149"/>
      <c r="GR23" s="149"/>
      <c r="GS23" s="149"/>
      <c r="GT23" s="149"/>
      <c r="GU23" s="149"/>
      <c r="GV23" s="149"/>
      <c r="GW23" s="149"/>
      <c r="GX23" s="149"/>
      <c r="GY23" s="149"/>
      <c r="GZ23" s="149"/>
      <c r="HA23" s="149"/>
      <c r="HB23" s="149"/>
      <c r="HC23" s="149"/>
      <c r="HD23" s="149"/>
      <c r="HE23" s="149"/>
      <c r="HF23" s="149"/>
      <c r="HG23" s="149"/>
      <c r="HH23" s="149"/>
      <c r="HI23" s="149"/>
      <c r="HJ23" s="149"/>
      <c r="HK23" s="149"/>
      <c r="HL23" s="149"/>
      <c r="HM23" s="149"/>
      <c r="HN23" s="149"/>
      <c r="HO23" s="149"/>
      <c r="HP23" s="149"/>
      <c r="HQ23" s="149"/>
      <c r="HR23" s="149"/>
      <c r="HS23" s="149"/>
      <c r="HT23" s="149"/>
      <c r="HU23" s="149"/>
      <c r="HV23" s="149"/>
      <c r="HW23" s="149"/>
      <c r="HX23" s="149"/>
      <c r="HY23" s="149"/>
      <c r="HZ23" s="149"/>
      <c r="IA23" s="149"/>
      <c r="IB23" s="149"/>
      <c r="IC23" s="149"/>
      <c r="ID23" s="149"/>
      <c r="IE23" s="149"/>
      <c r="IF23" s="149"/>
      <c r="IG23" s="149"/>
      <c r="IH23" s="149"/>
      <c r="II23" s="149"/>
    </row>
    <row r="24">
      <c r="A24" s="149"/>
      <c r="B24" s="149"/>
      <c r="C24" s="149"/>
      <c r="D24" s="149"/>
      <c r="E24" s="149"/>
      <c r="F24" s="150"/>
      <c r="G24" s="149"/>
      <c r="H24" s="149"/>
      <c r="I24" s="149"/>
      <c r="J24" s="149"/>
      <c r="K24" s="149"/>
      <c r="L24" s="150"/>
      <c r="M24" s="149"/>
      <c r="N24" s="149"/>
      <c r="O24" s="149"/>
      <c r="P24" s="149"/>
      <c r="Q24" s="149"/>
      <c r="R24" s="150"/>
      <c r="S24" s="149"/>
      <c r="T24" s="149"/>
      <c r="U24" s="149"/>
      <c r="V24" s="149"/>
      <c r="W24" s="149"/>
      <c r="X24" s="150"/>
      <c r="Y24" s="149"/>
      <c r="Z24" s="149"/>
      <c r="AA24" s="149"/>
      <c r="AB24" s="149"/>
      <c r="AC24" s="149"/>
      <c r="AD24" s="150"/>
      <c r="AE24" s="149"/>
      <c r="AF24" s="149"/>
      <c r="AG24" s="149"/>
      <c r="AH24" s="149"/>
      <c r="AI24" s="149"/>
      <c r="AJ24" s="150"/>
      <c r="AK24" s="149"/>
      <c r="AL24" s="149"/>
      <c r="AM24" s="149"/>
      <c r="AN24" s="149"/>
      <c r="AO24" s="149"/>
      <c r="AP24" s="150"/>
      <c r="AQ24" s="149"/>
      <c r="AR24" s="149"/>
      <c r="AS24" s="149"/>
      <c r="AT24" s="149"/>
      <c r="AU24" s="149"/>
      <c r="AV24" s="150"/>
      <c r="AW24" s="149"/>
      <c r="AX24" s="149"/>
      <c r="AY24" s="149"/>
      <c r="AZ24" s="149"/>
      <c r="BA24" s="149"/>
      <c r="BB24" s="150"/>
      <c r="BC24" s="149"/>
      <c r="BD24" s="149"/>
      <c r="BE24" s="149"/>
      <c r="BF24" s="149"/>
      <c r="BG24" s="149"/>
      <c r="BH24" s="150"/>
      <c r="BI24" s="149"/>
      <c r="BJ24" s="149"/>
      <c r="BK24" s="149"/>
      <c r="BL24" s="149"/>
      <c r="BM24" s="149"/>
      <c r="BN24" s="150"/>
      <c r="BO24" s="149"/>
      <c r="BP24" s="149"/>
      <c r="BQ24" s="149"/>
      <c r="BR24" s="149"/>
      <c r="BS24" s="149"/>
      <c r="BT24" s="150"/>
      <c r="BU24" s="149"/>
      <c r="BV24" s="149"/>
      <c r="BW24" s="149"/>
      <c r="BX24" s="149"/>
      <c r="BY24" s="149"/>
      <c r="BZ24" s="150"/>
      <c r="CA24" s="149"/>
      <c r="CB24" s="149"/>
      <c r="CC24" s="149"/>
      <c r="CD24" s="149"/>
      <c r="CE24" s="149"/>
      <c r="CF24" s="150"/>
      <c r="CG24" s="149"/>
      <c r="CH24" s="149"/>
      <c r="CI24" s="149"/>
      <c r="CJ24" s="149"/>
      <c r="CK24" s="149"/>
      <c r="CL24" s="150"/>
      <c r="CM24" s="149"/>
      <c r="CN24" s="149"/>
      <c r="CO24" s="149"/>
      <c r="CP24" s="149"/>
      <c r="CQ24" s="149"/>
      <c r="CR24" s="150"/>
      <c r="CS24" s="149"/>
      <c r="CT24" s="149"/>
      <c r="CU24" s="149"/>
      <c r="CV24" s="149"/>
      <c r="CW24" s="149"/>
      <c r="CX24" s="150"/>
      <c r="CY24" s="149"/>
      <c r="CZ24" s="149"/>
      <c r="DA24" s="149"/>
      <c r="DB24" s="149"/>
      <c r="DC24" s="149"/>
      <c r="DD24" s="150"/>
      <c r="DE24" s="149"/>
      <c r="DF24" s="149"/>
      <c r="DG24" s="149"/>
      <c r="DH24" s="149"/>
      <c r="DI24" s="149"/>
      <c r="DJ24" s="150"/>
      <c r="DK24" s="149"/>
      <c r="DL24" s="149"/>
      <c r="DM24" s="149"/>
      <c r="DN24" s="149"/>
      <c r="DO24" s="149"/>
      <c r="DP24" s="150"/>
      <c r="DQ24" s="149"/>
      <c r="DR24" s="149"/>
      <c r="DS24" s="149"/>
      <c r="DT24" s="149"/>
      <c r="DU24" s="149"/>
      <c r="DV24" s="150"/>
      <c r="DW24" s="149"/>
      <c r="DX24" s="149"/>
      <c r="DY24" s="149"/>
      <c r="DZ24" s="149"/>
      <c r="EA24" s="149"/>
      <c r="EB24" s="150"/>
      <c r="EC24" s="149"/>
      <c r="ED24" s="149"/>
      <c r="EE24" s="149"/>
      <c r="EF24" s="149"/>
      <c r="EG24" s="149"/>
      <c r="EH24" s="149"/>
      <c r="EI24" s="149"/>
      <c r="EJ24" s="149"/>
      <c r="EK24" s="149"/>
      <c r="EL24" s="149"/>
      <c r="EM24" s="149"/>
      <c r="EN24" s="149"/>
      <c r="EO24" s="149"/>
      <c r="EP24" s="149"/>
      <c r="EQ24" s="149"/>
      <c r="ER24" s="149"/>
      <c r="ES24" s="149"/>
      <c r="ET24" s="149"/>
      <c r="EU24" s="149"/>
      <c r="EV24" s="149"/>
      <c r="EW24" s="149"/>
      <c r="EX24" s="149"/>
      <c r="EY24" s="149"/>
      <c r="EZ24" s="149"/>
      <c r="FA24" s="149"/>
      <c r="FB24" s="149"/>
      <c r="FC24" s="149"/>
      <c r="FD24" s="149"/>
      <c r="FE24" s="149"/>
      <c r="FF24" s="149"/>
      <c r="FG24" s="149"/>
      <c r="FH24" s="149"/>
      <c r="FI24" s="149"/>
      <c r="FJ24" s="149"/>
      <c r="FK24" s="149"/>
      <c r="FL24" s="149"/>
      <c r="FM24" s="149"/>
      <c r="FN24" s="149"/>
      <c r="FO24" s="149"/>
      <c r="FP24" s="149"/>
      <c r="FQ24" s="149"/>
      <c r="FR24" s="149"/>
      <c r="FS24" s="149"/>
      <c r="FT24" s="149"/>
      <c r="FU24" s="149"/>
      <c r="FV24" s="149"/>
      <c r="FW24" s="149"/>
      <c r="FX24" s="149"/>
      <c r="FY24" s="149"/>
      <c r="FZ24" s="149"/>
      <c r="GA24" s="149"/>
      <c r="GB24" s="149"/>
      <c r="GC24" s="149"/>
      <c r="GD24" s="149"/>
      <c r="GE24" s="149"/>
      <c r="GF24" s="149"/>
      <c r="GG24" s="149"/>
      <c r="GH24" s="149"/>
      <c r="GI24" s="149"/>
      <c r="GJ24" s="149"/>
      <c r="GK24" s="149"/>
      <c r="GL24" s="149"/>
      <c r="GM24" s="149"/>
      <c r="GN24" s="149"/>
      <c r="GO24" s="149"/>
      <c r="GP24" s="149"/>
      <c r="GQ24" s="149"/>
      <c r="GR24" s="149"/>
      <c r="GS24" s="149"/>
      <c r="GT24" s="149"/>
      <c r="GU24" s="149"/>
      <c r="GV24" s="149"/>
      <c r="GW24" s="149"/>
      <c r="GX24" s="149"/>
      <c r="GY24" s="149"/>
      <c r="GZ24" s="149"/>
      <c r="HA24" s="149"/>
      <c r="HB24" s="149"/>
      <c r="HC24" s="149"/>
      <c r="HD24" s="149"/>
      <c r="HE24" s="149"/>
      <c r="HF24" s="149"/>
      <c r="HG24" s="149"/>
      <c r="HH24" s="149"/>
      <c r="HI24" s="149"/>
      <c r="HJ24" s="149"/>
      <c r="HK24" s="149"/>
      <c r="HL24" s="149"/>
      <c r="HM24" s="149"/>
      <c r="HN24" s="149"/>
      <c r="HO24" s="149"/>
      <c r="HP24" s="149"/>
      <c r="HQ24" s="149"/>
      <c r="HR24" s="149"/>
      <c r="HS24" s="149"/>
      <c r="HT24" s="149"/>
      <c r="HU24" s="149"/>
      <c r="HV24" s="149"/>
      <c r="HW24" s="149"/>
      <c r="HX24" s="149"/>
      <c r="HY24" s="149"/>
      <c r="HZ24" s="149"/>
      <c r="IA24" s="149"/>
      <c r="IB24" s="149"/>
      <c r="IC24" s="149"/>
      <c r="ID24" s="149"/>
      <c r="IE24" s="149"/>
      <c r="IF24" s="149"/>
      <c r="IG24" s="149"/>
      <c r="IH24" s="149"/>
      <c r="II24" s="149"/>
    </row>
    <row r="25">
      <c r="A25" s="149"/>
      <c r="B25" s="149"/>
      <c r="C25" s="149"/>
      <c r="D25" s="149"/>
      <c r="E25" s="149"/>
      <c r="F25" s="150"/>
      <c r="G25" s="149"/>
      <c r="H25" s="149"/>
      <c r="I25" s="149"/>
      <c r="J25" s="149"/>
      <c r="K25" s="149"/>
      <c r="L25" s="150"/>
      <c r="M25" s="149"/>
      <c r="N25" s="149"/>
      <c r="O25" s="149"/>
      <c r="P25" s="149"/>
      <c r="Q25" s="149"/>
      <c r="R25" s="150"/>
      <c r="S25" s="149"/>
      <c r="T25" s="149"/>
      <c r="U25" s="149"/>
      <c r="V25" s="149"/>
      <c r="W25" s="149"/>
      <c r="X25" s="150"/>
      <c r="Y25" s="149"/>
      <c r="Z25" s="149"/>
      <c r="AA25" s="149"/>
      <c r="AB25" s="149"/>
      <c r="AC25" s="149"/>
      <c r="AD25" s="150"/>
      <c r="AE25" s="149"/>
      <c r="AF25" s="149"/>
      <c r="AG25" s="149"/>
      <c r="AH25" s="149"/>
      <c r="AI25" s="149"/>
      <c r="AJ25" s="150"/>
      <c r="AK25" s="149"/>
      <c r="AL25" s="149"/>
      <c r="AM25" s="149"/>
      <c r="AN25" s="149"/>
      <c r="AO25" s="149"/>
      <c r="AP25" s="150"/>
      <c r="AQ25" s="149"/>
      <c r="AR25" s="149"/>
      <c r="AS25" s="149"/>
      <c r="AT25" s="149"/>
      <c r="AU25" s="149"/>
      <c r="AV25" s="150"/>
      <c r="AW25" s="149"/>
      <c r="AX25" s="149"/>
      <c r="AY25" s="149"/>
      <c r="AZ25" s="149"/>
      <c r="BA25" s="149"/>
      <c r="BB25" s="150"/>
      <c r="BC25" s="149"/>
      <c r="BD25" s="149"/>
      <c r="BE25" s="149"/>
      <c r="BF25" s="149"/>
      <c r="BG25" s="149"/>
      <c r="BH25" s="150"/>
      <c r="BI25" s="149"/>
      <c r="BJ25" s="149"/>
      <c r="BK25" s="149"/>
      <c r="BL25" s="149"/>
      <c r="BM25" s="149"/>
      <c r="BN25" s="150"/>
      <c r="BO25" s="149"/>
      <c r="BP25" s="149"/>
      <c r="BQ25" s="149"/>
      <c r="BR25" s="149"/>
      <c r="BS25" s="149"/>
      <c r="BT25" s="150"/>
      <c r="BU25" s="149"/>
      <c r="BV25" s="149"/>
      <c r="BW25" s="149"/>
      <c r="BX25" s="149"/>
      <c r="BY25" s="149"/>
      <c r="BZ25" s="150"/>
      <c r="CA25" s="149"/>
      <c r="CB25" s="149"/>
      <c r="CC25" s="149"/>
      <c r="CD25" s="149"/>
      <c r="CE25" s="149"/>
      <c r="CF25" s="150"/>
      <c r="CG25" s="149"/>
      <c r="CH25" s="149"/>
      <c r="CI25" s="149"/>
      <c r="CJ25" s="149"/>
      <c r="CK25" s="149"/>
      <c r="CL25" s="150"/>
      <c r="CM25" s="149"/>
      <c r="CN25" s="149"/>
      <c r="CO25" s="149"/>
      <c r="CP25" s="149"/>
      <c r="CQ25" s="149"/>
      <c r="CR25" s="150"/>
      <c r="CS25" s="149"/>
      <c r="CT25" s="149"/>
      <c r="CU25" s="149"/>
      <c r="CV25" s="149"/>
      <c r="CW25" s="149"/>
      <c r="CX25" s="150"/>
      <c r="CY25" s="149"/>
      <c r="CZ25" s="149"/>
      <c r="DA25" s="149"/>
      <c r="DB25" s="149"/>
      <c r="DC25" s="149"/>
      <c r="DD25" s="150"/>
      <c r="DE25" s="149"/>
      <c r="DF25" s="149"/>
      <c r="DG25" s="149"/>
      <c r="DH25" s="149"/>
      <c r="DI25" s="149"/>
      <c r="DJ25" s="150"/>
      <c r="DK25" s="149"/>
      <c r="DL25" s="149"/>
      <c r="DM25" s="149"/>
      <c r="DN25" s="149"/>
      <c r="DO25" s="149"/>
      <c r="DP25" s="150"/>
      <c r="DQ25" s="149"/>
      <c r="DR25" s="149"/>
      <c r="DS25" s="149"/>
      <c r="DT25" s="149"/>
      <c r="DU25" s="149"/>
      <c r="DV25" s="150"/>
      <c r="DW25" s="149"/>
      <c r="DX25" s="149"/>
      <c r="DY25" s="149"/>
      <c r="DZ25" s="149"/>
      <c r="EA25" s="149"/>
      <c r="EB25" s="150"/>
      <c r="EC25" s="149"/>
      <c r="ED25" s="149"/>
      <c r="EE25" s="149"/>
      <c r="EF25" s="149"/>
      <c r="EG25" s="149"/>
      <c r="EH25" s="149"/>
      <c r="EI25" s="149"/>
      <c r="EJ25" s="149"/>
      <c r="EK25" s="149"/>
      <c r="EL25" s="149"/>
      <c r="EM25" s="149"/>
      <c r="EN25" s="149"/>
      <c r="EO25" s="149"/>
      <c r="EP25" s="149"/>
      <c r="EQ25" s="149"/>
      <c r="ER25" s="149"/>
      <c r="ES25" s="149"/>
      <c r="ET25" s="149"/>
      <c r="EU25" s="149"/>
      <c r="EV25" s="149"/>
      <c r="EW25" s="149"/>
      <c r="EX25" s="149"/>
      <c r="EY25" s="149"/>
      <c r="EZ25" s="149"/>
      <c r="FA25" s="149"/>
      <c r="FB25" s="149"/>
      <c r="FC25" s="149"/>
      <c r="FD25" s="149"/>
      <c r="FE25" s="149"/>
      <c r="FF25" s="149"/>
      <c r="FG25" s="149"/>
      <c r="FH25" s="149"/>
      <c r="FI25" s="149"/>
      <c r="FJ25" s="149"/>
      <c r="FK25" s="149"/>
      <c r="FL25" s="149"/>
      <c r="FM25" s="149"/>
      <c r="FN25" s="149"/>
      <c r="FO25" s="149"/>
      <c r="FP25" s="149"/>
      <c r="FQ25" s="149"/>
      <c r="FR25" s="149"/>
      <c r="FS25" s="149"/>
      <c r="FT25" s="149"/>
      <c r="FU25" s="149"/>
      <c r="FV25" s="149"/>
      <c r="FW25" s="149"/>
      <c r="FX25" s="149"/>
      <c r="FY25" s="149"/>
      <c r="FZ25" s="149"/>
      <c r="GA25" s="149"/>
      <c r="GB25" s="149"/>
      <c r="GC25" s="149"/>
      <c r="GD25" s="149"/>
      <c r="GE25" s="149"/>
      <c r="GF25" s="149"/>
      <c r="GG25" s="149"/>
      <c r="GH25" s="149"/>
      <c r="GI25" s="149"/>
      <c r="GJ25" s="149"/>
      <c r="GK25" s="149"/>
      <c r="GL25" s="149"/>
      <c r="GM25" s="149"/>
      <c r="GN25" s="149"/>
      <c r="GO25" s="149"/>
      <c r="GP25" s="149"/>
      <c r="GQ25" s="149"/>
      <c r="GR25" s="149"/>
      <c r="GS25" s="149"/>
      <c r="GT25" s="149"/>
      <c r="GU25" s="149"/>
      <c r="GV25" s="149"/>
      <c r="GW25" s="149"/>
      <c r="GX25" s="149"/>
      <c r="GY25" s="149"/>
      <c r="GZ25" s="149"/>
      <c r="HA25" s="149"/>
      <c r="HB25" s="149"/>
      <c r="HC25" s="149"/>
      <c r="HD25" s="149"/>
      <c r="HE25" s="149"/>
      <c r="HF25" s="149"/>
      <c r="HG25" s="149"/>
      <c r="HH25" s="149"/>
      <c r="HI25" s="149"/>
      <c r="HJ25" s="149"/>
      <c r="HK25" s="149"/>
      <c r="HL25" s="149"/>
      <c r="HM25" s="149"/>
      <c r="HN25" s="149"/>
      <c r="HO25" s="149"/>
      <c r="HP25" s="149"/>
      <c r="HQ25" s="149"/>
      <c r="HR25" s="149"/>
      <c r="HS25" s="149"/>
      <c r="HT25" s="149"/>
      <c r="HU25" s="149"/>
      <c r="HV25" s="149"/>
      <c r="HW25" s="149"/>
      <c r="HX25" s="149"/>
      <c r="HY25" s="149"/>
      <c r="HZ25" s="149"/>
      <c r="IA25" s="149"/>
      <c r="IB25" s="149"/>
      <c r="IC25" s="149"/>
      <c r="ID25" s="149"/>
      <c r="IE25" s="149"/>
      <c r="IF25" s="149"/>
      <c r="IG25" s="149"/>
      <c r="IH25" s="149"/>
      <c r="II25" s="149"/>
    </row>
    <row r="26">
      <c r="A26" s="149"/>
      <c r="B26" s="149"/>
      <c r="C26" s="149"/>
      <c r="D26" s="149"/>
      <c r="E26" s="149"/>
      <c r="F26" s="150"/>
      <c r="G26" s="149"/>
      <c r="H26" s="149"/>
      <c r="I26" s="149"/>
      <c r="J26" s="149"/>
      <c r="K26" s="149"/>
      <c r="L26" s="150"/>
      <c r="M26" s="149"/>
      <c r="N26" s="149"/>
      <c r="O26" s="149"/>
      <c r="P26" s="149"/>
      <c r="Q26" s="149"/>
      <c r="R26" s="150"/>
      <c r="S26" s="149"/>
      <c r="T26" s="149"/>
      <c r="U26" s="149"/>
      <c r="V26" s="149"/>
      <c r="W26" s="149"/>
      <c r="X26" s="150"/>
      <c r="Y26" s="149"/>
      <c r="Z26" s="149"/>
      <c r="AA26" s="149"/>
      <c r="AB26" s="149"/>
      <c r="AC26" s="149"/>
      <c r="AD26" s="150"/>
      <c r="AE26" s="149"/>
      <c r="AF26" s="149"/>
      <c r="AG26" s="149"/>
      <c r="AH26" s="149"/>
      <c r="AI26" s="149"/>
      <c r="AJ26" s="150"/>
      <c r="AK26" s="149"/>
      <c r="AL26" s="149"/>
      <c r="AM26" s="149"/>
      <c r="AN26" s="149"/>
      <c r="AO26" s="149"/>
      <c r="AP26" s="150"/>
      <c r="AQ26" s="149"/>
      <c r="AR26" s="149"/>
      <c r="AS26" s="149"/>
      <c r="AT26" s="149"/>
      <c r="AU26" s="149"/>
      <c r="AV26" s="150"/>
      <c r="AW26" s="149"/>
      <c r="AX26" s="149"/>
      <c r="AY26" s="149"/>
      <c r="AZ26" s="149"/>
      <c r="BA26" s="149"/>
      <c r="BB26" s="150"/>
      <c r="BC26" s="149"/>
      <c r="BD26" s="149"/>
      <c r="BE26" s="149"/>
      <c r="BF26" s="149"/>
      <c r="BG26" s="149"/>
      <c r="BH26" s="150"/>
      <c r="BI26" s="149"/>
      <c r="BJ26" s="149"/>
      <c r="BK26" s="149"/>
      <c r="BL26" s="149"/>
      <c r="BM26" s="149"/>
      <c r="BN26" s="150"/>
      <c r="BO26" s="149"/>
      <c r="BP26" s="149"/>
      <c r="BQ26" s="149"/>
      <c r="BR26" s="149"/>
      <c r="BS26" s="149"/>
      <c r="BT26" s="150"/>
      <c r="BU26" s="149"/>
      <c r="BV26" s="149"/>
      <c r="BW26" s="149"/>
      <c r="BX26" s="149"/>
      <c r="BY26" s="149"/>
      <c r="BZ26" s="150"/>
      <c r="CA26" s="149"/>
      <c r="CB26" s="149"/>
      <c r="CC26" s="149"/>
      <c r="CD26" s="149"/>
      <c r="CE26" s="149"/>
      <c r="CF26" s="150"/>
      <c r="CG26" s="149"/>
      <c r="CH26" s="149"/>
      <c r="CI26" s="149"/>
      <c r="CJ26" s="149"/>
      <c r="CK26" s="149"/>
      <c r="CL26" s="150"/>
      <c r="CM26" s="149"/>
      <c r="CN26" s="149"/>
      <c r="CO26" s="149"/>
      <c r="CP26" s="149"/>
      <c r="CQ26" s="149"/>
      <c r="CR26" s="150"/>
      <c r="CS26" s="149"/>
      <c r="CT26" s="149"/>
      <c r="CU26" s="149"/>
      <c r="CV26" s="149"/>
      <c r="CW26" s="149"/>
      <c r="CX26" s="150"/>
      <c r="CY26" s="149"/>
      <c r="CZ26" s="149"/>
      <c r="DA26" s="149"/>
      <c r="DB26" s="149"/>
      <c r="DC26" s="149"/>
      <c r="DD26" s="150"/>
      <c r="DE26" s="149"/>
      <c r="DF26" s="149"/>
      <c r="DG26" s="149"/>
      <c r="DH26" s="149"/>
      <c r="DI26" s="149"/>
      <c r="DJ26" s="150"/>
      <c r="DK26" s="149"/>
      <c r="DL26" s="149"/>
      <c r="DM26" s="149"/>
      <c r="DN26" s="149"/>
      <c r="DO26" s="149"/>
      <c r="DP26" s="150"/>
      <c r="DQ26" s="149"/>
      <c r="DR26" s="149"/>
      <c r="DS26" s="149"/>
      <c r="DT26" s="149"/>
      <c r="DU26" s="149"/>
      <c r="DV26" s="150"/>
      <c r="DW26" s="149"/>
      <c r="DX26" s="149"/>
      <c r="DY26" s="149"/>
      <c r="DZ26" s="149"/>
      <c r="EA26" s="149"/>
      <c r="EB26" s="150"/>
      <c r="EC26" s="149"/>
      <c r="ED26" s="149"/>
      <c r="EE26" s="149"/>
      <c r="EF26" s="149"/>
      <c r="EG26" s="149"/>
      <c r="EH26" s="149"/>
      <c r="EI26" s="149"/>
      <c r="EJ26" s="149"/>
      <c r="EK26" s="149"/>
      <c r="EL26" s="149"/>
      <c r="EM26" s="149"/>
      <c r="EN26" s="149"/>
      <c r="EO26" s="149"/>
      <c r="EP26" s="149"/>
      <c r="EQ26" s="149"/>
      <c r="ER26" s="149"/>
      <c r="ES26" s="149"/>
      <c r="ET26" s="149"/>
      <c r="EU26" s="149"/>
      <c r="EV26" s="149"/>
      <c r="EW26" s="149"/>
      <c r="EX26" s="149"/>
      <c r="EY26" s="149"/>
      <c r="EZ26" s="149"/>
      <c r="FA26" s="149"/>
      <c r="FB26" s="149"/>
      <c r="FC26" s="149"/>
      <c r="FD26" s="149"/>
      <c r="FE26" s="149"/>
      <c r="FF26" s="149"/>
      <c r="FG26" s="149"/>
      <c r="FH26" s="149"/>
      <c r="FI26" s="149"/>
      <c r="FJ26" s="149"/>
      <c r="FK26" s="149"/>
      <c r="FL26" s="149"/>
      <c r="FM26" s="149"/>
      <c r="FN26" s="149"/>
      <c r="FO26" s="149"/>
      <c r="FP26" s="149"/>
      <c r="FQ26" s="149"/>
      <c r="FR26" s="149"/>
      <c r="FS26" s="149"/>
      <c r="FT26" s="149"/>
      <c r="FU26" s="149"/>
      <c r="FV26" s="149"/>
      <c r="FW26" s="149"/>
      <c r="FX26" s="149"/>
      <c r="FY26" s="149"/>
      <c r="FZ26" s="149"/>
      <c r="GA26" s="149"/>
      <c r="GB26" s="149"/>
      <c r="GC26" s="149"/>
      <c r="GD26" s="149"/>
      <c r="GE26" s="149"/>
      <c r="GF26" s="149"/>
      <c r="GG26" s="149"/>
      <c r="GH26" s="149"/>
      <c r="GI26" s="149"/>
      <c r="GJ26" s="149"/>
      <c r="GK26" s="149"/>
      <c r="GL26" s="149"/>
      <c r="GM26" s="149"/>
      <c r="GN26" s="149"/>
      <c r="GO26" s="149"/>
      <c r="GP26" s="149"/>
      <c r="GQ26" s="149"/>
      <c r="GR26" s="149"/>
      <c r="GS26" s="149"/>
      <c r="GT26" s="149"/>
      <c r="GU26" s="149"/>
      <c r="GV26" s="149"/>
      <c r="GW26" s="149"/>
      <c r="GX26" s="149"/>
      <c r="GY26" s="149"/>
      <c r="GZ26" s="149"/>
      <c r="HA26" s="149"/>
      <c r="HB26" s="149"/>
      <c r="HC26" s="149"/>
      <c r="HD26" s="149"/>
      <c r="HE26" s="149"/>
      <c r="HF26" s="149"/>
      <c r="HG26" s="149"/>
      <c r="HH26" s="149"/>
      <c r="HI26" s="149"/>
      <c r="HJ26" s="149"/>
      <c r="HK26" s="149"/>
      <c r="HL26" s="149"/>
      <c r="HM26" s="149"/>
      <c r="HN26" s="149"/>
      <c r="HO26" s="149"/>
      <c r="HP26" s="149"/>
      <c r="HQ26" s="149"/>
      <c r="HR26" s="149"/>
      <c r="HS26" s="149"/>
      <c r="HT26" s="149"/>
      <c r="HU26" s="149"/>
      <c r="HV26" s="149"/>
      <c r="HW26" s="149"/>
      <c r="HX26" s="149"/>
      <c r="HY26" s="149"/>
      <c r="HZ26" s="149"/>
      <c r="IA26" s="149"/>
      <c r="IB26" s="149"/>
      <c r="IC26" s="149"/>
      <c r="ID26" s="149"/>
      <c r="IE26" s="149"/>
      <c r="IF26" s="149"/>
      <c r="IG26" s="149"/>
      <c r="IH26" s="149"/>
      <c r="II26" s="149"/>
    </row>
    <row r="27">
      <c r="A27" s="149"/>
      <c r="B27" s="149"/>
      <c r="C27" s="149"/>
      <c r="D27" s="149"/>
      <c r="E27" s="149"/>
      <c r="F27" s="150"/>
      <c r="G27" s="149"/>
      <c r="H27" s="149"/>
      <c r="I27" s="149"/>
      <c r="J27" s="149"/>
      <c r="K27" s="149"/>
      <c r="L27" s="150"/>
      <c r="M27" s="149"/>
      <c r="N27" s="149"/>
      <c r="O27" s="149"/>
      <c r="P27" s="149"/>
      <c r="Q27" s="149"/>
      <c r="R27" s="150"/>
      <c r="S27" s="149"/>
      <c r="T27" s="149"/>
      <c r="U27" s="149"/>
      <c r="V27" s="149"/>
      <c r="W27" s="149"/>
      <c r="X27" s="150"/>
      <c r="Y27" s="149"/>
      <c r="Z27" s="149"/>
      <c r="AA27" s="149"/>
      <c r="AB27" s="149"/>
      <c r="AC27" s="149"/>
      <c r="AD27" s="150"/>
      <c r="AE27" s="149"/>
      <c r="AF27" s="149"/>
      <c r="AG27" s="149"/>
      <c r="AH27" s="149"/>
      <c r="AI27" s="149"/>
      <c r="AJ27" s="150"/>
      <c r="AK27" s="149"/>
      <c r="AL27" s="149"/>
      <c r="AM27" s="149"/>
      <c r="AN27" s="149"/>
      <c r="AO27" s="149"/>
      <c r="AP27" s="150"/>
      <c r="AQ27" s="149"/>
      <c r="AR27" s="149"/>
      <c r="AS27" s="149"/>
      <c r="AT27" s="149"/>
      <c r="AU27" s="149"/>
      <c r="AV27" s="150"/>
      <c r="AW27" s="149"/>
      <c r="AX27" s="149"/>
      <c r="AY27" s="149"/>
      <c r="AZ27" s="149"/>
      <c r="BA27" s="149"/>
      <c r="BB27" s="150"/>
      <c r="BC27" s="149"/>
      <c r="BD27" s="149"/>
      <c r="BE27" s="149"/>
      <c r="BF27" s="149"/>
      <c r="BG27" s="149"/>
      <c r="BH27" s="150"/>
      <c r="BI27" s="149"/>
      <c r="BJ27" s="149"/>
      <c r="BK27" s="149"/>
      <c r="BL27" s="149"/>
      <c r="BM27" s="149"/>
      <c r="BN27" s="150"/>
      <c r="BO27" s="149"/>
      <c r="BP27" s="149"/>
      <c r="BQ27" s="149"/>
      <c r="BR27" s="149"/>
      <c r="BS27" s="149"/>
      <c r="BT27" s="150"/>
      <c r="BU27" s="149"/>
      <c r="BV27" s="149"/>
      <c r="BW27" s="149"/>
      <c r="BX27" s="149"/>
      <c r="BY27" s="149"/>
      <c r="BZ27" s="150"/>
      <c r="CA27" s="149"/>
      <c r="CB27" s="149"/>
      <c r="CC27" s="149"/>
      <c r="CD27" s="149"/>
      <c r="CE27" s="149"/>
      <c r="CF27" s="150"/>
      <c r="CG27" s="149"/>
      <c r="CH27" s="149"/>
      <c r="CI27" s="149"/>
      <c r="CJ27" s="149"/>
      <c r="CK27" s="149"/>
      <c r="CL27" s="150"/>
      <c r="CM27" s="149"/>
      <c r="CN27" s="149"/>
      <c r="CO27" s="149"/>
      <c r="CP27" s="149"/>
      <c r="CQ27" s="149"/>
      <c r="CR27" s="150"/>
      <c r="CS27" s="149"/>
      <c r="CT27" s="149"/>
      <c r="CU27" s="149"/>
      <c r="CV27" s="149"/>
      <c r="CW27" s="149"/>
      <c r="CX27" s="150"/>
      <c r="CY27" s="149"/>
      <c r="CZ27" s="149"/>
      <c r="DA27" s="149"/>
      <c r="DB27" s="149"/>
      <c r="DC27" s="149"/>
      <c r="DD27" s="150"/>
      <c r="DE27" s="149"/>
      <c r="DF27" s="149"/>
      <c r="DG27" s="149"/>
      <c r="DH27" s="149"/>
      <c r="DI27" s="149"/>
      <c r="DJ27" s="150"/>
      <c r="DK27" s="149"/>
      <c r="DL27" s="149"/>
      <c r="DM27" s="149"/>
      <c r="DN27" s="149"/>
      <c r="DO27" s="149"/>
      <c r="DP27" s="150"/>
      <c r="DQ27" s="149"/>
      <c r="DR27" s="149"/>
      <c r="DS27" s="149"/>
      <c r="DT27" s="149"/>
      <c r="DU27" s="149"/>
      <c r="DV27" s="150"/>
      <c r="DW27" s="149"/>
      <c r="DX27" s="149"/>
      <c r="DY27" s="149"/>
      <c r="DZ27" s="149"/>
      <c r="EA27" s="149"/>
      <c r="EB27" s="150"/>
      <c r="EC27" s="149"/>
      <c r="ED27" s="149"/>
      <c r="EE27" s="149"/>
      <c r="EF27" s="149"/>
      <c r="EG27" s="149"/>
      <c r="EH27" s="149"/>
      <c r="EI27" s="149"/>
      <c r="EJ27" s="149"/>
      <c r="EK27" s="149"/>
      <c r="EL27" s="149"/>
      <c r="EM27" s="149"/>
      <c r="EN27" s="149"/>
      <c r="EO27" s="149"/>
      <c r="EP27" s="149"/>
      <c r="EQ27" s="149"/>
      <c r="ER27" s="149"/>
      <c r="ES27" s="149"/>
      <c r="ET27" s="149"/>
      <c r="EU27" s="149"/>
      <c r="EV27" s="149"/>
      <c r="EW27" s="149"/>
      <c r="EX27" s="149"/>
      <c r="EY27" s="149"/>
      <c r="EZ27" s="149"/>
      <c r="FA27" s="149"/>
      <c r="FB27" s="149"/>
      <c r="FC27" s="149"/>
      <c r="FD27" s="149"/>
      <c r="FE27" s="149"/>
      <c r="FF27" s="149"/>
      <c r="FG27" s="149"/>
      <c r="FH27" s="149"/>
      <c r="FI27" s="149"/>
      <c r="FJ27" s="149"/>
      <c r="FK27" s="149"/>
      <c r="FL27" s="149"/>
      <c r="FM27" s="149"/>
      <c r="FN27" s="149"/>
      <c r="FO27" s="149"/>
      <c r="FP27" s="149"/>
      <c r="FQ27" s="149"/>
      <c r="FR27" s="149"/>
      <c r="FS27" s="149"/>
      <c r="FT27" s="149"/>
      <c r="FU27" s="149"/>
      <c r="FV27" s="149"/>
      <c r="FW27" s="149"/>
      <c r="FX27" s="149"/>
      <c r="FY27" s="149"/>
      <c r="FZ27" s="149"/>
      <c r="GA27" s="149"/>
      <c r="GB27" s="149"/>
      <c r="GC27" s="149"/>
      <c r="GD27" s="149"/>
      <c r="GE27" s="149"/>
      <c r="GF27" s="149"/>
      <c r="GG27" s="149"/>
      <c r="GH27" s="149"/>
      <c r="GI27" s="149"/>
      <c r="GJ27" s="149"/>
      <c r="GK27" s="149"/>
      <c r="GL27" s="149"/>
      <c r="GM27" s="149"/>
      <c r="GN27" s="149"/>
      <c r="GO27" s="149"/>
      <c r="GP27" s="149"/>
      <c r="GQ27" s="149"/>
      <c r="GR27" s="149"/>
      <c r="GS27" s="149"/>
      <c r="GT27" s="149"/>
      <c r="GU27" s="149"/>
      <c r="GV27" s="149"/>
      <c r="GW27" s="149"/>
      <c r="GX27" s="149"/>
      <c r="GY27" s="149"/>
      <c r="GZ27" s="149"/>
      <c r="HA27" s="149"/>
      <c r="HB27" s="149"/>
      <c r="HC27" s="149"/>
      <c r="HD27" s="149"/>
      <c r="HE27" s="149"/>
      <c r="HF27" s="149"/>
      <c r="HG27" s="149"/>
      <c r="HH27" s="149"/>
      <c r="HI27" s="149"/>
      <c r="HJ27" s="149"/>
      <c r="HK27" s="149"/>
      <c r="HL27" s="149"/>
      <c r="HM27" s="149"/>
      <c r="HN27" s="149"/>
      <c r="HO27" s="149"/>
      <c r="HP27" s="149"/>
      <c r="HQ27" s="149"/>
      <c r="HR27" s="149"/>
      <c r="HS27" s="149"/>
      <c r="HT27" s="149"/>
      <c r="HU27" s="149"/>
      <c r="HV27" s="149"/>
      <c r="HW27" s="149"/>
      <c r="HX27" s="149"/>
      <c r="HY27" s="149"/>
      <c r="HZ27" s="149"/>
      <c r="IA27" s="149"/>
      <c r="IB27" s="149"/>
      <c r="IC27" s="149"/>
      <c r="ID27" s="149"/>
      <c r="IE27" s="149"/>
      <c r="IF27" s="149"/>
      <c r="IG27" s="149"/>
      <c r="IH27" s="149"/>
      <c r="II27" s="149"/>
    </row>
    <row r="28">
      <c r="A28" s="149"/>
      <c r="B28" s="149"/>
      <c r="C28" s="149"/>
      <c r="D28" s="149"/>
      <c r="E28" s="149"/>
      <c r="F28" s="150"/>
      <c r="G28" s="149"/>
      <c r="H28" s="149"/>
      <c r="I28" s="149"/>
      <c r="J28" s="149"/>
      <c r="K28" s="149"/>
      <c r="L28" s="150"/>
      <c r="M28" s="149"/>
      <c r="N28" s="149"/>
      <c r="O28" s="149"/>
      <c r="P28" s="149"/>
      <c r="Q28" s="149"/>
      <c r="R28" s="150"/>
      <c r="S28" s="149"/>
      <c r="T28" s="149"/>
      <c r="U28" s="149"/>
      <c r="V28" s="149"/>
      <c r="W28" s="149"/>
      <c r="X28" s="150"/>
      <c r="Y28" s="149"/>
      <c r="Z28" s="149"/>
      <c r="AA28" s="149"/>
      <c r="AB28" s="149"/>
      <c r="AC28" s="149"/>
      <c r="AD28" s="150"/>
      <c r="AE28" s="149"/>
      <c r="AF28" s="149"/>
      <c r="AG28" s="149"/>
      <c r="AH28" s="149"/>
      <c r="AI28" s="149"/>
      <c r="AJ28" s="150"/>
      <c r="AK28" s="149"/>
      <c r="AL28" s="149"/>
      <c r="AM28" s="149"/>
      <c r="AN28" s="149"/>
      <c r="AO28" s="149"/>
      <c r="AP28" s="150"/>
      <c r="AQ28" s="149"/>
      <c r="AR28" s="149"/>
      <c r="AS28" s="149"/>
      <c r="AT28" s="149"/>
      <c r="AU28" s="149"/>
      <c r="AV28" s="150"/>
      <c r="AW28" s="149"/>
      <c r="AX28" s="149"/>
      <c r="AY28" s="149"/>
      <c r="AZ28" s="149"/>
      <c r="BA28" s="149"/>
      <c r="BB28" s="150"/>
      <c r="BC28" s="149"/>
      <c r="BD28" s="149"/>
      <c r="BE28" s="149"/>
      <c r="BF28" s="149"/>
      <c r="BG28" s="149"/>
      <c r="BH28" s="150"/>
      <c r="BI28" s="149"/>
      <c r="BJ28" s="149"/>
      <c r="BK28" s="149"/>
      <c r="BL28" s="149"/>
      <c r="BM28" s="149"/>
      <c r="BN28" s="150"/>
      <c r="BO28" s="149"/>
      <c r="BP28" s="149"/>
      <c r="BQ28" s="149"/>
      <c r="BR28" s="149"/>
      <c r="BS28" s="149"/>
      <c r="BT28" s="150"/>
      <c r="BU28" s="149"/>
      <c r="BV28" s="149"/>
      <c r="BW28" s="149"/>
      <c r="BX28" s="149"/>
      <c r="BY28" s="149"/>
      <c r="BZ28" s="150"/>
      <c r="CA28" s="149"/>
      <c r="CB28" s="149"/>
      <c r="CC28" s="149"/>
      <c r="CD28" s="149"/>
      <c r="CE28" s="149"/>
      <c r="CF28" s="150"/>
      <c r="CG28" s="149"/>
      <c r="CH28" s="149"/>
      <c r="CI28" s="149"/>
      <c r="CJ28" s="149"/>
      <c r="CK28" s="149"/>
      <c r="CL28" s="150"/>
      <c r="CM28" s="149"/>
      <c r="CN28" s="149"/>
      <c r="CO28" s="149"/>
      <c r="CP28" s="149"/>
      <c r="CQ28" s="149"/>
      <c r="CR28" s="150"/>
      <c r="CS28" s="149"/>
      <c r="CT28" s="149"/>
      <c r="CU28" s="149"/>
      <c r="CV28" s="149"/>
      <c r="CW28" s="149"/>
      <c r="CX28" s="150"/>
      <c r="CY28" s="149"/>
      <c r="CZ28" s="149"/>
      <c r="DA28" s="149"/>
      <c r="DB28" s="149"/>
      <c r="DC28" s="149"/>
      <c r="DD28" s="150"/>
      <c r="DE28" s="149"/>
      <c r="DF28" s="149"/>
      <c r="DG28" s="149"/>
      <c r="DH28" s="149"/>
      <c r="DI28" s="149"/>
      <c r="DJ28" s="150"/>
      <c r="DK28" s="149"/>
      <c r="DL28" s="149"/>
      <c r="DM28" s="149"/>
      <c r="DN28" s="149"/>
      <c r="DO28" s="149"/>
      <c r="DP28" s="150"/>
      <c r="DQ28" s="149"/>
      <c r="DR28" s="149"/>
      <c r="DS28" s="149"/>
      <c r="DT28" s="149"/>
      <c r="DU28" s="149"/>
      <c r="DV28" s="150"/>
      <c r="DW28" s="149"/>
      <c r="DX28" s="149"/>
      <c r="DY28" s="149"/>
      <c r="DZ28" s="149"/>
      <c r="EA28" s="149"/>
      <c r="EB28" s="150"/>
      <c r="EC28" s="149"/>
      <c r="ED28" s="149"/>
      <c r="EE28" s="149"/>
      <c r="EF28" s="149"/>
      <c r="EG28" s="149"/>
      <c r="EH28" s="149"/>
      <c r="EI28" s="149"/>
      <c r="EJ28" s="149"/>
      <c r="EK28" s="149"/>
      <c r="EL28" s="149"/>
      <c r="EM28" s="149"/>
      <c r="EN28" s="149"/>
      <c r="EO28" s="149"/>
      <c r="EP28" s="149"/>
      <c r="EQ28" s="149"/>
      <c r="ER28" s="149"/>
      <c r="ES28" s="149"/>
      <c r="ET28" s="149"/>
      <c r="EU28" s="149"/>
      <c r="EV28" s="149"/>
      <c r="EW28" s="149"/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  <c r="GB28" s="149"/>
      <c r="GC28" s="149"/>
      <c r="GD28" s="149"/>
      <c r="GE28" s="149"/>
      <c r="GF28" s="149"/>
      <c r="GG28" s="149"/>
      <c r="GH28" s="149"/>
      <c r="GI28" s="149"/>
      <c r="GJ28" s="149"/>
      <c r="GK28" s="149"/>
      <c r="GL28" s="149"/>
      <c r="GM28" s="149"/>
      <c r="GN28" s="149"/>
      <c r="GO28" s="149"/>
      <c r="GP28" s="149"/>
      <c r="GQ28" s="149"/>
      <c r="GR28" s="149"/>
      <c r="GS28" s="149"/>
      <c r="GT28" s="149"/>
      <c r="GU28" s="149"/>
      <c r="GV28" s="149"/>
      <c r="GW28" s="149"/>
      <c r="GX28" s="149"/>
      <c r="GY28" s="149"/>
      <c r="GZ28" s="149"/>
      <c r="HA28" s="149"/>
      <c r="HB28" s="149"/>
      <c r="HC28" s="149"/>
      <c r="HD28" s="149"/>
      <c r="HE28" s="149"/>
      <c r="HF28" s="149"/>
      <c r="HG28" s="149"/>
      <c r="HH28" s="149"/>
      <c r="HI28" s="149"/>
      <c r="HJ28" s="149"/>
      <c r="HK28" s="149"/>
      <c r="HL28" s="149"/>
      <c r="HM28" s="149"/>
      <c r="HN28" s="149"/>
      <c r="HO28" s="149"/>
      <c r="HP28" s="149"/>
      <c r="HQ28" s="149"/>
      <c r="HR28" s="149"/>
      <c r="HS28" s="149"/>
      <c r="HT28" s="149"/>
      <c r="HU28" s="149"/>
      <c r="HV28" s="149"/>
      <c r="HW28" s="149"/>
      <c r="HX28" s="149"/>
      <c r="HY28" s="149"/>
      <c r="HZ28" s="149"/>
      <c r="IA28" s="149"/>
      <c r="IB28" s="149"/>
      <c r="IC28" s="149"/>
      <c r="ID28" s="149"/>
      <c r="IE28" s="149"/>
      <c r="IF28" s="149"/>
      <c r="IG28" s="149"/>
      <c r="IH28" s="149"/>
      <c r="II28" s="149"/>
    </row>
    <row r="29">
      <c r="A29" s="149"/>
      <c r="B29" s="149"/>
      <c r="C29" s="149"/>
      <c r="D29" s="149"/>
      <c r="E29" s="149"/>
      <c r="F29" s="150"/>
      <c r="G29" s="149"/>
      <c r="H29" s="149"/>
      <c r="I29" s="149"/>
      <c r="J29" s="149"/>
      <c r="K29" s="149"/>
      <c r="L29" s="150"/>
      <c r="M29" s="149"/>
      <c r="N29" s="149"/>
      <c r="O29" s="149"/>
      <c r="P29" s="149"/>
      <c r="Q29" s="149"/>
      <c r="R29" s="150"/>
      <c r="S29" s="149"/>
      <c r="T29" s="149"/>
      <c r="U29" s="149"/>
      <c r="V29" s="149"/>
      <c r="W29" s="149"/>
      <c r="X29" s="150"/>
      <c r="Y29" s="149"/>
      <c r="Z29" s="149"/>
      <c r="AA29" s="149"/>
      <c r="AB29" s="149"/>
      <c r="AC29" s="149"/>
      <c r="AD29" s="150"/>
      <c r="AE29" s="149"/>
      <c r="AF29" s="149"/>
      <c r="AG29" s="149"/>
      <c r="AH29" s="149"/>
      <c r="AI29" s="149"/>
      <c r="AJ29" s="150"/>
      <c r="AK29" s="149"/>
      <c r="AL29" s="149"/>
      <c r="AM29" s="149"/>
      <c r="AN29" s="149"/>
      <c r="AO29" s="149"/>
      <c r="AP29" s="150"/>
      <c r="AQ29" s="149"/>
      <c r="AR29" s="149"/>
      <c r="AS29" s="149"/>
      <c r="AT29" s="149"/>
      <c r="AU29" s="149"/>
      <c r="AV29" s="150"/>
      <c r="AW29" s="149"/>
      <c r="AX29" s="149"/>
      <c r="AY29" s="149"/>
      <c r="AZ29" s="149"/>
      <c r="BA29" s="149"/>
      <c r="BB29" s="150"/>
      <c r="BC29" s="149"/>
      <c r="BD29" s="149"/>
      <c r="BE29" s="149"/>
      <c r="BF29" s="149"/>
      <c r="BG29" s="149"/>
      <c r="BH29" s="150"/>
      <c r="BI29" s="149"/>
      <c r="BJ29" s="149"/>
      <c r="BK29" s="149"/>
      <c r="BL29" s="149"/>
      <c r="BM29" s="149"/>
      <c r="BN29" s="150"/>
      <c r="BO29" s="149"/>
      <c r="BP29" s="149"/>
      <c r="BQ29" s="149"/>
      <c r="BR29" s="149"/>
      <c r="BS29" s="149"/>
      <c r="BT29" s="150"/>
      <c r="BU29" s="149"/>
      <c r="BV29" s="149"/>
      <c r="BW29" s="149"/>
      <c r="BX29" s="149"/>
      <c r="BY29" s="149"/>
      <c r="BZ29" s="150"/>
      <c r="CA29" s="149"/>
      <c r="CB29" s="149"/>
      <c r="CC29" s="149"/>
      <c r="CD29" s="149"/>
      <c r="CE29" s="149"/>
      <c r="CF29" s="150"/>
      <c r="CG29" s="149"/>
      <c r="CH29" s="149"/>
      <c r="CI29" s="149"/>
      <c r="CJ29" s="149"/>
      <c r="CK29" s="149"/>
      <c r="CL29" s="150"/>
      <c r="CM29" s="149"/>
      <c r="CN29" s="149"/>
      <c r="CO29" s="149"/>
      <c r="CP29" s="149"/>
      <c r="CQ29" s="149"/>
      <c r="CR29" s="150"/>
      <c r="CS29" s="149"/>
      <c r="CT29" s="149"/>
      <c r="CU29" s="149"/>
      <c r="CV29" s="149"/>
      <c r="CW29" s="149"/>
      <c r="CX29" s="150"/>
      <c r="CY29" s="149"/>
      <c r="CZ29" s="149"/>
      <c r="DA29" s="149"/>
      <c r="DB29" s="149"/>
      <c r="DC29" s="149"/>
      <c r="DD29" s="150"/>
      <c r="DE29" s="149"/>
      <c r="DF29" s="149"/>
      <c r="DG29" s="149"/>
      <c r="DH29" s="149"/>
      <c r="DI29" s="149"/>
      <c r="DJ29" s="150"/>
      <c r="DK29" s="149"/>
      <c r="DL29" s="149"/>
      <c r="DM29" s="149"/>
      <c r="DN29" s="149"/>
      <c r="DO29" s="149"/>
      <c r="DP29" s="150"/>
      <c r="DQ29" s="149"/>
      <c r="DR29" s="149"/>
      <c r="DS29" s="149"/>
      <c r="DT29" s="149"/>
      <c r="DU29" s="149"/>
      <c r="DV29" s="150"/>
      <c r="DW29" s="149"/>
      <c r="DX29" s="149"/>
      <c r="DY29" s="149"/>
      <c r="DZ29" s="149"/>
      <c r="EA29" s="149"/>
      <c r="EB29" s="150"/>
      <c r="EC29" s="149"/>
      <c r="ED29" s="149"/>
      <c r="EE29" s="149"/>
      <c r="EF29" s="149"/>
      <c r="EG29" s="149"/>
      <c r="EH29" s="149"/>
      <c r="EI29" s="149"/>
      <c r="EJ29" s="149"/>
      <c r="EK29" s="149"/>
      <c r="EL29" s="149"/>
      <c r="EM29" s="149"/>
      <c r="EN29" s="149"/>
      <c r="EO29" s="149"/>
      <c r="EP29" s="149"/>
      <c r="EQ29" s="149"/>
      <c r="ER29" s="149"/>
      <c r="ES29" s="149"/>
      <c r="ET29" s="149"/>
      <c r="EU29" s="149"/>
      <c r="EV29" s="149"/>
      <c r="EW29" s="149"/>
      <c r="EX29" s="149"/>
      <c r="EY29" s="149"/>
      <c r="EZ29" s="149"/>
      <c r="FA29" s="149"/>
      <c r="FB29" s="149"/>
      <c r="FC29" s="149"/>
      <c r="FD29" s="149"/>
      <c r="FE29" s="149"/>
      <c r="FF29" s="149"/>
      <c r="FG29" s="149"/>
      <c r="FH29" s="149"/>
      <c r="FI29" s="149"/>
      <c r="FJ29" s="149"/>
      <c r="FK29" s="149"/>
      <c r="FL29" s="149"/>
      <c r="FM29" s="149"/>
      <c r="FN29" s="149"/>
      <c r="FO29" s="149"/>
      <c r="FP29" s="149"/>
      <c r="FQ29" s="149"/>
      <c r="FR29" s="149"/>
      <c r="FS29" s="149"/>
      <c r="FT29" s="149"/>
      <c r="FU29" s="149"/>
      <c r="FV29" s="149"/>
      <c r="FW29" s="149"/>
      <c r="FX29" s="149"/>
      <c r="FY29" s="149"/>
      <c r="FZ29" s="149"/>
      <c r="GA29" s="149"/>
      <c r="GB29" s="149"/>
      <c r="GC29" s="149"/>
      <c r="GD29" s="149"/>
      <c r="GE29" s="149"/>
      <c r="GF29" s="149"/>
      <c r="GG29" s="149"/>
      <c r="GH29" s="149"/>
      <c r="GI29" s="149"/>
      <c r="GJ29" s="149"/>
      <c r="GK29" s="149"/>
      <c r="GL29" s="149"/>
      <c r="GM29" s="149"/>
      <c r="GN29" s="149"/>
      <c r="GO29" s="149"/>
      <c r="GP29" s="149"/>
      <c r="GQ29" s="149"/>
      <c r="GR29" s="149"/>
      <c r="GS29" s="149"/>
      <c r="GT29" s="149"/>
      <c r="GU29" s="149"/>
      <c r="GV29" s="149"/>
      <c r="GW29" s="149"/>
      <c r="GX29" s="149"/>
      <c r="GY29" s="149"/>
      <c r="GZ29" s="149"/>
      <c r="HA29" s="149"/>
      <c r="HB29" s="149"/>
      <c r="HC29" s="149"/>
      <c r="HD29" s="149"/>
      <c r="HE29" s="149"/>
      <c r="HF29" s="149"/>
      <c r="HG29" s="149"/>
      <c r="HH29" s="149"/>
      <c r="HI29" s="149"/>
      <c r="HJ29" s="149"/>
      <c r="HK29" s="149"/>
      <c r="HL29" s="149"/>
      <c r="HM29" s="149"/>
      <c r="HN29" s="149"/>
      <c r="HO29" s="149"/>
      <c r="HP29" s="149"/>
      <c r="HQ29" s="149"/>
      <c r="HR29" s="149"/>
      <c r="HS29" s="149"/>
      <c r="HT29" s="149"/>
      <c r="HU29" s="149"/>
      <c r="HV29" s="149"/>
      <c r="HW29" s="149"/>
      <c r="HX29" s="149"/>
      <c r="HY29" s="149"/>
      <c r="HZ29" s="149"/>
      <c r="IA29" s="149"/>
      <c r="IB29" s="149"/>
      <c r="IC29" s="149"/>
      <c r="ID29" s="149"/>
      <c r="IE29" s="149"/>
      <c r="IF29" s="149"/>
      <c r="IG29" s="149"/>
      <c r="IH29" s="149"/>
      <c r="II29" s="149"/>
    </row>
    <row r="30">
      <c r="A30" s="149"/>
      <c r="B30" s="149"/>
      <c r="C30" s="149"/>
      <c r="D30" s="149"/>
      <c r="E30" s="149"/>
      <c r="F30" s="150"/>
      <c r="G30" s="149"/>
      <c r="H30" s="149"/>
      <c r="I30" s="149"/>
      <c r="J30" s="149"/>
      <c r="K30" s="149"/>
      <c r="L30" s="150"/>
      <c r="M30" s="149"/>
      <c r="N30" s="149"/>
      <c r="O30" s="149"/>
      <c r="P30" s="149"/>
      <c r="Q30" s="149"/>
      <c r="R30" s="150"/>
      <c r="S30" s="149"/>
      <c r="T30" s="149"/>
      <c r="U30" s="149"/>
      <c r="V30" s="149"/>
      <c r="W30" s="149"/>
      <c r="X30" s="150"/>
      <c r="Y30" s="149"/>
      <c r="Z30" s="149"/>
      <c r="AA30" s="149"/>
      <c r="AB30" s="149"/>
      <c r="AC30" s="149"/>
      <c r="AD30" s="150"/>
      <c r="AE30" s="149"/>
      <c r="AF30" s="149"/>
      <c r="AG30" s="149"/>
      <c r="AH30" s="149"/>
      <c r="AI30" s="149"/>
      <c r="AJ30" s="150"/>
      <c r="AK30" s="149"/>
      <c r="AL30" s="149"/>
      <c r="AM30" s="149"/>
      <c r="AN30" s="149"/>
      <c r="AO30" s="149"/>
      <c r="AP30" s="150"/>
      <c r="AQ30" s="149"/>
      <c r="AR30" s="149"/>
      <c r="AS30" s="149"/>
      <c r="AT30" s="149"/>
      <c r="AU30" s="149"/>
      <c r="AV30" s="150"/>
      <c r="AW30" s="149"/>
      <c r="AX30" s="149"/>
      <c r="AY30" s="149"/>
      <c r="AZ30" s="149"/>
      <c r="BA30" s="149"/>
      <c r="BB30" s="150"/>
      <c r="BC30" s="149"/>
      <c r="BD30" s="149"/>
      <c r="BE30" s="149"/>
      <c r="BF30" s="149"/>
      <c r="BG30" s="149"/>
      <c r="BH30" s="150"/>
      <c r="BI30" s="149"/>
      <c r="BJ30" s="149"/>
      <c r="BK30" s="149"/>
      <c r="BL30" s="149"/>
      <c r="BM30" s="149"/>
      <c r="BN30" s="150"/>
      <c r="BO30" s="149"/>
      <c r="BP30" s="149"/>
      <c r="BQ30" s="149"/>
      <c r="BR30" s="149"/>
      <c r="BS30" s="149"/>
      <c r="BT30" s="150"/>
      <c r="BU30" s="149"/>
      <c r="BV30" s="149"/>
      <c r="BW30" s="149"/>
      <c r="BX30" s="149"/>
      <c r="BY30" s="149"/>
      <c r="BZ30" s="150"/>
      <c r="CA30" s="149"/>
      <c r="CB30" s="149"/>
      <c r="CC30" s="149"/>
      <c r="CD30" s="149"/>
      <c r="CE30" s="149"/>
      <c r="CF30" s="150"/>
      <c r="CG30" s="149"/>
      <c r="CH30" s="149"/>
      <c r="CI30" s="149"/>
      <c r="CJ30" s="149"/>
      <c r="CK30" s="149"/>
      <c r="CL30" s="150"/>
      <c r="CM30" s="149"/>
      <c r="CN30" s="149"/>
      <c r="CO30" s="149"/>
      <c r="CP30" s="149"/>
      <c r="CQ30" s="149"/>
      <c r="CR30" s="150"/>
      <c r="CS30" s="149"/>
      <c r="CT30" s="149"/>
      <c r="CU30" s="149"/>
      <c r="CV30" s="149"/>
      <c r="CW30" s="149"/>
      <c r="CX30" s="150"/>
      <c r="CY30" s="149"/>
      <c r="CZ30" s="149"/>
      <c r="DA30" s="149"/>
      <c r="DB30" s="149"/>
      <c r="DC30" s="149"/>
      <c r="DD30" s="150"/>
      <c r="DE30" s="149"/>
      <c r="DF30" s="149"/>
      <c r="DG30" s="149"/>
      <c r="DH30" s="149"/>
      <c r="DI30" s="149"/>
      <c r="DJ30" s="150"/>
      <c r="DK30" s="149"/>
      <c r="DL30" s="149"/>
      <c r="DM30" s="149"/>
      <c r="DN30" s="149"/>
      <c r="DO30" s="149"/>
      <c r="DP30" s="150"/>
      <c r="DQ30" s="149"/>
      <c r="DR30" s="149"/>
      <c r="DS30" s="149"/>
      <c r="DT30" s="149"/>
      <c r="DU30" s="149"/>
      <c r="DV30" s="150"/>
      <c r="DW30" s="149"/>
      <c r="DX30" s="149"/>
      <c r="DY30" s="149"/>
      <c r="DZ30" s="149"/>
      <c r="EA30" s="149"/>
      <c r="EB30" s="150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  <c r="GI30" s="149"/>
      <c r="GJ30" s="149"/>
      <c r="GK30" s="149"/>
      <c r="GL30" s="149"/>
      <c r="GM30" s="149"/>
      <c r="GN30" s="149"/>
      <c r="GO30" s="149"/>
      <c r="GP30" s="149"/>
      <c r="GQ30" s="149"/>
      <c r="GR30" s="149"/>
      <c r="GS30" s="149"/>
      <c r="GT30" s="149"/>
      <c r="GU30" s="149"/>
      <c r="GV30" s="149"/>
      <c r="GW30" s="149"/>
      <c r="GX30" s="149"/>
      <c r="GY30" s="149"/>
      <c r="GZ30" s="149"/>
      <c r="HA30" s="149"/>
      <c r="HB30" s="149"/>
      <c r="HC30" s="149"/>
      <c r="HD30" s="149"/>
      <c r="HE30" s="149"/>
      <c r="HF30" s="149"/>
      <c r="HG30" s="149"/>
      <c r="HH30" s="149"/>
      <c r="HI30" s="149"/>
      <c r="HJ30" s="149"/>
      <c r="HK30" s="149"/>
      <c r="HL30" s="149"/>
      <c r="HM30" s="149"/>
      <c r="HN30" s="149"/>
      <c r="HO30" s="149"/>
      <c r="HP30" s="149"/>
      <c r="HQ30" s="149"/>
      <c r="HR30" s="149"/>
      <c r="HS30" s="149"/>
      <c r="HT30" s="149"/>
      <c r="HU30" s="149"/>
      <c r="HV30" s="149"/>
      <c r="HW30" s="149"/>
      <c r="HX30" s="149"/>
      <c r="HY30" s="149"/>
      <c r="HZ30" s="149"/>
      <c r="IA30" s="149"/>
      <c r="IB30" s="149"/>
      <c r="IC30" s="149"/>
      <c r="ID30" s="149"/>
      <c r="IE30" s="149"/>
      <c r="IF30" s="149"/>
      <c r="IG30" s="149"/>
      <c r="IH30" s="149"/>
      <c r="II30" s="149"/>
    </row>
    <row r="31">
      <c r="A31" s="149"/>
      <c r="B31" s="149"/>
      <c r="C31" s="149"/>
      <c r="D31" s="149"/>
      <c r="E31" s="149"/>
      <c r="F31" s="150"/>
      <c r="G31" s="149"/>
      <c r="H31" s="149"/>
      <c r="I31" s="149"/>
      <c r="J31" s="149"/>
      <c r="K31" s="149"/>
      <c r="L31" s="150"/>
      <c r="M31" s="149"/>
      <c r="N31" s="149"/>
      <c r="O31" s="149"/>
      <c r="P31" s="149"/>
      <c r="Q31" s="149"/>
      <c r="R31" s="150"/>
      <c r="S31" s="149"/>
      <c r="T31" s="149"/>
      <c r="U31" s="149"/>
      <c r="V31" s="149"/>
      <c r="W31" s="149"/>
      <c r="X31" s="150"/>
      <c r="Y31" s="149"/>
      <c r="Z31" s="149"/>
      <c r="AA31" s="149"/>
      <c r="AB31" s="149"/>
      <c r="AC31" s="149"/>
      <c r="AD31" s="150"/>
      <c r="AE31" s="149"/>
      <c r="AF31" s="149"/>
      <c r="AG31" s="149"/>
      <c r="AH31" s="149"/>
      <c r="AI31" s="149"/>
      <c r="AJ31" s="150"/>
      <c r="AK31" s="149"/>
      <c r="AL31" s="149"/>
      <c r="AM31" s="149"/>
      <c r="AN31" s="149"/>
      <c r="AO31" s="149"/>
      <c r="AP31" s="150"/>
      <c r="AQ31" s="149"/>
      <c r="AR31" s="149"/>
      <c r="AS31" s="149"/>
      <c r="AT31" s="149"/>
      <c r="AU31" s="149"/>
      <c r="AV31" s="150"/>
      <c r="AW31" s="149"/>
      <c r="AX31" s="149"/>
      <c r="AY31" s="149"/>
      <c r="AZ31" s="149"/>
      <c r="BA31" s="149"/>
      <c r="BB31" s="150"/>
      <c r="BC31" s="149"/>
      <c r="BD31" s="149"/>
      <c r="BE31" s="149"/>
      <c r="BF31" s="149"/>
      <c r="BG31" s="149"/>
      <c r="BH31" s="150"/>
      <c r="BI31" s="149"/>
      <c r="BJ31" s="149"/>
      <c r="BK31" s="149"/>
      <c r="BL31" s="149"/>
      <c r="BM31" s="149"/>
      <c r="BN31" s="150"/>
      <c r="BO31" s="149"/>
      <c r="BP31" s="149"/>
      <c r="BQ31" s="149"/>
      <c r="BR31" s="149"/>
      <c r="BS31" s="149"/>
      <c r="BT31" s="150"/>
      <c r="BU31" s="149"/>
      <c r="BV31" s="149"/>
      <c r="BW31" s="149"/>
      <c r="BX31" s="149"/>
      <c r="BY31" s="149"/>
      <c r="BZ31" s="150"/>
      <c r="CA31" s="149"/>
      <c r="CB31" s="149"/>
      <c r="CC31" s="149"/>
      <c r="CD31" s="149"/>
      <c r="CE31" s="149"/>
      <c r="CF31" s="150"/>
      <c r="CG31" s="149"/>
      <c r="CH31" s="149"/>
      <c r="CI31" s="149"/>
      <c r="CJ31" s="149"/>
      <c r="CK31" s="149"/>
      <c r="CL31" s="150"/>
      <c r="CM31" s="149"/>
      <c r="CN31" s="149"/>
      <c r="CO31" s="149"/>
      <c r="CP31" s="149"/>
      <c r="CQ31" s="149"/>
      <c r="CR31" s="150"/>
      <c r="CS31" s="149"/>
      <c r="CT31" s="149"/>
      <c r="CU31" s="149"/>
      <c r="CV31" s="149"/>
      <c r="CW31" s="149"/>
      <c r="CX31" s="150"/>
      <c r="CY31" s="149"/>
      <c r="CZ31" s="149"/>
      <c r="DA31" s="149"/>
      <c r="DB31" s="149"/>
      <c r="DC31" s="149"/>
      <c r="DD31" s="150"/>
      <c r="DE31" s="149"/>
      <c r="DF31" s="149"/>
      <c r="DG31" s="149"/>
      <c r="DH31" s="149"/>
      <c r="DI31" s="149"/>
      <c r="DJ31" s="150"/>
      <c r="DK31" s="149"/>
      <c r="DL31" s="149"/>
      <c r="DM31" s="149"/>
      <c r="DN31" s="149"/>
      <c r="DO31" s="149"/>
      <c r="DP31" s="150"/>
      <c r="DQ31" s="149"/>
      <c r="DR31" s="149"/>
      <c r="DS31" s="149"/>
      <c r="DT31" s="149"/>
      <c r="DU31" s="149"/>
      <c r="DV31" s="150"/>
      <c r="DW31" s="149"/>
      <c r="DX31" s="149"/>
      <c r="DY31" s="149"/>
      <c r="DZ31" s="149"/>
      <c r="EA31" s="149"/>
      <c r="EB31" s="150"/>
      <c r="EC31" s="149"/>
      <c r="ED31" s="149"/>
      <c r="EE31" s="149"/>
      <c r="EF31" s="149"/>
      <c r="EG31" s="149"/>
      <c r="EH31" s="149"/>
      <c r="EI31" s="149"/>
      <c r="EJ31" s="149"/>
      <c r="EK31" s="149"/>
      <c r="EL31" s="149"/>
      <c r="EM31" s="149"/>
      <c r="EN31" s="149"/>
      <c r="EO31" s="149"/>
      <c r="EP31" s="149"/>
      <c r="EQ31" s="149"/>
      <c r="ER31" s="149"/>
      <c r="ES31" s="149"/>
      <c r="ET31" s="149"/>
      <c r="EU31" s="149"/>
      <c r="EV31" s="149"/>
      <c r="EW31" s="149"/>
      <c r="EX31" s="149"/>
      <c r="EY31" s="149"/>
      <c r="EZ31" s="149"/>
      <c r="FA31" s="149"/>
      <c r="FB31" s="149"/>
      <c r="FC31" s="149"/>
      <c r="FD31" s="149"/>
      <c r="FE31" s="149"/>
      <c r="FF31" s="149"/>
      <c r="FG31" s="149"/>
      <c r="FH31" s="149"/>
      <c r="FI31" s="149"/>
      <c r="FJ31" s="149"/>
      <c r="FK31" s="149"/>
      <c r="FL31" s="149"/>
      <c r="FM31" s="149"/>
      <c r="FN31" s="149"/>
      <c r="FO31" s="149"/>
      <c r="FP31" s="149"/>
      <c r="FQ31" s="149"/>
      <c r="FR31" s="149"/>
      <c r="FS31" s="149"/>
      <c r="FT31" s="149"/>
      <c r="FU31" s="149"/>
      <c r="FV31" s="149"/>
      <c r="FW31" s="149"/>
      <c r="FX31" s="149"/>
      <c r="FY31" s="149"/>
      <c r="FZ31" s="149"/>
      <c r="GA31" s="149"/>
      <c r="GB31" s="149"/>
      <c r="GC31" s="149"/>
      <c r="GD31" s="149"/>
      <c r="GE31" s="149"/>
      <c r="GF31" s="149"/>
      <c r="GG31" s="149"/>
      <c r="GH31" s="149"/>
      <c r="GI31" s="149"/>
      <c r="GJ31" s="149"/>
      <c r="GK31" s="149"/>
      <c r="GL31" s="149"/>
      <c r="GM31" s="149"/>
      <c r="GN31" s="149"/>
      <c r="GO31" s="149"/>
      <c r="GP31" s="149"/>
      <c r="GQ31" s="149"/>
      <c r="GR31" s="149"/>
      <c r="GS31" s="149"/>
      <c r="GT31" s="149"/>
      <c r="GU31" s="149"/>
      <c r="GV31" s="149"/>
      <c r="GW31" s="149"/>
      <c r="GX31" s="149"/>
      <c r="GY31" s="149"/>
      <c r="GZ31" s="149"/>
      <c r="HA31" s="149"/>
      <c r="HB31" s="149"/>
      <c r="HC31" s="149"/>
      <c r="HD31" s="149"/>
      <c r="HE31" s="149"/>
      <c r="HF31" s="149"/>
      <c r="HG31" s="149"/>
      <c r="HH31" s="149"/>
      <c r="HI31" s="149"/>
      <c r="HJ31" s="149"/>
      <c r="HK31" s="149"/>
      <c r="HL31" s="149"/>
      <c r="HM31" s="149"/>
      <c r="HN31" s="149"/>
      <c r="HO31" s="149"/>
      <c r="HP31" s="149"/>
      <c r="HQ31" s="149"/>
      <c r="HR31" s="149"/>
      <c r="HS31" s="149"/>
      <c r="HT31" s="149"/>
      <c r="HU31" s="149"/>
      <c r="HV31" s="149"/>
      <c r="HW31" s="149"/>
      <c r="HX31" s="149"/>
      <c r="HY31" s="149"/>
      <c r="HZ31" s="149"/>
      <c r="IA31" s="149"/>
      <c r="IB31" s="149"/>
      <c r="IC31" s="149"/>
      <c r="ID31" s="149"/>
      <c r="IE31" s="149"/>
      <c r="IF31" s="149"/>
      <c r="IG31" s="149"/>
      <c r="IH31" s="149"/>
      <c r="II31" s="149"/>
    </row>
    <row r="32">
      <c r="A32" s="149"/>
      <c r="B32" s="149"/>
      <c r="C32" s="149"/>
      <c r="D32" s="149"/>
      <c r="E32" s="149"/>
      <c r="F32" s="150"/>
      <c r="G32" s="149"/>
      <c r="H32" s="149"/>
      <c r="I32" s="149"/>
      <c r="J32" s="149"/>
      <c r="K32" s="149"/>
      <c r="L32" s="150"/>
      <c r="M32" s="149"/>
      <c r="N32" s="149"/>
      <c r="O32" s="149"/>
      <c r="P32" s="149"/>
      <c r="Q32" s="149"/>
      <c r="R32" s="150"/>
      <c r="S32" s="149"/>
      <c r="T32" s="149"/>
      <c r="U32" s="149"/>
      <c r="V32" s="149"/>
      <c r="W32" s="149"/>
      <c r="X32" s="150"/>
      <c r="Y32" s="149"/>
      <c r="Z32" s="149"/>
      <c r="AA32" s="149"/>
      <c r="AB32" s="149"/>
      <c r="AC32" s="149"/>
      <c r="AD32" s="150"/>
      <c r="AE32" s="149"/>
      <c r="AF32" s="149"/>
      <c r="AG32" s="149"/>
      <c r="AH32" s="149"/>
      <c r="AI32" s="149"/>
      <c r="AJ32" s="150"/>
      <c r="AK32" s="149"/>
      <c r="AL32" s="149"/>
      <c r="AM32" s="149"/>
      <c r="AN32" s="149"/>
      <c r="AO32" s="149"/>
      <c r="AP32" s="150"/>
      <c r="AQ32" s="149"/>
      <c r="AR32" s="149"/>
      <c r="AS32" s="149"/>
      <c r="AT32" s="149"/>
      <c r="AU32" s="149"/>
      <c r="AV32" s="150"/>
      <c r="AW32" s="149"/>
      <c r="AX32" s="149"/>
      <c r="AY32" s="149"/>
      <c r="AZ32" s="149"/>
      <c r="BA32" s="149"/>
      <c r="BB32" s="150"/>
      <c r="BC32" s="149"/>
      <c r="BD32" s="149"/>
      <c r="BE32" s="149"/>
      <c r="BF32" s="149"/>
      <c r="BG32" s="149"/>
      <c r="BH32" s="150"/>
      <c r="BI32" s="149"/>
      <c r="BJ32" s="149"/>
      <c r="BK32" s="149"/>
      <c r="BL32" s="149"/>
      <c r="BM32" s="149"/>
      <c r="BN32" s="150"/>
      <c r="BO32" s="149"/>
      <c r="BP32" s="149"/>
      <c r="BQ32" s="149"/>
      <c r="BR32" s="149"/>
      <c r="BS32" s="149"/>
      <c r="BT32" s="150"/>
      <c r="BU32" s="149"/>
      <c r="BV32" s="149"/>
      <c r="BW32" s="149"/>
      <c r="BX32" s="149"/>
      <c r="BY32" s="149"/>
      <c r="BZ32" s="150"/>
      <c r="CA32" s="149"/>
      <c r="CB32" s="149"/>
      <c r="CC32" s="149"/>
      <c r="CD32" s="149"/>
      <c r="CE32" s="149"/>
      <c r="CF32" s="150"/>
      <c r="CG32" s="149"/>
      <c r="CH32" s="149"/>
      <c r="CI32" s="149"/>
      <c r="CJ32" s="149"/>
      <c r="CK32" s="149"/>
      <c r="CL32" s="150"/>
      <c r="CM32" s="149"/>
      <c r="CN32" s="149"/>
      <c r="CO32" s="149"/>
      <c r="CP32" s="149"/>
      <c r="CQ32" s="149"/>
      <c r="CR32" s="150"/>
      <c r="CS32" s="149"/>
      <c r="CT32" s="149"/>
      <c r="CU32" s="149"/>
      <c r="CV32" s="149"/>
      <c r="CW32" s="149"/>
      <c r="CX32" s="150"/>
      <c r="CY32" s="149"/>
      <c r="CZ32" s="149"/>
      <c r="DA32" s="149"/>
      <c r="DB32" s="149"/>
      <c r="DC32" s="149"/>
      <c r="DD32" s="150"/>
      <c r="DE32" s="149"/>
      <c r="DF32" s="149"/>
      <c r="DG32" s="149"/>
      <c r="DH32" s="149"/>
      <c r="DI32" s="149"/>
      <c r="DJ32" s="150"/>
      <c r="DK32" s="149"/>
      <c r="DL32" s="149"/>
      <c r="DM32" s="149"/>
      <c r="DN32" s="149"/>
      <c r="DO32" s="149"/>
      <c r="DP32" s="150"/>
      <c r="DQ32" s="149"/>
      <c r="DR32" s="149"/>
      <c r="DS32" s="149"/>
      <c r="DT32" s="149"/>
      <c r="DU32" s="149"/>
      <c r="DV32" s="150"/>
      <c r="DW32" s="149"/>
      <c r="DX32" s="149"/>
      <c r="DY32" s="149"/>
      <c r="DZ32" s="149"/>
      <c r="EA32" s="149"/>
      <c r="EB32" s="150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49"/>
      <c r="EY32" s="149"/>
      <c r="EZ32" s="149"/>
      <c r="FA32" s="149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49"/>
      <c r="FM32" s="149"/>
      <c r="FN32" s="149"/>
      <c r="FO32" s="149"/>
      <c r="FP32" s="149"/>
      <c r="FQ32" s="149"/>
      <c r="FR32" s="149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/>
      <c r="GC32" s="149"/>
      <c r="GD32" s="149"/>
      <c r="GE32" s="149"/>
      <c r="GF32" s="149"/>
      <c r="GG32" s="149"/>
      <c r="GH32" s="149"/>
      <c r="GI32" s="149"/>
      <c r="GJ32" s="149"/>
      <c r="GK32" s="149"/>
      <c r="GL32" s="149"/>
      <c r="GM32" s="149"/>
      <c r="GN32" s="149"/>
      <c r="GO32" s="149"/>
      <c r="GP32" s="149"/>
      <c r="GQ32" s="149"/>
      <c r="GR32" s="149"/>
      <c r="GS32" s="149"/>
      <c r="GT32" s="149"/>
      <c r="GU32" s="149"/>
      <c r="GV32" s="149"/>
      <c r="GW32" s="149"/>
      <c r="GX32" s="149"/>
      <c r="GY32" s="149"/>
      <c r="GZ32" s="149"/>
      <c r="HA32" s="149"/>
      <c r="HB32" s="149"/>
      <c r="HC32" s="149"/>
      <c r="HD32" s="149"/>
      <c r="HE32" s="149"/>
      <c r="HF32" s="149"/>
      <c r="HG32" s="149"/>
      <c r="HH32" s="149"/>
      <c r="HI32" s="149"/>
      <c r="HJ32" s="149"/>
      <c r="HK32" s="149"/>
      <c r="HL32" s="149"/>
      <c r="HM32" s="149"/>
      <c r="HN32" s="149"/>
      <c r="HO32" s="149"/>
      <c r="HP32" s="149"/>
      <c r="HQ32" s="149"/>
      <c r="HR32" s="149"/>
      <c r="HS32" s="149"/>
      <c r="HT32" s="149"/>
      <c r="HU32" s="149"/>
      <c r="HV32" s="149"/>
      <c r="HW32" s="149"/>
      <c r="HX32" s="149"/>
      <c r="HY32" s="149"/>
      <c r="HZ32" s="149"/>
      <c r="IA32" s="149"/>
      <c r="IB32" s="149"/>
      <c r="IC32" s="149"/>
      <c r="ID32" s="149"/>
      <c r="IE32" s="149"/>
      <c r="IF32" s="149"/>
      <c r="IG32" s="149"/>
      <c r="IH32" s="149"/>
      <c r="II32" s="149"/>
    </row>
    <row r="33">
      <c r="A33" s="149"/>
      <c r="B33" s="149"/>
      <c r="C33" s="149"/>
      <c r="D33" s="149"/>
      <c r="E33" s="149"/>
      <c r="F33" s="150"/>
      <c r="G33" s="149"/>
      <c r="H33" s="149"/>
      <c r="I33" s="149"/>
      <c r="J33" s="149"/>
      <c r="K33" s="149"/>
      <c r="L33" s="150"/>
      <c r="M33" s="149"/>
      <c r="N33" s="149"/>
      <c r="O33" s="149"/>
      <c r="P33" s="149"/>
      <c r="Q33" s="149"/>
      <c r="R33" s="150"/>
      <c r="S33" s="149"/>
      <c r="T33" s="149"/>
      <c r="U33" s="149"/>
      <c r="V33" s="149"/>
      <c r="W33" s="149"/>
      <c r="X33" s="150"/>
      <c r="Y33" s="149"/>
      <c r="Z33" s="149"/>
      <c r="AA33" s="149"/>
      <c r="AB33" s="149"/>
      <c r="AC33" s="149"/>
      <c r="AD33" s="150"/>
      <c r="AE33" s="149"/>
      <c r="AF33" s="149"/>
      <c r="AG33" s="149"/>
      <c r="AH33" s="149"/>
      <c r="AI33" s="149"/>
      <c r="AJ33" s="150"/>
      <c r="AK33" s="149"/>
      <c r="AL33" s="149"/>
      <c r="AM33" s="149"/>
      <c r="AN33" s="149"/>
      <c r="AO33" s="149"/>
      <c r="AP33" s="150"/>
      <c r="AQ33" s="149"/>
      <c r="AR33" s="149"/>
      <c r="AS33" s="149"/>
      <c r="AT33" s="149"/>
      <c r="AU33" s="149"/>
      <c r="AV33" s="150"/>
      <c r="AW33" s="149"/>
      <c r="AX33" s="149"/>
      <c r="AY33" s="149"/>
      <c r="AZ33" s="149"/>
      <c r="BA33" s="149"/>
      <c r="BB33" s="150"/>
      <c r="BC33" s="149"/>
      <c r="BD33" s="149"/>
      <c r="BE33" s="149"/>
      <c r="BF33" s="149"/>
      <c r="BG33" s="149"/>
      <c r="BH33" s="150"/>
      <c r="BI33" s="149"/>
      <c r="BJ33" s="149"/>
      <c r="BK33" s="149"/>
      <c r="BL33" s="149"/>
      <c r="BM33" s="149"/>
      <c r="BN33" s="150"/>
      <c r="BO33" s="149"/>
      <c r="BP33" s="149"/>
      <c r="BQ33" s="149"/>
      <c r="BR33" s="149"/>
      <c r="BS33" s="149"/>
      <c r="BT33" s="150"/>
      <c r="BU33" s="149"/>
      <c r="BV33" s="149"/>
      <c r="BW33" s="149"/>
      <c r="BX33" s="149"/>
      <c r="BY33" s="149"/>
      <c r="BZ33" s="150"/>
      <c r="CA33" s="149"/>
      <c r="CB33" s="149"/>
      <c r="CC33" s="149"/>
      <c r="CD33" s="149"/>
      <c r="CE33" s="149"/>
      <c r="CF33" s="150"/>
      <c r="CG33" s="149"/>
      <c r="CH33" s="149"/>
      <c r="CI33" s="149"/>
      <c r="CJ33" s="149"/>
      <c r="CK33" s="149"/>
      <c r="CL33" s="150"/>
      <c r="CM33" s="149"/>
      <c r="CN33" s="149"/>
      <c r="CO33" s="149"/>
      <c r="CP33" s="149"/>
      <c r="CQ33" s="149"/>
      <c r="CR33" s="150"/>
      <c r="CS33" s="149"/>
      <c r="CT33" s="149"/>
      <c r="CU33" s="149"/>
      <c r="CV33" s="149"/>
      <c r="CW33" s="149"/>
      <c r="CX33" s="150"/>
      <c r="CY33" s="149"/>
      <c r="CZ33" s="149"/>
      <c r="DA33" s="149"/>
      <c r="DB33" s="149"/>
      <c r="DC33" s="149"/>
      <c r="DD33" s="150"/>
      <c r="DE33" s="149"/>
      <c r="DF33" s="149"/>
      <c r="DG33" s="149"/>
      <c r="DH33" s="149"/>
      <c r="DI33" s="149"/>
      <c r="DJ33" s="150"/>
      <c r="DK33" s="149"/>
      <c r="DL33" s="149"/>
      <c r="DM33" s="149"/>
      <c r="DN33" s="149"/>
      <c r="DO33" s="149"/>
      <c r="DP33" s="150"/>
      <c r="DQ33" s="149"/>
      <c r="DR33" s="149"/>
      <c r="DS33" s="149"/>
      <c r="DT33" s="149"/>
      <c r="DU33" s="149"/>
      <c r="DV33" s="150"/>
      <c r="DW33" s="149"/>
      <c r="DX33" s="149"/>
      <c r="DY33" s="149"/>
      <c r="DZ33" s="149"/>
      <c r="EA33" s="149"/>
      <c r="EB33" s="150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  <c r="GG33" s="149"/>
      <c r="GH33" s="149"/>
      <c r="GI33" s="149"/>
      <c r="GJ33" s="149"/>
      <c r="GK33" s="149"/>
      <c r="GL33" s="149"/>
      <c r="GM33" s="149"/>
      <c r="GN33" s="149"/>
      <c r="GO33" s="149"/>
      <c r="GP33" s="149"/>
      <c r="GQ33" s="149"/>
      <c r="GR33" s="149"/>
      <c r="GS33" s="149"/>
      <c r="GT33" s="149"/>
      <c r="GU33" s="149"/>
      <c r="GV33" s="149"/>
      <c r="GW33" s="149"/>
      <c r="GX33" s="149"/>
      <c r="GY33" s="149"/>
      <c r="GZ33" s="149"/>
      <c r="HA33" s="149"/>
      <c r="HB33" s="149"/>
      <c r="HC33" s="149"/>
      <c r="HD33" s="149"/>
      <c r="HE33" s="149"/>
      <c r="HF33" s="149"/>
      <c r="HG33" s="149"/>
      <c r="HH33" s="149"/>
      <c r="HI33" s="149"/>
      <c r="HJ33" s="149"/>
      <c r="HK33" s="149"/>
      <c r="HL33" s="149"/>
      <c r="HM33" s="149"/>
      <c r="HN33" s="149"/>
      <c r="HO33" s="149"/>
      <c r="HP33" s="149"/>
      <c r="HQ33" s="149"/>
      <c r="HR33" s="149"/>
      <c r="HS33" s="149"/>
      <c r="HT33" s="149"/>
      <c r="HU33" s="149"/>
      <c r="HV33" s="149"/>
      <c r="HW33" s="149"/>
      <c r="HX33" s="149"/>
      <c r="HY33" s="149"/>
      <c r="HZ33" s="149"/>
      <c r="IA33" s="149"/>
      <c r="IB33" s="149"/>
      <c r="IC33" s="149"/>
      <c r="ID33" s="149"/>
      <c r="IE33" s="149"/>
      <c r="IF33" s="149"/>
      <c r="IG33" s="149"/>
      <c r="IH33" s="149"/>
      <c r="II33" s="149"/>
    </row>
    <row r="34">
      <c r="A34" s="149"/>
      <c r="B34" s="149"/>
      <c r="C34" s="149"/>
      <c r="D34" s="149"/>
      <c r="E34" s="149"/>
      <c r="F34" s="150"/>
      <c r="G34" s="149"/>
      <c r="H34" s="149"/>
      <c r="I34" s="149"/>
      <c r="J34" s="149"/>
      <c r="K34" s="149"/>
      <c r="L34" s="150"/>
      <c r="M34" s="149"/>
      <c r="N34" s="149"/>
      <c r="O34" s="149"/>
      <c r="P34" s="149"/>
      <c r="Q34" s="149"/>
      <c r="R34" s="150"/>
      <c r="S34" s="149"/>
      <c r="T34" s="149"/>
      <c r="U34" s="149"/>
      <c r="V34" s="149"/>
      <c r="W34" s="149"/>
      <c r="X34" s="150"/>
      <c r="Y34" s="149"/>
      <c r="Z34" s="149"/>
      <c r="AA34" s="149"/>
      <c r="AB34" s="149"/>
      <c r="AC34" s="149"/>
      <c r="AD34" s="150"/>
      <c r="AE34" s="149"/>
      <c r="AF34" s="149"/>
      <c r="AG34" s="149"/>
      <c r="AH34" s="149"/>
      <c r="AI34" s="149"/>
      <c r="AJ34" s="150"/>
      <c r="AK34" s="149"/>
      <c r="AL34" s="149"/>
      <c r="AM34" s="149"/>
      <c r="AN34" s="149"/>
      <c r="AO34" s="149"/>
      <c r="AP34" s="150"/>
      <c r="AQ34" s="149"/>
      <c r="AR34" s="149"/>
      <c r="AS34" s="149"/>
      <c r="AT34" s="149"/>
      <c r="AU34" s="149"/>
      <c r="AV34" s="150"/>
      <c r="AW34" s="149"/>
      <c r="AX34" s="149"/>
      <c r="AY34" s="149"/>
      <c r="AZ34" s="149"/>
      <c r="BA34" s="149"/>
      <c r="BB34" s="150"/>
      <c r="BC34" s="149"/>
      <c r="BD34" s="149"/>
      <c r="BE34" s="149"/>
      <c r="BF34" s="149"/>
      <c r="BG34" s="149"/>
      <c r="BH34" s="150"/>
      <c r="BI34" s="149"/>
      <c r="BJ34" s="149"/>
      <c r="BK34" s="149"/>
      <c r="BL34" s="149"/>
      <c r="BM34" s="149"/>
      <c r="BN34" s="150"/>
      <c r="BO34" s="149"/>
      <c r="BP34" s="149"/>
      <c r="BQ34" s="149"/>
      <c r="BR34" s="149"/>
      <c r="BS34" s="149"/>
      <c r="BT34" s="150"/>
      <c r="BU34" s="149"/>
      <c r="BV34" s="149"/>
      <c r="BW34" s="149"/>
      <c r="BX34" s="149"/>
      <c r="BY34" s="149"/>
      <c r="BZ34" s="150"/>
      <c r="CA34" s="149"/>
      <c r="CB34" s="149"/>
      <c r="CC34" s="149"/>
      <c r="CD34" s="149"/>
      <c r="CE34" s="149"/>
      <c r="CF34" s="150"/>
      <c r="CG34" s="149"/>
      <c r="CH34" s="149"/>
      <c r="CI34" s="149"/>
      <c r="CJ34" s="149"/>
      <c r="CK34" s="149"/>
      <c r="CL34" s="150"/>
      <c r="CM34" s="149"/>
      <c r="CN34" s="149"/>
      <c r="CO34" s="149"/>
      <c r="CP34" s="149"/>
      <c r="CQ34" s="149"/>
      <c r="CR34" s="150"/>
      <c r="CS34" s="149"/>
      <c r="CT34" s="149"/>
      <c r="CU34" s="149"/>
      <c r="CV34" s="149"/>
      <c r="CW34" s="149"/>
      <c r="CX34" s="150"/>
      <c r="CY34" s="149"/>
      <c r="CZ34" s="149"/>
      <c r="DA34" s="149"/>
      <c r="DB34" s="149"/>
      <c r="DC34" s="149"/>
      <c r="DD34" s="150"/>
      <c r="DE34" s="149"/>
      <c r="DF34" s="149"/>
      <c r="DG34" s="149"/>
      <c r="DH34" s="149"/>
      <c r="DI34" s="149"/>
      <c r="DJ34" s="150"/>
      <c r="DK34" s="149"/>
      <c r="DL34" s="149"/>
      <c r="DM34" s="149"/>
      <c r="DN34" s="149"/>
      <c r="DO34" s="149"/>
      <c r="DP34" s="150"/>
      <c r="DQ34" s="149"/>
      <c r="DR34" s="149"/>
      <c r="DS34" s="149"/>
      <c r="DT34" s="149"/>
      <c r="DU34" s="149"/>
      <c r="DV34" s="150"/>
      <c r="DW34" s="149"/>
      <c r="DX34" s="149"/>
      <c r="DY34" s="149"/>
      <c r="DZ34" s="149"/>
      <c r="EA34" s="149"/>
      <c r="EB34" s="150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  <c r="GF34" s="149"/>
      <c r="GG34" s="149"/>
      <c r="GH34" s="149"/>
      <c r="GI34" s="149"/>
      <c r="GJ34" s="149"/>
      <c r="GK34" s="149"/>
      <c r="GL34" s="149"/>
      <c r="GM34" s="149"/>
      <c r="GN34" s="149"/>
      <c r="GO34" s="149"/>
      <c r="GP34" s="149"/>
      <c r="GQ34" s="149"/>
      <c r="GR34" s="149"/>
      <c r="GS34" s="149"/>
      <c r="GT34" s="149"/>
      <c r="GU34" s="149"/>
      <c r="GV34" s="149"/>
      <c r="GW34" s="149"/>
      <c r="GX34" s="149"/>
      <c r="GY34" s="149"/>
      <c r="GZ34" s="149"/>
      <c r="HA34" s="149"/>
      <c r="HB34" s="149"/>
      <c r="HC34" s="149"/>
      <c r="HD34" s="149"/>
      <c r="HE34" s="149"/>
      <c r="HF34" s="149"/>
      <c r="HG34" s="149"/>
      <c r="HH34" s="149"/>
      <c r="HI34" s="149"/>
      <c r="HJ34" s="149"/>
      <c r="HK34" s="149"/>
      <c r="HL34" s="149"/>
      <c r="HM34" s="149"/>
      <c r="HN34" s="149"/>
      <c r="HO34" s="149"/>
      <c r="HP34" s="149"/>
      <c r="HQ34" s="149"/>
      <c r="HR34" s="149"/>
      <c r="HS34" s="149"/>
      <c r="HT34" s="149"/>
      <c r="HU34" s="149"/>
      <c r="HV34" s="149"/>
      <c r="HW34" s="149"/>
      <c r="HX34" s="149"/>
      <c r="HY34" s="149"/>
      <c r="HZ34" s="149"/>
      <c r="IA34" s="149"/>
      <c r="IB34" s="149"/>
      <c r="IC34" s="149"/>
      <c r="ID34" s="149"/>
      <c r="IE34" s="149"/>
      <c r="IF34" s="149"/>
      <c r="IG34" s="149"/>
      <c r="IH34" s="149"/>
      <c r="II34" s="149"/>
    </row>
    <row r="35">
      <c r="A35" s="149"/>
      <c r="B35" s="149"/>
      <c r="C35" s="149"/>
      <c r="D35" s="149"/>
      <c r="E35" s="149"/>
      <c r="F35" s="150"/>
      <c r="G35" s="149"/>
      <c r="H35" s="149"/>
      <c r="I35" s="149"/>
      <c r="J35" s="149"/>
      <c r="K35" s="149"/>
      <c r="L35" s="150"/>
      <c r="M35" s="149"/>
      <c r="N35" s="149"/>
      <c r="O35" s="149"/>
      <c r="P35" s="149"/>
      <c r="Q35" s="149"/>
      <c r="R35" s="150"/>
      <c r="S35" s="149"/>
      <c r="T35" s="149"/>
      <c r="U35" s="149"/>
      <c r="V35" s="149"/>
      <c r="W35" s="149"/>
      <c r="X35" s="150"/>
      <c r="Y35" s="149"/>
      <c r="Z35" s="149"/>
      <c r="AA35" s="149"/>
      <c r="AB35" s="149"/>
      <c r="AC35" s="149"/>
      <c r="AD35" s="150"/>
      <c r="AE35" s="149"/>
      <c r="AF35" s="149"/>
      <c r="AG35" s="149"/>
      <c r="AH35" s="149"/>
      <c r="AI35" s="149"/>
      <c r="AJ35" s="150"/>
      <c r="AK35" s="149"/>
      <c r="AL35" s="149"/>
      <c r="AM35" s="149"/>
      <c r="AN35" s="149"/>
      <c r="AO35" s="149"/>
      <c r="AP35" s="150"/>
      <c r="AQ35" s="149"/>
      <c r="AR35" s="149"/>
      <c r="AS35" s="149"/>
      <c r="AT35" s="149"/>
      <c r="AU35" s="149"/>
      <c r="AV35" s="150"/>
      <c r="AW35" s="149"/>
      <c r="AX35" s="149"/>
      <c r="AY35" s="149"/>
      <c r="AZ35" s="149"/>
      <c r="BA35" s="149"/>
      <c r="BB35" s="150"/>
      <c r="BC35" s="149"/>
      <c r="BD35" s="149"/>
      <c r="BE35" s="149"/>
      <c r="BF35" s="149"/>
      <c r="BG35" s="149"/>
      <c r="BH35" s="150"/>
      <c r="BI35" s="149"/>
      <c r="BJ35" s="149"/>
      <c r="BK35" s="149"/>
      <c r="BL35" s="149"/>
      <c r="BM35" s="149"/>
      <c r="BN35" s="150"/>
      <c r="BO35" s="149"/>
      <c r="BP35" s="149"/>
      <c r="BQ35" s="149"/>
      <c r="BR35" s="149"/>
      <c r="BS35" s="149"/>
      <c r="BT35" s="150"/>
      <c r="BU35" s="149"/>
      <c r="BV35" s="149"/>
      <c r="BW35" s="149"/>
      <c r="BX35" s="149"/>
      <c r="BY35" s="149"/>
      <c r="BZ35" s="150"/>
      <c r="CA35" s="149"/>
      <c r="CB35" s="149"/>
      <c r="CC35" s="149"/>
      <c r="CD35" s="149"/>
      <c r="CE35" s="149"/>
      <c r="CF35" s="150"/>
      <c r="CG35" s="149"/>
      <c r="CH35" s="149"/>
      <c r="CI35" s="149"/>
      <c r="CJ35" s="149"/>
      <c r="CK35" s="149"/>
      <c r="CL35" s="150"/>
      <c r="CM35" s="149"/>
      <c r="CN35" s="149"/>
      <c r="CO35" s="149"/>
      <c r="CP35" s="149"/>
      <c r="CQ35" s="149"/>
      <c r="CR35" s="150"/>
      <c r="CS35" s="149"/>
      <c r="CT35" s="149"/>
      <c r="CU35" s="149"/>
      <c r="CV35" s="149"/>
      <c r="CW35" s="149"/>
      <c r="CX35" s="150"/>
      <c r="CY35" s="149"/>
      <c r="CZ35" s="149"/>
      <c r="DA35" s="149"/>
      <c r="DB35" s="149"/>
      <c r="DC35" s="149"/>
      <c r="DD35" s="150"/>
      <c r="DE35" s="149"/>
      <c r="DF35" s="149"/>
      <c r="DG35" s="149"/>
      <c r="DH35" s="149"/>
      <c r="DI35" s="149"/>
      <c r="DJ35" s="150"/>
      <c r="DK35" s="149"/>
      <c r="DL35" s="149"/>
      <c r="DM35" s="149"/>
      <c r="DN35" s="149"/>
      <c r="DO35" s="149"/>
      <c r="DP35" s="150"/>
      <c r="DQ35" s="149"/>
      <c r="DR35" s="149"/>
      <c r="DS35" s="149"/>
      <c r="DT35" s="149"/>
      <c r="DU35" s="149"/>
      <c r="DV35" s="150"/>
      <c r="DW35" s="149"/>
      <c r="DX35" s="149"/>
      <c r="DY35" s="149"/>
      <c r="DZ35" s="149"/>
      <c r="EA35" s="149"/>
      <c r="EB35" s="150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  <c r="GF35" s="149"/>
      <c r="GG35" s="149"/>
      <c r="GH35" s="149"/>
      <c r="GI35" s="149"/>
      <c r="GJ35" s="149"/>
      <c r="GK35" s="149"/>
      <c r="GL35" s="149"/>
      <c r="GM35" s="149"/>
      <c r="GN35" s="149"/>
      <c r="GO35" s="149"/>
      <c r="GP35" s="149"/>
      <c r="GQ35" s="149"/>
      <c r="GR35" s="149"/>
      <c r="GS35" s="149"/>
      <c r="GT35" s="149"/>
      <c r="GU35" s="149"/>
      <c r="GV35" s="149"/>
      <c r="GW35" s="149"/>
      <c r="GX35" s="149"/>
      <c r="GY35" s="149"/>
      <c r="GZ35" s="149"/>
      <c r="HA35" s="149"/>
      <c r="HB35" s="149"/>
      <c r="HC35" s="149"/>
      <c r="HD35" s="149"/>
      <c r="HE35" s="149"/>
      <c r="HF35" s="149"/>
      <c r="HG35" s="149"/>
      <c r="HH35" s="149"/>
      <c r="HI35" s="149"/>
      <c r="HJ35" s="149"/>
      <c r="HK35" s="149"/>
      <c r="HL35" s="149"/>
      <c r="HM35" s="149"/>
      <c r="HN35" s="149"/>
      <c r="HO35" s="149"/>
      <c r="HP35" s="149"/>
      <c r="HQ35" s="149"/>
      <c r="HR35" s="149"/>
      <c r="HS35" s="149"/>
      <c r="HT35" s="149"/>
      <c r="HU35" s="149"/>
      <c r="HV35" s="149"/>
      <c r="HW35" s="149"/>
      <c r="HX35" s="149"/>
      <c r="HY35" s="149"/>
      <c r="HZ35" s="149"/>
      <c r="IA35" s="149"/>
      <c r="IB35" s="149"/>
      <c r="IC35" s="149"/>
      <c r="ID35" s="149"/>
      <c r="IE35" s="149"/>
      <c r="IF35" s="149"/>
      <c r="IG35" s="149"/>
      <c r="IH35" s="149"/>
      <c r="II35" s="149"/>
    </row>
    <row r="36">
      <c r="A36" s="149"/>
      <c r="B36" s="149"/>
      <c r="C36" s="149"/>
      <c r="D36" s="149"/>
      <c r="E36" s="149"/>
      <c r="F36" s="150"/>
      <c r="G36" s="149"/>
      <c r="H36" s="149"/>
      <c r="I36" s="149"/>
      <c r="J36" s="149"/>
      <c r="K36" s="149"/>
      <c r="L36" s="150"/>
      <c r="M36" s="149"/>
      <c r="N36" s="149"/>
      <c r="O36" s="149"/>
      <c r="P36" s="149"/>
      <c r="Q36" s="149"/>
      <c r="R36" s="150"/>
      <c r="S36" s="149"/>
      <c r="T36" s="149"/>
      <c r="U36" s="149"/>
      <c r="V36" s="149"/>
      <c r="W36" s="149"/>
      <c r="X36" s="150"/>
      <c r="Y36" s="149"/>
      <c r="Z36" s="149"/>
      <c r="AA36" s="149"/>
      <c r="AB36" s="149"/>
      <c r="AC36" s="149"/>
      <c r="AD36" s="150"/>
      <c r="AE36" s="149"/>
      <c r="AF36" s="149"/>
      <c r="AG36" s="149"/>
      <c r="AH36" s="149"/>
      <c r="AI36" s="149"/>
      <c r="AJ36" s="150"/>
      <c r="AK36" s="149"/>
      <c r="AL36" s="149"/>
      <c r="AM36" s="149"/>
      <c r="AN36" s="149"/>
      <c r="AO36" s="149"/>
      <c r="AP36" s="150"/>
      <c r="AQ36" s="149"/>
      <c r="AR36" s="149"/>
      <c r="AS36" s="149"/>
      <c r="AT36" s="149"/>
      <c r="AU36" s="149"/>
      <c r="AV36" s="150"/>
      <c r="AW36" s="149"/>
      <c r="AX36" s="149"/>
      <c r="AY36" s="149"/>
      <c r="AZ36" s="149"/>
      <c r="BA36" s="149"/>
      <c r="BB36" s="150"/>
      <c r="BC36" s="149"/>
      <c r="BD36" s="149"/>
      <c r="BE36" s="149"/>
      <c r="BF36" s="149"/>
      <c r="BG36" s="149"/>
      <c r="BH36" s="150"/>
      <c r="BI36" s="149"/>
      <c r="BJ36" s="149"/>
      <c r="BK36" s="149"/>
      <c r="BL36" s="149"/>
      <c r="BM36" s="149"/>
      <c r="BN36" s="150"/>
      <c r="BO36" s="149"/>
      <c r="BP36" s="149"/>
      <c r="BQ36" s="149"/>
      <c r="BR36" s="149"/>
      <c r="BS36" s="149"/>
      <c r="BT36" s="150"/>
      <c r="BU36" s="149"/>
      <c r="BV36" s="149"/>
      <c r="BW36" s="149"/>
      <c r="BX36" s="149"/>
      <c r="BY36" s="149"/>
      <c r="BZ36" s="150"/>
      <c r="CA36" s="149"/>
      <c r="CB36" s="149"/>
      <c r="CC36" s="149"/>
      <c r="CD36" s="149"/>
      <c r="CE36" s="149"/>
      <c r="CF36" s="150"/>
      <c r="CG36" s="149"/>
      <c r="CH36" s="149"/>
      <c r="CI36" s="149"/>
      <c r="CJ36" s="149"/>
      <c r="CK36" s="149"/>
      <c r="CL36" s="150"/>
      <c r="CM36" s="149"/>
      <c r="CN36" s="149"/>
      <c r="CO36" s="149"/>
      <c r="CP36" s="149"/>
      <c r="CQ36" s="149"/>
      <c r="CR36" s="150"/>
      <c r="CS36" s="149"/>
      <c r="CT36" s="149"/>
      <c r="CU36" s="149"/>
      <c r="CV36" s="149"/>
      <c r="CW36" s="149"/>
      <c r="CX36" s="150"/>
      <c r="CY36" s="149"/>
      <c r="CZ36" s="149"/>
      <c r="DA36" s="149"/>
      <c r="DB36" s="149"/>
      <c r="DC36" s="149"/>
      <c r="DD36" s="150"/>
      <c r="DE36" s="149"/>
      <c r="DF36" s="149"/>
      <c r="DG36" s="149"/>
      <c r="DH36" s="149"/>
      <c r="DI36" s="149"/>
      <c r="DJ36" s="150"/>
      <c r="DK36" s="149"/>
      <c r="DL36" s="149"/>
      <c r="DM36" s="149"/>
      <c r="DN36" s="149"/>
      <c r="DO36" s="149"/>
      <c r="DP36" s="150"/>
      <c r="DQ36" s="149"/>
      <c r="DR36" s="149"/>
      <c r="DS36" s="149"/>
      <c r="DT36" s="149"/>
      <c r="DU36" s="149"/>
      <c r="DV36" s="150"/>
      <c r="DW36" s="149"/>
      <c r="DX36" s="149"/>
      <c r="DY36" s="149"/>
      <c r="DZ36" s="149"/>
      <c r="EA36" s="149"/>
      <c r="EB36" s="150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  <c r="GF36" s="149"/>
      <c r="GG36" s="149"/>
      <c r="GH36" s="149"/>
      <c r="GI36" s="149"/>
      <c r="GJ36" s="149"/>
      <c r="GK36" s="149"/>
      <c r="GL36" s="149"/>
      <c r="GM36" s="149"/>
      <c r="GN36" s="149"/>
      <c r="GO36" s="149"/>
      <c r="GP36" s="149"/>
      <c r="GQ36" s="149"/>
      <c r="GR36" s="149"/>
      <c r="GS36" s="149"/>
      <c r="GT36" s="149"/>
      <c r="GU36" s="149"/>
      <c r="GV36" s="149"/>
      <c r="GW36" s="149"/>
      <c r="GX36" s="149"/>
      <c r="GY36" s="149"/>
      <c r="GZ36" s="149"/>
      <c r="HA36" s="149"/>
      <c r="HB36" s="149"/>
      <c r="HC36" s="149"/>
      <c r="HD36" s="149"/>
      <c r="HE36" s="149"/>
      <c r="HF36" s="149"/>
      <c r="HG36" s="149"/>
      <c r="HH36" s="149"/>
      <c r="HI36" s="149"/>
      <c r="HJ36" s="149"/>
      <c r="HK36" s="149"/>
      <c r="HL36" s="149"/>
      <c r="HM36" s="149"/>
      <c r="HN36" s="149"/>
      <c r="HO36" s="149"/>
      <c r="HP36" s="149"/>
      <c r="HQ36" s="149"/>
      <c r="HR36" s="149"/>
      <c r="HS36" s="149"/>
      <c r="HT36" s="149"/>
      <c r="HU36" s="149"/>
      <c r="HV36" s="149"/>
      <c r="HW36" s="149"/>
      <c r="HX36" s="149"/>
      <c r="HY36" s="149"/>
      <c r="HZ36" s="149"/>
      <c r="IA36" s="149"/>
      <c r="IB36" s="149"/>
      <c r="IC36" s="149"/>
      <c r="ID36" s="149"/>
      <c r="IE36" s="149"/>
      <c r="IF36" s="149"/>
      <c r="IG36" s="149"/>
      <c r="IH36" s="149"/>
      <c r="II36" s="149"/>
    </row>
    <row r="37">
      <c r="A37" s="149"/>
      <c r="B37" s="149"/>
      <c r="C37" s="149"/>
      <c r="D37" s="149"/>
      <c r="E37" s="149"/>
      <c r="F37" s="150"/>
      <c r="G37" s="149"/>
      <c r="H37" s="149"/>
      <c r="I37" s="149"/>
      <c r="J37" s="149"/>
      <c r="K37" s="149"/>
      <c r="L37" s="150"/>
      <c r="M37" s="149"/>
      <c r="N37" s="149"/>
      <c r="O37" s="149"/>
      <c r="P37" s="149"/>
      <c r="Q37" s="149"/>
      <c r="R37" s="150"/>
      <c r="S37" s="149"/>
      <c r="T37" s="149"/>
      <c r="U37" s="149"/>
      <c r="V37" s="149"/>
      <c r="W37" s="149"/>
      <c r="X37" s="150"/>
      <c r="Y37" s="149"/>
      <c r="Z37" s="149"/>
      <c r="AA37" s="149"/>
      <c r="AB37" s="149"/>
      <c r="AC37" s="149"/>
      <c r="AD37" s="150"/>
      <c r="AE37" s="149"/>
      <c r="AF37" s="149"/>
      <c r="AG37" s="149"/>
      <c r="AH37" s="149"/>
      <c r="AI37" s="149"/>
      <c r="AJ37" s="150"/>
      <c r="AK37" s="149"/>
      <c r="AL37" s="149"/>
      <c r="AM37" s="149"/>
      <c r="AN37" s="149"/>
      <c r="AO37" s="149"/>
      <c r="AP37" s="150"/>
      <c r="AQ37" s="149"/>
      <c r="AR37" s="149"/>
      <c r="AS37" s="149"/>
      <c r="AT37" s="149"/>
      <c r="AU37" s="149"/>
      <c r="AV37" s="150"/>
      <c r="AW37" s="149"/>
      <c r="AX37" s="149"/>
      <c r="AY37" s="149"/>
      <c r="AZ37" s="149"/>
      <c r="BA37" s="149"/>
      <c r="BB37" s="150"/>
      <c r="BC37" s="149"/>
      <c r="BD37" s="149"/>
      <c r="BE37" s="149"/>
      <c r="BF37" s="149"/>
      <c r="BG37" s="149"/>
      <c r="BH37" s="150"/>
      <c r="BI37" s="149"/>
      <c r="BJ37" s="149"/>
      <c r="BK37" s="149"/>
      <c r="BL37" s="149"/>
      <c r="BM37" s="149"/>
      <c r="BN37" s="150"/>
      <c r="BO37" s="149"/>
      <c r="BP37" s="149"/>
      <c r="BQ37" s="149"/>
      <c r="BR37" s="149"/>
      <c r="BS37" s="149"/>
      <c r="BT37" s="150"/>
      <c r="BU37" s="149"/>
      <c r="BV37" s="149"/>
      <c r="BW37" s="149"/>
      <c r="BX37" s="149"/>
      <c r="BY37" s="149"/>
      <c r="BZ37" s="150"/>
      <c r="CA37" s="149"/>
      <c r="CB37" s="149"/>
      <c r="CC37" s="149"/>
      <c r="CD37" s="149"/>
      <c r="CE37" s="149"/>
      <c r="CF37" s="150"/>
      <c r="CG37" s="149"/>
      <c r="CH37" s="149"/>
      <c r="CI37" s="149"/>
      <c r="CJ37" s="149"/>
      <c r="CK37" s="149"/>
      <c r="CL37" s="150"/>
      <c r="CM37" s="149"/>
      <c r="CN37" s="149"/>
      <c r="CO37" s="149"/>
      <c r="CP37" s="149"/>
      <c r="CQ37" s="149"/>
      <c r="CR37" s="150"/>
      <c r="CS37" s="149"/>
      <c r="CT37" s="149"/>
      <c r="CU37" s="149"/>
      <c r="CV37" s="149"/>
      <c r="CW37" s="149"/>
      <c r="CX37" s="150"/>
      <c r="CY37" s="149"/>
      <c r="CZ37" s="149"/>
      <c r="DA37" s="149"/>
      <c r="DB37" s="149"/>
      <c r="DC37" s="149"/>
      <c r="DD37" s="150"/>
      <c r="DE37" s="149"/>
      <c r="DF37" s="149"/>
      <c r="DG37" s="149"/>
      <c r="DH37" s="149"/>
      <c r="DI37" s="149"/>
      <c r="DJ37" s="150"/>
      <c r="DK37" s="149"/>
      <c r="DL37" s="149"/>
      <c r="DM37" s="149"/>
      <c r="DN37" s="149"/>
      <c r="DO37" s="149"/>
      <c r="DP37" s="150"/>
      <c r="DQ37" s="149"/>
      <c r="DR37" s="149"/>
      <c r="DS37" s="149"/>
      <c r="DT37" s="149"/>
      <c r="DU37" s="149"/>
      <c r="DV37" s="150"/>
      <c r="DW37" s="149"/>
      <c r="DX37" s="149"/>
      <c r="DY37" s="149"/>
      <c r="DZ37" s="149"/>
      <c r="EA37" s="149"/>
      <c r="EB37" s="150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  <c r="GF37" s="149"/>
      <c r="GG37" s="149"/>
      <c r="GH37" s="149"/>
      <c r="GI37" s="149"/>
      <c r="GJ37" s="149"/>
      <c r="GK37" s="149"/>
      <c r="GL37" s="149"/>
      <c r="GM37" s="149"/>
      <c r="GN37" s="149"/>
      <c r="GO37" s="149"/>
      <c r="GP37" s="149"/>
      <c r="GQ37" s="149"/>
      <c r="GR37" s="149"/>
      <c r="GS37" s="149"/>
      <c r="GT37" s="149"/>
      <c r="GU37" s="149"/>
      <c r="GV37" s="149"/>
      <c r="GW37" s="149"/>
      <c r="GX37" s="149"/>
      <c r="GY37" s="149"/>
      <c r="GZ37" s="149"/>
      <c r="HA37" s="149"/>
      <c r="HB37" s="149"/>
      <c r="HC37" s="149"/>
      <c r="HD37" s="149"/>
      <c r="HE37" s="149"/>
      <c r="HF37" s="149"/>
      <c r="HG37" s="149"/>
      <c r="HH37" s="149"/>
      <c r="HI37" s="149"/>
      <c r="HJ37" s="149"/>
      <c r="HK37" s="149"/>
      <c r="HL37" s="149"/>
      <c r="HM37" s="149"/>
      <c r="HN37" s="149"/>
      <c r="HO37" s="149"/>
      <c r="HP37" s="149"/>
      <c r="HQ37" s="149"/>
      <c r="HR37" s="149"/>
      <c r="HS37" s="149"/>
      <c r="HT37" s="149"/>
      <c r="HU37" s="149"/>
      <c r="HV37" s="149"/>
      <c r="HW37" s="149"/>
      <c r="HX37" s="149"/>
      <c r="HY37" s="149"/>
      <c r="HZ37" s="149"/>
      <c r="IA37" s="149"/>
      <c r="IB37" s="149"/>
      <c r="IC37" s="149"/>
      <c r="ID37" s="149"/>
      <c r="IE37" s="149"/>
      <c r="IF37" s="149"/>
      <c r="IG37" s="149"/>
      <c r="IH37" s="149"/>
      <c r="II37" s="149"/>
    </row>
    <row r="38">
      <c r="A38" s="149"/>
      <c r="B38" s="149"/>
      <c r="C38" s="149"/>
      <c r="D38" s="149"/>
      <c r="E38" s="149"/>
      <c r="F38" s="150"/>
      <c r="G38" s="149"/>
      <c r="H38" s="149"/>
      <c r="I38" s="149"/>
      <c r="J38" s="149"/>
      <c r="K38" s="149"/>
      <c r="L38" s="150"/>
      <c r="M38" s="149"/>
      <c r="N38" s="149"/>
      <c r="O38" s="149"/>
      <c r="P38" s="149"/>
      <c r="Q38" s="149"/>
      <c r="R38" s="150"/>
      <c r="S38" s="149"/>
      <c r="T38" s="149"/>
      <c r="U38" s="149"/>
      <c r="V38" s="149"/>
      <c r="W38" s="149"/>
      <c r="X38" s="150"/>
      <c r="Y38" s="149"/>
      <c r="Z38" s="149"/>
      <c r="AA38" s="149"/>
      <c r="AB38" s="149"/>
      <c r="AC38" s="149"/>
      <c r="AD38" s="150"/>
      <c r="AE38" s="149"/>
      <c r="AF38" s="149"/>
      <c r="AG38" s="149"/>
      <c r="AH38" s="149"/>
      <c r="AI38" s="149"/>
      <c r="AJ38" s="150"/>
      <c r="AK38" s="149"/>
      <c r="AL38" s="149"/>
      <c r="AM38" s="149"/>
      <c r="AN38" s="149"/>
      <c r="AO38" s="149"/>
      <c r="AP38" s="150"/>
      <c r="AQ38" s="149"/>
      <c r="AR38" s="149"/>
      <c r="AS38" s="149"/>
      <c r="AT38" s="149"/>
      <c r="AU38" s="149"/>
      <c r="AV38" s="150"/>
      <c r="AW38" s="149"/>
      <c r="AX38" s="149"/>
      <c r="AY38" s="149"/>
      <c r="AZ38" s="149"/>
      <c r="BA38" s="149"/>
      <c r="BB38" s="150"/>
      <c r="BC38" s="149"/>
      <c r="BD38" s="149"/>
      <c r="BE38" s="149"/>
      <c r="BF38" s="149"/>
      <c r="BG38" s="149"/>
      <c r="BH38" s="150"/>
      <c r="BI38" s="149"/>
      <c r="BJ38" s="149"/>
      <c r="BK38" s="149"/>
      <c r="BL38" s="149"/>
      <c r="BM38" s="149"/>
      <c r="BN38" s="150"/>
      <c r="BO38" s="149"/>
      <c r="BP38" s="149"/>
      <c r="BQ38" s="149"/>
      <c r="BR38" s="149"/>
      <c r="BS38" s="149"/>
      <c r="BT38" s="150"/>
      <c r="BU38" s="149"/>
      <c r="BV38" s="149"/>
      <c r="BW38" s="149"/>
      <c r="BX38" s="149"/>
      <c r="BY38" s="149"/>
      <c r="BZ38" s="150"/>
      <c r="CA38" s="149"/>
      <c r="CB38" s="149"/>
      <c r="CC38" s="149"/>
      <c r="CD38" s="149"/>
      <c r="CE38" s="149"/>
      <c r="CF38" s="150"/>
      <c r="CG38" s="149"/>
      <c r="CH38" s="149"/>
      <c r="CI38" s="149"/>
      <c r="CJ38" s="149"/>
      <c r="CK38" s="149"/>
      <c r="CL38" s="150"/>
      <c r="CM38" s="149"/>
      <c r="CN38" s="149"/>
      <c r="CO38" s="149"/>
      <c r="CP38" s="149"/>
      <c r="CQ38" s="149"/>
      <c r="CR38" s="150"/>
      <c r="CS38" s="149"/>
      <c r="CT38" s="149"/>
      <c r="CU38" s="149"/>
      <c r="CV38" s="149"/>
      <c r="CW38" s="149"/>
      <c r="CX38" s="150"/>
      <c r="CY38" s="149"/>
      <c r="CZ38" s="149"/>
      <c r="DA38" s="149"/>
      <c r="DB38" s="149"/>
      <c r="DC38" s="149"/>
      <c r="DD38" s="150"/>
      <c r="DE38" s="149"/>
      <c r="DF38" s="149"/>
      <c r="DG38" s="149"/>
      <c r="DH38" s="149"/>
      <c r="DI38" s="149"/>
      <c r="DJ38" s="150"/>
      <c r="DK38" s="149"/>
      <c r="DL38" s="149"/>
      <c r="DM38" s="149"/>
      <c r="DN38" s="149"/>
      <c r="DO38" s="149"/>
      <c r="DP38" s="150"/>
      <c r="DQ38" s="149"/>
      <c r="DR38" s="149"/>
      <c r="DS38" s="149"/>
      <c r="DT38" s="149"/>
      <c r="DU38" s="149"/>
      <c r="DV38" s="150"/>
      <c r="DW38" s="149"/>
      <c r="DX38" s="149"/>
      <c r="DY38" s="149"/>
      <c r="DZ38" s="149"/>
      <c r="EA38" s="149"/>
      <c r="EB38" s="150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  <c r="GF38" s="149"/>
      <c r="GG38" s="149"/>
      <c r="GH38" s="149"/>
      <c r="GI38" s="149"/>
      <c r="GJ38" s="149"/>
      <c r="GK38" s="149"/>
      <c r="GL38" s="149"/>
      <c r="GM38" s="149"/>
      <c r="GN38" s="149"/>
      <c r="GO38" s="149"/>
      <c r="GP38" s="149"/>
      <c r="GQ38" s="149"/>
      <c r="GR38" s="149"/>
      <c r="GS38" s="149"/>
      <c r="GT38" s="149"/>
      <c r="GU38" s="149"/>
      <c r="GV38" s="149"/>
      <c r="GW38" s="149"/>
      <c r="GX38" s="149"/>
      <c r="GY38" s="149"/>
      <c r="GZ38" s="149"/>
      <c r="HA38" s="149"/>
      <c r="HB38" s="149"/>
      <c r="HC38" s="149"/>
      <c r="HD38" s="149"/>
      <c r="HE38" s="149"/>
      <c r="HF38" s="149"/>
      <c r="HG38" s="149"/>
      <c r="HH38" s="149"/>
      <c r="HI38" s="149"/>
      <c r="HJ38" s="149"/>
      <c r="HK38" s="149"/>
      <c r="HL38" s="149"/>
      <c r="HM38" s="149"/>
      <c r="HN38" s="149"/>
      <c r="HO38" s="149"/>
      <c r="HP38" s="149"/>
      <c r="HQ38" s="149"/>
      <c r="HR38" s="149"/>
      <c r="HS38" s="149"/>
      <c r="HT38" s="149"/>
      <c r="HU38" s="149"/>
      <c r="HV38" s="149"/>
      <c r="HW38" s="149"/>
      <c r="HX38" s="149"/>
      <c r="HY38" s="149"/>
      <c r="HZ38" s="149"/>
      <c r="IA38" s="149"/>
      <c r="IB38" s="149"/>
      <c r="IC38" s="149"/>
      <c r="ID38" s="149"/>
      <c r="IE38" s="149"/>
      <c r="IF38" s="149"/>
      <c r="IG38" s="149"/>
      <c r="IH38" s="149"/>
      <c r="II38" s="149"/>
    </row>
    <row r="39">
      <c r="A39" s="149"/>
      <c r="B39" s="149"/>
      <c r="C39" s="149"/>
      <c r="D39" s="149"/>
      <c r="E39" s="149"/>
      <c r="F39" s="150"/>
      <c r="G39" s="149"/>
      <c r="H39" s="149"/>
      <c r="I39" s="149"/>
      <c r="J39" s="149"/>
      <c r="K39" s="149"/>
      <c r="L39" s="150"/>
      <c r="M39" s="149"/>
      <c r="N39" s="149"/>
      <c r="O39" s="149"/>
      <c r="P39" s="149"/>
      <c r="Q39" s="149"/>
      <c r="R39" s="150"/>
      <c r="S39" s="149"/>
      <c r="T39" s="149"/>
      <c r="U39" s="149"/>
      <c r="V39" s="149"/>
      <c r="W39" s="149"/>
      <c r="X39" s="150"/>
      <c r="Y39" s="149"/>
      <c r="Z39" s="149"/>
      <c r="AA39" s="149"/>
      <c r="AB39" s="149"/>
      <c r="AC39" s="149"/>
      <c r="AD39" s="150"/>
      <c r="AE39" s="149"/>
      <c r="AF39" s="149"/>
      <c r="AG39" s="149"/>
      <c r="AH39" s="149"/>
      <c r="AI39" s="149"/>
      <c r="AJ39" s="150"/>
      <c r="AK39" s="149"/>
      <c r="AL39" s="149"/>
      <c r="AM39" s="149"/>
      <c r="AN39" s="149"/>
      <c r="AO39" s="149"/>
      <c r="AP39" s="150"/>
      <c r="AQ39" s="149"/>
      <c r="AR39" s="149"/>
      <c r="AS39" s="149"/>
      <c r="AT39" s="149"/>
      <c r="AU39" s="149"/>
      <c r="AV39" s="150"/>
      <c r="AW39" s="149"/>
      <c r="AX39" s="149"/>
      <c r="AY39" s="149"/>
      <c r="AZ39" s="149"/>
      <c r="BA39" s="149"/>
      <c r="BB39" s="150"/>
      <c r="BC39" s="149"/>
      <c r="BD39" s="149"/>
      <c r="BE39" s="149"/>
      <c r="BF39" s="149"/>
      <c r="BG39" s="149"/>
      <c r="BH39" s="150"/>
      <c r="BI39" s="149"/>
      <c r="BJ39" s="149"/>
      <c r="BK39" s="149"/>
      <c r="BL39" s="149"/>
      <c r="BM39" s="149"/>
      <c r="BN39" s="150"/>
      <c r="BO39" s="149"/>
      <c r="BP39" s="149"/>
      <c r="BQ39" s="149"/>
      <c r="BR39" s="149"/>
      <c r="BS39" s="149"/>
      <c r="BT39" s="150"/>
      <c r="BU39" s="149"/>
      <c r="BV39" s="149"/>
      <c r="BW39" s="149"/>
      <c r="BX39" s="149"/>
      <c r="BY39" s="149"/>
      <c r="BZ39" s="150"/>
      <c r="CA39" s="149"/>
      <c r="CB39" s="149"/>
      <c r="CC39" s="149"/>
      <c r="CD39" s="149"/>
      <c r="CE39" s="149"/>
      <c r="CF39" s="150"/>
      <c r="CG39" s="149"/>
      <c r="CH39" s="149"/>
      <c r="CI39" s="149"/>
      <c r="CJ39" s="149"/>
      <c r="CK39" s="149"/>
      <c r="CL39" s="150"/>
      <c r="CM39" s="149"/>
      <c r="CN39" s="149"/>
      <c r="CO39" s="149"/>
      <c r="CP39" s="149"/>
      <c r="CQ39" s="149"/>
      <c r="CR39" s="150"/>
      <c r="CS39" s="149"/>
      <c r="CT39" s="149"/>
      <c r="CU39" s="149"/>
      <c r="CV39" s="149"/>
      <c r="CW39" s="149"/>
      <c r="CX39" s="150"/>
      <c r="CY39" s="149"/>
      <c r="CZ39" s="149"/>
      <c r="DA39" s="149"/>
      <c r="DB39" s="149"/>
      <c r="DC39" s="149"/>
      <c r="DD39" s="150"/>
      <c r="DE39" s="149"/>
      <c r="DF39" s="149"/>
      <c r="DG39" s="149"/>
      <c r="DH39" s="149"/>
      <c r="DI39" s="149"/>
      <c r="DJ39" s="150"/>
      <c r="DK39" s="149"/>
      <c r="DL39" s="149"/>
      <c r="DM39" s="149"/>
      <c r="DN39" s="149"/>
      <c r="DO39" s="149"/>
      <c r="DP39" s="150"/>
      <c r="DQ39" s="149"/>
      <c r="DR39" s="149"/>
      <c r="DS39" s="149"/>
      <c r="DT39" s="149"/>
      <c r="DU39" s="149"/>
      <c r="DV39" s="150"/>
      <c r="DW39" s="149"/>
      <c r="DX39" s="149"/>
      <c r="DY39" s="149"/>
      <c r="DZ39" s="149"/>
      <c r="EA39" s="149"/>
      <c r="EB39" s="150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  <c r="GF39" s="149"/>
      <c r="GG39" s="149"/>
      <c r="GH39" s="149"/>
      <c r="GI39" s="149"/>
      <c r="GJ39" s="149"/>
      <c r="GK39" s="149"/>
      <c r="GL39" s="149"/>
      <c r="GM39" s="149"/>
      <c r="GN39" s="149"/>
      <c r="GO39" s="149"/>
      <c r="GP39" s="149"/>
      <c r="GQ39" s="149"/>
      <c r="GR39" s="149"/>
      <c r="GS39" s="149"/>
      <c r="GT39" s="149"/>
      <c r="GU39" s="149"/>
      <c r="GV39" s="149"/>
      <c r="GW39" s="149"/>
      <c r="GX39" s="149"/>
      <c r="GY39" s="149"/>
      <c r="GZ39" s="149"/>
      <c r="HA39" s="149"/>
      <c r="HB39" s="149"/>
      <c r="HC39" s="149"/>
      <c r="HD39" s="149"/>
      <c r="HE39" s="149"/>
      <c r="HF39" s="149"/>
      <c r="HG39" s="149"/>
      <c r="HH39" s="149"/>
      <c r="HI39" s="149"/>
      <c r="HJ39" s="149"/>
      <c r="HK39" s="149"/>
      <c r="HL39" s="149"/>
      <c r="HM39" s="149"/>
      <c r="HN39" s="149"/>
      <c r="HO39" s="149"/>
      <c r="HP39" s="149"/>
      <c r="HQ39" s="149"/>
      <c r="HR39" s="149"/>
      <c r="HS39" s="149"/>
      <c r="HT39" s="149"/>
      <c r="HU39" s="149"/>
      <c r="HV39" s="149"/>
      <c r="HW39" s="149"/>
      <c r="HX39" s="149"/>
      <c r="HY39" s="149"/>
      <c r="HZ39" s="149"/>
      <c r="IA39" s="149"/>
      <c r="IB39" s="149"/>
      <c r="IC39" s="149"/>
      <c r="ID39" s="149"/>
      <c r="IE39" s="149"/>
      <c r="IF39" s="149"/>
      <c r="IG39" s="149"/>
      <c r="IH39" s="149"/>
      <c r="II39" s="149"/>
    </row>
    <row r="40">
      <c r="A40" s="164"/>
      <c r="B40" s="164"/>
      <c r="C40" s="164"/>
      <c r="D40" s="164"/>
      <c r="E40" s="164"/>
      <c r="F40" s="165"/>
      <c r="G40" s="164"/>
      <c r="H40" s="164"/>
      <c r="I40" s="164"/>
      <c r="J40" s="164"/>
      <c r="K40" s="164"/>
      <c r="L40" s="165"/>
      <c r="M40" s="164"/>
      <c r="N40" s="164"/>
      <c r="O40" s="164"/>
      <c r="P40" s="164"/>
      <c r="Q40" s="164"/>
      <c r="R40" s="165"/>
      <c r="S40" s="164"/>
      <c r="T40" s="164"/>
      <c r="U40" s="164"/>
      <c r="V40" s="164"/>
      <c r="W40" s="164"/>
      <c r="X40" s="165"/>
      <c r="Y40" s="164"/>
      <c r="Z40" s="164"/>
      <c r="AA40" s="164"/>
      <c r="AB40" s="164"/>
      <c r="AC40" s="164"/>
      <c r="AD40" s="165"/>
      <c r="AE40" s="164"/>
      <c r="AF40" s="164"/>
      <c r="AG40" s="164"/>
      <c r="AH40" s="164"/>
      <c r="AI40" s="164"/>
      <c r="AJ40" s="165"/>
      <c r="AK40" s="164"/>
      <c r="AL40" s="164"/>
      <c r="AM40" s="164"/>
      <c r="AN40" s="164"/>
      <c r="AO40" s="164"/>
      <c r="AP40" s="165"/>
      <c r="AQ40" s="164"/>
      <c r="AR40" s="164"/>
      <c r="AS40" s="164"/>
      <c r="AT40" s="164"/>
      <c r="AU40" s="164"/>
      <c r="AV40" s="165"/>
      <c r="AW40" s="164"/>
      <c r="AX40" s="164"/>
      <c r="AY40" s="164"/>
      <c r="AZ40" s="164"/>
      <c r="BA40" s="164"/>
      <c r="BB40" s="165"/>
      <c r="BC40" s="164"/>
      <c r="BD40" s="164"/>
      <c r="BE40" s="164"/>
      <c r="BF40" s="164"/>
      <c r="BG40" s="164"/>
      <c r="BH40" s="165"/>
      <c r="BI40" s="164"/>
      <c r="BJ40" s="164"/>
      <c r="BK40" s="164"/>
      <c r="BL40" s="164"/>
      <c r="BM40" s="164"/>
      <c r="BN40" s="165"/>
      <c r="BO40" s="164"/>
      <c r="BP40" s="164"/>
      <c r="BQ40" s="164"/>
      <c r="BR40" s="164"/>
      <c r="BS40" s="164"/>
      <c r="BT40" s="165"/>
      <c r="BU40" s="164"/>
      <c r="BV40" s="164"/>
      <c r="BW40" s="164"/>
      <c r="BX40" s="164"/>
      <c r="BY40" s="164"/>
      <c r="BZ40" s="165"/>
      <c r="CA40" s="164"/>
      <c r="CB40" s="164"/>
      <c r="CC40" s="164"/>
      <c r="CD40" s="164"/>
      <c r="CE40" s="164"/>
      <c r="CF40" s="165"/>
      <c r="CG40" s="164"/>
      <c r="CH40" s="164"/>
      <c r="CI40" s="164"/>
      <c r="CJ40" s="164"/>
      <c r="CK40" s="164"/>
      <c r="CL40" s="165"/>
      <c r="CM40" s="164"/>
      <c r="CN40" s="164"/>
      <c r="CO40" s="164"/>
      <c r="CP40" s="164"/>
      <c r="CQ40" s="164"/>
      <c r="CR40" s="165"/>
      <c r="CS40" s="164"/>
      <c r="CT40" s="164"/>
      <c r="CU40" s="164"/>
      <c r="CV40" s="164"/>
      <c r="CW40" s="164"/>
      <c r="CX40" s="165"/>
      <c r="CY40" s="164"/>
      <c r="CZ40" s="164"/>
      <c r="DA40" s="164"/>
      <c r="DB40" s="164"/>
      <c r="DC40" s="164"/>
      <c r="DD40" s="165"/>
      <c r="DE40" s="164"/>
      <c r="DF40" s="164"/>
      <c r="DG40" s="164"/>
      <c r="DH40" s="164"/>
      <c r="DI40" s="164"/>
      <c r="DJ40" s="165"/>
      <c r="DK40" s="164"/>
      <c r="DL40" s="164"/>
      <c r="DM40" s="164"/>
      <c r="DN40" s="164"/>
      <c r="DO40" s="164"/>
      <c r="DP40" s="165"/>
      <c r="DQ40" s="164"/>
      <c r="DR40" s="164"/>
      <c r="DS40" s="164"/>
      <c r="DT40" s="164"/>
      <c r="DU40" s="164"/>
      <c r="DV40" s="165"/>
      <c r="DW40" s="164"/>
      <c r="DX40" s="164"/>
      <c r="DY40" s="164"/>
      <c r="DZ40" s="164"/>
      <c r="EA40" s="164"/>
      <c r="EB40" s="165"/>
      <c r="EC40" s="164"/>
      <c r="ED40" s="164"/>
      <c r="EE40" s="164"/>
      <c r="EF40" s="164"/>
      <c r="EG40" s="164"/>
      <c r="EH40" s="164"/>
      <c r="EI40" s="164"/>
      <c r="EJ40" s="164"/>
      <c r="EK40" s="164"/>
      <c r="EL40" s="164"/>
      <c r="EM40" s="164"/>
      <c r="EN40" s="164"/>
      <c r="EO40" s="164"/>
      <c r="EP40" s="164"/>
      <c r="EQ40" s="164"/>
      <c r="ER40" s="164"/>
      <c r="ES40" s="164"/>
      <c r="ET40" s="164"/>
      <c r="EU40" s="164"/>
      <c r="EV40" s="164"/>
      <c r="EW40" s="164"/>
      <c r="EX40" s="164"/>
      <c r="EY40" s="164"/>
      <c r="EZ40" s="164"/>
      <c r="FA40" s="164"/>
      <c r="FB40" s="164"/>
      <c r="FC40" s="164"/>
      <c r="FD40" s="164"/>
      <c r="FE40" s="164"/>
      <c r="FF40" s="164"/>
      <c r="FG40" s="164"/>
      <c r="FH40" s="164"/>
      <c r="FI40" s="164"/>
      <c r="FJ40" s="164"/>
      <c r="FK40" s="164"/>
      <c r="FL40" s="164"/>
      <c r="FM40" s="164"/>
      <c r="FN40" s="164"/>
      <c r="FO40" s="164"/>
      <c r="FP40" s="164"/>
      <c r="FQ40" s="164"/>
      <c r="FR40" s="164"/>
      <c r="FS40" s="164"/>
      <c r="FT40" s="164"/>
      <c r="FU40" s="164"/>
      <c r="FV40" s="164"/>
      <c r="FW40" s="164"/>
      <c r="FX40" s="164"/>
      <c r="FY40" s="164"/>
      <c r="FZ40" s="164"/>
      <c r="GA40" s="164"/>
      <c r="GB40" s="164"/>
      <c r="GC40" s="164"/>
      <c r="GD40" s="164"/>
      <c r="GE40" s="164"/>
      <c r="GF40" s="164"/>
      <c r="GG40" s="164"/>
      <c r="GH40" s="164"/>
      <c r="GI40" s="164"/>
      <c r="GJ40" s="164"/>
      <c r="GK40" s="164"/>
      <c r="GL40" s="164"/>
      <c r="GM40" s="164"/>
      <c r="GN40" s="164"/>
      <c r="GO40" s="164"/>
      <c r="GP40" s="164"/>
      <c r="GQ40" s="164"/>
      <c r="GR40" s="164"/>
      <c r="GS40" s="164"/>
      <c r="GT40" s="164"/>
      <c r="GU40" s="164"/>
      <c r="GV40" s="164"/>
      <c r="GW40" s="164"/>
      <c r="GX40" s="164"/>
      <c r="GY40" s="164"/>
      <c r="GZ40" s="164"/>
      <c r="HA40" s="164"/>
      <c r="HB40" s="164"/>
      <c r="HC40" s="164"/>
      <c r="HD40" s="164"/>
      <c r="HE40" s="164"/>
      <c r="HF40" s="164"/>
      <c r="HG40" s="164"/>
      <c r="HH40" s="164"/>
      <c r="HI40" s="164"/>
      <c r="HJ40" s="164"/>
      <c r="HK40" s="164"/>
      <c r="HL40" s="164"/>
      <c r="HM40" s="164"/>
      <c r="HN40" s="164"/>
      <c r="HO40" s="164"/>
      <c r="HP40" s="164"/>
      <c r="HQ40" s="164"/>
      <c r="HR40" s="164"/>
      <c r="HS40" s="164"/>
      <c r="HT40" s="164"/>
      <c r="HU40" s="164"/>
      <c r="HV40" s="164"/>
      <c r="HW40" s="164"/>
      <c r="HX40" s="164"/>
      <c r="HY40" s="164"/>
      <c r="HZ40" s="164"/>
      <c r="IA40" s="164"/>
      <c r="IB40" s="164"/>
      <c r="IC40" s="164"/>
      <c r="ID40" s="164"/>
      <c r="IE40" s="164"/>
      <c r="IF40" s="164"/>
      <c r="IG40" s="164"/>
      <c r="IH40" s="164"/>
      <c r="II40" s="164"/>
    </row>
    <row r="41">
      <c r="F41" s="142"/>
      <c r="L41" s="142"/>
      <c r="R41" s="142"/>
      <c r="X41" s="142"/>
      <c r="AD41" s="142"/>
      <c r="AJ41" s="142"/>
      <c r="AP41" s="142"/>
      <c r="AV41" s="142"/>
      <c r="BB41" s="142"/>
      <c r="BH41" s="142"/>
      <c r="BN41" s="142"/>
      <c r="BT41" s="142"/>
      <c r="BZ41" s="142"/>
      <c r="CF41" s="142"/>
      <c r="CL41" s="142"/>
      <c r="CR41" s="142"/>
      <c r="CX41" s="142"/>
      <c r="DD41" s="142"/>
      <c r="DJ41" s="142"/>
      <c r="DP41" s="142"/>
      <c r="DV41" s="142"/>
      <c r="EB41" s="142"/>
    </row>
    <row r="42">
      <c r="A42" s="155"/>
      <c r="B42" s="155"/>
      <c r="C42" s="155"/>
      <c r="D42" s="155"/>
      <c r="E42" s="155"/>
      <c r="F42" s="156"/>
      <c r="G42" s="155"/>
      <c r="H42" s="155"/>
      <c r="I42" s="155"/>
      <c r="J42" s="155"/>
      <c r="K42" s="155"/>
      <c r="L42" s="156"/>
      <c r="M42" s="155"/>
      <c r="N42" s="155"/>
      <c r="O42" s="155"/>
      <c r="P42" s="155"/>
      <c r="Q42" s="155"/>
      <c r="R42" s="156"/>
      <c r="S42" s="155"/>
      <c r="T42" s="155"/>
      <c r="U42" s="155"/>
      <c r="V42" s="155"/>
      <c r="W42" s="155"/>
      <c r="X42" s="156"/>
      <c r="Y42" s="155"/>
      <c r="Z42" s="155"/>
      <c r="AA42" s="155"/>
      <c r="AB42" s="155"/>
      <c r="AC42" s="155"/>
      <c r="AD42" s="156"/>
      <c r="AE42" s="155"/>
      <c r="AF42" s="155"/>
      <c r="AG42" s="155"/>
      <c r="AH42" s="155"/>
      <c r="AI42" s="155"/>
      <c r="AJ42" s="156"/>
      <c r="AK42" s="155"/>
      <c r="AL42" s="155"/>
      <c r="AM42" s="155"/>
      <c r="AN42" s="155"/>
      <c r="AO42" s="155"/>
      <c r="AP42" s="156"/>
      <c r="AQ42" s="155"/>
      <c r="AR42" s="155"/>
      <c r="AS42" s="155"/>
      <c r="AT42" s="155"/>
      <c r="AU42" s="155"/>
      <c r="AV42" s="156"/>
      <c r="AW42" s="155"/>
      <c r="AX42" s="155"/>
      <c r="AY42" s="155"/>
      <c r="AZ42" s="155"/>
      <c r="BA42" s="155"/>
      <c r="BB42" s="156"/>
      <c r="BC42" s="155"/>
      <c r="BD42" s="155"/>
      <c r="BE42" s="155"/>
      <c r="BF42" s="155"/>
      <c r="BG42" s="155"/>
      <c r="BH42" s="156"/>
      <c r="BI42" s="155"/>
      <c r="BJ42" s="155"/>
      <c r="BK42" s="155"/>
      <c r="BL42" s="155"/>
      <c r="BM42" s="155"/>
      <c r="BN42" s="156"/>
      <c r="BO42" s="155"/>
      <c r="BP42" s="155"/>
      <c r="BQ42" s="155"/>
      <c r="BR42" s="155"/>
      <c r="BS42" s="155"/>
      <c r="BT42" s="156"/>
      <c r="BU42" s="155"/>
      <c r="BV42" s="155"/>
      <c r="BW42" s="155"/>
      <c r="BX42" s="155"/>
      <c r="BY42" s="155"/>
      <c r="BZ42" s="156"/>
      <c r="CA42" s="155"/>
      <c r="CB42" s="155"/>
      <c r="CC42" s="155"/>
      <c r="CD42" s="155"/>
      <c r="CE42" s="155"/>
      <c r="CF42" s="156"/>
      <c r="CG42" s="155"/>
      <c r="CH42" s="155"/>
      <c r="CI42" s="155"/>
      <c r="CJ42" s="155"/>
      <c r="CK42" s="155"/>
      <c r="CL42" s="156"/>
      <c r="CM42" s="155"/>
      <c r="CN42" s="155"/>
      <c r="CO42" s="155"/>
      <c r="CP42" s="155"/>
      <c r="CQ42" s="155"/>
      <c r="CR42" s="156"/>
      <c r="CS42" s="155"/>
      <c r="CT42" s="155"/>
      <c r="CU42" s="155"/>
      <c r="CV42" s="155"/>
      <c r="CW42" s="155"/>
      <c r="CX42" s="156"/>
      <c r="CY42" s="155"/>
      <c r="CZ42" s="155"/>
      <c r="DA42" s="155"/>
      <c r="DB42" s="155"/>
      <c r="DC42" s="155"/>
      <c r="DD42" s="156"/>
      <c r="DE42" s="155"/>
      <c r="DF42" s="155"/>
      <c r="DG42" s="155"/>
      <c r="DH42" s="155"/>
      <c r="DI42" s="155"/>
      <c r="DJ42" s="156"/>
      <c r="DK42" s="155"/>
      <c r="DL42" s="155"/>
      <c r="DM42" s="155"/>
      <c r="DN42" s="155"/>
      <c r="DO42" s="155"/>
      <c r="DP42" s="156"/>
      <c r="DQ42" s="155"/>
      <c r="DR42" s="155"/>
      <c r="DS42" s="155"/>
      <c r="DT42" s="155"/>
      <c r="DU42" s="155"/>
      <c r="DV42" s="156"/>
      <c r="DW42" s="155"/>
      <c r="DX42" s="155"/>
      <c r="DY42" s="155"/>
      <c r="DZ42" s="155"/>
      <c r="EA42" s="155"/>
      <c r="EB42" s="156"/>
      <c r="EC42" s="155"/>
      <c r="ED42" s="155"/>
      <c r="EE42" s="155"/>
      <c r="EF42" s="155"/>
      <c r="EG42" s="155"/>
      <c r="EH42" s="155"/>
      <c r="EI42" s="155"/>
      <c r="EJ42" s="155"/>
      <c r="EK42" s="155"/>
      <c r="EL42" s="155"/>
      <c r="EM42" s="155"/>
      <c r="EN42" s="155"/>
      <c r="EO42" s="155"/>
      <c r="EP42" s="155"/>
      <c r="EQ42" s="155"/>
      <c r="ER42" s="155"/>
      <c r="ES42" s="155"/>
      <c r="ET42" s="155"/>
      <c r="EU42" s="155"/>
      <c r="EV42" s="155"/>
      <c r="EW42" s="155"/>
      <c r="EX42" s="155"/>
      <c r="EY42" s="155"/>
      <c r="EZ42" s="155"/>
      <c r="FA42" s="155"/>
      <c r="FB42" s="155"/>
      <c r="FC42" s="155"/>
      <c r="FD42" s="155"/>
      <c r="FE42" s="155"/>
      <c r="FF42" s="155"/>
      <c r="FG42" s="155"/>
      <c r="FH42" s="155"/>
      <c r="FI42" s="155"/>
      <c r="FJ42" s="155"/>
      <c r="FK42" s="155"/>
      <c r="FL42" s="155"/>
      <c r="FM42" s="155"/>
      <c r="FN42" s="155"/>
      <c r="FO42" s="155"/>
      <c r="FP42" s="155"/>
      <c r="FQ42" s="155"/>
      <c r="FR42" s="155"/>
      <c r="FS42" s="155"/>
      <c r="FT42" s="155"/>
      <c r="FU42" s="155"/>
      <c r="FV42" s="155"/>
      <c r="FW42" s="155"/>
      <c r="FX42" s="155"/>
      <c r="FY42" s="155"/>
      <c r="FZ42" s="155"/>
      <c r="GA42" s="155"/>
      <c r="GB42" s="155"/>
      <c r="GC42" s="155"/>
      <c r="GD42" s="155"/>
      <c r="GE42" s="155"/>
      <c r="GF42" s="155"/>
      <c r="GG42" s="155"/>
      <c r="GH42" s="155"/>
      <c r="GI42" s="155"/>
      <c r="GJ42" s="155"/>
      <c r="GK42" s="155"/>
      <c r="GL42" s="155"/>
      <c r="GM42" s="155"/>
      <c r="GN42" s="155"/>
      <c r="GO42" s="155"/>
      <c r="GP42" s="155"/>
      <c r="GQ42" s="155"/>
      <c r="GR42" s="155"/>
      <c r="GS42" s="155"/>
      <c r="GT42" s="155"/>
      <c r="GU42" s="155"/>
      <c r="GV42" s="155"/>
      <c r="GW42" s="155"/>
      <c r="GX42" s="155"/>
      <c r="GY42" s="155"/>
      <c r="GZ42" s="155"/>
      <c r="HA42" s="155"/>
      <c r="HB42" s="155"/>
      <c r="HC42" s="155"/>
      <c r="HD42" s="155"/>
      <c r="HE42" s="155"/>
      <c r="HF42" s="155"/>
      <c r="HG42" s="155"/>
      <c r="HH42" s="155"/>
      <c r="HI42" s="155"/>
      <c r="HJ42" s="155"/>
      <c r="HK42" s="155"/>
      <c r="HL42" s="155"/>
      <c r="HM42" s="155"/>
      <c r="HN42" s="155"/>
      <c r="HO42" s="155"/>
      <c r="HP42" s="155"/>
      <c r="HQ42" s="155"/>
      <c r="HR42" s="155"/>
      <c r="HS42" s="155"/>
      <c r="HT42" s="155"/>
      <c r="HU42" s="155"/>
      <c r="HV42" s="155"/>
      <c r="HW42" s="155"/>
      <c r="HX42" s="155"/>
      <c r="HY42" s="155"/>
      <c r="HZ42" s="155"/>
      <c r="IA42" s="155"/>
      <c r="IB42" s="155"/>
      <c r="IC42" s="155"/>
      <c r="ID42" s="155"/>
      <c r="IE42" s="155"/>
      <c r="IF42" s="155"/>
      <c r="IG42" s="155"/>
      <c r="IH42" s="155"/>
      <c r="II42" s="155"/>
    </row>
    <row r="43">
      <c r="A43" s="120"/>
      <c r="B43" s="120"/>
      <c r="C43" s="120"/>
      <c r="D43" s="120"/>
      <c r="E43" s="120"/>
      <c r="F43" s="157"/>
      <c r="G43" s="120"/>
      <c r="H43" s="120"/>
      <c r="I43" s="120"/>
      <c r="J43" s="120"/>
      <c r="K43" s="120"/>
      <c r="L43" s="157"/>
      <c r="M43" s="120"/>
      <c r="N43" s="120"/>
      <c r="O43" s="120"/>
      <c r="P43" s="120"/>
      <c r="Q43" s="120"/>
      <c r="R43" s="157"/>
      <c r="S43" s="120"/>
      <c r="T43" s="120"/>
      <c r="U43" s="120"/>
      <c r="V43" s="120"/>
      <c r="W43" s="120"/>
      <c r="X43" s="157"/>
      <c r="Y43" s="120"/>
      <c r="Z43" s="120"/>
      <c r="AA43" s="120"/>
      <c r="AB43" s="120"/>
      <c r="AC43" s="120"/>
      <c r="AD43" s="157"/>
      <c r="AE43" s="120"/>
      <c r="AF43" s="120"/>
      <c r="AG43" s="120"/>
      <c r="AH43" s="120"/>
      <c r="AI43" s="120"/>
      <c r="AJ43" s="157"/>
      <c r="AK43" s="120"/>
      <c r="AL43" s="120"/>
      <c r="AM43" s="120"/>
      <c r="AN43" s="120"/>
      <c r="AO43" s="120"/>
      <c r="AP43" s="157"/>
      <c r="AQ43" s="120"/>
      <c r="AR43" s="120"/>
      <c r="AS43" s="120"/>
      <c r="AT43" s="120"/>
      <c r="AU43" s="120"/>
      <c r="AV43" s="157"/>
      <c r="AW43" s="120"/>
      <c r="AX43" s="120"/>
      <c r="AY43" s="120"/>
      <c r="AZ43" s="120"/>
      <c r="BA43" s="120"/>
      <c r="BB43" s="157"/>
      <c r="BC43" s="120"/>
      <c r="BD43" s="120"/>
      <c r="BE43" s="120"/>
      <c r="BF43" s="120"/>
      <c r="BG43" s="120"/>
      <c r="BH43" s="157"/>
      <c r="BI43" s="120"/>
      <c r="BJ43" s="120"/>
      <c r="BK43" s="120"/>
      <c r="BL43" s="120"/>
      <c r="BM43" s="120"/>
      <c r="BN43" s="157"/>
      <c r="BO43" s="120"/>
      <c r="BP43" s="120"/>
      <c r="BQ43" s="120"/>
      <c r="BR43" s="120"/>
      <c r="BS43" s="120"/>
      <c r="BT43" s="157"/>
      <c r="BU43" s="120"/>
      <c r="BV43" s="120"/>
      <c r="BW43" s="120"/>
      <c r="BX43" s="120"/>
      <c r="BY43" s="120"/>
      <c r="BZ43" s="157"/>
      <c r="CA43" s="120"/>
      <c r="CB43" s="120"/>
      <c r="CC43" s="120"/>
      <c r="CD43" s="120"/>
      <c r="CE43" s="120"/>
      <c r="CF43" s="157"/>
      <c r="CG43" s="120"/>
      <c r="CH43" s="120"/>
      <c r="CI43" s="120"/>
      <c r="CJ43" s="120"/>
      <c r="CK43" s="120"/>
      <c r="CL43" s="157"/>
      <c r="CM43" s="120"/>
      <c r="CN43" s="120"/>
      <c r="CO43" s="120"/>
      <c r="CP43" s="120"/>
      <c r="CQ43" s="120"/>
      <c r="CR43" s="157"/>
      <c r="CS43" s="120"/>
      <c r="CT43" s="120"/>
      <c r="CU43" s="120"/>
      <c r="CV43" s="120"/>
      <c r="CW43" s="120"/>
      <c r="CX43" s="157"/>
      <c r="CY43" s="120"/>
      <c r="CZ43" s="120"/>
      <c r="DA43" s="120"/>
      <c r="DB43" s="120"/>
      <c r="DC43" s="120"/>
      <c r="DD43" s="157"/>
      <c r="DE43" s="120"/>
      <c r="DF43" s="120"/>
      <c r="DG43" s="120"/>
      <c r="DH43" s="120"/>
      <c r="DI43" s="120"/>
      <c r="DJ43" s="157"/>
      <c r="DK43" s="120"/>
      <c r="DL43" s="120"/>
      <c r="DM43" s="120"/>
      <c r="DN43" s="120"/>
      <c r="DO43" s="120"/>
      <c r="DP43" s="157"/>
      <c r="DQ43" s="120"/>
      <c r="DR43" s="120"/>
      <c r="DS43" s="120"/>
      <c r="DT43" s="120"/>
      <c r="DU43" s="120"/>
      <c r="DV43" s="157"/>
      <c r="DW43" s="120"/>
      <c r="DX43" s="120"/>
      <c r="DY43" s="120"/>
      <c r="DZ43" s="120"/>
      <c r="EA43" s="120"/>
      <c r="EB43" s="157"/>
      <c r="EC43" s="120"/>
      <c r="ED43" s="120"/>
      <c r="EE43" s="120"/>
      <c r="EF43" s="120"/>
      <c r="EG43" s="120"/>
      <c r="EH43" s="120"/>
      <c r="EI43" s="120"/>
      <c r="EJ43" s="120"/>
      <c r="EK43" s="120"/>
      <c r="EL43" s="120"/>
      <c r="EM43" s="120"/>
      <c r="EN43" s="120"/>
      <c r="EO43" s="120"/>
      <c r="EP43" s="120"/>
      <c r="EQ43" s="120"/>
      <c r="ER43" s="120"/>
      <c r="ES43" s="120"/>
      <c r="ET43" s="120"/>
      <c r="EU43" s="120"/>
      <c r="EV43" s="120"/>
      <c r="EW43" s="120"/>
      <c r="EX43" s="120"/>
      <c r="EY43" s="120"/>
      <c r="EZ43" s="120"/>
      <c r="FA43" s="120"/>
      <c r="FB43" s="120"/>
      <c r="FC43" s="120"/>
      <c r="FD43" s="120"/>
      <c r="FE43" s="120"/>
      <c r="FF43" s="120"/>
      <c r="FG43" s="120"/>
      <c r="FH43" s="120"/>
      <c r="FI43" s="120"/>
      <c r="FJ43" s="120"/>
      <c r="FK43" s="120"/>
      <c r="FL43" s="120"/>
      <c r="FM43" s="120"/>
      <c r="FN43" s="120"/>
      <c r="FO43" s="120"/>
      <c r="FP43" s="120"/>
      <c r="FQ43" s="120"/>
      <c r="FR43" s="120"/>
      <c r="FS43" s="120"/>
      <c r="FT43" s="120"/>
      <c r="FU43" s="120"/>
      <c r="FV43" s="120"/>
      <c r="FW43" s="120"/>
      <c r="FX43" s="120"/>
      <c r="FY43" s="120"/>
      <c r="FZ43" s="120"/>
      <c r="GA43" s="120"/>
      <c r="GB43" s="120"/>
      <c r="GC43" s="120"/>
      <c r="GD43" s="120"/>
      <c r="GE43" s="120"/>
      <c r="GF43" s="120"/>
      <c r="GG43" s="120"/>
      <c r="GH43" s="120"/>
      <c r="GI43" s="120"/>
      <c r="GJ43" s="120"/>
      <c r="GK43" s="120"/>
      <c r="GL43" s="120"/>
      <c r="GM43" s="120"/>
      <c r="GN43" s="120"/>
      <c r="GO43" s="120"/>
      <c r="GP43" s="120"/>
      <c r="GQ43" s="120"/>
      <c r="GR43" s="120"/>
      <c r="GS43" s="120"/>
      <c r="GT43" s="120"/>
      <c r="GU43" s="120"/>
      <c r="GV43" s="120"/>
      <c r="GW43" s="120"/>
      <c r="GX43" s="120"/>
      <c r="GY43" s="120"/>
      <c r="GZ43" s="120"/>
      <c r="HA43" s="120"/>
      <c r="HB43" s="120"/>
      <c r="HC43" s="120"/>
      <c r="HD43" s="120"/>
      <c r="HE43" s="120"/>
      <c r="HF43" s="120"/>
      <c r="HG43" s="120"/>
      <c r="HH43" s="120"/>
      <c r="HI43" s="120"/>
      <c r="HJ43" s="120"/>
      <c r="HK43" s="120"/>
      <c r="HL43" s="120"/>
      <c r="HM43" s="120"/>
      <c r="HN43" s="120"/>
      <c r="HO43" s="120"/>
      <c r="HP43" s="120"/>
      <c r="HQ43" s="120"/>
      <c r="HR43" s="120"/>
      <c r="HS43" s="120"/>
      <c r="HT43" s="120"/>
      <c r="HU43" s="120"/>
      <c r="HV43" s="120"/>
      <c r="HW43" s="120"/>
      <c r="HX43" s="120"/>
      <c r="HY43" s="120"/>
      <c r="HZ43" s="120"/>
      <c r="IA43" s="120"/>
      <c r="IB43" s="120"/>
      <c r="IC43" s="120"/>
      <c r="ID43" s="120"/>
      <c r="IE43" s="120"/>
      <c r="IF43" s="120"/>
      <c r="IG43" s="120"/>
      <c r="IH43" s="120"/>
      <c r="II43" s="120"/>
    </row>
    <row r="44">
      <c r="A44" s="120"/>
      <c r="B44" s="120"/>
      <c r="C44" s="120"/>
      <c r="D44" s="120"/>
      <c r="E44" s="120"/>
      <c r="F44" s="157"/>
      <c r="G44" s="120"/>
      <c r="H44" s="120"/>
      <c r="I44" s="120"/>
      <c r="J44" s="120"/>
      <c r="K44" s="120"/>
      <c r="L44" s="157"/>
      <c r="M44" s="120"/>
      <c r="N44" s="120"/>
      <c r="O44" s="120"/>
      <c r="P44" s="120"/>
      <c r="Q44" s="120"/>
      <c r="R44" s="157"/>
      <c r="S44" s="120"/>
      <c r="T44" s="120"/>
      <c r="U44" s="120"/>
      <c r="V44" s="120"/>
      <c r="W44" s="120"/>
      <c r="X44" s="157"/>
      <c r="Y44" s="120"/>
      <c r="Z44" s="120"/>
      <c r="AA44" s="120"/>
      <c r="AB44" s="120"/>
      <c r="AC44" s="120"/>
      <c r="AD44" s="157"/>
      <c r="AE44" s="120"/>
      <c r="AF44" s="120"/>
      <c r="AG44" s="120"/>
      <c r="AH44" s="120"/>
      <c r="AI44" s="120"/>
      <c r="AJ44" s="157"/>
      <c r="AK44" s="120"/>
      <c r="AL44" s="120"/>
      <c r="AM44" s="120"/>
      <c r="AN44" s="120"/>
      <c r="AO44" s="120"/>
      <c r="AP44" s="157"/>
      <c r="AQ44" s="120"/>
      <c r="AR44" s="120"/>
      <c r="AS44" s="120"/>
      <c r="AT44" s="120"/>
      <c r="AU44" s="120"/>
      <c r="AV44" s="157"/>
      <c r="AW44" s="120"/>
      <c r="AX44" s="120"/>
      <c r="AY44" s="120"/>
      <c r="AZ44" s="120"/>
      <c r="BA44" s="120"/>
      <c r="BB44" s="157"/>
      <c r="BC44" s="120"/>
      <c r="BD44" s="120"/>
      <c r="BE44" s="120"/>
      <c r="BF44" s="120"/>
      <c r="BG44" s="120"/>
      <c r="BH44" s="157"/>
      <c r="BI44" s="120"/>
      <c r="BJ44" s="120"/>
      <c r="BK44" s="120"/>
      <c r="BL44" s="120"/>
      <c r="BM44" s="120"/>
      <c r="BN44" s="157"/>
      <c r="BO44" s="120"/>
      <c r="BP44" s="120"/>
      <c r="BQ44" s="120"/>
      <c r="BR44" s="120"/>
      <c r="BS44" s="120"/>
      <c r="BT44" s="157"/>
      <c r="BU44" s="120"/>
      <c r="BV44" s="120"/>
      <c r="BW44" s="120"/>
      <c r="BX44" s="120"/>
      <c r="BY44" s="120"/>
      <c r="BZ44" s="157"/>
      <c r="CA44" s="120"/>
      <c r="CB44" s="120"/>
      <c r="CC44" s="120"/>
      <c r="CD44" s="120"/>
      <c r="CE44" s="120"/>
      <c r="CF44" s="157"/>
      <c r="CG44" s="120"/>
      <c r="CH44" s="120"/>
      <c r="CI44" s="120"/>
      <c r="CJ44" s="120"/>
      <c r="CK44" s="120"/>
      <c r="CL44" s="157"/>
      <c r="CM44" s="120"/>
      <c r="CN44" s="120"/>
      <c r="CO44" s="120"/>
      <c r="CP44" s="120"/>
      <c r="CQ44" s="120"/>
      <c r="CR44" s="157"/>
      <c r="CS44" s="120"/>
      <c r="CT44" s="120"/>
      <c r="CU44" s="120"/>
      <c r="CV44" s="120"/>
      <c r="CW44" s="120"/>
      <c r="CX44" s="157"/>
      <c r="CY44" s="120"/>
      <c r="CZ44" s="120"/>
      <c r="DA44" s="120"/>
      <c r="DB44" s="120"/>
      <c r="DC44" s="120"/>
      <c r="DD44" s="157"/>
      <c r="DE44" s="120"/>
      <c r="DF44" s="120"/>
      <c r="DG44" s="120"/>
      <c r="DH44" s="120"/>
      <c r="DI44" s="120"/>
      <c r="DJ44" s="157"/>
      <c r="DK44" s="120"/>
      <c r="DL44" s="120"/>
      <c r="DM44" s="120"/>
      <c r="DN44" s="120"/>
      <c r="DO44" s="120"/>
      <c r="DP44" s="157"/>
      <c r="DQ44" s="120"/>
      <c r="DR44" s="120"/>
      <c r="DS44" s="120"/>
      <c r="DT44" s="120"/>
      <c r="DU44" s="120"/>
      <c r="DV44" s="157"/>
      <c r="DW44" s="120"/>
      <c r="DX44" s="120"/>
      <c r="DY44" s="120"/>
      <c r="DZ44" s="120"/>
      <c r="EA44" s="120"/>
      <c r="EB44" s="157"/>
      <c r="EC44" s="120"/>
      <c r="ED44" s="120"/>
      <c r="EE44" s="120"/>
      <c r="EF44" s="120"/>
      <c r="EG44" s="120"/>
      <c r="EH44" s="120"/>
      <c r="EI44" s="120"/>
      <c r="EJ44" s="120"/>
      <c r="EK44" s="120"/>
      <c r="EL44" s="120"/>
      <c r="EM44" s="120"/>
      <c r="EN44" s="120"/>
      <c r="EO44" s="120"/>
      <c r="EP44" s="120"/>
      <c r="EQ44" s="120"/>
      <c r="ER44" s="120"/>
      <c r="ES44" s="120"/>
      <c r="ET44" s="120"/>
      <c r="EU44" s="120"/>
      <c r="EV44" s="120"/>
      <c r="EW44" s="120"/>
      <c r="EX44" s="120"/>
      <c r="EY44" s="120"/>
      <c r="EZ44" s="120"/>
      <c r="FA44" s="120"/>
      <c r="FB44" s="120"/>
      <c r="FC44" s="120"/>
      <c r="FD44" s="120"/>
      <c r="FE44" s="120"/>
      <c r="FF44" s="120"/>
      <c r="FG44" s="120"/>
      <c r="FH44" s="120"/>
      <c r="FI44" s="120"/>
      <c r="FJ44" s="120"/>
      <c r="FK44" s="120"/>
      <c r="FL44" s="120"/>
      <c r="FM44" s="120"/>
      <c r="FN44" s="120"/>
      <c r="FO44" s="120"/>
      <c r="FP44" s="120"/>
      <c r="FQ44" s="120"/>
      <c r="FR44" s="120"/>
      <c r="FS44" s="120"/>
      <c r="FT44" s="120"/>
      <c r="FU44" s="120"/>
      <c r="FV44" s="120"/>
      <c r="FW44" s="120"/>
      <c r="FX44" s="120"/>
      <c r="FY44" s="120"/>
      <c r="FZ44" s="120"/>
      <c r="GA44" s="120"/>
      <c r="GB44" s="120"/>
      <c r="GC44" s="120"/>
      <c r="GD44" s="120"/>
      <c r="GE44" s="120"/>
      <c r="GF44" s="120"/>
      <c r="GG44" s="120"/>
      <c r="GH44" s="120"/>
      <c r="GI44" s="120"/>
      <c r="GJ44" s="120"/>
      <c r="GK44" s="120"/>
      <c r="GL44" s="120"/>
      <c r="GM44" s="120"/>
      <c r="GN44" s="120"/>
      <c r="GO44" s="120"/>
      <c r="GP44" s="120"/>
      <c r="GQ44" s="120"/>
      <c r="GR44" s="120"/>
      <c r="GS44" s="120"/>
      <c r="GT44" s="120"/>
      <c r="GU44" s="120"/>
      <c r="GV44" s="120"/>
      <c r="GW44" s="120"/>
      <c r="GX44" s="120"/>
      <c r="GY44" s="120"/>
      <c r="GZ44" s="120"/>
      <c r="HA44" s="120"/>
      <c r="HB44" s="120"/>
      <c r="HC44" s="120"/>
      <c r="HD44" s="120"/>
      <c r="HE44" s="120"/>
      <c r="HF44" s="120"/>
      <c r="HG44" s="120"/>
      <c r="HH44" s="120"/>
      <c r="HI44" s="120"/>
      <c r="HJ44" s="120"/>
      <c r="HK44" s="120"/>
      <c r="HL44" s="120"/>
      <c r="HM44" s="120"/>
      <c r="HN44" s="120"/>
      <c r="HO44" s="120"/>
      <c r="HP44" s="120"/>
      <c r="HQ44" s="120"/>
      <c r="HR44" s="120"/>
      <c r="HS44" s="120"/>
      <c r="HT44" s="120"/>
      <c r="HU44" s="120"/>
      <c r="HV44" s="120"/>
      <c r="HW44" s="120"/>
      <c r="HX44" s="120"/>
      <c r="HY44" s="120"/>
      <c r="HZ44" s="120"/>
      <c r="IA44" s="120"/>
      <c r="IB44" s="120"/>
      <c r="IC44" s="120"/>
      <c r="ID44" s="120"/>
      <c r="IE44" s="120"/>
      <c r="IF44" s="120"/>
      <c r="IG44" s="120"/>
      <c r="IH44" s="120"/>
      <c r="II44" s="120"/>
    </row>
    <row r="45">
      <c r="A45" s="120"/>
      <c r="B45" s="120"/>
      <c r="C45" s="120"/>
      <c r="D45" s="120"/>
      <c r="E45" s="120"/>
      <c r="F45" s="157"/>
      <c r="G45" s="120"/>
      <c r="H45" s="120"/>
      <c r="I45" s="120"/>
      <c r="J45" s="120"/>
      <c r="K45" s="120"/>
      <c r="L45" s="157"/>
      <c r="M45" s="120"/>
      <c r="N45" s="120"/>
      <c r="O45" s="120"/>
      <c r="P45" s="120"/>
      <c r="Q45" s="120"/>
      <c r="R45" s="157"/>
      <c r="S45" s="120"/>
      <c r="T45" s="120"/>
      <c r="U45" s="120"/>
      <c r="V45" s="120"/>
      <c r="W45" s="120"/>
      <c r="X45" s="157"/>
      <c r="Y45" s="120"/>
      <c r="Z45" s="120"/>
      <c r="AA45" s="120"/>
      <c r="AB45" s="120"/>
      <c r="AC45" s="120"/>
      <c r="AD45" s="157"/>
      <c r="AE45" s="120"/>
      <c r="AF45" s="120"/>
      <c r="AG45" s="120"/>
      <c r="AH45" s="120"/>
      <c r="AI45" s="120"/>
      <c r="AJ45" s="157"/>
      <c r="AK45" s="120"/>
      <c r="AL45" s="120"/>
      <c r="AM45" s="120"/>
      <c r="AN45" s="120"/>
      <c r="AO45" s="120"/>
      <c r="AP45" s="157"/>
      <c r="AQ45" s="120"/>
      <c r="AR45" s="120"/>
      <c r="AS45" s="120"/>
      <c r="AT45" s="120"/>
      <c r="AU45" s="120"/>
      <c r="AV45" s="157"/>
      <c r="AW45" s="120"/>
      <c r="AX45" s="120"/>
      <c r="AY45" s="120"/>
      <c r="AZ45" s="120"/>
      <c r="BA45" s="120"/>
      <c r="BB45" s="157"/>
      <c r="BC45" s="120"/>
      <c r="BD45" s="120"/>
      <c r="BE45" s="120"/>
      <c r="BF45" s="120"/>
      <c r="BG45" s="120"/>
      <c r="BH45" s="157"/>
      <c r="BI45" s="120"/>
      <c r="BJ45" s="120"/>
      <c r="BK45" s="120"/>
      <c r="BL45" s="120"/>
      <c r="BM45" s="120"/>
      <c r="BN45" s="157"/>
      <c r="BO45" s="120"/>
      <c r="BP45" s="120"/>
      <c r="BQ45" s="120"/>
      <c r="BR45" s="120"/>
      <c r="BS45" s="120"/>
      <c r="BT45" s="157"/>
      <c r="BU45" s="120"/>
      <c r="BV45" s="120"/>
      <c r="BW45" s="120"/>
      <c r="BX45" s="120"/>
      <c r="BY45" s="120"/>
      <c r="BZ45" s="157"/>
      <c r="CA45" s="120"/>
      <c r="CB45" s="120"/>
      <c r="CC45" s="120"/>
      <c r="CD45" s="120"/>
      <c r="CE45" s="120"/>
      <c r="CF45" s="157"/>
      <c r="CG45" s="120"/>
      <c r="CH45" s="120"/>
      <c r="CI45" s="120"/>
      <c r="CJ45" s="120"/>
      <c r="CK45" s="120"/>
      <c r="CL45" s="157"/>
      <c r="CM45" s="120"/>
      <c r="CN45" s="120"/>
      <c r="CO45" s="120"/>
      <c r="CP45" s="120"/>
      <c r="CQ45" s="120"/>
      <c r="CR45" s="157"/>
      <c r="CS45" s="120"/>
      <c r="CT45" s="120"/>
      <c r="CU45" s="120"/>
      <c r="CV45" s="120"/>
      <c r="CW45" s="120"/>
      <c r="CX45" s="157"/>
      <c r="CY45" s="120"/>
      <c r="CZ45" s="120"/>
      <c r="DA45" s="120"/>
      <c r="DB45" s="120"/>
      <c r="DC45" s="120"/>
      <c r="DD45" s="157"/>
      <c r="DE45" s="120"/>
      <c r="DF45" s="120"/>
      <c r="DG45" s="120"/>
      <c r="DH45" s="120"/>
      <c r="DI45" s="120"/>
      <c r="DJ45" s="157"/>
      <c r="DK45" s="120"/>
      <c r="DL45" s="120"/>
      <c r="DM45" s="120"/>
      <c r="DN45" s="120"/>
      <c r="DO45" s="120"/>
      <c r="DP45" s="157"/>
      <c r="DQ45" s="120"/>
      <c r="DR45" s="120"/>
      <c r="DS45" s="120"/>
      <c r="DT45" s="120"/>
      <c r="DU45" s="120"/>
      <c r="DV45" s="157"/>
      <c r="DW45" s="120"/>
      <c r="DX45" s="120"/>
      <c r="DY45" s="120"/>
      <c r="DZ45" s="120"/>
      <c r="EA45" s="120"/>
      <c r="EB45" s="157"/>
      <c r="EC45" s="120"/>
      <c r="ED45" s="120"/>
      <c r="EE45" s="120"/>
      <c r="EF45" s="120"/>
      <c r="EG45" s="120"/>
      <c r="EH45" s="120"/>
      <c r="EI45" s="120"/>
      <c r="EJ45" s="120"/>
      <c r="EK45" s="120"/>
      <c r="EL45" s="120"/>
      <c r="EM45" s="120"/>
      <c r="EN45" s="120"/>
      <c r="EO45" s="120"/>
      <c r="EP45" s="120"/>
      <c r="EQ45" s="120"/>
      <c r="ER45" s="120"/>
      <c r="ES45" s="120"/>
      <c r="ET45" s="120"/>
      <c r="EU45" s="120"/>
      <c r="EV45" s="120"/>
      <c r="EW45" s="120"/>
      <c r="EX45" s="120"/>
      <c r="EY45" s="120"/>
      <c r="EZ45" s="120"/>
      <c r="FA45" s="120"/>
      <c r="FB45" s="120"/>
      <c r="FC45" s="120"/>
      <c r="FD45" s="120"/>
      <c r="FE45" s="120"/>
      <c r="FF45" s="120"/>
      <c r="FG45" s="120"/>
      <c r="FH45" s="120"/>
      <c r="FI45" s="120"/>
      <c r="FJ45" s="120"/>
      <c r="FK45" s="120"/>
      <c r="FL45" s="120"/>
      <c r="FM45" s="120"/>
      <c r="FN45" s="120"/>
      <c r="FO45" s="120"/>
      <c r="FP45" s="120"/>
      <c r="FQ45" s="120"/>
      <c r="FR45" s="120"/>
      <c r="FS45" s="120"/>
      <c r="FT45" s="120"/>
      <c r="FU45" s="120"/>
      <c r="FV45" s="120"/>
      <c r="FW45" s="120"/>
      <c r="FX45" s="120"/>
      <c r="FY45" s="120"/>
      <c r="FZ45" s="120"/>
      <c r="GA45" s="120"/>
      <c r="GB45" s="120"/>
      <c r="GC45" s="120"/>
      <c r="GD45" s="120"/>
      <c r="GE45" s="120"/>
      <c r="GF45" s="120"/>
      <c r="GG45" s="120"/>
      <c r="GH45" s="120"/>
      <c r="GI45" s="120"/>
      <c r="GJ45" s="120"/>
      <c r="GK45" s="120"/>
      <c r="GL45" s="120"/>
      <c r="GM45" s="120"/>
      <c r="GN45" s="120"/>
      <c r="GO45" s="120"/>
      <c r="GP45" s="120"/>
      <c r="GQ45" s="120"/>
      <c r="GR45" s="120"/>
      <c r="GS45" s="120"/>
      <c r="GT45" s="120"/>
      <c r="GU45" s="120"/>
      <c r="GV45" s="120"/>
      <c r="GW45" s="120"/>
      <c r="GX45" s="120"/>
      <c r="GY45" s="120"/>
      <c r="GZ45" s="120"/>
      <c r="HA45" s="120"/>
      <c r="HB45" s="120"/>
      <c r="HC45" s="120"/>
      <c r="HD45" s="120"/>
      <c r="HE45" s="120"/>
      <c r="HF45" s="120"/>
      <c r="HG45" s="120"/>
      <c r="HH45" s="120"/>
      <c r="HI45" s="120"/>
      <c r="HJ45" s="120"/>
      <c r="HK45" s="120"/>
      <c r="HL45" s="120"/>
      <c r="HM45" s="120"/>
      <c r="HN45" s="120"/>
      <c r="HO45" s="120"/>
      <c r="HP45" s="120"/>
      <c r="HQ45" s="120"/>
      <c r="HR45" s="120"/>
      <c r="HS45" s="120"/>
      <c r="HT45" s="120"/>
      <c r="HU45" s="120"/>
      <c r="HV45" s="120"/>
      <c r="HW45" s="120"/>
      <c r="HX45" s="120"/>
      <c r="HY45" s="120"/>
      <c r="HZ45" s="120"/>
      <c r="IA45" s="120"/>
      <c r="IB45" s="120"/>
      <c r="IC45" s="120"/>
      <c r="ID45" s="120"/>
      <c r="IE45" s="120"/>
      <c r="IF45" s="120"/>
      <c r="IG45" s="120"/>
      <c r="IH45" s="120"/>
      <c r="II45" s="120"/>
    </row>
    <row r="46">
      <c r="A46" s="166"/>
      <c r="B46" s="166"/>
      <c r="C46" s="166"/>
      <c r="D46" s="166"/>
      <c r="E46" s="166"/>
      <c r="F46" s="167"/>
      <c r="G46" s="166"/>
      <c r="H46" s="166"/>
      <c r="I46" s="166"/>
      <c r="J46" s="166"/>
      <c r="K46" s="166"/>
      <c r="L46" s="167"/>
      <c r="M46" s="166"/>
      <c r="N46" s="166"/>
      <c r="O46" s="166"/>
      <c r="P46" s="166"/>
      <c r="Q46" s="166"/>
      <c r="R46" s="167"/>
      <c r="S46" s="166"/>
      <c r="T46" s="166"/>
      <c r="U46" s="166"/>
      <c r="V46" s="166"/>
      <c r="W46" s="166"/>
      <c r="X46" s="167"/>
      <c r="Y46" s="166"/>
      <c r="Z46" s="166"/>
      <c r="AA46" s="166"/>
      <c r="AB46" s="166"/>
      <c r="AC46" s="166"/>
      <c r="AD46" s="167"/>
      <c r="AE46" s="166"/>
      <c r="AF46" s="166"/>
      <c r="AG46" s="166"/>
      <c r="AH46" s="166"/>
      <c r="AI46" s="166"/>
      <c r="AJ46" s="167"/>
      <c r="AK46" s="166"/>
      <c r="AL46" s="166"/>
      <c r="AM46" s="166"/>
      <c r="AN46" s="166"/>
      <c r="AO46" s="166"/>
      <c r="AP46" s="167"/>
      <c r="AQ46" s="166"/>
      <c r="AR46" s="166"/>
      <c r="AS46" s="166"/>
      <c r="AT46" s="166"/>
      <c r="AU46" s="166"/>
      <c r="AV46" s="167"/>
      <c r="AW46" s="166"/>
      <c r="AX46" s="166"/>
      <c r="AY46" s="166"/>
      <c r="AZ46" s="166"/>
      <c r="BA46" s="166"/>
      <c r="BB46" s="167"/>
      <c r="BC46" s="166"/>
      <c r="BD46" s="166"/>
      <c r="BE46" s="166"/>
      <c r="BF46" s="166"/>
      <c r="BG46" s="166"/>
      <c r="BH46" s="167"/>
      <c r="BI46" s="166"/>
      <c r="BJ46" s="166"/>
      <c r="BK46" s="166"/>
      <c r="BL46" s="166"/>
      <c r="BM46" s="166"/>
      <c r="BN46" s="167"/>
      <c r="BO46" s="166"/>
      <c r="BP46" s="166"/>
      <c r="BQ46" s="166"/>
      <c r="BR46" s="166"/>
      <c r="BS46" s="166"/>
      <c r="BT46" s="167"/>
      <c r="BU46" s="166"/>
      <c r="BV46" s="166"/>
      <c r="BW46" s="166"/>
      <c r="BX46" s="166"/>
      <c r="BY46" s="166"/>
      <c r="BZ46" s="167"/>
      <c r="CA46" s="166"/>
      <c r="CB46" s="166"/>
      <c r="CC46" s="166"/>
      <c r="CD46" s="166"/>
      <c r="CE46" s="166"/>
      <c r="CF46" s="167"/>
      <c r="CG46" s="166"/>
      <c r="CH46" s="166"/>
      <c r="CI46" s="166"/>
      <c r="CJ46" s="166"/>
      <c r="CK46" s="166"/>
      <c r="CL46" s="167"/>
      <c r="CM46" s="166"/>
      <c r="CN46" s="166"/>
      <c r="CO46" s="166"/>
      <c r="CP46" s="166"/>
      <c r="CQ46" s="166"/>
      <c r="CR46" s="167"/>
      <c r="CS46" s="166"/>
      <c r="CT46" s="166"/>
      <c r="CU46" s="166"/>
      <c r="CV46" s="166"/>
      <c r="CW46" s="166"/>
      <c r="CX46" s="167"/>
      <c r="CY46" s="166"/>
      <c r="CZ46" s="166"/>
      <c r="DA46" s="166"/>
      <c r="DB46" s="166"/>
      <c r="DC46" s="166"/>
      <c r="DD46" s="167"/>
      <c r="DE46" s="166"/>
      <c r="DF46" s="166"/>
      <c r="DG46" s="166"/>
      <c r="DH46" s="166"/>
      <c r="DI46" s="166"/>
      <c r="DJ46" s="167"/>
      <c r="DK46" s="166"/>
      <c r="DL46" s="166"/>
      <c r="DM46" s="166"/>
      <c r="DN46" s="166"/>
      <c r="DO46" s="166"/>
      <c r="DP46" s="167"/>
      <c r="DQ46" s="166"/>
      <c r="DR46" s="166"/>
      <c r="DS46" s="166"/>
      <c r="DT46" s="166"/>
      <c r="DU46" s="166"/>
      <c r="DV46" s="167"/>
      <c r="DW46" s="166"/>
      <c r="DX46" s="166"/>
      <c r="DY46" s="166"/>
      <c r="DZ46" s="166"/>
      <c r="EA46" s="166"/>
      <c r="EB46" s="167"/>
      <c r="EC46" s="166"/>
      <c r="ED46" s="166"/>
      <c r="EE46" s="166"/>
      <c r="EF46" s="166"/>
      <c r="EG46" s="166"/>
      <c r="EH46" s="166"/>
      <c r="EI46" s="166"/>
      <c r="EJ46" s="166"/>
      <c r="EK46" s="166"/>
      <c r="EL46" s="166"/>
      <c r="EM46" s="166"/>
      <c r="EN46" s="166"/>
      <c r="EO46" s="166"/>
      <c r="EP46" s="166"/>
      <c r="EQ46" s="166"/>
      <c r="ER46" s="166"/>
      <c r="ES46" s="166"/>
      <c r="ET46" s="166"/>
      <c r="EU46" s="166"/>
      <c r="EV46" s="166"/>
      <c r="EW46" s="166"/>
      <c r="EX46" s="166"/>
      <c r="EY46" s="166"/>
      <c r="EZ46" s="166"/>
      <c r="FA46" s="166"/>
      <c r="FB46" s="166"/>
      <c r="FC46" s="166"/>
      <c r="FD46" s="166"/>
      <c r="FE46" s="166"/>
      <c r="FF46" s="166"/>
      <c r="FG46" s="166"/>
      <c r="FH46" s="166"/>
      <c r="FI46" s="166"/>
      <c r="FJ46" s="166"/>
      <c r="FK46" s="166"/>
      <c r="FL46" s="166"/>
      <c r="FM46" s="166"/>
      <c r="FN46" s="166"/>
      <c r="FO46" s="166"/>
      <c r="FP46" s="166"/>
      <c r="FQ46" s="166"/>
      <c r="FR46" s="166"/>
      <c r="FS46" s="166"/>
      <c r="FT46" s="166"/>
      <c r="FU46" s="166"/>
      <c r="FV46" s="166"/>
      <c r="FW46" s="166"/>
      <c r="FX46" s="166"/>
      <c r="FY46" s="166"/>
      <c r="FZ46" s="166"/>
      <c r="GA46" s="166"/>
      <c r="GB46" s="166"/>
      <c r="GC46" s="166"/>
      <c r="GD46" s="166"/>
      <c r="GE46" s="166"/>
      <c r="GF46" s="166"/>
      <c r="GG46" s="166"/>
      <c r="GH46" s="166"/>
      <c r="GI46" s="166"/>
      <c r="GJ46" s="166"/>
      <c r="GK46" s="166"/>
      <c r="GL46" s="166"/>
      <c r="GM46" s="166"/>
      <c r="GN46" s="166"/>
      <c r="GO46" s="166"/>
      <c r="GP46" s="166"/>
      <c r="GQ46" s="166"/>
      <c r="GR46" s="166"/>
      <c r="GS46" s="166"/>
      <c r="GT46" s="166"/>
      <c r="GU46" s="166"/>
      <c r="GV46" s="166"/>
      <c r="GW46" s="166"/>
      <c r="GX46" s="166"/>
      <c r="GY46" s="166"/>
      <c r="GZ46" s="166"/>
      <c r="HA46" s="166"/>
      <c r="HB46" s="166"/>
      <c r="HC46" s="166"/>
      <c r="HD46" s="166"/>
      <c r="HE46" s="166"/>
      <c r="HF46" s="166"/>
      <c r="HG46" s="166"/>
      <c r="HH46" s="166"/>
      <c r="HI46" s="166"/>
      <c r="HJ46" s="166"/>
      <c r="HK46" s="166"/>
      <c r="HL46" s="166"/>
      <c r="HM46" s="166"/>
      <c r="HN46" s="166"/>
      <c r="HO46" s="166"/>
      <c r="HP46" s="166"/>
      <c r="HQ46" s="166"/>
      <c r="HR46" s="166"/>
      <c r="HS46" s="166"/>
      <c r="HT46" s="166"/>
      <c r="HU46" s="166"/>
      <c r="HV46" s="166"/>
      <c r="HW46" s="166"/>
      <c r="HX46" s="166"/>
      <c r="HY46" s="166"/>
      <c r="HZ46" s="166"/>
      <c r="IA46" s="166"/>
      <c r="IB46" s="166"/>
      <c r="IC46" s="166"/>
      <c r="ID46" s="166"/>
      <c r="IE46" s="166"/>
      <c r="IF46" s="166"/>
      <c r="IG46" s="166"/>
      <c r="IH46" s="166"/>
      <c r="II46" s="166"/>
    </row>
    <row r="47">
      <c r="F47" s="142"/>
      <c r="L47" s="142"/>
      <c r="R47" s="142"/>
      <c r="X47" s="142"/>
      <c r="AD47" s="142"/>
      <c r="AJ47" s="142"/>
      <c r="AP47" s="142"/>
      <c r="AV47" s="142"/>
      <c r="BB47" s="142"/>
      <c r="BH47" s="142"/>
      <c r="BN47" s="142"/>
      <c r="BT47" s="142"/>
      <c r="BZ47" s="142"/>
      <c r="CF47" s="142"/>
      <c r="CL47" s="142"/>
      <c r="CR47" s="142"/>
      <c r="CX47" s="142"/>
      <c r="DD47" s="142"/>
      <c r="DJ47" s="142"/>
      <c r="DP47" s="142"/>
      <c r="DV47" s="142"/>
      <c r="EB47" s="142"/>
    </row>
    <row r="48">
      <c r="F48" s="142"/>
      <c r="L48" s="142"/>
      <c r="R48" s="142"/>
      <c r="X48" s="142"/>
      <c r="AD48" s="142"/>
      <c r="AJ48" s="142"/>
      <c r="AP48" s="142"/>
      <c r="AV48" s="142"/>
      <c r="BB48" s="142"/>
      <c r="BH48" s="142"/>
      <c r="BN48" s="142"/>
      <c r="BT48" s="142"/>
      <c r="BZ48" s="142"/>
      <c r="CF48" s="142"/>
      <c r="CL48" s="142"/>
      <c r="CR48" s="142"/>
      <c r="CX48" s="142"/>
      <c r="DD48" s="142"/>
      <c r="DJ48" s="142"/>
      <c r="DP48" s="142"/>
      <c r="DV48" s="142"/>
      <c r="EB48" s="142"/>
    </row>
    <row r="49">
      <c r="F49" s="142"/>
      <c r="L49" s="142"/>
      <c r="R49" s="142"/>
      <c r="X49" s="142"/>
      <c r="AD49" s="142"/>
      <c r="AJ49" s="142"/>
      <c r="AP49" s="142"/>
      <c r="AV49" s="142"/>
      <c r="BB49" s="142"/>
      <c r="BH49" s="142"/>
      <c r="BN49" s="142"/>
      <c r="BT49" s="142"/>
      <c r="BZ49" s="142"/>
      <c r="CF49" s="142"/>
      <c r="CL49" s="142"/>
      <c r="CR49" s="142"/>
      <c r="CX49" s="142"/>
      <c r="DD49" s="142"/>
      <c r="DJ49" s="142"/>
      <c r="DP49" s="142"/>
      <c r="DV49" s="142"/>
      <c r="EB49" s="142"/>
    </row>
    <row r="50">
      <c r="F50" s="142"/>
      <c r="L50" s="142"/>
      <c r="R50" s="142"/>
      <c r="X50" s="142"/>
      <c r="AD50" s="142"/>
      <c r="AJ50" s="142"/>
      <c r="AP50" s="142"/>
      <c r="AV50" s="142"/>
      <c r="BB50" s="142"/>
      <c r="BH50" s="142"/>
      <c r="BN50" s="142"/>
      <c r="BT50" s="142"/>
      <c r="BZ50" s="142"/>
      <c r="CF50" s="142"/>
      <c r="CL50" s="142"/>
      <c r="CR50" s="142"/>
      <c r="CX50" s="142"/>
      <c r="DD50" s="142"/>
      <c r="DJ50" s="142"/>
      <c r="DP50" s="142"/>
      <c r="DV50" s="142"/>
      <c r="EB50" s="142"/>
    </row>
    <row r="51">
      <c r="F51" s="142"/>
      <c r="L51" s="142"/>
      <c r="R51" s="142"/>
      <c r="X51" s="142"/>
      <c r="AD51" s="142"/>
      <c r="AJ51" s="142"/>
      <c r="AP51" s="142"/>
      <c r="AV51" s="142"/>
      <c r="BB51" s="142"/>
      <c r="BH51" s="142"/>
      <c r="BN51" s="142"/>
      <c r="BT51" s="142"/>
      <c r="BZ51" s="142"/>
      <c r="CF51" s="142"/>
      <c r="CL51" s="142"/>
      <c r="CR51" s="142"/>
      <c r="CX51" s="142"/>
      <c r="DD51" s="142"/>
      <c r="DJ51" s="142"/>
      <c r="DP51" s="142"/>
      <c r="DV51" s="142"/>
      <c r="EB51" s="142"/>
    </row>
    <row r="52">
      <c r="F52" s="142"/>
      <c r="L52" s="142"/>
      <c r="R52" s="142"/>
      <c r="X52" s="142"/>
      <c r="AD52" s="142"/>
      <c r="AJ52" s="142"/>
      <c r="AP52" s="142"/>
      <c r="AV52" s="142"/>
      <c r="BB52" s="142"/>
      <c r="BH52" s="142"/>
      <c r="BN52" s="142"/>
      <c r="BT52" s="142"/>
      <c r="BZ52" s="142"/>
      <c r="CF52" s="142"/>
      <c r="CL52" s="142"/>
      <c r="CR52" s="142"/>
      <c r="CX52" s="142"/>
      <c r="DD52" s="142"/>
      <c r="DJ52" s="142"/>
      <c r="DP52" s="142"/>
      <c r="DV52" s="142"/>
      <c r="EB52" s="142"/>
    </row>
    <row r="53">
      <c r="F53" s="142"/>
      <c r="L53" s="142"/>
      <c r="R53" s="142"/>
      <c r="X53" s="142"/>
      <c r="AD53" s="142"/>
      <c r="AJ53" s="142"/>
      <c r="AP53" s="142"/>
      <c r="AV53" s="142"/>
      <c r="BB53" s="142"/>
      <c r="BH53" s="142"/>
      <c r="BN53" s="142"/>
      <c r="BT53" s="142"/>
      <c r="BZ53" s="142"/>
      <c r="CF53" s="142"/>
      <c r="CL53" s="142"/>
      <c r="CR53" s="142"/>
      <c r="CX53" s="142"/>
      <c r="DD53" s="142"/>
      <c r="DJ53" s="142"/>
      <c r="DP53" s="142"/>
      <c r="DV53" s="142"/>
      <c r="EB53" s="142"/>
    </row>
    <row r="54">
      <c r="F54" s="142"/>
      <c r="L54" s="142"/>
      <c r="R54" s="142"/>
      <c r="X54" s="142"/>
      <c r="AD54" s="142"/>
      <c r="AJ54" s="142"/>
      <c r="AP54" s="142"/>
      <c r="AV54" s="142"/>
      <c r="BB54" s="142"/>
      <c r="BH54" s="142"/>
      <c r="BN54" s="142"/>
      <c r="BT54" s="142"/>
      <c r="BZ54" s="142"/>
      <c r="CF54" s="142"/>
      <c r="CL54" s="142"/>
      <c r="CR54" s="142"/>
      <c r="CX54" s="142"/>
      <c r="DD54" s="142"/>
      <c r="DJ54" s="142"/>
      <c r="DP54" s="142"/>
      <c r="DV54" s="142"/>
      <c r="EB54" s="142"/>
    </row>
    <row r="55">
      <c r="F55" s="142"/>
      <c r="L55" s="142"/>
      <c r="R55" s="142"/>
      <c r="X55" s="142"/>
      <c r="AD55" s="142"/>
      <c r="AJ55" s="142"/>
      <c r="AP55" s="142"/>
      <c r="AV55" s="142"/>
      <c r="BB55" s="142"/>
      <c r="BH55" s="142"/>
      <c r="BN55" s="142"/>
      <c r="BT55" s="142"/>
      <c r="BZ55" s="142"/>
      <c r="CF55" s="142"/>
      <c r="CL55" s="142"/>
      <c r="CR55" s="142"/>
      <c r="CX55" s="142"/>
      <c r="DD55" s="142"/>
      <c r="DJ55" s="142"/>
      <c r="DP55" s="142"/>
      <c r="DV55" s="142"/>
      <c r="EB55" s="142"/>
    </row>
    <row r="56">
      <c r="F56" s="142"/>
      <c r="L56" s="142"/>
      <c r="R56" s="142"/>
      <c r="X56" s="142"/>
      <c r="AD56" s="142"/>
      <c r="AJ56" s="142"/>
      <c r="AP56" s="142"/>
      <c r="AV56" s="142"/>
      <c r="BB56" s="142"/>
      <c r="BH56" s="142"/>
      <c r="BN56" s="142"/>
      <c r="BT56" s="142"/>
      <c r="BZ56" s="142"/>
      <c r="CF56" s="142"/>
      <c r="CL56" s="142"/>
      <c r="CR56" s="142"/>
      <c r="CX56" s="142"/>
      <c r="DD56" s="142"/>
      <c r="DJ56" s="142"/>
      <c r="DP56" s="142"/>
      <c r="DV56" s="142"/>
      <c r="EB56" s="142"/>
    </row>
    <row r="57">
      <c r="F57" s="142"/>
      <c r="L57" s="142"/>
      <c r="R57" s="142"/>
      <c r="X57" s="142"/>
      <c r="AD57" s="142"/>
      <c r="AJ57" s="142"/>
      <c r="AP57" s="142"/>
      <c r="AV57" s="142"/>
      <c r="BB57" s="142"/>
      <c r="BH57" s="142"/>
      <c r="BN57" s="142"/>
      <c r="BT57" s="142"/>
      <c r="BZ57" s="142"/>
      <c r="CF57" s="142"/>
      <c r="CL57" s="142"/>
      <c r="CR57" s="142"/>
      <c r="CX57" s="142"/>
      <c r="DD57" s="142"/>
      <c r="DJ57" s="142"/>
      <c r="DP57" s="142"/>
      <c r="DV57" s="142"/>
      <c r="EB57" s="142"/>
    </row>
    <row r="58">
      <c r="F58" s="142"/>
      <c r="L58" s="142"/>
      <c r="R58" s="142"/>
      <c r="X58" s="142"/>
      <c r="AD58" s="142"/>
      <c r="AJ58" s="142"/>
      <c r="AP58" s="142"/>
      <c r="AV58" s="142"/>
      <c r="BB58" s="142"/>
      <c r="BH58" s="142"/>
      <c r="BN58" s="142"/>
      <c r="BT58" s="142"/>
      <c r="BZ58" s="142"/>
      <c r="CF58" s="142"/>
      <c r="CL58" s="142"/>
      <c r="CR58" s="142"/>
      <c r="CX58" s="142"/>
      <c r="DD58" s="142"/>
      <c r="DJ58" s="142"/>
      <c r="DP58" s="142"/>
      <c r="DV58" s="142"/>
      <c r="EB58" s="142"/>
    </row>
    <row r="59">
      <c r="F59" s="142"/>
      <c r="L59" s="142"/>
      <c r="R59" s="142"/>
      <c r="X59" s="142"/>
      <c r="AD59" s="142"/>
      <c r="AJ59" s="142"/>
      <c r="AP59" s="142"/>
      <c r="AV59" s="142"/>
      <c r="BB59" s="142"/>
      <c r="BH59" s="142"/>
      <c r="BN59" s="142"/>
      <c r="BT59" s="142"/>
      <c r="BZ59" s="142"/>
      <c r="CF59" s="142"/>
      <c r="CL59" s="142"/>
      <c r="CR59" s="142"/>
      <c r="CX59" s="142"/>
      <c r="DD59" s="142"/>
      <c r="DJ59" s="142"/>
      <c r="DP59" s="142"/>
      <c r="DV59" s="142"/>
      <c r="EB59" s="142"/>
    </row>
    <row r="60">
      <c r="F60" s="142"/>
      <c r="L60" s="142"/>
      <c r="R60" s="142"/>
      <c r="X60" s="142"/>
      <c r="AD60" s="142"/>
      <c r="AJ60" s="142"/>
      <c r="AP60" s="142"/>
      <c r="AV60" s="142"/>
      <c r="BB60" s="142"/>
      <c r="BH60" s="142"/>
      <c r="BN60" s="142"/>
      <c r="BT60" s="142"/>
      <c r="BZ60" s="142"/>
      <c r="CF60" s="142"/>
      <c r="CL60" s="142"/>
      <c r="CR60" s="142"/>
      <c r="CX60" s="142"/>
      <c r="DD60" s="142"/>
      <c r="DJ60" s="142"/>
      <c r="DP60" s="142"/>
      <c r="DV60" s="142"/>
      <c r="EB60" s="142"/>
    </row>
    <row r="61">
      <c r="F61" s="142"/>
      <c r="L61" s="142"/>
      <c r="R61" s="142"/>
      <c r="X61" s="142"/>
      <c r="AD61" s="142"/>
      <c r="AJ61" s="142"/>
      <c r="AP61" s="142"/>
      <c r="AV61" s="142"/>
      <c r="BB61" s="142"/>
      <c r="BH61" s="142"/>
      <c r="BN61" s="142"/>
      <c r="BT61" s="142"/>
      <c r="BZ61" s="142"/>
      <c r="CF61" s="142"/>
      <c r="CL61" s="142"/>
      <c r="CR61" s="142"/>
      <c r="CX61" s="142"/>
      <c r="DD61" s="142"/>
      <c r="DJ61" s="142"/>
      <c r="DP61" s="142"/>
      <c r="DV61" s="142"/>
      <c r="EB61" s="142"/>
    </row>
    <row r="62">
      <c r="F62" s="142"/>
      <c r="L62" s="142"/>
      <c r="R62" s="142"/>
      <c r="X62" s="142"/>
      <c r="AD62" s="142"/>
      <c r="AJ62" s="142"/>
      <c r="AP62" s="142"/>
      <c r="AV62" s="142"/>
      <c r="BB62" s="142"/>
      <c r="BH62" s="142"/>
      <c r="BN62" s="142"/>
      <c r="BT62" s="142"/>
      <c r="BZ62" s="142"/>
      <c r="CF62" s="142"/>
      <c r="CL62" s="142"/>
      <c r="CR62" s="142"/>
      <c r="CX62" s="142"/>
      <c r="DD62" s="142"/>
      <c r="DJ62" s="142"/>
      <c r="DP62" s="142"/>
      <c r="DV62" s="142"/>
      <c r="EB62" s="142"/>
    </row>
    <row r="63">
      <c r="F63" s="142"/>
      <c r="L63" s="142"/>
      <c r="R63" s="142"/>
      <c r="X63" s="142"/>
      <c r="AD63" s="142"/>
      <c r="AJ63" s="142"/>
      <c r="AP63" s="142"/>
      <c r="AV63" s="142"/>
      <c r="BB63" s="142"/>
      <c r="BH63" s="142"/>
      <c r="BN63" s="142"/>
      <c r="BT63" s="142"/>
      <c r="BZ63" s="142"/>
      <c r="CF63" s="142"/>
      <c r="CL63" s="142"/>
      <c r="CR63" s="142"/>
      <c r="CX63" s="142"/>
      <c r="DD63" s="142"/>
      <c r="DJ63" s="142"/>
      <c r="DP63" s="142"/>
      <c r="DV63" s="142"/>
      <c r="EB63" s="142"/>
    </row>
    <row r="64">
      <c r="F64" s="142"/>
      <c r="L64" s="142"/>
      <c r="R64" s="142"/>
      <c r="X64" s="142"/>
      <c r="AD64" s="142"/>
      <c r="AJ64" s="142"/>
      <c r="AP64" s="142"/>
      <c r="AV64" s="142"/>
      <c r="BB64" s="142"/>
      <c r="BH64" s="142"/>
      <c r="BN64" s="142"/>
      <c r="BT64" s="142"/>
      <c r="BZ64" s="142"/>
      <c r="CF64" s="142"/>
      <c r="CL64" s="142"/>
      <c r="CR64" s="142"/>
      <c r="CX64" s="142"/>
      <c r="DD64" s="142"/>
      <c r="DJ64" s="142"/>
      <c r="DP64" s="142"/>
      <c r="DV64" s="142"/>
      <c r="EB64" s="142"/>
    </row>
    <row r="65">
      <c r="F65" s="142"/>
      <c r="L65" s="142"/>
      <c r="R65" s="142"/>
      <c r="X65" s="142"/>
      <c r="AD65" s="142"/>
      <c r="AJ65" s="142"/>
      <c r="AP65" s="142"/>
      <c r="AV65" s="142"/>
      <c r="BB65" s="142"/>
      <c r="BH65" s="142"/>
      <c r="BN65" s="142"/>
      <c r="BT65" s="142"/>
      <c r="BZ65" s="142"/>
      <c r="CF65" s="142"/>
      <c r="CL65" s="142"/>
      <c r="CR65" s="142"/>
      <c r="CX65" s="142"/>
      <c r="DD65" s="142"/>
      <c r="DJ65" s="142"/>
      <c r="DP65" s="142"/>
      <c r="DV65" s="142"/>
      <c r="EB65" s="142"/>
    </row>
    <row r="66">
      <c r="F66" s="142"/>
      <c r="L66" s="142"/>
      <c r="R66" s="142"/>
      <c r="X66" s="142"/>
      <c r="AD66" s="142"/>
      <c r="AJ66" s="142"/>
      <c r="AP66" s="142"/>
      <c r="AV66" s="142"/>
      <c r="BB66" s="142"/>
      <c r="BH66" s="142"/>
      <c r="BN66" s="142"/>
      <c r="BT66" s="142"/>
      <c r="BZ66" s="142"/>
      <c r="CF66" s="142"/>
      <c r="CL66" s="142"/>
      <c r="CR66" s="142"/>
      <c r="CX66" s="142"/>
      <c r="DD66" s="142"/>
      <c r="DJ66" s="142"/>
      <c r="DP66" s="142"/>
      <c r="DV66" s="142"/>
      <c r="EB66" s="142"/>
    </row>
    <row r="67">
      <c r="F67" s="142"/>
      <c r="L67" s="142"/>
      <c r="R67" s="142"/>
      <c r="X67" s="142"/>
      <c r="AD67" s="142"/>
      <c r="AJ67" s="142"/>
      <c r="AP67" s="142"/>
      <c r="AV67" s="142"/>
      <c r="BB67" s="142"/>
      <c r="BH67" s="142"/>
      <c r="BN67" s="142"/>
      <c r="BT67" s="142"/>
      <c r="BZ67" s="142"/>
      <c r="CF67" s="142"/>
      <c r="CL67" s="142"/>
      <c r="CR67" s="142"/>
      <c r="CX67" s="142"/>
      <c r="DD67" s="142"/>
      <c r="DJ67" s="142"/>
      <c r="DP67" s="142"/>
      <c r="DV67" s="142"/>
      <c r="EB67" s="142"/>
    </row>
    <row r="68">
      <c r="F68" s="142"/>
      <c r="L68" s="142"/>
      <c r="R68" s="142"/>
      <c r="X68" s="142"/>
      <c r="AD68" s="142"/>
      <c r="AJ68" s="142"/>
      <c r="AP68" s="142"/>
      <c r="AV68" s="142"/>
      <c r="BB68" s="142"/>
      <c r="BH68" s="142"/>
      <c r="BN68" s="142"/>
      <c r="BT68" s="142"/>
      <c r="BZ68" s="142"/>
      <c r="CF68" s="142"/>
      <c r="CL68" s="142"/>
      <c r="CR68" s="142"/>
      <c r="CX68" s="142"/>
      <c r="DD68" s="142"/>
      <c r="DJ68" s="142"/>
      <c r="DP68" s="142"/>
      <c r="DV68" s="142"/>
      <c r="EB68" s="142"/>
    </row>
    <row r="69">
      <c r="F69" s="142"/>
      <c r="L69" s="142"/>
      <c r="R69" s="142"/>
      <c r="X69" s="142"/>
      <c r="AD69" s="142"/>
      <c r="AJ69" s="142"/>
      <c r="AP69" s="142"/>
      <c r="AV69" s="142"/>
      <c r="BB69" s="142"/>
      <c r="BH69" s="142"/>
      <c r="BN69" s="142"/>
      <c r="BT69" s="142"/>
      <c r="BZ69" s="142"/>
      <c r="CF69" s="142"/>
      <c r="CL69" s="142"/>
      <c r="CR69" s="142"/>
      <c r="CX69" s="142"/>
      <c r="DD69" s="142"/>
      <c r="DJ69" s="142"/>
      <c r="DP69" s="142"/>
      <c r="DV69" s="142"/>
      <c r="EB69" s="142"/>
    </row>
    <row r="70">
      <c r="F70" s="142"/>
      <c r="L70" s="142"/>
      <c r="R70" s="142"/>
      <c r="X70" s="142"/>
      <c r="AD70" s="142"/>
      <c r="AJ70" s="142"/>
      <c r="AP70" s="142"/>
      <c r="AV70" s="142"/>
      <c r="BB70" s="142"/>
      <c r="BH70" s="142"/>
      <c r="BN70" s="142"/>
      <c r="BT70" s="142"/>
      <c r="BZ70" s="142"/>
      <c r="CF70" s="142"/>
      <c r="CL70" s="142"/>
      <c r="CR70" s="142"/>
      <c r="CX70" s="142"/>
      <c r="DD70" s="142"/>
      <c r="DJ70" s="142"/>
      <c r="DP70" s="142"/>
      <c r="DV70" s="142"/>
      <c r="EB70" s="142"/>
    </row>
    <row r="71">
      <c r="F71" s="142"/>
      <c r="L71" s="142"/>
      <c r="R71" s="142"/>
      <c r="X71" s="142"/>
      <c r="AD71" s="142"/>
      <c r="AJ71" s="142"/>
      <c r="AP71" s="142"/>
      <c r="AV71" s="142"/>
      <c r="BB71" s="142"/>
      <c r="BH71" s="142"/>
      <c r="BN71" s="142"/>
      <c r="BT71" s="142"/>
      <c r="BZ71" s="142"/>
      <c r="CF71" s="142"/>
      <c r="CL71" s="142"/>
      <c r="CR71" s="142"/>
      <c r="CX71" s="142"/>
      <c r="DD71" s="142"/>
      <c r="DJ71" s="142"/>
      <c r="DP71" s="142"/>
      <c r="DV71" s="142"/>
      <c r="EB71" s="142"/>
    </row>
    <row r="72">
      <c r="F72" s="142"/>
      <c r="L72" s="142"/>
      <c r="R72" s="142"/>
      <c r="X72" s="142"/>
      <c r="AD72" s="142"/>
      <c r="AJ72" s="142"/>
      <c r="AP72" s="142"/>
      <c r="AV72" s="142"/>
      <c r="BB72" s="142"/>
      <c r="BH72" s="142"/>
      <c r="BN72" s="142"/>
      <c r="BT72" s="142"/>
      <c r="BZ72" s="142"/>
      <c r="CF72" s="142"/>
      <c r="CL72" s="142"/>
      <c r="CR72" s="142"/>
      <c r="CX72" s="142"/>
      <c r="DD72" s="142"/>
      <c r="DJ72" s="142"/>
      <c r="DP72" s="142"/>
      <c r="DV72" s="142"/>
      <c r="EB72" s="142"/>
    </row>
    <row r="73">
      <c r="F73" s="142"/>
      <c r="L73" s="142"/>
      <c r="R73" s="142"/>
      <c r="X73" s="142"/>
      <c r="AD73" s="142"/>
      <c r="AJ73" s="142"/>
      <c r="AP73" s="142"/>
      <c r="AV73" s="142"/>
      <c r="BB73" s="142"/>
      <c r="BH73" s="142"/>
      <c r="BN73" s="142"/>
      <c r="BT73" s="142"/>
      <c r="BZ73" s="142"/>
      <c r="CF73" s="142"/>
      <c r="CL73" s="142"/>
      <c r="CR73" s="142"/>
      <c r="CX73" s="142"/>
      <c r="DD73" s="142"/>
      <c r="DJ73" s="142"/>
      <c r="DP73" s="142"/>
      <c r="DV73" s="142"/>
      <c r="EB73" s="142"/>
    </row>
    <row r="74">
      <c r="F74" s="142"/>
      <c r="L74" s="142"/>
      <c r="R74" s="142"/>
      <c r="X74" s="142"/>
      <c r="AD74" s="142"/>
      <c r="AJ74" s="142"/>
      <c r="AP74" s="142"/>
      <c r="AV74" s="142"/>
      <c r="BB74" s="142"/>
      <c r="BH74" s="142"/>
      <c r="BN74" s="142"/>
      <c r="BT74" s="142"/>
      <c r="BZ74" s="142"/>
      <c r="CF74" s="142"/>
      <c r="CL74" s="142"/>
      <c r="CR74" s="142"/>
      <c r="CX74" s="142"/>
      <c r="DD74" s="142"/>
      <c r="DJ74" s="142"/>
      <c r="DP74" s="142"/>
      <c r="DV74" s="142"/>
      <c r="EB74" s="142"/>
    </row>
    <row r="75">
      <c r="F75" s="142"/>
      <c r="L75" s="142"/>
      <c r="R75" s="142"/>
      <c r="X75" s="142"/>
      <c r="AD75" s="142"/>
      <c r="AJ75" s="142"/>
      <c r="AP75" s="142"/>
      <c r="AV75" s="142"/>
      <c r="BB75" s="142"/>
      <c r="BH75" s="142"/>
      <c r="BN75" s="142"/>
      <c r="BT75" s="142"/>
      <c r="BZ75" s="142"/>
      <c r="CF75" s="142"/>
      <c r="CL75" s="142"/>
      <c r="CR75" s="142"/>
      <c r="CX75" s="142"/>
      <c r="DD75" s="142"/>
      <c r="DJ75" s="142"/>
      <c r="DP75" s="142"/>
      <c r="DV75" s="142"/>
      <c r="EB75" s="142"/>
    </row>
    <row r="76">
      <c r="F76" s="142"/>
      <c r="L76" s="142"/>
      <c r="R76" s="142"/>
      <c r="X76" s="142"/>
      <c r="AD76" s="142"/>
      <c r="AJ76" s="142"/>
      <c r="AP76" s="142"/>
      <c r="AV76" s="142"/>
      <c r="BB76" s="142"/>
      <c r="BH76" s="142"/>
      <c r="BN76" s="142"/>
      <c r="BT76" s="142"/>
      <c r="BZ76" s="142"/>
      <c r="CF76" s="142"/>
      <c r="CL76" s="142"/>
      <c r="CR76" s="142"/>
      <c r="CX76" s="142"/>
      <c r="DD76" s="142"/>
      <c r="DJ76" s="142"/>
      <c r="DP76" s="142"/>
      <c r="DV76" s="142"/>
      <c r="EB76" s="142"/>
    </row>
    <row r="77">
      <c r="F77" s="142"/>
      <c r="L77" s="142"/>
      <c r="R77" s="142"/>
      <c r="X77" s="142"/>
      <c r="AD77" s="142"/>
      <c r="AJ77" s="142"/>
      <c r="AP77" s="142"/>
      <c r="AV77" s="142"/>
      <c r="BB77" s="142"/>
      <c r="BH77" s="142"/>
      <c r="BN77" s="142"/>
      <c r="BT77" s="142"/>
      <c r="BZ77" s="142"/>
      <c r="CF77" s="142"/>
      <c r="CL77" s="142"/>
      <c r="CR77" s="142"/>
      <c r="CX77" s="142"/>
      <c r="DD77" s="142"/>
      <c r="DJ77" s="142"/>
      <c r="DP77" s="142"/>
      <c r="DV77" s="142"/>
      <c r="EB77" s="142"/>
    </row>
    <row r="78">
      <c r="F78" s="142"/>
      <c r="L78" s="142"/>
      <c r="R78" s="142"/>
      <c r="X78" s="142"/>
      <c r="AD78" s="142"/>
      <c r="AJ78" s="142"/>
      <c r="AP78" s="142"/>
      <c r="AV78" s="142"/>
      <c r="BB78" s="142"/>
      <c r="BH78" s="142"/>
      <c r="BN78" s="142"/>
      <c r="BT78" s="142"/>
      <c r="BZ78" s="142"/>
      <c r="CF78" s="142"/>
      <c r="CL78" s="142"/>
      <c r="CR78" s="142"/>
      <c r="CX78" s="142"/>
      <c r="DD78" s="142"/>
      <c r="DJ78" s="142"/>
      <c r="DP78" s="142"/>
      <c r="DV78" s="142"/>
      <c r="EB78" s="142"/>
    </row>
    <row r="79">
      <c r="F79" s="142"/>
      <c r="L79" s="142"/>
      <c r="R79" s="142"/>
      <c r="X79" s="142"/>
      <c r="AD79" s="142"/>
      <c r="AJ79" s="142"/>
      <c r="AP79" s="142"/>
      <c r="AV79" s="142"/>
      <c r="BB79" s="142"/>
      <c r="BH79" s="142"/>
      <c r="BN79" s="142"/>
      <c r="BT79" s="142"/>
      <c r="BZ79" s="142"/>
      <c r="CF79" s="142"/>
      <c r="CL79" s="142"/>
      <c r="CR79" s="142"/>
      <c r="CX79" s="142"/>
      <c r="DD79" s="142"/>
      <c r="DJ79" s="142"/>
      <c r="DP79" s="142"/>
      <c r="DV79" s="142"/>
      <c r="EB79" s="142"/>
    </row>
    <row r="80">
      <c r="F80" s="142"/>
      <c r="L80" s="142"/>
      <c r="R80" s="142"/>
      <c r="X80" s="142"/>
      <c r="AD80" s="142"/>
      <c r="AJ80" s="142"/>
      <c r="AP80" s="142"/>
      <c r="AV80" s="142"/>
      <c r="BB80" s="142"/>
      <c r="BH80" s="142"/>
      <c r="BN80" s="142"/>
      <c r="BT80" s="142"/>
      <c r="BZ80" s="142"/>
      <c r="CF80" s="142"/>
      <c r="CL80" s="142"/>
      <c r="CR80" s="142"/>
      <c r="CX80" s="142"/>
      <c r="DD80" s="142"/>
      <c r="DJ80" s="142"/>
      <c r="DP80" s="142"/>
      <c r="DV80" s="142"/>
      <c r="EB80" s="142"/>
    </row>
    <row r="81">
      <c r="F81" s="142"/>
      <c r="L81" s="142"/>
      <c r="R81" s="142"/>
      <c r="X81" s="142"/>
      <c r="AD81" s="142"/>
      <c r="AJ81" s="142"/>
      <c r="AP81" s="142"/>
      <c r="AV81" s="142"/>
      <c r="BB81" s="142"/>
      <c r="BH81" s="142"/>
      <c r="BN81" s="142"/>
      <c r="BT81" s="142"/>
      <c r="BZ81" s="142"/>
      <c r="CF81" s="142"/>
      <c r="CL81" s="142"/>
      <c r="CR81" s="142"/>
      <c r="CX81" s="142"/>
      <c r="DD81" s="142"/>
      <c r="DJ81" s="142"/>
      <c r="DP81" s="142"/>
      <c r="DV81" s="142"/>
      <c r="EB81" s="142"/>
    </row>
    <row r="82">
      <c r="F82" s="142"/>
      <c r="L82" s="142"/>
      <c r="R82" s="142"/>
      <c r="X82" s="142"/>
      <c r="AD82" s="142"/>
      <c r="AJ82" s="142"/>
      <c r="AP82" s="142"/>
      <c r="AV82" s="142"/>
      <c r="BB82" s="142"/>
      <c r="BH82" s="142"/>
      <c r="BN82" s="142"/>
      <c r="BT82" s="142"/>
      <c r="BZ82" s="142"/>
      <c r="CF82" s="142"/>
      <c r="CL82" s="142"/>
      <c r="CR82" s="142"/>
      <c r="CX82" s="142"/>
      <c r="DD82" s="142"/>
      <c r="DJ82" s="142"/>
      <c r="DP82" s="142"/>
      <c r="DV82" s="142"/>
      <c r="EB82" s="142"/>
    </row>
    <row r="83">
      <c r="F83" s="142"/>
      <c r="L83" s="142"/>
      <c r="R83" s="142"/>
      <c r="X83" s="142"/>
      <c r="AD83" s="142"/>
      <c r="AJ83" s="142"/>
      <c r="AP83" s="142"/>
      <c r="AV83" s="142"/>
      <c r="BB83" s="142"/>
      <c r="BH83" s="142"/>
      <c r="BN83" s="142"/>
      <c r="BT83" s="142"/>
      <c r="BZ83" s="142"/>
      <c r="CF83" s="142"/>
      <c r="CL83" s="142"/>
      <c r="CR83" s="142"/>
      <c r="CX83" s="142"/>
      <c r="DD83" s="142"/>
      <c r="DJ83" s="142"/>
      <c r="DP83" s="142"/>
      <c r="DV83" s="142"/>
      <c r="EB83" s="142"/>
    </row>
    <row r="84">
      <c r="F84" s="142"/>
      <c r="L84" s="142"/>
      <c r="R84" s="142"/>
      <c r="X84" s="142"/>
      <c r="AD84" s="142"/>
      <c r="AJ84" s="142"/>
      <c r="AP84" s="142"/>
      <c r="AV84" s="142"/>
      <c r="BB84" s="142"/>
      <c r="BH84" s="142"/>
      <c r="BN84" s="142"/>
      <c r="BT84" s="142"/>
      <c r="BZ84" s="142"/>
      <c r="CF84" s="142"/>
      <c r="CL84" s="142"/>
      <c r="CR84" s="142"/>
      <c r="CX84" s="142"/>
      <c r="DD84" s="142"/>
      <c r="DJ84" s="142"/>
      <c r="DP84" s="142"/>
      <c r="DV84" s="142"/>
      <c r="EB84" s="142"/>
    </row>
    <row r="85">
      <c r="F85" s="142"/>
      <c r="L85" s="142"/>
      <c r="R85" s="142"/>
      <c r="X85" s="142"/>
      <c r="AD85" s="142"/>
      <c r="AJ85" s="142"/>
      <c r="AP85" s="142"/>
      <c r="AV85" s="142"/>
      <c r="BB85" s="142"/>
      <c r="BH85" s="142"/>
      <c r="BN85" s="142"/>
      <c r="BT85" s="142"/>
      <c r="BZ85" s="142"/>
      <c r="CF85" s="142"/>
      <c r="CL85" s="142"/>
      <c r="CR85" s="142"/>
      <c r="CX85" s="142"/>
      <c r="DD85" s="142"/>
      <c r="DJ85" s="142"/>
      <c r="DP85" s="142"/>
      <c r="DV85" s="142"/>
      <c r="EB85" s="142"/>
    </row>
    <row r="86">
      <c r="F86" s="142"/>
      <c r="L86" s="142"/>
      <c r="R86" s="142"/>
      <c r="X86" s="142"/>
      <c r="AD86" s="142"/>
      <c r="AJ86" s="142"/>
      <c r="AP86" s="142"/>
      <c r="AV86" s="142"/>
      <c r="BB86" s="142"/>
      <c r="BH86" s="142"/>
      <c r="BN86" s="142"/>
      <c r="BT86" s="142"/>
      <c r="BZ86" s="142"/>
      <c r="CF86" s="142"/>
      <c r="CL86" s="142"/>
      <c r="CR86" s="142"/>
      <c r="CX86" s="142"/>
      <c r="DD86" s="142"/>
      <c r="DJ86" s="142"/>
      <c r="DP86" s="142"/>
      <c r="DV86" s="142"/>
      <c r="EB86" s="142"/>
    </row>
    <row r="87">
      <c r="F87" s="142"/>
      <c r="L87" s="142"/>
      <c r="R87" s="142"/>
      <c r="X87" s="142"/>
      <c r="AD87" s="142"/>
      <c r="AJ87" s="142"/>
      <c r="AP87" s="142"/>
      <c r="AV87" s="142"/>
      <c r="BB87" s="142"/>
      <c r="BH87" s="142"/>
      <c r="BN87" s="142"/>
      <c r="BT87" s="142"/>
      <c r="BZ87" s="142"/>
      <c r="CF87" s="142"/>
      <c r="CL87" s="142"/>
      <c r="CR87" s="142"/>
      <c r="CX87" s="142"/>
      <c r="DD87" s="142"/>
      <c r="DJ87" s="142"/>
      <c r="DP87" s="142"/>
      <c r="DV87" s="142"/>
      <c r="EB87" s="142"/>
    </row>
    <row r="88">
      <c r="F88" s="142"/>
      <c r="L88" s="142"/>
      <c r="R88" s="142"/>
      <c r="X88" s="142"/>
      <c r="AD88" s="142"/>
      <c r="AJ88" s="142"/>
      <c r="AP88" s="142"/>
      <c r="AV88" s="142"/>
      <c r="BB88" s="142"/>
      <c r="BH88" s="142"/>
      <c r="BN88" s="142"/>
      <c r="BT88" s="142"/>
      <c r="BZ88" s="142"/>
      <c r="CF88" s="142"/>
      <c r="CL88" s="142"/>
      <c r="CR88" s="142"/>
      <c r="CX88" s="142"/>
      <c r="DD88" s="142"/>
      <c r="DJ88" s="142"/>
      <c r="DP88" s="142"/>
      <c r="DV88" s="142"/>
      <c r="EB88" s="142"/>
    </row>
    <row r="89">
      <c r="F89" s="142"/>
      <c r="L89" s="142"/>
      <c r="R89" s="142"/>
      <c r="X89" s="142"/>
      <c r="AD89" s="142"/>
      <c r="AJ89" s="142"/>
      <c r="AP89" s="142"/>
      <c r="AV89" s="142"/>
      <c r="BB89" s="142"/>
      <c r="BH89" s="142"/>
      <c r="BN89" s="142"/>
      <c r="BT89" s="142"/>
      <c r="BZ89" s="142"/>
      <c r="CF89" s="142"/>
      <c r="CL89" s="142"/>
      <c r="CR89" s="142"/>
      <c r="CX89" s="142"/>
      <c r="DD89" s="142"/>
      <c r="DJ89" s="142"/>
      <c r="DP89" s="142"/>
      <c r="DV89" s="142"/>
      <c r="EB89" s="142"/>
    </row>
    <row r="90">
      <c r="F90" s="142"/>
      <c r="L90" s="142"/>
      <c r="R90" s="142"/>
      <c r="X90" s="142"/>
      <c r="AD90" s="142"/>
      <c r="AJ90" s="142"/>
      <c r="AP90" s="142"/>
      <c r="AV90" s="142"/>
      <c r="BB90" s="142"/>
      <c r="BH90" s="142"/>
      <c r="BN90" s="142"/>
      <c r="BT90" s="142"/>
      <c r="BZ90" s="142"/>
      <c r="CF90" s="142"/>
      <c r="CL90" s="142"/>
      <c r="CR90" s="142"/>
      <c r="CX90" s="142"/>
      <c r="DD90" s="142"/>
      <c r="DJ90" s="142"/>
      <c r="DP90" s="142"/>
      <c r="DV90" s="142"/>
      <c r="EB90" s="142"/>
    </row>
    <row r="91">
      <c r="F91" s="142"/>
      <c r="L91" s="142"/>
      <c r="R91" s="142"/>
      <c r="X91" s="142"/>
      <c r="AD91" s="142"/>
      <c r="AJ91" s="142"/>
      <c r="AP91" s="142"/>
      <c r="AV91" s="142"/>
      <c r="BB91" s="142"/>
      <c r="BH91" s="142"/>
      <c r="BN91" s="142"/>
      <c r="BT91" s="142"/>
      <c r="BZ91" s="142"/>
      <c r="CF91" s="142"/>
      <c r="CL91" s="142"/>
      <c r="CR91" s="142"/>
      <c r="CX91" s="142"/>
      <c r="DD91" s="142"/>
      <c r="DJ91" s="142"/>
      <c r="DP91" s="142"/>
      <c r="DV91" s="142"/>
      <c r="EB91" s="142"/>
    </row>
    <row r="92">
      <c r="F92" s="142"/>
      <c r="L92" s="142"/>
      <c r="R92" s="142"/>
      <c r="X92" s="142"/>
      <c r="AD92" s="142"/>
      <c r="AJ92" s="142"/>
      <c r="AP92" s="142"/>
      <c r="AV92" s="142"/>
      <c r="BB92" s="142"/>
      <c r="BH92" s="142"/>
      <c r="BN92" s="142"/>
      <c r="BT92" s="142"/>
      <c r="BZ92" s="142"/>
      <c r="CF92" s="142"/>
      <c r="CL92" s="142"/>
      <c r="CR92" s="142"/>
      <c r="CX92" s="142"/>
      <c r="DD92" s="142"/>
      <c r="DJ92" s="142"/>
      <c r="DP92" s="142"/>
      <c r="DV92" s="142"/>
      <c r="EB92" s="142"/>
    </row>
    <row r="93">
      <c r="F93" s="142"/>
      <c r="L93" s="142"/>
      <c r="R93" s="142"/>
      <c r="X93" s="142"/>
      <c r="AD93" s="142"/>
      <c r="AJ93" s="142"/>
      <c r="AP93" s="142"/>
      <c r="AV93" s="142"/>
      <c r="BB93" s="142"/>
      <c r="BH93" s="142"/>
      <c r="BN93" s="142"/>
      <c r="BT93" s="142"/>
      <c r="BZ93" s="142"/>
      <c r="CF93" s="142"/>
      <c r="CL93" s="142"/>
      <c r="CR93" s="142"/>
      <c r="CX93" s="142"/>
      <c r="DD93" s="142"/>
      <c r="DJ93" s="142"/>
      <c r="DP93" s="142"/>
      <c r="DV93" s="142"/>
      <c r="EB93" s="142"/>
    </row>
    <row r="94">
      <c r="F94" s="142"/>
      <c r="L94" s="142"/>
      <c r="R94" s="142"/>
      <c r="X94" s="142"/>
      <c r="AD94" s="142"/>
      <c r="AJ94" s="142"/>
      <c r="AP94" s="142"/>
      <c r="AV94" s="142"/>
      <c r="BB94" s="142"/>
      <c r="BH94" s="142"/>
      <c r="BN94" s="142"/>
      <c r="BT94" s="142"/>
      <c r="BZ94" s="142"/>
      <c r="CF94" s="142"/>
      <c r="CL94" s="142"/>
      <c r="CR94" s="142"/>
      <c r="CX94" s="142"/>
      <c r="DD94" s="142"/>
      <c r="DJ94" s="142"/>
      <c r="DP94" s="142"/>
      <c r="DV94" s="142"/>
      <c r="EB94" s="142"/>
    </row>
    <row r="95">
      <c r="F95" s="142"/>
      <c r="L95" s="142"/>
      <c r="R95" s="142"/>
      <c r="X95" s="142"/>
      <c r="AD95" s="142"/>
      <c r="AJ95" s="142"/>
      <c r="AP95" s="142"/>
      <c r="AV95" s="142"/>
      <c r="BB95" s="142"/>
      <c r="BH95" s="142"/>
      <c r="BN95" s="142"/>
      <c r="BT95" s="142"/>
      <c r="BZ95" s="142"/>
      <c r="CF95" s="142"/>
      <c r="CL95" s="142"/>
      <c r="CR95" s="142"/>
      <c r="CX95" s="142"/>
      <c r="DD95" s="142"/>
      <c r="DJ95" s="142"/>
      <c r="DP95" s="142"/>
      <c r="DV95" s="142"/>
      <c r="EB95" s="142"/>
    </row>
    <row r="96">
      <c r="F96" s="142"/>
      <c r="L96" s="142"/>
      <c r="R96" s="142"/>
      <c r="X96" s="142"/>
      <c r="AD96" s="142"/>
      <c r="AJ96" s="142"/>
      <c r="AP96" s="142"/>
      <c r="AV96" s="142"/>
      <c r="BB96" s="142"/>
      <c r="BH96" s="142"/>
      <c r="BN96" s="142"/>
      <c r="BT96" s="142"/>
      <c r="BZ96" s="142"/>
      <c r="CF96" s="142"/>
      <c r="CL96" s="142"/>
      <c r="CR96" s="142"/>
      <c r="CX96" s="142"/>
      <c r="DD96" s="142"/>
      <c r="DJ96" s="142"/>
      <c r="DP96" s="142"/>
      <c r="DV96" s="142"/>
      <c r="EB96" s="142"/>
    </row>
    <row r="97">
      <c r="F97" s="142"/>
      <c r="L97" s="142"/>
      <c r="R97" s="142"/>
      <c r="X97" s="142"/>
      <c r="AD97" s="142"/>
      <c r="AJ97" s="142"/>
      <c r="AP97" s="142"/>
      <c r="AV97" s="142"/>
      <c r="BB97" s="142"/>
      <c r="BH97" s="142"/>
      <c r="BN97" s="142"/>
      <c r="BT97" s="142"/>
      <c r="BZ97" s="142"/>
      <c r="CF97" s="142"/>
      <c r="CL97" s="142"/>
      <c r="CR97" s="142"/>
      <c r="CX97" s="142"/>
      <c r="DD97" s="142"/>
      <c r="DJ97" s="142"/>
      <c r="DP97" s="142"/>
      <c r="DV97" s="142"/>
      <c r="EB97" s="142"/>
    </row>
    <row r="98">
      <c r="F98" s="142"/>
      <c r="L98" s="142"/>
      <c r="R98" s="142"/>
      <c r="X98" s="142"/>
      <c r="AD98" s="142"/>
      <c r="AJ98" s="142"/>
      <c r="AP98" s="142"/>
      <c r="AV98" s="142"/>
      <c r="BB98" s="142"/>
      <c r="BH98" s="142"/>
      <c r="BN98" s="142"/>
      <c r="BT98" s="142"/>
      <c r="BZ98" s="142"/>
      <c r="CF98" s="142"/>
      <c r="CL98" s="142"/>
      <c r="CR98" s="142"/>
      <c r="CX98" s="142"/>
      <c r="DD98" s="142"/>
      <c r="DJ98" s="142"/>
      <c r="DP98" s="142"/>
      <c r="DV98" s="142"/>
      <c r="EB98" s="142"/>
    </row>
    <row r="99">
      <c r="F99" s="142"/>
      <c r="L99" s="142"/>
      <c r="R99" s="142"/>
      <c r="X99" s="142"/>
      <c r="AD99" s="142"/>
      <c r="AJ99" s="142"/>
      <c r="AP99" s="142"/>
      <c r="AV99" s="142"/>
      <c r="BB99" s="142"/>
      <c r="BH99" s="142"/>
      <c r="BN99" s="142"/>
      <c r="BT99" s="142"/>
      <c r="BZ99" s="142"/>
      <c r="CF99" s="142"/>
      <c r="CL99" s="142"/>
      <c r="CR99" s="142"/>
      <c r="CX99" s="142"/>
      <c r="DD99" s="142"/>
      <c r="DJ99" s="142"/>
      <c r="DP99" s="142"/>
      <c r="DV99" s="142"/>
      <c r="EB99" s="142"/>
    </row>
    <row r="100">
      <c r="F100" s="142"/>
      <c r="L100" s="142"/>
      <c r="R100" s="142"/>
      <c r="X100" s="142"/>
      <c r="AD100" s="142"/>
      <c r="AJ100" s="142"/>
      <c r="AP100" s="142"/>
      <c r="AV100" s="142"/>
      <c r="BB100" s="142"/>
      <c r="BH100" s="142"/>
      <c r="BN100" s="142"/>
      <c r="BT100" s="142"/>
      <c r="BZ100" s="142"/>
      <c r="CF100" s="142"/>
      <c r="CL100" s="142"/>
      <c r="CR100" s="142"/>
      <c r="CX100" s="142"/>
      <c r="DD100" s="142"/>
      <c r="DJ100" s="142"/>
      <c r="DP100" s="142"/>
      <c r="DV100" s="142"/>
      <c r="EB100" s="142"/>
    </row>
    <row r="101">
      <c r="F101" s="142"/>
      <c r="L101" s="142"/>
      <c r="R101" s="142"/>
      <c r="X101" s="142"/>
      <c r="AD101" s="142"/>
      <c r="AJ101" s="142"/>
      <c r="AP101" s="142"/>
      <c r="AV101" s="142"/>
      <c r="BB101" s="142"/>
      <c r="BH101" s="142"/>
      <c r="BN101" s="142"/>
      <c r="BT101" s="142"/>
      <c r="BZ101" s="142"/>
      <c r="CF101" s="142"/>
      <c r="CL101" s="142"/>
      <c r="CR101" s="142"/>
      <c r="CX101" s="142"/>
      <c r="DD101" s="142"/>
      <c r="DJ101" s="142"/>
      <c r="DP101" s="142"/>
      <c r="DV101" s="142"/>
      <c r="EB101" s="142"/>
    </row>
    <row r="102">
      <c r="F102" s="142"/>
      <c r="L102" s="142"/>
      <c r="R102" s="142"/>
      <c r="X102" s="142"/>
      <c r="AD102" s="142"/>
      <c r="AJ102" s="142"/>
      <c r="AP102" s="142"/>
      <c r="AV102" s="142"/>
      <c r="BB102" s="142"/>
      <c r="BH102" s="142"/>
      <c r="BN102" s="142"/>
      <c r="BT102" s="142"/>
      <c r="BZ102" s="142"/>
      <c r="CF102" s="142"/>
      <c r="CL102" s="142"/>
      <c r="CR102" s="142"/>
      <c r="CX102" s="142"/>
      <c r="DD102" s="142"/>
      <c r="DJ102" s="142"/>
      <c r="DP102" s="142"/>
      <c r="DV102" s="142"/>
      <c r="EB102" s="142"/>
    </row>
    <row r="103">
      <c r="F103" s="142"/>
      <c r="L103" s="142"/>
      <c r="R103" s="142"/>
      <c r="X103" s="142"/>
      <c r="AD103" s="142"/>
      <c r="AJ103" s="142"/>
      <c r="AP103" s="142"/>
      <c r="AV103" s="142"/>
      <c r="BB103" s="142"/>
      <c r="BH103" s="142"/>
      <c r="BN103" s="142"/>
      <c r="BT103" s="142"/>
      <c r="BZ103" s="142"/>
      <c r="CF103" s="142"/>
      <c r="CL103" s="142"/>
      <c r="CR103" s="142"/>
      <c r="CX103" s="142"/>
      <c r="DD103" s="142"/>
      <c r="DJ103" s="142"/>
      <c r="DP103" s="142"/>
      <c r="DV103" s="142"/>
      <c r="EB103" s="142"/>
    </row>
    <row r="104">
      <c r="F104" s="142"/>
      <c r="L104" s="142"/>
      <c r="R104" s="142"/>
      <c r="X104" s="142"/>
      <c r="AD104" s="142"/>
      <c r="AJ104" s="142"/>
      <c r="AP104" s="142"/>
      <c r="AV104" s="142"/>
      <c r="BB104" s="142"/>
      <c r="BH104" s="142"/>
      <c r="BN104" s="142"/>
      <c r="BT104" s="142"/>
      <c r="BZ104" s="142"/>
      <c r="CF104" s="142"/>
      <c r="CL104" s="142"/>
      <c r="CR104" s="142"/>
      <c r="CX104" s="142"/>
      <c r="DD104" s="142"/>
      <c r="DJ104" s="142"/>
      <c r="DP104" s="142"/>
      <c r="DV104" s="142"/>
      <c r="EB104" s="142"/>
    </row>
    <row r="105">
      <c r="F105" s="142"/>
      <c r="L105" s="142"/>
      <c r="R105" s="142"/>
      <c r="X105" s="142"/>
      <c r="AD105" s="142"/>
      <c r="AJ105" s="142"/>
      <c r="AP105" s="142"/>
      <c r="AV105" s="142"/>
      <c r="BB105" s="142"/>
      <c r="BH105" s="142"/>
      <c r="BN105" s="142"/>
      <c r="BT105" s="142"/>
      <c r="BZ105" s="142"/>
      <c r="CF105" s="142"/>
      <c r="CL105" s="142"/>
      <c r="CR105" s="142"/>
      <c r="CX105" s="142"/>
      <c r="DD105" s="142"/>
      <c r="DJ105" s="142"/>
      <c r="DP105" s="142"/>
      <c r="DV105" s="142"/>
      <c r="EB105" s="142"/>
    </row>
    <row r="106">
      <c r="F106" s="142"/>
      <c r="L106" s="142"/>
      <c r="R106" s="142"/>
      <c r="X106" s="142"/>
      <c r="AD106" s="142"/>
      <c r="AJ106" s="142"/>
      <c r="AP106" s="142"/>
      <c r="AV106" s="142"/>
      <c r="BB106" s="142"/>
      <c r="BH106" s="142"/>
      <c r="BN106" s="142"/>
      <c r="BT106" s="142"/>
      <c r="BZ106" s="142"/>
      <c r="CF106" s="142"/>
      <c r="CL106" s="142"/>
      <c r="CR106" s="142"/>
      <c r="CX106" s="142"/>
      <c r="DD106" s="142"/>
      <c r="DJ106" s="142"/>
      <c r="DP106" s="142"/>
      <c r="DV106" s="142"/>
      <c r="EB106" s="142"/>
    </row>
    <row r="107">
      <c r="F107" s="142"/>
      <c r="L107" s="142"/>
      <c r="R107" s="142"/>
      <c r="X107" s="142"/>
      <c r="AD107" s="142"/>
      <c r="AJ107" s="142"/>
      <c r="AP107" s="142"/>
      <c r="AV107" s="142"/>
      <c r="BB107" s="142"/>
      <c r="BH107" s="142"/>
      <c r="BN107" s="142"/>
      <c r="BT107" s="142"/>
      <c r="BZ107" s="142"/>
      <c r="CF107" s="142"/>
      <c r="CL107" s="142"/>
      <c r="CR107" s="142"/>
      <c r="CX107" s="142"/>
      <c r="DD107" s="142"/>
      <c r="DJ107" s="142"/>
      <c r="DP107" s="142"/>
      <c r="DV107" s="142"/>
      <c r="EB107" s="142"/>
    </row>
    <row r="108">
      <c r="F108" s="142"/>
      <c r="L108" s="142"/>
      <c r="R108" s="142"/>
      <c r="X108" s="142"/>
      <c r="AD108" s="142"/>
      <c r="AJ108" s="142"/>
      <c r="AP108" s="142"/>
      <c r="AV108" s="142"/>
      <c r="BB108" s="142"/>
      <c r="BH108" s="142"/>
      <c r="BN108" s="142"/>
      <c r="BT108" s="142"/>
      <c r="BZ108" s="142"/>
      <c r="CF108" s="142"/>
      <c r="CL108" s="142"/>
      <c r="CR108" s="142"/>
      <c r="CX108" s="142"/>
      <c r="DD108" s="142"/>
      <c r="DJ108" s="142"/>
      <c r="DP108" s="142"/>
      <c r="DV108" s="142"/>
      <c r="EB108" s="142"/>
    </row>
    <row r="109">
      <c r="F109" s="142"/>
      <c r="L109" s="142"/>
      <c r="R109" s="142"/>
      <c r="X109" s="142"/>
      <c r="AD109" s="142"/>
      <c r="AJ109" s="142"/>
      <c r="AP109" s="142"/>
      <c r="AV109" s="142"/>
      <c r="BB109" s="142"/>
      <c r="BH109" s="142"/>
      <c r="BN109" s="142"/>
      <c r="BT109" s="142"/>
      <c r="BZ109" s="142"/>
      <c r="CF109" s="142"/>
      <c r="CL109" s="142"/>
      <c r="CR109" s="142"/>
      <c r="CX109" s="142"/>
      <c r="DD109" s="142"/>
      <c r="DJ109" s="142"/>
      <c r="DP109" s="142"/>
      <c r="DV109" s="142"/>
      <c r="EB109" s="142"/>
    </row>
    <row r="110">
      <c r="F110" s="142"/>
      <c r="L110" s="142"/>
      <c r="R110" s="142"/>
      <c r="X110" s="142"/>
      <c r="AD110" s="142"/>
      <c r="AJ110" s="142"/>
      <c r="AP110" s="142"/>
      <c r="AV110" s="142"/>
      <c r="BB110" s="142"/>
      <c r="BH110" s="142"/>
      <c r="BN110" s="142"/>
      <c r="BT110" s="142"/>
      <c r="BZ110" s="142"/>
      <c r="CF110" s="142"/>
      <c r="CL110" s="142"/>
      <c r="CR110" s="142"/>
      <c r="CX110" s="142"/>
      <c r="DD110" s="142"/>
      <c r="DJ110" s="142"/>
      <c r="DP110" s="142"/>
      <c r="DV110" s="142"/>
      <c r="EB110" s="142"/>
    </row>
    <row r="111">
      <c r="F111" s="142"/>
      <c r="L111" s="142"/>
      <c r="R111" s="142"/>
      <c r="X111" s="142"/>
      <c r="AD111" s="142"/>
      <c r="AJ111" s="142"/>
      <c r="AP111" s="142"/>
      <c r="AV111" s="142"/>
      <c r="BB111" s="142"/>
      <c r="BH111" s="142"/>
      <c r="BN111" s="142"/>
      <c r="BT111" s="142"/>
      <c r="BZ111" s="142"/>
      <c r="CF111" s="142"/>
      <c r="CL111" s="142"/>
      <c r="CR111" s="142"/>
      <c r="CX111" s="142"/>
      <c r="DD111" s="142"/>
      <c r="DJ111" s="142"/>
      <c r="DP111" s="142"/>
      <c r="DV111" s="142"/>
      <c r="EB111" s="142"/>
    </row>
    <row r="112">
      <c r="F112" s="142"/>
      <c r="L112" s="142"/>
      <c r="R112" s="142"/>
      <c r="X112" s="142"/>
      <c r="AD112" s="142"/>
      <c r="AJ112" s="142"/>
      <c r="AP112" s="142"/>
      <c r="AV112" s="142"/>
      <c r="BB112" s="142"/>
      <c r="BH112" s="142"/>
      <c r="BN112" s="142"/>
      <c r="BT112" s="142"/>
      <c r="BZ112" s="142"/>
      <c r="CF112" s="142"/>
      <c r="CL112" s="142"/>
      <c r="CR112" s="142"/>
      <c r="CX112" s="142"/>
      <c r="DD112" s="142"/>
      <c r="DJ112" s="142"/>
      <c r="DP112" s="142"/>
      <c r="DV112" s="142"/>
      <c r="EB112" s="142"/>
    </row>
    <row r="113">
      <c r="F113" s="142"/>
      <c r="L113" s="142"/>
      <c r="R113" s="142"/>
      <c r="X113" s="142"/>
      <c r="AD113" s="142"/>
      <c r="AJ113" s="142"/>
      <c r="AP113" s="142"/>
      <c r="AV113" s="142"/>
      <c r="BB113" s="142"/>
      <c r="BH113" s="142"/>
      <c r="BN113" s="142"/>
      <c r="BT113" s="142"/>
      <c r="BZ113" s="142"/>
      <c r="CF113" s="142"/>
      <c r="CL113" s="142"/>
      <c r="CR113" s="142"/>
      <c r="CX113" s="142"/>
      <c r="DD113" s="142"/>
      <c r="DJ113" s="142"/>
      <c r="DP113" s="142"/>
      <c r="DV113" s="142"/>
      <c r="EB113" s="142"/>
    </row>
    <row r="114">
      <c r="F114" s="142"/>
      <c r="L114" s="142"/>
      <c r="R114" s="142"/>
      <c r="X114" s="142"/>
      <c r="AD114" s="142"/>
      <c r="AJ114" s="142"/>
      <c r="AP114" s="142"/>
      <c r="AV114" s="142"/>
      <c r="BB114" s="142"/>
      <c r="BH114" s="142"/>
      <c r="BN114" s="142"/>
      <c r="BT114" s="142"/>
      <c r="BZ114" s="142"/>
      <c r="CF114" s="142"/>
      <c r="CL114" s="142"/>
      <c r="CR114" s="142"/>
      <c r="CX114" s="142"/>
      <c r="DD114" s="142"/>
      <c r="DJ114" s="142"/>
      <c r="DP114" s="142"/>
      <c r="DV114" s="142"/>
      <c r="EB114" s="142"/>
    </row>
    <row r="115">
      <c r="F115" s="142"/>
      <c r="L115" s="142"/>
      <c r="R115" s="142"/>
      <c r="X115" s="142"/>
      <c r="AD115" s="142"/>
      <c r="AJ115" s="142"/>
      <c r="AP115" s="142"/>
      <c r="AV115" s="142"/>
      <c r="BB115" s="142"/>
      <c r="BH115" s="142"/>
      <c r="BN115" s="142"/>
      <c r="BT115" s="142"/>
      <c r="BZ115" s="142"/>
      <c r="CF115" s="142"/>
      <c r="CL115" s="142"/>
      <c r="CR115" s="142"/>
      <c r="CX115" s="142"/>
      <c r="DD115" s="142"/>
      <c r="DJ115" s="142"/>
      <c r="DP115" s="142"/>
      <c r="DV115" s="142"/>
      <c r="EB115" s="142"/>
    </row>
    <row r="116">
      <c r="F116" s="142"/>
      <c r="L116" s="142"/>
      <c r="R116" s="142"/>
      <c r="X116" s="142"/>
      <c r="AD116" s="142"/>
      <c r="AJ116" s="142"/>
      <c r="AP116" s="142"/>
      <c r="AV116" s="142"/>
      <c r="BB116" s="142"/>
      <c r="BH116" s="142"/>
      <c r="BN116" s="142"/>
      <c r="BT116" s="142"/>
      <c r="BZ116" s="142"/>
      <c r="CF116" s="142"/>
      <c r="CL116" s="142"/>
      <c r="CR116" s="142"/>
      <c r="CX116" s="142"/>
      <c r="DD116" s="142"/>
      <c r="DJ116" s="142"/>
      <c r="DP116" s="142"/>
      <c r="DV116" s="142"/>
      <c r="EB116" s="142"/>
    </row>
    <row r="117">
      <c r="F117" s="142"/>
      <c r="L117" s="142"/>
      <c r="R117" s="142"/>
      <c r="X117" s="142"/>
      <c r="AD117" s="142"/>
      <c r="AJ117" s="142"/>
      <c r="AP117" s="142"/>
      <c r="AV117" s="142"/>
      <c r="BB117" s="142"/>
      <c r="BH117" s="142"/>
      <c r="BN117" s="142"/>
      <c r="BT117" s="142"/>
      <c r="BZ117" s="142"/>
      <c r="CF117" s="142"/>
      <c r="CL117" s="142"/>
      <c r="CR117" s="142"/>
      <c r="CX117" s="142"/>
      <c r="DD117" s="142"/>
      <c r="DJ117" s="142"/>
      <c r="DP117" s="142"/>
      <c r="DV117" s="142"/>
      <c r="EB117" s="142"/>
    </row>
    <row r="118">
      <c r="F118" s="142"/>
      <c r="L118" s="142"/>
      <c r="R118" s="142"/>
      <c r="X118" s="142"/>
      <c r="AD118" s="142"/>
      <c r="AJ118" s="142"/>
      <c r="AP118" s="142"/>
      <c r="AV118" s="142"/>
      <c r="BB118" s="142"/>
      <c r="BH118" s="142"/>
      <c r="BN118" s="142"/>
      <c r="BT118" s="142"/>
      <c r="BZ118" s="142"/>
      <c r="CF118" s="142"/>
      <c r="CL118" s="142"/>
      <c r="CR118" s="142"/>
      <c r="CX118" s="142"/>
      <c r="DD118" s="142"/>
      <c r="DJ118" s="142"/>
      <c r="DP118" s="142"/>
      <c r="DV118" s="142"/>
      <c r="EB118" s="142"/>
    </row>
    <row r="119">
      <c r="F119" s="142"/>
      <c r="L119" s="142"/>
      <c r="R119" s="142"/>
      <c r="X119" s="142"/>
      <c r="AD119" s="142"/>
      <c r="AJ119" s="142"/>
      <c r="AP119" s="142"/>
      <c r="AV119" s="142"/>
      <c r="BB119" s="142"/>
      <c r="BH119" s="142"/>
      <c r="BN119" s="142"/>
      <c r="BT119" s="142"/>
      <c r="BZ119" s="142"/>
      <c r="CF119" s="142"/>
      <c r="CL119" s="142"/>
      <c r="CR119" s="142"/>
      <c r="CX119" s="142"/>
      <c r="DD119" s="142"/>
      <c r="DJ119" s="142"/>
      <c r="DP119" s="142"/>
      <c r="DV119" s="142"/>
      <c r="EB119" s="142"/>
    </row>
    <row r="120">
      <c r="F120" s="142"/>
      <c r="L120" s="142"/>
      <c r="R120" s="142"/>
      <c r="X120" s="142"/>
      <c r="AD120" s="142"/>
      <c r="AJ120" s="142"/>
      <c r="AP120" s="142"/>
      <c r="AV120" s="142"/>
      <c r="BB120" s="142"/>
      <c r="BH120" s="142"/>
      <c r="BN120" s="142"/>
      <c r="BT120" s="142"/>
      <c r="BZ120" s="142"/>
      <c r="CF120" s="142"/>
      <c r="CL120" s="142"/>
      <c r="CR120" s="142"/>
      <c r="CX120" s="142"/>
      <c r="DD120" s="142"/>
      <c r="DJ120" s="142"/>
      <c r="DP120" s="142"/>
      <c r="DV120" s="142"/>
      <c r="EB120" s="142"/>
    </row>
    <row r="121">
      <c r="F121" s="142"/>
      <c r="L121" s="142"/>
      <c r="R121" s="142"/>
      <c r="X121" s="142"/>
      <c r="AD121" s="142"/>
      <c r="AJ121" s="142"/>
      <c r="AP121" s="142"/>
      <c r="AV121" s="142"/>
      <c r="BB121" s="142"/>
      <c r="BH121" s="142"/>
      <c r="BN121" s="142"/>
      <c r="BT121" s="142"/>
      <c r="BZ121" s="142"/>
      <c r="CF121" s="142"/>
      <c r="CL121" s="142"/>
      <c r="CR121" s="142"/>
      <c r="CX121" s="142"/>
      <c r="DD121" s="142"/>
      <c r="DJ121" s="142"/>
      <c r="DP121" s="142"/>
      <c r="DV121" s="142"/>
      <c r="EB121" s="142"/>
    </row>
    <row r="122">
      <c r="F122" s="142"/>
      <c r="L122" s="142"/>
      <c r="R122" s="142"/>
      <c r="X122" s="142"/>
      <c r="AD122" s="142"/>
      <c r="AJ122" s="142"/>
      <c r="AP122" s="142"/>
      <c r="AV122" s="142"/>
      <c r="BB122" s="142"/>
      <c r="BH122" s="142"/>
      <c r="BN122" s="142"/>
      <c r="BT122" s="142"/>
      <c r="BZ122" s="142"/>
      <c r="CF122" s="142"/>
      <c r="CL122" s="142"/>
      <c r="CR122" s="142"/>
      <c r="CX122" s="142"/>
      <c r="DD122" s="142"/>
      <c r="DJ122" s="142"/>
      <c r="DP122" s="142"/>
      <c r="DV122" s="142"/>
      <c r="EB122" s="142"/>
    </row>
    <row r="123">
      <c r="F123" s="142"/>
      <c r="L123" s="142"/>
      <c r="R123" s="142"/>
      <c r="X123" s="142"/>
      <c r="AD123" s="142"/>
      <c r="AJ123" s="142"/>
      <c r="AP123" s="142"/>
      <c r="AV123" s="142"/>
      <c r="BB123" s="142"/>
      <c r="BH123" s="142"/>
      <c r="BN123" s="142"/>
      <c r="BT123" s="142"/>
      <c r="BZ123" s="142"/>
      <c r="CF123" s="142"/>
      <c r="CL123" s="142"/>
      <c r="CR123" s="142"/>
      <c r="CX123" s="142"/>
      <c r="DD123" s="142"/>
      <c r="DJ123" s="142"/>
      <c r="DP123" s="142"/>
      <c r="DV123" s="142"/>
      <c r="EB123" s="142"/>
    </row>
    <row r="124">
      <c r="F124" s="142"/>
      <c r="L124" s="142"/>
      <c r="R124" s="142"/>
      <c r="X124" s="142"/>
      <c r="AD124" s="142"/>
      <c r="AJ124" s="142"/>
      <c r="AP124" s="142"/>
      <c r="AV124" s="142"/>
      <c r="BB124" s="142"/>
      <c r="BH124" s="142"/>
      <c r="BN124" s="142"/>
      <c r="BT124" s="142"/>
      <c r="BZ124" s="142"/>
      <c r="CF124" s="142"/>
      <c r="CL124" s="142"/>
      <c r="CR124" s="142"/>
      <c r="CX124" s="142"/>
      <c r="DD124" s="142"/>
      <c r="DJ124" s="142"/>
      <c r="DP124" s="142"/>
      <c r="DV124" s="142"/>
      <c r="EB124" s="142"/>
    </row>
    <row r="125">
      <c r="F125" s="142"/>
      <c r="L125" s="142"/>
      <c r="R125" s="142"/>
      <c r="X125" s="142"/>
      <c r="AD125" s="142"/>
      <c r="AJ125" s="142"/>
      <c r="AP125" s="142"/>
      <c r="AV125" s="142"/>
      <c r="BB125" s="142"/>
      <c r="BH125" s="142"/>
      <c r="BN125" s="142"/>
      <c r="BT125" s="142"/>
      <c r="BZ125" s="142"/>
      <c r="CF125" s="142"/>
      <c r="CL125" s="142"/>
      <c r="CR125" s="142"/>
      <c r="CX125" s="142"/>
      <c r="DD125" s="142"/>
      <c r="DJ125" s="142"/>
      <c r="DP125" s="142"/>
      <c r="DV125" s="142"/>
      <c r="EB125" s="142"/>
    </row>
    <row r="126">
      <c r="F126" s="142"/>
      <c r="L126" s="142"/>
      <c r="R126" s="142"/>
      <c r="X126" s="142"/>
      <c r="AD126" s="142"/>
      <c r="AJ126" s="142"/>
      <c r="AP126" s="142"/>
      <c r="AV126" s="142"/>
      <c r="BB126" s="142"/>
      <c r="BH126" s="142"/>
      <c r="BN126" s="142"/>
      <c r="BT126" s="142"/>
      <c r="BZ126" s="142"/>
      <c r="CF126" s="142"/>
      <c r="CL126" s="142"/>
      <c r="CR126" s="142"/>
      <c r="CX126" s="142"/>
      <c r="DD126" s="142"/>
      <c r="DJ126" s="142"/>
      <c r="DP126" s="142"/>
      <c r="DV126" s="142"/>
      <c r="EB126" s="142"/>
    </row>
    <row r="127">
      <c r="F127" s="142"/>
      <c r="L127" s="142"/>
      <c r="R127" s="142"/>
      <c r="X127" s="142"/>
      <c r="AD127" s="142"/>
      <c r="AJ127" s="142"/>
      <c r="AP127" s="142"/>
      <c r="AV127" s="142"/>
      <c r="BB127" s="142"/>
      <c r="BH127" s="142"/>
      <c r="BN127" s="142"/>
      <c r="BT127" s="142"/>
      <c r="BZ127" s="142"/>
      <c r="CF127" s="142"/>
      <c r="CL127" s="142"/>
      <c r="CR127" s="142"/>
      <c r="CX127" s="142"/>
      <c r="DD127" s="142"/>
      <c r="DJ127" s="142"/>
      <c r="DP127" s="142"/>
      <c r="DV127" s="142"/>
      <c r="EB127" s="142"/>
    </row>
    <row r="128">
      <c r="F128" s="142"/>
      <c r="L128" s="142"/>
      <c r="R128" s="142"/>
      <c r="X128" s="142"/>
      <c r="AD128" s="142"/>
      <c r="AJ128" s="142"/>
      <c r="AP128" s="142"/>
      <c r="AV128" s="142"/>
      <c r="BB128" s="142"/>
      <c r="BH128" s="142"/>
      <c r="BN128" s="142"/>
      <c r="BT128" s="142"/>
      <c r="BZ128" s="142"/>
      <c r="CF128" s="142"/>
      <c r="CL128" s="142"/>
      <c r="CR128" s="142"/>
      <c r="CX128" s="142"/>
      <c r="DD128" s="142"/>
      <c r="DJ128" s="142"/>
      <c r="DP128" s="142"/>
      <c r="DV128" s="142"/>
      <c r="EB128" s="142"/>
    </row>
    <row r="129">
      <c r="F129" s="142"/>
      <c r="L129" s="142"/>
      <c r="R129" s="142"/>
      <c r="X129" s="142"/>
      <c r="AD129" s="142"/>
      <c r="AJ129" s="142"/>
      <c r="AP129" s="142"/>
      <c r="AV129" s="142"/>
      <c r="BB129" s="142"/>
      <c r="BH129" s="142"/>
      <c r="BN129" s="142"/>
      <c r="BT129" s="142"/>
      <c r="BZ129" s="142"/>
      <c r="CF129" s="142"/>
      <c r="CL129" s="142"/>
      <c r="CR129" s="142"/>
      <c r="CX129" s="142"/>
      <c r="DD129" s="142"/>
      <c r="DJ129" s="142"/>
      <c r="DP129" s="142"/>
      <c r="DV129" s="142"/>
      <c r="EB129" s="142"/>
    </row>
    <row r="130">
      <c r="F130" s="142"/>
      <c r="L130" s="142"/>
      <c r="R130" s="142"/>
      <c r="X130" s="142"/>
      <c r="AD130" s="142"/>
      <c r="AJ130" s="142"/>
      <c r="AP130" s="142"/>
      <c r="AV130" s="142"/>
      <c r="BB130" s="142"/>
      <c r="BH130" s="142"/>
      <c r="BN130" s="142"/>
      <c r="BT130" s="142"/>
      <c r="BZ130" s="142"/>
      <c r="CF130" s="142"/>
      <c r="CL130" s="142"/>
      <c r="CR130" s="142"/>
      <c r="CX130" s="142"/>
      <c r="DD130" s="142"/>
      <c r="DJ130" s="142"/>
      <c r="DP130" s="142"/>
      <c r="DV130" s="142"/>
      <c r="EB130" s="142"/>
    </row>
    <row r="131">
      <c r="F131" s="142"/>
      <c r="L131" s="142"/>
      <c r="R131" s="142"/>
      <c r="X131" s="142"/>
      <c r="AD131" s="142"/>
      <c r="AJ131" s="142"/>
      <c r="AP131" s="142"/>
      <c r="AV131" s="142"/>
      <c r="BB131" s="142"/>
      <c r="BH131" s="142"/>
      <c r="BN131" s="142"/>
      <c r="BT131" s="142"/>
      <c r="BZ131" s="142"/>
      <c r="CF131" s="142"/>
      <c r="CL131" s="142"/>
      <c r="CR131" s="142"/>
      <c r="CX131" s="142"/>
      <c r="DD131" s="142"/>
      <c r="DJ131" s="142"/>
      <c r="DP131" s="142"/>
      <c r="DV131" s="142"/>
      <c r="EB131" s="142"/>
    </row>
    <row r="132">
      <c r="F132" s="142"/>
      <c r="L132" s="142"/>
      <c r="R132" s="142"/>
      <c r="X132" s="142"/>
      <c r="AD132" s="142"/>
      <c r="AJ132" s="142"/>
      <c r="AP132" s="142"/>
      <c r="AV132" s="142"/>
      <c r="BB132" s="142"/>
      <c r="BH132" s="142"/>
      <c r="BN132" s="142"/>
      <c r="BT132" s="142"/>
      <c r="BZ132" s="142"/>
      <c r="CF132" s="142"/>
      <c r="CL132" s="142"/>
      <c r="CR132" s="142"/>
      <c r="CX132" s="142"/>
      <c r="DD132" s="142"/>
      <c r="DJ132" s="142"/>
      <c r="DP132" s="142"/>
      <c r="DV132" s="142"/>
      <c r="EB132" s="142"/>
    </row>
    <row r="133">
      <c r="F133" s="142"/>
      <c r="L133" s="142"/>
      <c r="R133" s="142"/>
      <c r="X133" s="142"/>
      <c r="AD133" s="142"/>
      <c r="AJ133" s="142"/>
      <c r="AP133" s="142"/>
      <c r="AV133" s="142"/>
      <c r="BB133" s="142"/>
      <c r="BH133" s="142"/>
      <c r="BN133" s="142"/>
      <c r="BT133" s="142"/>
      <c r="BZ133" s="142"/>
      <c r="CF133" s="142"/>
      <c r="CL133" s="142"/>
      <c r="CR133" s="142"/>
      <c r="CX133" s="142"/>
      <c r="DD133" s="142"/>
      <c r="DJ133" s="142"/>
      <c r="DP133" s="142"/>
      <c r="DV133" s="142"/>
      <c r="EB133" s="142"/>
    </row>
    <row r="134">
      <c r="F134" s="142"/>
      <c r="L134" s="142"/>
      <c r="R134" s="142"/>
      <c r="X134" s="142"/>
      <c r="AD134" s="142"/>
      <c r="AJ134" s="142"/>
      <c r="AP134" s="142"/>
      <c r="AV134" s="142"/>
      <c r="BB134" s="142"/>
      <c r="BH134" s="142"/>
      <c r="BN134" s="142"/>
      <c r="BT134" s="142"/>
      <c r="BZ134" s="142"/>
      <c r="CF134" s="142"/>
      <c r="CL134" s="142"/>
      <c r="CR134" s="142"/>
      <c r="CX134" s="142"/>
      <c r="DD134" s="142"/>
      <c r="DJ134" s="142"/>
      <c r="DP134" s="142"/>
      <c r="DV134" s="142"/>
      <c r="EB134" s="142"/>
    </row>
    <row r="135">
      <c r="F135" s="142"/>
      <c r="L135" s="142"/>
      <c r="R135" s="142"/>
      <c r="X135" s="142"/>
      <c r="AD135" s="142"/>
      <c r="AJ135" s="142"/>
      <c r="AP135" s="142"/>
      <c r="AV135" s="142"/>
      <c r="BB135" s="142"/>
      <c r="BH135" s="142"/>
      <c r="BN135" s="142"/>
      <c r="BT135" s="142"/>
      <c r="BZ135" s="142"/>
      <c r="CF135" s="142"/>
      <c r="CL135" s="142"/>
      <c r="CR135" s="142"/>
      <c r="CX135" s="142"/>
      <c r="DD135" s="142"/>
      <c r="DJ135" s="142"/>
      <c r="DP135" s="142"/>
      <c r="DV135" s="142"/>
      <c r="EB135" s="142"/>
    </row>
    <row r="136">
      <c r="F136" s="142"/>
      <c r="L136" s="142"/>
      <c r="R136" s="142"/>
      <c r="X136" s="142"/>
      <c r="AD136" s="142"/>
      <c r="AJ136" s="142"/>
      <c r="AP136" s="142"/>
      <c r="AV136" s="142"/>
      <c r="BB136" s="142"/>
      <c r="BH136" s="142"/>
      <c r="BN136" s="142"/>
      <c r="BT136" s="142"/>
      <c r="BZ136" s="142"/>
      <c r="CF136" s="142"/>
      <c r="CL136" s="142"/>
      <c r="CR136" s="142"/>
      <c r="CX136" s="142"/>
      <c r="DD136" s="142"/>
      <c r="DJ136" s="142"/>
      <c r="DP136" s="142"/>
      <c r="DV136" s="142"/>
      <c r="EB136" s="142"/>
    </row>
    <row r="137">
      <c r="F137" s="142"/>
      <c r="L137" s="142"/>
      <c r="R137" s="142"/>
      <c r="X137" s="142"/>
      <c r="AD137" s="142"/>
      <c r="AJ137" s="142"/>
      <c r="AP137" s="142"/>
      <c r="AV137" s="142"/>
      <c r="BB137" s="142"/>
      <c r="BH137" s="142"/>
      <c r="BN137" s="142"/>
      <c r="BT137" s="142"/>
      <c r="BZ137" s="142"/>
      <c r="CF137" s="142"/>
      <c r="CL137" s="142"/>
      <c r="CR137" s="142"/>
      <c r="CX137" s="142"/>
      <c r="DD137" s="142"/>
      <c r="DJ137" s="142"/>
      <c r="DP137" s="142"/>
      <c r="DV137" s="142"/>
      <c r="EB137" s="142"/>
    </row>
    <row r="138">
      <c r="F138" s="142"/>
      <c r="L138" s="142"/>
      <c r="R138" s="142"/>
      <c r="X138" s="142"/>
      <c r="AD138" s="142"/>
      <c r="AJ138" s="142"/>
      <c r="AP138" s="142"/>
      <c r="AV138" s="142"/>
      <c r="BB138" s="142"/>
      <c r="BH138" s="142"/>
      <c r="BN138" s="142"/>
      <c r="BT138" s="142"/>
      <c r="BZ138" s="142"/>
      <c r="CF138" s="142"/>
      <c r="CL138" s="142"/>
      <c r="CR138" s="142"/>
      <c r="CX138" s="142"/>
      <c r="DD138" s="142"/>
      <c r="DJ138" s="142"/>
      <c r="DP138" s="142"/>
      <c r="DV138" s="142"/>
      <c r="EB138" s="142"/>
    </row>
    <row r="139">
      <c r="F139" s="142"/>
      <c r="L139" s="142"/>
      <c r="R139" s="142"/>
      <c r="X139" s="142"/>
      <c r="AD139" s="142"/>
      <c r="AJ139" s="142"/>
      <c r="AP139" s="142"/>
      <c r="AV139" s="142"/>
      <c r="BB139" s="142"/>
      <c r="BH139" s="142"/>
      <c r="BN139" s="142"/>
      <c r="BT139" s="142"/>
      <c r="BZ139" s="142"/>
      <c r="CF139" s="142"/>
      <c r="CL139" s="142"/>
      <c r="CR139" s="142"/>
      <c r="CX139" s="142"/>
      <c r="DD139" s="142"/>
      <c r="DJ139" s="142"/>
      <c r="DP139" s="142"/>
      <c r="DV139" s="142"/>
      <c r="EB139" s="142"/>
    </row>
    <row r="140">
      <c r="F140" s="142"/>
      <c r="L140" s="142"/>
      <c r="R140" s="142"/>
      <c r="X140" s="142"/>
      <c r="AD140" s="142"/>
      <c r="AJ140" s="142"/>
      <c r="AP140" s="142"/>
      <c r="AV140" s="142"/>
      <c r="BB140" s="142"/>
      <c r="BH140" s="142"/>
      <c r="BN140" s="142"/>
      <c r="BT140" s="142"/>
      <c r="BZ140" s="142"/>
      <c r="CF140" s="142"/>
      <c r="CL140" s="142"/>
      <c r="CR140" s="142"/>
      <c r="CX140" s="142"/>
      <c r="DD140" s="142"/>
      <c r="DJ140" s="142"/>
      <c r="DP140" s="142"/>
      <c r="DV140" s="142"/>
      <c r="EB140" s="142"/>
    </row>
    <row r="141">
      <c r="F141" s="142"/>
      <c r="L141" s="142"/>
      <c r="R141" s="142"/>
      <c r="X141" s="142"/>
      <c r="AD141" s="142"/>
      <c r="AJ141" s="142"/>
      <c r="AP141" s="142"/>
      <c r="AV141" s="142"/>
      <c r="BB141" s="142"/>
      <c r="BH141" s="142"/>
      <c r="BN141" s="142"/>
      <c r="BT141" s="142"/>
      <c r="BZ141" s="142"/>
      <c r="CF141" s="142"/>
      <c r="CL141" s="142"/>
      <c r="CR141" s="142"/>
      <c r="CX141" s="142"/>
      <c r="DD141" s="142"/>
      <c r="DJ141" s="142"/>
      <c r="DP141" s="142"/>
      <c r="DV141" s="142"/>
      <c r="EB141" s="142"/>
    </row>
    <row r="142">
      <c r="F142" s="142"/>
      <c r="L142" s="142"/>
      <c r="R142" s="142"/>
      <c r="X142" s="142"/>
      <c r="AD142" s="142"/>
      <c r="AJ142" s="142"/>
      <c r="AP142" s="142"/>
      <c r="AV142" s="142"/>
      <c r="BB142" s="142"/>
      <c r="BH142" s="142"/>
      <c r="BN142" s="142"/>
      <c r="BT142" s="142"/>
      <c r="BZ142" s="142"/>
      <c r="CF142" s="142"/>
      <c r="CL142" s="142"/>
      <c r="CR142" s="142"/>
      <c r="CX142" s="142"/>
      <c r="DD142" s="142"/>
      <c r="DJ142" s="142"/>
      <c r="DP142" s="142"/>
      <c r="DV142" s="142"/>
      <c r="EB142" s="142"/>
    </row>
    <row r="143">
      <c r="F143" s="142"/>
      <c r="L143" s="142"/>
      <c r="R143" s="142"/>
      <c r="X143" s="142"/>
      <c r="AD143" s="142"/>
      <c r="AJ143" s="142"/>
      <c r="AP143" s="142"/>
      <c r="AV143" s="142"/>
      <c r="BB143" s="142"/>
      <c r="BH143" s="142"/>
      <c r="BN143" s="142"/>
      <c r="BT143" s="142"/>
      <c r="BZ143" s="142"/>
      <c r="CF143" s="142"/>
      <c r="CL143" s="142"/>
      <c r="CR143" s="142"/>
      <c r="CX143" s="142"/>
      <c r="DD143" s="142"/>
      <c r="DJ143" s="142"/>
      <c r="DP143" s="142"/>
      <c r="DV143" s="142"/>
      <c r="EB143" s="142"/>
    </row>
    <row r="144">
      <c r="F144" s="142"/>
      <c r="L144" s="142"/>
      <c r="R144" s="142"/>
      <c r="X144" s="142"/>
      <c r="AD144" s="142"/>
      <c r="AJ144" s="142"/>
      <c r="AP144" s="142"/>
      <c r="AV144" s="142"/>
      <c r="BB144" s="142"/>
      <c r="BH144" s="142"/>
      <c r="BN144" s="142"/>
      <c r="BT144" s="142"/>
      <c r="BZ144" s="142"/>
      <c r="CF144" s="142"/>
      <c r="CL144" s="142"/>
      <c r="CR144" s="142"/>
      <c r="CX144" s="142"/>
      <c r="DD144" s="142"/>
      <c r="DJ144" s="142"/>
      <c r="DP144" s="142"/>
      <c r="DV144" s="142"/>
      <c r="EB144" s="142"/>
    </row>
    <row r="145">
      <c r="F145" s="142"/>
      <c r="L145" s="142"/>
      <c r="R145" s="142"/>
      <c r="X145" s="142"/>
      <c r="AD145" s="142"/>
      <c r="AJ145" s="142"/>
      <c r="AP145" s="142"/>
      <c r="AV145" s="142"/>
      <c r="BB145" s="142"/>
      <c r="BH145" s="142"/>
      <c r="BN145" s="142"/>
      <c r="BT145" s="142"/>
      <c r="BZ145" s="142"/>
      <c r="CF145" s="142"/>
      <c r="CL145" s="142"/>
      <c r="CR145" s="142"/>
      <c r="CX145" s="142"/>
      <c r="DD145" s="142"/>
      <c r="DJ145" s="142"/>
      <c r="DP145" s="142"/>
      <c r="DV145" s="142"/>
      <c r="EB145" s="142"/>
    </row>
    <row r="146">
      <c r="F146" s="142"/>
      <c r="L146" s="142"/>
      <c r="R146" s="142"/>
      <c r="X146" s="142"/>
      <c r="AD146" s="142"/>
      <c r="AJ146" s="142"/>
      <c r="AP146" s="142"/>
      <c r="AV146" s="142"/>
      <c r="BB146" s="142"/>
      <c r="BH146" s="142"/>
      <c r="BN146" s="142"/>
      <c r="BT146" s="142"/>
      <c r="BZ146" s="142"/>
      <c r="CF146" s="142"/>
      <c r="CL146" s="142"/>
      <c r="CR146" s="142"/>
      <c r="CX146" s="142"/>
      <c r="DD146" s="142"/>
      <c r="DJ146" s="142"/>
      <c r="DP146" s="142"/>
      <c r="DV146" s="142"/>
      <c r="EB146" s="142"/>
    </row>
    <row r="147">
      <c r="F147" s="142"/>
      <c r="L147" s="142"/>
      <c r="R147" s="142"/>
      <c r="X147" s="142"/>
      <c r="AD147" s="142"/>
      <c r="AJ147" s="142"/>
      <c r="AP147" s="142"/>
      <c r="AV147" s="142"/>
      <c r="BB147" s="142"/>
      <c r="BH147" s="142"/>
      <c r="BN147" s="142"/>
      <c r="BT147" s="142"/>
      <c r="BZ147" s="142"/>
      <c r="CF147" s="142"/>
      <c r="CL147" s="142"/>
      <c r="CR147" s="142"/>
      <c r="CX147" s="142"/>
      <c r="DD147" s="142"/>
      <c r="DJ147" s="142"/>
      <c r="DP147" s="142"/>
      <c r="DV147" s="142"/>
      <c r="EB147" s="142"/>
    </row>
    <row r="148">
      <c r="F148" s="142"/>
      <c r="L148" s="142"/>
      <c r="R148" s="142"/>
      <c r="X148" s="142"/>
      <c r="AD148" s="142"/>
      <c r="AJ148" s="142"/>
      <c r="AP148" s="142"/>
      <c r="AV148" s="142"/>
      <c r="BB148" s="142"/>
      <c r="BH148" s="142"/>
      <c r="BN148" s="142"/>
      <c r="BT148" s="142"/>
      <c r="BZ148" s="142"/>
      <c r="CF148" s="142"/>
      <c r="CL148" s="142"/>
      <c r="CR148" s="142"/>
      <c r="CX148" s="142"/>
      <c r="DD148" s="142"/>
      <c r="DJ148" s="142"/>
      <c r="DP148" s="142"/>
      <c r="DV148" s="142"/>
      <c r="EB148" s="142"/>
    </row>
    <row r="149">
      <c r="F149" s="142"/>
      <c r="L149" s="142"/>
      <c r="R149" s="142"/>
      <c r="X149" s="142"/>
      <c r="AD149" s="142"/>
      <c r="AJ149" s="142"/>
      <c r="AP149" s="142"/>
      <c r="AV149" s="142"/>
      <c r="BB149" s="142"/>
      <c r="BH149" s="142"/>
      <c r="BN149" s="142"/>
      <c r="BT149" s="142"/>
      <c r="BZ149" s="142"/>
      <c r="CF149" s="142"/>
      <c r="CL149" s="142"/>
      <c r="CR149" s="142"/>
      <c r="CX149" s="142"/>
      <c r="DD149" s="142"/>
      <c r="DJ149" s="142"/>
      <c r="DP149" s="142"/>
      <c r="DV149" s="142"/>
      <c r="EB149" s="142"/>
    </row>
    <row r="150">
      <c r="F150" s="142"/>
      <c r="L150" s="142"/>
      <c r="R150" s="142"/>
      <c r="X150" s="142"/>
      <c r="AD150" s="142"/>
      <c r="AJ150" s="142"/>
      <c r="AP150" s="142"/>
      <c r="AV150" s="142"/>
      <c r="BB150" s="142"/>
      <c r="BH150" s="142"/>
      <c r="BN150" s="142"/>
      <c r="BT150" s="142"/>
      <c r="BZ150" s="142"/>
      <c r="CF150" s="142"/>
      <c r="CL150" s="142"/>
      <c r="CR150" s="142"/>
      <c r="CX150" s="142"/>
      <c r="DD150" s="142"/>
      <c r="DJ150" s="142"/>
      <c r="DP150" s="142"/>
      <c r="DV150" s="142"/>
      <c r="EB150" s="142"/>
    </row>
    <row r="151">
      <c r="F151" s="142"/>
      <c r="L151" s="142"/>
      <c r="R151" s="142"/>
      <c r="X151" s="142"/>
      <c r="AD151" s="142"/>
      <c r="AJ151" s="142"/>
      <c r="AP151" s="142"/>
      <c r="AV151" s="142"/>
      <c r="BB151" s="142"/>
      <c r="BH151" s="142"/>
      <c r="BN151" s="142"/>
      <c r="BT151" s="142"/>
      <c r="BZ151" s="142"/>
      <c r="CF151" s="142"/>
      <c r="CL151" s="142"/>
      <c r="CR151" s="142"/>
      <c r="CX151" s="142"/>
      <c r="DD151" s="142"/>
      <c r="DJ151" s="142"/>
      <c r="DP151" s="142"/>
      <c r="DV151" s="142"/>
      <c r="EB151" s="142"/>
    </row>
    <row r="152">
      <c r="F152" s="142"/>
      <c r="L152" s="142"/>
      <c r="R152" s="142"/>
      <c r="X152" s="142"/>
      <c r="AD152" s="142"/>
      <c r="AJ152" s="142"/>
      <c r="AP152" s="142"/>
      <c r="AV152" s="142"/>
      <c r="BB152" s="142"/>
      <c r="BH152" s="142"/>
      <c r="BN152" s="142"/>
      <c r="BT152" s="142"/>
      <c r="BZ152" s="142"/>
      <c r="CF152" s="142"/>
      <c r="CL152" s="142"/>
      <c r="CR152" s="142"/>
      <c r="CX152" s="142"/>
      <c r="DD152" s="142"/>
      <c r="DJ152" s="142"/>
      <c r="DP152" s="142"/>
      <c r="DV152" s="142"/>
      <c r="EB152" s="142"/>
    </row>
    <row r="153">
      <c r="F153" s="142"/>
      <c r="L153" s="142"/>
      <c r="R153" s="142"/>
      <c r="X153" s="142"/>
      <c r="AD153" s="142"/>
      <c r="AJ153" s="142"/>
      <c r="AP153" s="142"/>
      <c r="AV153" s="142"/>
      <c r="BB153" s="142"/>
      <c r="BH153" s="142"/>
      <c r="BN153" s="142"/>
      <c r="BT153" s="142"/>
      <c r="BZ153" s="142"/>
      <c r="CF153" s="142"/>
      <c r="CL153" s="142"/>
      <c r="CR153" s="142"/>
      <c r="CX153" s="142"/>
      <c r="DD153" s="142"/>
      <c r="DJ153" s="142"/>
      <c r="DP153" s="142"/>
      <c r="DV153" s="142"/>
      <c r="EB153" s="142"/>
    </row>
    <row r="154">
      <c r="F154" s="142"/>
      <c r="L154" s="142"/>
      <c r="R154" s="142"/>
      <c r="X154" s="142"/>
      <c r="AD154" s="142"/>
      <c r="AJ154" s="142"/>
      <c r="AP154" s="142"/>
      <c r="AV154" s="142"/>
      <c r="BB154" s="142"/>
      <c r="BH154" s="142"/>
      <c r="BN154" s="142"/>
      <c r="BT154" s="142"/>
      <c r="BZ154" s="142"/>
      <c r="CF154" s="142"/>
      <c r="CL154" s="142"/>
      <c r="CR154" s="142"/>
      <c r="CX154" s="142"/>
      <c r="DD154" s="142"/>
      <c r="DJ154" s="142"/>
      <c r="DP154" s="142"/>
      <c r="DV154" s="142"/>
      <c r="EB154" s="142"/>
    </row>
    <row r="155">
      <c r="F155" s="142"/>
      <c r="L155" s="142"/>
      <c r="R155" s="142"/>
      <c r="X155" s="142"/>
      <c r="AD155" s="142"/>
      <c r="AJ155" s="142"/>
      <c r="AP155" s="142"/>
      <c r="AV155" s="142"/>
      <c r="BB155" s="142"/>
      <c r="BH155" s="142"/>
      <c r="BN155" s="142"/>
      <c r="BT155" s="142"/>
      <c r="BZ155" s="142"/>
      <c r="CF155" s="142"/>
      <c r="CL155" s="142"/>
      <c r="CR155" s="142"/>
      <c r="CX155" s="142"/>
      <c r="DD155" s="142"/>
      <c r="DJ155" s="142"/>
      <c r="DP155" s="142"/>
      <c r="DV155" s="142"/>
      <c r="EB155" s="142"/>
    </row>
    <row r="156">
      <c r="F156" s="142"/>
      <c r="L156" s="142"/>
      <c r="R156" s="142"/>
      <c r="X156" s="142"/>
      <c r="AD156" s="142"/>
      <c r="AJ156" s="142"/>
      <c r="AP156" s="142"/>
      <c r="AV156" s="142"/>
      <c r="BB156" s="142"/>
      <c r="BH156" s="142"/>
      <c r="BN156" s="142"/>
      <c r="BT156" s="142"/>
      <c r="BZ156" s="142"/>
      <c r="CF156" s="142"/>
      <c r="CL156" s="142"/>
      <c r="CR156" s="142"/>
      <c r="CX156" s="142"/>
      <c r="DD156" s="142"/>
      <c r="DJ156" s="142"/>
      <c r="DP156" s="142"/>
      <c r="DV156" s="142"/>
      <c r="EB156" s="142"/>
    </row>
    <row r="157">
      <c r="F157" s="142"/>
      <c r="L157" s="142"/>
      <c r="R157" s="142"/>
      <c r="X157" s="142"/>
      <c r="AD157" s="142"/>
      <c r="AJ157" s="142"/>
      <c r="AP157" s="142"/>
      <c r="AV157" s="142"/>
      <c r="BB157" s="142"/>
      <c r="BH157" s="142"/>
      <c r="BN157" s="142"/>
      <c r="BT157" s="142"/>
      <c r="BZ157" s="142"/>
      <c r="CF157" s="142"/>
      <c r="CL157" s="142"/>
      <c r="CR157" s="142"/>
      <c r="CX157" s="142"/>
      <c r="DD157" s="142"/>
      <c r="DJ157" s="142"/>
      <c r="DP157" s="142"/>
      <c r="DV157" s="142"/>
      <c r="EB157" s="142"/>
    </row>
    <row r="158">
      <c r="F158" s="142"/>
      <c r="L158" s="142"/>
      <c r="R158" s="142"/>
      <c r="X158" s="142"/>
      <c r="AD158" s="142"/>
      <c r="AJ158" s="142"/>
      <c r="AP158" s="142"/>
      <c r="AV158" s="142"/>
      <c r="BB158" s="142"/>
      <c r="BH158" s="142"/>
      <c r="BN158" s="142"/>
      <c r="BT158" s="142"/>
      <c r="BZ158" s="142"/>
      <c r="CF158" s="142"/>
      <c r="CL158" s="142"/>
      <c r="CR158" s="142"/>
      <c r="CX158" s="142"/>
      <c r="DD158" s="142"/>
      <c r="DJ158" s="142"/>
      <c r="DP158" s="142"/>
      <c r="DV158" s="142"/>
      <c r="EB158" s="142"/>
    </row>
    <row r="159">
      <c r="F159" s="142"/>
      <c r="L159" s="142"/>
      <c r="R159" s="142"/>
      <c r="X159" s="142"/>
      <c r="AD159" s="142"/>
      <c r="AJ159" s="142"/>
      <c r="AP159" s="142"/>
      <c r="AV159" s="142"/>
      <c r="BB159" s="142"/>
      <c r="BH159" s="142"/>
      <c r="BN159" s="142"/>
      <c r="BT159" s="142"/>
      <c r="BZ159" s="142"/>
      <c r="CF159" s="142"/>
      <c r="CL159" s="142"/>
      <c r="CR159" s="142"/>
      <c r="CX159" s="142"/>
      <c r="DD159" s="142"/>
      <c r="DJ159" s="142"/>
      <c r="DP159" s="142"/>
      <c r="DV159" s="142"/>
      <c r="EB159" s="142"/>
    </row>
    <row r="160">
      <c r="F160" s="142"/>
      <c r="L160" s="142"/>
      <c r="R160" s="142"/>
      <c r="X160" s="142"/>
      <c r="AD160" s="142"/>
      <c r="AJ160" s="142"/>
      <c r="AP160" s="142"/>
      <c r="AV160" s="142"/>
      <c r="BB160" s="142"/>
      <c r="BH160" s="142"/>
      <c r="BN160" s="142"/>
      <c r="BT160" s="142"/>
      <c r="BZ160" s="142"/>
      <c r="CF160" s="142"/>
      <c r="CL160" s="142"/>
      <c r="CR160" s="142"/>
      <c r="CX160" s="142"/>
      <c r="DD160" s="142"/>
      <c r="DJ160" s="142"/>
      <c r="DP160" s="142"/>
      <c r="DV160" s="142"/>
      <c r="EB160" s="142"/>
    </row>
    <row r="161">
      <c r="F161" s="142"/>
      <c r="L161" s="142"/>
      <c r="R161" s="142"/>
      <c r="X161" s="142"/>
      <c r="AD161" s="142"/>
      <c r="AJ161" s="142"/>
      <c r="AP161" s="142"/>
      <c r="AV161" s="142"/>
      <c r="BB161" s="142"/>
      <c r="BH161" s="142"/>
      <c r="BN161" s="142"/>
      <c r="BT161" s="142"/>
      <c r="BZ161" s="142"/>
      <c r="CF161" s="142"/>
      <c r="CL161" s="142"/>
      <c r="CR161" s="142"/>
      <c r="CX161" s="142"/>
      <c r="DD161" s="142"/>
      <c r="DJ161" s="142"/>
      <c r="DP161" s="142"/>
      <c r="DV161" s="142"/>
      <c r="EB161" s="142"/>
    </row>
    <row r="162">
      <c r="F162" s="142"/>
      <c r="L162" s="142"/>
      <c r="R162" s="142"/>
      <c r="X162" s="142"/>
      <c r="AD162" s="142"/>
      <c r="AJ162" s="142"/>
      <c r="AP162" s="142"/>
      <c r="AV162" s="142"/>
      <c r="BB162" s="142"/>
      <c r="BH162" s="142"/>
      <c r="BN162" s="142"/>
      <c r="BT162" s="142"/>
      <c r="BZ162" s="142"/>
      <c r="CF162" s="142"/>
      <c r="CL162" s="142"/>
      <c r="CR162" s="142"/>
      <c r="CX162" s="142"/>
      <c r="DD162" s="142"/>
      <c r="DJ162" s="142"/>
      <c r="DP162" s="142"/>
      <c r="DV162" s="142"/>
      <c r="EB162" s="142"/>
    </row>
    <row r="163">
      <c r="F163" s="142"/>
      <c r="L163" s="142"/>
      <c r="R163" s="142"/>
      <c r="X163" s="142"/>
      <c r="AD163" s="142"/>
      <c r="AJ163" s="142"/>
      <c r="AP163" s="142"/>
      <c r="AV163" s="142"/>
      <c r="BB163" s="142"/>
      <c r="BH163" s="142"/>
      <c r="BN163" s="142"/>
      <c r="BT163" s="142"/>
      <c r="BZ163" s="142"/>
      <c r="CF163" s="142"/>
      <c r="CL163" s="142"/>
      <c r="CR163" s="142"/>
      <c r="CX163" s="142"/>
      <c r="DD163" s="142"/>
      <c r="DJ163" s="142"/>
      <c r="DP163" s="142"/>
      <c r="DV163" s="142"/>
      <c r="EB163" s="142"/>
    </row>
    <row r="164">
      <c r="F164" s="142"/>
      <c r="L164" s="142"/>
      <c r="R164" s="142"/>
      <c r="X164" s="142"/>
      <c r="AD164" s="142"/>
      <c r="AJ164" s="142"/>
      <c r="AP164" s="142"/>
      <c r="AV164" s="142"/>
      <c r="BB164" s="142"/>
      <c r="BH164" s="142"/>
      <c r="BN164" s="142"/>
      <c r="BT164" s="142"/>
      <c r="BZ164" s="142"/>
      <c r="CF164" s="142"/>
      <c r="CL164" s="142"/>
      <c r="CR164" s="142"/>
      <c r="CX164" s="142"/>
      <c r="DD164" s="142"/>
      <c r="DJ164" s="142"/>
      <c r="DP164" s="142"/>
      <c r="DV164" s="142"/>
      <c r="EB164" s="142"/>
    </row>
    <row r="165">
      <c r="F165" s="142"/>
      <c r="L165" s="142"/>
      <c r="R165" s="142"/>
      <c r="X165" s="142"/>
      <c r="AD165" s="142"/>
      <c r="AJ165" s="142"/>
      <c r="AP165" s="142"/>
      <c r="AV165" s="142"/>
      <c r="BB165" s="142"/>
      <c r="BH165" s="142"/>
      <c r="BN165" s="142"/>
      <c r="BT165" s="142"/>
      <c r="BZ165" s="142"/>
      <c r="CF165" s="142"/>
      <c r="CL165" s="142"/>
      <c r="CR165" s="142"/>
      <c r="CX165" s="142"/>
      <c r="DD165" s="142"/>
      <c r="DJ165" s="142"/>
      <c r="DP165" s="142"/>
      <c r="DV165" s="142"/>
      <c r="EB165" s="142"/>
    </row>
    <row r="166">
      <c r="F166" s="142"/>
      <c r="L166" s="142"/>
      <c r="R166" s="142"/>
      <c r="X166" s="142"/>
      <c r="AD166" s="142"/>
      <c r="AJ166" s="142"/>
      <c r="AP166" s="142"/>
      <c r="AV166" s="142"/>
      <c r="BB166" s="142"/>
      <c r="BH166" s="142"/>
      <c r="BN166" s="142"/>
      <c r="BT166" s="142"/>
      <c r="BZ166" s="142"/>
      <c r="CF166" s="142"/>
      <c r="CL166" s="142"/>
      <c r="CR166" s="142"/>
      <c r="CX166" s="142"/>
      <c r="DD166" s="142"/>
      <c r="DJ166" s="142"/>
      <c r="DP166" s="142"/>
      <c r="DV166" s="142"/>
      <c r="EB166" s="142"/>
    </row>
    <row r="167">
      <c r="F167" s="142"/>
      <c r="L167" s="142"/>
      <c r="R167" s="142"/>
      <c r="X167" s="142"/>
      <c r="AD167" s="142"/>
      <c r="AJ167" s="142"/>
      <c r="AP167" s="142"/>
      <c r="AV167" s="142"/>
      <c r="BB167" s="142"/>
      <c r="BH167" s="142"/>
      <c r="BN167" s="142"/>
      <c r="BT167" s="142"/>
      <c r="BZ167" s="142"/>
      <c r="CF167" s="142"/>
      <c r="CL167" s="142"/>
      <c r="CR167" s="142"/>
      <c r="CX167" s="142"/>
      <c r="DD167" s="142"/>
      <c r="DJ167" s="142"/>
      <c r="DP167" s="142"/>
      <c r="DV167" s="142"/>
      <c r="EB167" s="142"/>
    </row>
    <row r="168">
      <c r="F168" s="142"/>
      <c r="L168" s="142"/>
      <c r="R168" s="142"/>
      <c r="X168" s="142"/>
      <c r="AD168" s="142"/>
      <c r="AJ168" s="142"/>
      <c r="AP168" s="142"/>
      <c r="AV168" s="142"/>
      <c r="BB168" s="142"/>
      <c r="BH168" s="142"/>
      <c r="BN168" s="142"/>
      <c r="BT168" s="142"/>
      <c r="BZ168" s="142"/>
      <c r="CF168" s="142"/>
      <c r="CL168" s="142"/>
      <c r="CR168" s="142"/>
      <c r="CX168" s="142"/>
      <c r="DD168" s="142"/>
      <c r="DJ168" s="142"/>
      <c r="DP168" s="142"/>
      <c r="DV168" s="142"/>
      <c r="EB168" s="142"/>
    </row>
    <row r="169">
      <c r="F169" s="142"/>
      <c r="L169" s="142"/>
      <c r="R169" s="142"/>
      <c r="X169" s="142"/>
      <c r="AD169" s="142"/>
      <c r="AJ169" s="142"/>
      <c r="AP169" s="142"/>
      <c r="AV169" s="142"/>
      <c r="BB169" s="142"/>
      <c r="BH169" s="142"/>
      <c r="BN169" s="142"/>
      <c r="BT169" s="142"/>
      <c r="BZ169" s="142"/>
      <c r="CF169" s="142"/>
      <c r="CL169" s="142"/>
      <c r="CR169" s="142"/>
      <c r="CX169" s="142"/>
      <c r="DD169" s="142"/>
      <c r="DJ169" s="142"/>
      <c r="DP169" s="142"/>
      <c r="DV169" s="142"/>
      <c r="EB169" s="142"/>
    </row>
    <row r="170">
      <c r="F170" s="142"/>
      <c r="L170" s="142"/>
      <c r="R170" s="142"/>
      <c r="X170" s="142"/>
      <c r="AD170" s="142"/>
      <c r="AJ170" s="142"/>
      <c r="AP170" s="142"/>
      <c r="AV170" s="142"/>
      <c r="BB170" s="142"/>
      <c r="BH170" s="142"/>
      <c r="BN170" s="142"/>
      <c r="BT170" s="142"/>
      <c r="BZ170" s="142"/>
      <c r="CF170" s="142"/>
      <c r="CL170" s="142"/>
      <c r="CR170" s="142"/>
      <c r="CX170" s="142"/>
      <c r="DD170" s="142"/>
      <c r="DJ170" s="142"/>
      <c r="DP170" s="142"/>
      <c r="DV170" s="142"/>
      <c r="EB170" s="142"/>
    </row>
    <row r="171">
      <c r="F171" s="142"/>
      <c r="L171" s="142"/>
      <c r="R171" s="142"/>
      <c r="X171" s="142"/>
      <c r="AD171" s="142"/>
      <c r="AJ171" s="142"/>
      <c r="AP171" s="142"/>
      <c r="AV171" s="142"/>
      <c r="BB171" s="142"/>
      <c r="BH171" s="142"/>
      <c r="BN171" s="142"/>
      <c r="BT171" s="142"/>
      <c r="BZ171" s="142"/>
      <c r="CF171" s="142"/>
      <c r="CL171" s="142"/>
      <c r="CR171" s="142"/>
      <c r="CX171" s="142"/>
      <c r="DD171" s="142"/>
      <c r="DJ171" s="142"/>
      <c r="DP171" s="142"/>
      <c r="DV171" s="142"/>
      <c r="EB171" s="142"/>
    </row>
    <row r="172">
      <c r="F172" s="142"/>
      <c r="L172" s="142"/>
      <c r="R172" s="142"/>
      <c r="X172" s="142"/>
      <c r="AD172" s="142"/>
      <c r="AJ172" s="142"/>
      <c r="AP172" s="142"/>
      <c r="AV172" s="142"/>
      <c r="BB172" s="142"/>
      <c r="BH172" s="142"/>
      <c r="BN172" s="142"/>
      <c r="BT172" s="142"/>
      <c r="BZ172" s="142"/>
      <c r="CF172" s="142"/>
      <c r="CL172" s="142"/>
      <c r="CR172" s="142"/>
      <c r="CX172" s="142"/>
      <c r="DD172" s="142"/>
      <c r="DJ172" s="142"/>
      <c r="DP172" s="142"/>
      <c r="DV172" s="142"/>
      <c r="EB172" s="142"/>
    </row>
    <row r="173">
      <c r="F173" s="142"/>
      <c r="L173" s="142"/>
      <c r="R173" s="142"/>
      <c r="X173" s="142"/>
      <c r="AD173" s="142"/>
      <c r="AJ173" s="142"/>
      <c r="AP173" s="142"/>
      <c r="AV173" s="142"/>
      <c r="BB173" s="142"/>
      <c r="BH173" s="142"/>
      <c r="BN173" s="142"/>
      <c r="BT173" s="142"/>
      <c r="BZ173" s="142"/>
      <c r="CF173" s="142"/>
      <c r="CL173" s="142"/>
      <c r="CR173" s="142"/>
      <c r="CX173" s="142"/>
      <c r="DD173" s="142"/>
      <c r="DJ173" s="142"/>
      <c r="DP173" s="142"/>
      <c r="DV173" s="142"/>
      <c r="EB173" s="142"/>
    </row>
    <row r="174">
      <c r="F174" s="142"/>
      <c r="L174" s="142"/>
      <c r="R174" s="142"/>
      <c r="X174" s="142"/>
      <c r="AD174" s="142"/>
      <c r="AJ174" s="142"/>
      <c r="AP174" s="142"/>
      <c r="AV174" s="142"/>
      <c r="BB174" s="142"/>
      <c r="BH174" s="142"/>
      <c r="BN174" s="142"/>
      <c r="BT174" s="142"/>
      <c r="BZ174" s="142"/>
      <c r="CF174" s="142"/>
      <c r="CL174" s="142"/>
      <c r="CR174" s="142"/>
      <c r="CX174" s="142"/>
      <c r="DD174" s="142"/>
      <c r="DJ174" s="142"/>
      <c r="DP174" s="142"/>
      <c r="DV174" s="142"/>
      <c r="EB174" s="142"/>
    </row>
    <row r="175">
      <c r="F175" s="142"/>
      <c r="L175" s="142"/>
      <c r="R175" s="142"/>
      <c r="X175" s="142"/>
      <c r="AD175" s="142"/>
      <c r="AJ175" s="142"/>
      <c r="AP175" s="142"/>
      <c r="AV175" s="142"/>
      <c r="BB175" s="142"/>
      <c r="BH175" s="142"/>
      <c r="BN175" s="142"/>
      <c r="BT175" s="142"/>
      <c r="BZ175" s="142"/>
      <c r="CF175" s="142"/>
      <c r="CL175" s="142"/>
      <c r="CR175" s="142"/>
      <c r="CX175" s="142"/>
      <c r="DD175" s="142"/>
      <c r="DJ175" s="142"/>
      <c r="DP175" s="142"/>
      <c r="DV175" s="142"/>
      <c r="EB175" s="142"/>
    </row>
    <row r="176">
      <c r="F176" s="142"/>
      <c r="L176" s="142"/>
      <c r="R176" s="142"/>
      <c r="X176" s="142"/>
      <c r="AD176" s="142"/>
      <c r="AJ176" s="142"/>
      <c r="AP176" s="142"/>
      <c r="AV176" s="142"/>
      <c r="BB176" s="142"/>
      <c r="BH176" s="142"/>
      <c r="BN176" s="142"/>
      <c r="BT176" s="142"/>
      <c r="BZ176" s="142"/>
      <c r="CF176" s="142"/>
      <c r="CL176" s="142"/>
      <c r="CR176" s="142"/>
      <c r="CX176" s="142"/>
      <c r="DD176" s="142"/>
      <c r="DJ176" s="142"/>
      <c r="DP176" s="142"/>
      <c r="DV176" s="142"/>
      <c r="EB176" s="142"/>
    </row>
    <row r="177">
      <c r="F177" s="142"/>
      <c r="L177" s="142"/>
      <c r="R177" s="142"/>
      <c r="X177" s="142"/>
      <c r="AD177" s="142"/>
      <c r="AJ177" s="142"/>
      <c r="AP177" s="142"/>
      <c r="AV177" s="142"/>
      <c r="BB177" s="142"/>
      <c r="BH177" s="142"/>
      <c r="BN177" s="142"/>
      <c r="BT177" s="142"/>
      <c r="BZ177" s="142"/>
      <c r="CF177" s="142"/>
      <c r="CL177" s="142"/>
      <c r="CR177" s="142"/>
      <c r="CX177" s="142"/>
      <c r="DD177" s="142"/>
      <c r="DJ177" s="142"/>
      <c r="DP177" s="142"/>
      <c r="DV177" s="142"/>
      <c r="EB177" s="142"/>
    </row>
    <row r="178">
      <c r="F178" s="142"/>
      <c r="L178" s="142"/>
      <c r="R178" s="142"/>
      <c r="X178" s="142"/>
      <c r="AD178" s="142"/>
      <c r="AJ178" s="142"/>
      <c r="AP178" s="142"/>
      <c r="AV178" s="142"/>
      <c r="BB178" s="142"/>
      <c r="BH178" s="142"/>
      <c r="BN178" s="142"/>
      <c r="BT178" s="142"/>
      <c r="BZ178" s="142"/>
      <c r="CF178" s="142"/>
      <c r="CL178" s="142"/>
      <c r="CR178" s="142"/>
      <c r="CX178" s="142"/>
      <c r="DD178" s="142"/>
      <c r="DJ178" s="142"/>
      <c r="DP178" s="142"/>
      <c r="DV178" s="142"/>
      <c r="EB178" s="142"/>
    </row>
    <row r="179">
      <c r="F179" s="142"/>
      <c r="L179" s="142"/>
      <c r="R179" s="142"/>
      <c r="X179" s="142"/>
      <c r="AD179" s="142"/>
      <c r="AJ179" s="142"/>
      <c r="AP179" s="142"/>
      <c r="AV179" s="142"/>
      <c r="BB179" s="142"/>
      <c r="BH179" s="142"/>
      <c r="BN179" s="142"/>
      <c r="BT179" s="142"/>
      <c r="BZ179" s="142"/>
      <c r="CF179" s="142"/>
      <c r="CL179" s="142"/>
      <c r="CR179" s="142"/>
      <c r="CX179" s="142"/>
      <c r="DD179" s="142"/>
      <c r="DJ179" s="142"/>
      <c r="DP179" s="142"/>
      <c r="DV179" s="142"/>
      <c r="EB179" s="142"/>
    </row>
    <row r="180">
      <c r="F180" s="142"/>
      <c r="L180" s="142"/>
      <c r="R180" s="142"/>
      <c r="X180" s="142"/>
      <c r="AD180" s="142"/>
      <c r="AJ180" s="142"/>
      <c r="AP180" s="142"/>
      <c r="AV180" s="142"/>
      <c r="BB180" s="142"/>
      <c r="BH180" s="142"/>
      <c r="BN180" s="142"/>
      <c r="BT180" s="142"/>
      <c r="BZ180" s="142"/>
      <c r="CF180" s="142"/>
      <c r="CL180" s="142"/>
      <c r="CR180" s="142"/>
      <c r="CX180" s="142"/>
      <c r="DD180" s="142"/>
      <c r="DJ180" s="142"/>
      <c r="DP180" s="142"/>
      <c r="DV180" s="142"/>
      <c r="EB180" s="142"/>
    </row>
    <row r="181">
      <c r="F181" s="142"/>
      <c r="L181" s="142"/>
      <c r="R181" s="142"/>
      <c r="X181" s="142"/>
      <c r="AD181" s="142"/>
      <c r="AJ181" s="142"/>
      <c r="AP181" s="142"/>
      <c r="AV181" s="142"/>
      <c r="BB181" s="142"/>
      <c r="BH181" s="142"/>
      <c r="BN181" s="142"/>
      <c r="BT181" s="142"/>
      <c r="BZ181" s="142"/>
      <c r="CF181" s="142"/>
      <c r="CL181" s="142"/>
      <c r="CR181" s="142"/>
      <c r="CX181" s="142"/>
      <c r="DD181" s="142"/>
      <c r="DJ181" s="142"/>
      <c r="DP181" s="142"/>
      <c r="DV181" s="142"/>
      <c r="EB181" s="142"/>
    </row>
    <row r="182">
      <c r="F182" s="142"/>
      <c r="L182" s="142"/>
      <c r="R182" s="142"/>
      <c r="X182" s="142"/>
      <c r="AD182" s="142"/>
      <c r="AJ182" s="142"/>
      <c r="AP182" s="142"/>
      <c r="AV182" s="142"/>
      <c r="BB182" s="142"/>
      <c r="BH182" s="142"/>
      <c r="BN182" s="142"/>
      <c r="BT182" s="142"/>
      <c r="BZ182" s="142"/>
      <c r="CF182" s="142"/>
      <c r="CL182" s="142"/>
      <c r="CR182" s="142"/>
      <c r="CX182" s="142"/>
      <c r="DD182" s="142"/>
      <c r="DJ182" s="142"/>
      <c r="DP182" s="142"/>
      <c r="DV182" s="142"/>
      <c r="EB182" s="142"/>
    </row>
    <row r="183">
      <c r="F183" s="142"/>
      <c r="L183" s="142"/>
      <c r="R183" s="142"/>
      <c r="X183" s="142"/>
      <c r="AD183" s="142"/>
      <c r="AJ183" s="142"/>
      <c r="AP183" s="142"/>
      <c r="AV183" s="142"/>
      <c r="BB183" s="142"/>
      <c r="BH183" s="142"/>
      <c r="BN183" s="142"/>
      <c r="BT183" s="142"/>
      <c r="BZ183" s="142"/>
      <c r="CF183" s="142"/>
      <c r="CL183" s="142"/>
      <c r="CR183" s="142"/>
      <c r="CX183" s="142"/>
      <c r="DD183" s="142"/>
      <c r="DJ183" s="142"/>
      <c r="DP183" s="142"/>
      <c r="DV183" s="142"/>
      <c r="EB183" s="142"/>
    </row>
    <row r="184">
      <c r="F184" s="142"/>
      <c r="L184" s="142"/>
      <c r="R184" s="142"/>
      <c r="X184" s="142"/>
      <c r="AD184" s="142"/>
      <c r="AJ184" s="142"/>
      <c r="AP184" s="142"/>
      <c r="AV184" s="142"/>
      <c r="BB184" s="142"/>
      <c r="BH184" s="142"/>
      <c r="BN184" s="142"/>
      <c r="BT184" s="142"/>
      <c r="BZ184" s="142"/>
      <c r="CF184" s="142"/>
      <c r="CL184" s="142"/>
      <c r="CR184" s="142"/>
      <c r="CX184" s="142"/>
      <c r="DD184" s="142"/>
      <c r="DJ184" s="142"/>
      <c r="DP184" s="142"/>
      <c r="DV184" s="142"/>
      <c r="EB184" s="142"/>
    </row>
    <row r="185">
      <c r="F185" s="142"/>
      <c r="L185" s="142"/>
      <c r="R185" s="142"/>
      <c r="X185" s="142"/>
      <c r="AD185" s="142"/>
      <c r="AJ185" s="142"/>
      <c r="AP185" s="142"/>
      <c r="AV185" s="142"/>
      <c r="BB185" s="142"/>
      <c r="BH185" s="142"/>
      <c r="BN185" s="142"/>
      <c r="BT185" s="142"/>
      <c r="BZ185" s="142"/>
      <c r="CF185" s="142"/>
      <c r="CL185" s="142"/>
      <c r="CR185" s="142"/>
      <c r="CX185" s="142"/>
      <c r="DD185" s="142"/>
      <c r="DJ185" s="142"/>
      <c r="DP185" s="142"/>
      <c r="DV185" s="142"/>
      <c r="EB185" s="142"/>
    </row>
    <row r="186">
      <c r="F186" s="142"/>
      <c r="L186" s="142"/>
      <c r="R186" s="142"/>
      <c r="X186" s="142"/>
      <c r="AD186" s="142"/>
      <c r="AJ186" s="142"/>
      <c r="AP186" s="142"/>
      <c r="AV186" s="142"/>
      <c r="BB186" s="142"/>
      <c r="BH186" s="142"/>
      <c r="BN186" s="142"/>
      <c r="BT186" s="142"/>
      <c r="BZ186" s="142"/>
      <c r="CF186" s="142"/>
      <c r="CL186" s="142"/>
      <c r="CR186" s="142"/>
      <c r="CX186" s="142"/>
      <c r="DD186" s="142"/>
      <c r="DJ186" s="142"/>
      <c r="DP186" s="142"/>
      <c r="DV186" s="142"/>
      <c r="EB186" s="142"/>
    </row>
    <row r="187">
      <c r="F187" s="142"/>
      <c r="L187" s="142"/>
      <c r="R187" s="142"/>
      <c r="X187" s="142"/>
      <c r="AD187" s="142"/>
      <c r="AJ187" s="142"/>
      <c r="AP187" s="142"/>
      <c r="AV187" s="142"/>
      <c r="BB187" s="142"/>
      <c r="BH187" s="142"/>
      <c r="BN187" s="142"/>
      <c r="BT187" s="142"/>
      <c r="BZ187" s="142"/>
      <c r="CF187" s="142"/>
      <c r="CL187" s="142"/>
      <c r="CR187" s="142"/>
      <c r="CX187" s="142"/>
      <c r="DD187" s="142"/>
      <c r="DJ187" s="142"/>
      <c r="DP187" s="142"/>
      <c r="DV187" s="142"/>
      <c r="EB187" s="142"/>
    </row>
    <row r="188">
      <c r="F188" s="142"/>
      <c r="L188" s="142"/>
      <c r="R188" s="142"/>
      <c r="X188" s="142"/>
      <c r="AD188" s="142"/>
      <c r="AJ188" s="142"/>
      <c r="AP188" s="142"/>
      <c r="AV188" s="142"/>
      <c r="BB188" s="142"/>
      <c r="BH188" s="142"/>
      <c r="BN188" s="142"/>
      <c r="BT188" s="142"/>
      <c r="BZ188" s="142"/>
      <c r="CF188" s="142"/>
      <c r="CL188" s="142"/>
      <c r="CR188" s="142"/>
      <c r="CX188" s="142"/>
      <c r="DD188" s="142"/>
      <c r="DJ188" s="142"/>
      <c r="DP188" s="142"/>
      <c r="DV188" s="142"/>
      <c r="EB188" s="142"/>
    </row>
    <row r="189">
      <c r="F189" s="142"/>
      <c r="L189" s="142"/>
      <c r="R189" s="142"/>
      <c r="X189" s="142"/>
      <c r="AD189" s="142"/>
      <c r="AJ189" s="142"/>
      <c r="AP189" s="142"/>
      <c r="AV189" s="142"/>
      <c r="BB189" s="142"/>
      <c r="BH189" s="142"/>
      <c r="BN189" s="142"/>
      <c r="BT189" s="142"/>
      <c r="BZ189" s="142"/>
      <c r="CF189" s="142"/>
      <c r="CL189" s="142"/>
      <c r="CR189" s="142"/>
      <c r="CX189" s="142"/>
      <c r="DD189" s="142"/>
      <c r="DJ189" s="142"/>
      <c r="DP189" s="142"/>
      <c r="DV189" s="142"/>
      <c r="EB189" s="142"/>
    </row>
    <row r="190">
      <c r="F190" s="142"/>
      <c r="L190" s="142"/>
      <c r="R190" s="142"/>
      <c r="X190" s="142"/>
      <c r="AD190" s="142"/>
      <c r="AJ190" s="142"/>
      <c r="AP190" s="142"/>
      <c r="AV190" s="142"/>
      <c r="BB190" s="142"/>
      <c r="BH190" s="142"/>
      <c r="BN190" s="142"/>
      <c r="BT190" s="142"/>
      <c r="BZ190" s="142"/>
      <c r="CF190" s="142"/>
      <c r="CL190" s="142"/>
      <c r="CR190" s="142"/>
      <c r="CX190" s="142"/>
      <c r="DD190" s="142"/>
      <c r="DJ190" s="142"/>
      <c r="DP190" s="142"/>
      <c r="DV190" s="142"/>
      <c r="EB190" s="142"/>
    </row>
    <row r="191">
      <c r="F191" s="142"/>
      <c r="L191" s="142"/>
      <c r="R191" s="142"/>
      <c r="X191" s="142"/>
      <c r="AD191" s="142"/>
      <c r="AJ191" s="142"/>
      <c r="AP191" s="142"/>
      <c r="AV191" s="142"/>
      <c r="BB191" s="142"/>
      <c r="BH191" s="142"/>
      <c r="BN191" s="142"/>
      <c r="BT191" s="142"/>
      <c r="BZ191" s="142"/>
      <c r="CF191" s="142"/>
      <c r="CL191" s="142"/>
      <c r="CR191" s="142"/>
      <c r="CX191" s="142"/>
      <c r="DD191" s="142"/>
      <c r="DJ191" s="142"/>
      <c r="DP191" s="142"/>
      <c r="DV191" s="142"/>
      <c r="EB191" s="142"/>
    </row>
    <row r="192">
      <c r="F192" s="142"/>
      <c r="L192" s="142"/>
      <c r="R192" s="142"/>
      <c r="X192" s="142"/>
      <c r="AD192" s="142"/>
      <c r="AJ192" s="142"/>
      <c r="AP192" s="142"/>
      <c r="AV192" s="142"/>
      <c r="BB192" s="142"/>
      <c r="BH192" s="142"/>
      <c r="BN192" s="142"/>
      <c r="BT192" s="142"/>
      <c r="BZ192" s="142"/>
      <c r="CF192" s="142"/>
      <c r="CL192" s="142"/>
      <c r="CR192" s="142"/>
      <c r="CX192" s="142"/>
      <c r="DD192" s="142"/>
      <c r="DJ192" s="142"/>
      <c r="DP192" s="142"/>
      <c r="DV192" s="142"/>
      <c r="EB192" s="142"/>
    </row>
    <row r="193">
      <c r="F193" s="142"/>
      <c r="L193" s="142"/>
      <c r="R193" s="142"/>
      <c r="X193" s="142"/>
      <c r="AD193" s="142"/>
      <c r="AJ193" s="142"/>
      <c r="AP193" s="142"/>
      <c r="AV193" s="142"/>
      <c r="BB193" s="142"/>
      <c r="BH193" s="142"/>
      <c r="BN193" s="142"/>
      <c r="BT193" s="142"/>
      <c r="BZ193" s="142"/>
      <c r="CF193" s="142"/>
      <c r="CL193" s="142"/>
      <c r="CR193" s="142"/>
      <c r="CX193" s="142"/>
      <c r="DD193" s="142"/>
      <c r="DJ193" s="142"/>
      <c r="DP193" s="142"/>
      <c r="DV193" s="142"/>
      <c r="EB193" s="142"/>
    </row>
    <row r="194">
      <c r="F194" s="142"/>
      <c r="L194" s="142"/>
      <c r="R194" s="142"/>
      <c r="X194" s="142"/>
      <c r="AD194" s="142"/>
      <c r="AJ194" s="142"/>
      <c r="AP194" s="142"/>
      <c r="AV194" s="142"/>
      <c r="BB194" s="142"/>
      <c r="BH194" s="142"/>
      <c r="BN194" s="142"/>
      <c r="BT194" s="142"/>
      <c r="BZ194" s="142"/>
      <c r="CF194" s="142"/>
      <c r="CL194" s="142"/>
      <c r="CR194" s="142"/>
      <c r="CX194" s="142"/>
      <c r="DD194" s="142"/>
      <c r="DJ194" s="142"/>
      <c r="DP194" s="142"/>
      <c r="DV194" s="142"/>
      <c r="EB194" s="142"/>
    </row>
    <row r="195">
      <c r="F195" s="142"/>
      <c r="L195" s="142"/>
      <c r="R195" s="142"/>
      <c r="X195" s="142"/>
      <c r="AD195" s="142"/>
      <c r="AJ195" s="142"/>
      <c r="AP195" s="142"/>
      <c r="AV195" s="142"/>
      <c r="BB195" s="142"/>
      <c r="BH195" s="142"/>
      <c r="BN195" s="142"/>
      <c r="BT195" s="142"/>
      <c r="BZ195" s="142"/>
      <c r="CF195" s="142"/>
      <c r="CL195" s="142"/>
      <c r="CR195" s="142"/>
      <c r="CX195" s="142"/>
      <c r="DD195" s="142"/>
      <c r="DJ195" s="142"/>
      <c r="DP195" s="142"/>
      <c r="DV195" s="142"/>
      <c r="EB195" s="142"/>
    </row>
    <row r="196">
      <c r="F196" s="142"/>
      <c r="L196" s="142"/>
      <c r="R196" s="142"/>
      <c r="X196" s="142"/>
      <c r="AD196" s="142"/>
      <c r="AJ196" s="142"/>
      <c r="AP196" s="142"/>
      <c r="AV196" s="142"/>
      <c r="BB196" s="142"/>
      <c r="BH196" s="142"/>
      <c r="BN196" s="142"/>
      <c r="BT196" s="142"/>
      <c r="BZ196" s="142"/>
      <c r="CF196" s="142"/>
      <c r="CL196" s="142"/>
      <c r="CR196" s="142"/>
      <c r="CX196" s="142"/>
      <c r="DD196" s="142"/>
      <c r="DJ196" s="142"/>
      <c r="DP196" s="142"/>
      <c r="DV196" s="142"/>
      <c r="EB196" s="142"/>
    </row>
    <row r="197">
      <c r="F197" s="142"/>
      <c r="L197" s="142"/>
      <c r="R197" s="142"/>
      <c r="X197" s="142"/>
      <c r="AD197" s="142"/>
      <c r="AJ197" s="142"/>
      <c r="AP197" s="142"/>
      <c r="AV197" s="142"/>
      <c r="BB197" s="142"/>
      <c r="BH197" s="142"/>
      <c r="BN197" s="142"/>
      <c r="BT197" s="142"/>
      <c r="BZ197" s="142"/>
      <c r="CF197" s="142"/>
      <c r="CL197" s="142"/>
      <c r="CR197" s="142"/>
      <c r="CX197" s="142"/>
      <c r="DD197" s="142"/>
      <c r="DJ197" s="142"/>
      <c r="DP197" s="142"/>
      <c r="DV197" s="142"/>
      <c r="EB197" s="142"/>
    </row>
    <row r="198">
      <c r="F198" s="142"/>
      <c r="L198" s="142"/>
      <c r="R198" s="142"/>
      <c r="X198" s="142"/>
      <c r="AD198" s="142"/>
      <c r="AJ198" s="142"/>
      <c r="AP198" s="142"/>
      <c r="AV198" s="142"/>
      <c r="BB198" s="142"/>
      <c r="BH198" s="142"/>
      <c r="BN198" s="142"/>
      <c r="BT198" s="142"/>
      <c r="BZ198" s="142"/>
      <c r="CF198" s="142"/>
      <c r="CL198" s="142"/>
      <c r="CR198" s="142"/>
      <c r="CX198" s="142"/>
      <c r="DD198" s="142"/>
      <c r="DJ198" s="142"/>
      <c r="DP198" s="142"/>
      <c r="DV198" s="142"/>
      <c r="EB198" s="142"/>
    </row>
    <row r="199">
      <c r="F199" s="142"/>
      <c r="L199" s="142"/>
      <c r="R199" s="142"/>
      <c r="X199" s="142"/>
      <c r="AD199" s="142"/>
      <c r="AJ199" s="142"/>
      <c r="AP199" s="142"/>
      <c r="AV199" s="142"/>
      <c r="BB199" s="142"/>
      <c r="BH199" s="142"/>
      <c r="BN199" s="142"/>
      <c r="BT199" s="142"/>
      <c r="BZ199" s="142"/>
      <c r="CF199" s="142"/>
      <c r="CL199" s="142"/>
      <c r="CR199" s="142"/>
      <c r="CX199" s="142"/>
      <c r="DD199" s="142"/>
      <c r="DJ199" s="142"/>
      <c r="DP199" s="142"/>
      <c r="DV199" s="142"/>
      <c r="EB199" s="142"/>
    </row>
    <row r="200">
      <c r="F200" s="142"/>
      <c r="L200" s="142"/>
      <c r="R200" s="142"/>
      <c r="X200" s="142"/>
      <c r="AD200" s="142"/>
      <c r="AJ200" s="142"/>
      <c r="AP200" s="142"/>
      <c r="AV200" s="142"/>
      <c r="BB200" s="142"/>
      <c r="BH200" s="142"/>
      <c r="BN200" s="142"/>
      <c r="BT200" s="142"/>
      <c r="BZ200" s="142"/>
      <c r="CF200" s="142"/>
      <c r="CL200" s="142"/>
      <c r="CR200" s="142"/>
      <c r="CX200" s="142"/>
      <c r="DD200" s="142"/>
      <c r="DJ200" s="142"/>
      <c r="DP200" s="142"/>
      <c r="DV200" s="142"/>
      <c r="EB200" s="142"/>
    </row>
    <row r="201">
      <c r="F201" s="142"/>
      <c r="L201" s="142"/>
      <c r="R201" s="142"/>
      <c r="X201" s="142"/>
      <c r="AD201" s="142"/>
      <c r="AJ201" s="142"/>
      <c r="AP201" s="142"/>
      <c r="AV201" s="142"/>
      <c r="BB201" s="142"/>
      <c r="BH201" s="142"/>
      <c r="BN201" s="142"/>
      <c r="BT201" s="142"/>
      <c r="BZ201" s="142"/>
      <c r="CF201" s="142"/>
      <c r="CL201" s="142"/>
      <c r="CR201" s="142"/>
      <c r="CX201" s="142"/>
      <c r="DD201" s="142"/>
      <c r="DJ201" s="142"/>
      <c r="DP201" s="142"/>
      <c r="DV201" s="142"/>
      <c r="EB201" s="142"/>
    </row>
    <row r="202">
      <c r="F202" s="142"/>
      <c r="L202" s="142"/>
      <c r="R202" s="142"/>
      <c r="X202" s="142"/>
      <c r="AD202" s="142"/>
      <c r="AJ202" s="142"/>
      <c r="AP202" s="142"/>
      <c r="AV202" s="142"/>
      <c r="BB202" s="142"/>
      <c r="BH202" s="142"/>
      <c r="BN202" s="142"/>
      <c r="BT202" s="142"/>
      <c r="BZ202" s="142"/>
      <c r="CF202" s="142"/>
      <c r="CL202" s="142"/>
      <c r="CR202" s="142"/>
      <c r="CX202" s="142"/>
      <c r="DD202" s="142"/>
      <c r="DJ202" s="142"/>
      <c r="DP202" s="142"/>
      <c r="DV202" s="142"/>
      <c r="EB202" s="142"/>
    </row>
    <row r="203">
      <c r="F203" s="142"/>
      <c r="L203" s="142"/>
      <c r="R203" s="142"/>
      <c r="X203" s="142"/>
      <c r="AD203" s="142"/>
      <c r="AJ203" s="142"/>
      <c r="AP203" s="142"/>
      <c r="AV203" s="142"/>
      <c r="BB203" s="142"/>
      <c r="BH203" s="142"/>
      <c r="BN203" s="142"/>
      <c r="BT203" s="142"/>
      <c r="BZ203" s="142"/>
      <c r="CF203" s="142"/>
      <c r="CL203" s="142"/>
      <c r="CR203" s="142"/>
      <c r="CX203" s="142"/>
      <c r="DD203" s="142"/>
      <c r="DJ203" s="142"/>
      <c r="DP203" s="142"/>
      <c r="DV203" s="142"/>
      <c r="EB203" s="142"/>
    </row>
    <row r="204">
      <c r="F204" s="142"/>
      <c r="L204" s="142"/>
      <c r="R204" s="142"/>
      <c r="X204" s="142"/>
      <c r="AD204" s="142"/>
      <c r="AJ204" s="142"/>
      <c r="AP204" s="142"/>
      <c r="AV204" s="142"/>
      <c r="BB204" s="142"/>
      <c r="BH204" s="142"/>
      <c r="BN204" s="142"/>
      <c r="BT204" s="142"/>
      <c r="BZ204" s="142"/>
      <c r="CF204" s="142"/>
      <c r="CL204" s="142"/>
      <c r="CR204" s="142"/>
      <c r="CX204" s="142"/>
      <c r="DD204" s="142"/>
      <c r="DJ204" s="142"/>
      <c r="DP204" s="142"/>
      <c r="DV204" s="142"/>
      <c r="EB204" s="142"/>
    </row>
    <row r="205">
      <c r="F205" s="142"/>
      <c r="L205" s="142"/>
      <c r="R205" s="142"/>
      <c r="X205" s="142"/>
      <c r="AD205" s="142"/>
      <c r="AJ205" s="142"/>
      <c r="AP205" s="142"/>
      <c r="AV205" s="142"/>
      <c r="BB205" s="142"/>
      <c r="BH205" s="142"/>
      <c r="BN205" s="142"/>
      <c r="BT205" s="142"/>
      <c r="BZ205" s="142"/>
      <c r="CF205" s="142"/>
      <c r="CL205" s="142"/>
      <c r="CR205" s="142"/>
      <c r="CX205" s="142"/>
      <c r="DD205" s="142"/>
      <c r="DJ205" s="142"/>
      <c r="DP205" s="142"/>
      <c r="DV205" s="142"/>
      <c r="EB205" s="142"/>
    </row>
    <row r="206">
      <c r="F206" s="142"/>
      <c r="L206" s="142"/>
      <c r="R206" s="142"/>
      <c r="X206" s="142"/>
      <c r="AD206" s="142"/>
      <c r="AJ206" s="142"/>
      <c r="AP206" s="142"/>
      <c r="AV206" s="142"/>
      <c r="BB206" s="142"/>
      <c r="BH206" s="142"/>
      <c r="BN206" s="142"/>
      <c r="BT206" s="142"/>
      <c r="BZ206" s="142"/>
      <c r="CF206" s="142"/>
      <c r="CL206" s="142"/>
      <c r="CR206" s="142"/>
      <c r="CX206" s="142"/>
      <c r="DD206" s="142"/>
      <c r="DJ206" s="142"/>
      <c r="DP206" s="142"/>
      <c r="DV206" s="142"/>
      <c r="EB206" s="142"/>
    </row>
    <row r="207">
      <c r="F207" s="142"/>
      <c r="L207" s="142"/>
      <c r="R207" s="142"/>
      <c r="X207" s="142"/>
      <c r="AD207" s="142"/>
      <c r="AJ207" s="142"/>
      <c r="AP207" s="142"/>
      <c r="AV207" s="142"/>
      <c r="BB207" s="142"/>
      <c r="BH207" s="142"/>
      <c r="BN207" s="142"/>
      <c r="BT207" s="142"/>
      <c r="BZ207" s="142"/>
      <c r="CF207" s="142"/>
      <c r="CL207" s="142"/>
      <c r="CR207" s="142"/>
      <c r="CX207" s="142"/>
      <c r="DD207" s="142"/>
      <c r="DJ207" s="142"/>
      <c r="DP207" s="142"/>
      <c r="DV207" s="142"/>
      <c r="EB207" s="142"/>
    </row>
    <row r="208">
      <c r="F208" s="142"/>
      <c r="L208" s="142"/>
      <c r="R208" s="142"/>
      <c r="X208" s="142"/>
      <c r="AD208" s="142"/>
      <c r="AJ208" s="142"/>
      <c r="AP208" s="142"/>
      <c r="AV208" s="142"/>
      <c r="BB208" s="142"/>
      <c r="BH208" s="142"/>
      <c r="BN208" s="142"/>
      <c r="BT208" s="142"/>
      <c r="BZ208" s="142"/>
      <c r="CF208" s="142"/>
      <c r="CL208" s="142"/>
      <c r="CR208" s="142"/>
      <c r="CX208" s="142"/>
      <c r="DD208" s="142"/>
      <c r="DJ208" s="142"/>
      <c r="DP208" s="142"/>
      <c r="DV208" s="142"/>
      <c r="EB208" s="142"/>
    </row>
    <row r="209">
      <c r="F209" s="142"/>
      <c r="L209" s="142"/>
      <c r="R209" s="142"/>
      <c r="X209" s="142"/>
      <c r="AD209" s="142"/>
      <c r="AJ209" s="142"/>
      <c r="AP209" s="142"/>
      <c r="AV209" s="142"/>
      <c r="BB209" s="142"/>
      <c r="BH209" s="142"/>
      <c r="BN209" s="142"/>
      <c r="BT209" s="142"/>
      <c r="BZ209" s="142"/>
      <c r="CF209" s="142"/>
      <c r="CL209" s="142"/>
      <c r="CR209" s="142"/>
      <c r="CX209" s="142"/>
      <c r="DD209" s="142"/>
      <c r="DJ209" s="142"/>
      <c r="DP209" s="142"/>
      <c r="DV209" s="142"/>
      <c r="EB209" s="142"/>
    </row>
    <row r="210">
      <c r="F210" s="142"/>
      <c r="L210" s="142"/>
      <c r="R210" s="142"/>
      <c r="X210" s="142"/>
      <c r="AD210" s="142"/>
      <c r="AJ210" s="142"/>
      <c r="AP210" s="142"/>
      <c r="AV210" s="142"/>
      <c r="BB210" s="142"/>
      <c r="BH210" s="142"/>
      <c r="BN210" s="142"/>
      <c r="BT210" s="142"/>
      <c r="BZ210" s="142"/>
      <c r="CF210" s="142"/>
      <c r="CL210" s="142"/>
      <c r="CR210" s="142"/>
      <c r="CX210" s="142"/>
      <c r="DD210" s="142"/>
      <c r="DJ210" s="142"/>
      <c r="DP210" s="142"/>
      <c r="DV210" s="142"/>
      <c r="EB210" s="142"/>
    </row>
    <row r="211">
      <c r="F211" s="142"/>
      <c r="L211" s="142"/>
      <c r="R211" s="142"/>
      <c r="X211" s="142"/>
      <c r="AD211" s="142"/>
      <c r="AJ211" s="142"/>
      <c r="AP211" s="142"/>
      <c r="AV211" s="142"/>
      <c r="BB211" s="142"/>
      <c r="BH211" s="142"/>
      <c r="BN211" s="142"/>
      <c r="BT211" s="142"/>
      <c r="BZ211" s="142"/>
      <c r="CF211" s="142"/>
      <c r="CL211" s="142"/>
      <c r="CR211" s="142"/>
      <c r="CX211" s="142"/>
      <c r="DD211" s="142"/>
      <c r="DJ211" s="142"/>
      <c r="DP211" s="142"/>
      <c r="DV211" s="142"/>
      <c r="EB211" s="142"/>
    </row>
    <row r="212">
      <c r="F212" s="142"/>
      <c r="L212" s="142"/>
      <c r="R212" s="142"/>
      <c r="X212" s="142"/>
      <c r="AD212" s="142"/>
      <c r="AJ212" s="142"/>
      <c r="AP212" s="142"/>
      <c r="AV212" s="142"/>
      <c r="BB212" s="142"/>
      <c r="BH212" s="142"/>
      <c r="BN212" s="142"/>
      <c r="BT212" s="142"/>
      <c r="BZ212" s="142"/>
      <c r="CF212" s="142"/>
      <c r="CL212" s="142"/>
      <c r="CR212" s="142"/>
      <c r="CX212" s="142"/>
      <c r="DD212" s="142"/>
      <c r="DJ212" s="142"/>
      <c r="DP212" s="142"/>
      <c r="DV212" s="142"/>
      <c r="EB212" s="142"/>
    </row>
    <row r="213">
      <c r="F213" s="142"/>
      <c r="L213" s="142"/>
      <c r="R213" s="142"/>
      <c r="X213" s="142"/>
      <c r="AD213" s="142"/>
      <c r="AJ213" s="142"/>
      <c r="AP213" s="142"/>
      <c r="AV213" s="142"/>
      <c r="BB213" s="142"/>
      <c r="BH213" s="142"/>
      <c r="BN213" s="142"/>
      <c r="BT213" s="142"/>
      <c r="BZ213" s="142"/>
      <c r="CF213" s="142"/>
      <c r="CL213" s="142"/>
      <c r="CR213" s="142"/>
      <c r="CX213" s="142"/>
      <c r="DD213" s="142"/>
      <c r="DJ213" s="142"/>
      <c r="DP213" s="142"/>
      <c r="DV213" s="142"/>
      <c r="EB213" s="142"/>
    </row>
    <row r="214">
      <c r="F214" s="142"/>
      <c r="L214" s="142"/>
      <c r="R214" s="142"/>
      <c r="X214" s="142"/>
      <c r="AD214" s="142"/>
      <c r="AJ214" s="142"/>
      <c r="AP214" s="142"/>
      <c r="AV214" s="142"/>
      <c r="BB214" s="142"/>
      <c r="BH214" s="142"/>
      <c r="BN214" s="142"/>
      <c r="BT214" s="142"/>
      <c r="BZ214" s="142"/>
      <c r="CF214" s="142"/>
      <c r="CL214" s="142"/>
      <c r="CR214" s="142"/>
      <c r="CX214" s="142"/>
      <c r="DD214" s="142"/>
      <c r="DJ214" s="142"/>
      <c r="DP214" s="142"/>
      <c r="DV214" s="142"/>
      <c r="EB214" s="142"/>
    </row>
    <row r="215">
      <c r="F215" s="142"/>
      <c r="L215" s="142"/>
      <c r="R215" s="142"/>
      <c r="X215" s="142"/>
      <c r="AD215" s="142"/>
      <c r="AJ215" s="142"/>
      <c r="AP215" s="142"/>
      <c r="AV215" s="142"/>
      <c r="BB215" s="142"/>
      <c r="BH215" s="142"/>
      <c r="BN215" s="142"/>
      <c r="BT215" s="142"/>
      <c r="BZ215" s="142"/>
      <c r="CF215" s="142"/>
      <c r="CL215" s="142"/>
      <c r="CR215" s="142"/>
      <c r="CX215" s="142"/>
      <c r="DD215" s="142"/>
      <c r="DJ215" s="142"/>
      <c r="DP215" s="142"/>
      <c r="DV215" s="142"/>
      <c r="EB215" s="142"/>
    </row>
    <row r="216">
      <c r="F216" s="142"/>
      <c r="L216" s="142"/>
      <c r="R216" s="142"/>
      <c r="X216" s="142"/>
      <c r="AD216" s="142"/>
      <c r="AJ216" s="142"/>
      <c r="AP216" s="142"/>
      <c r="AV216" s="142"/>
      <c r="BB216" s="142"/>
      <c r="BH216" s="142"/>
      <c r="BN216" s="142"/>
      <c r="BT216" s="142"/>
      <c r="BZ216" s="142"/>
      <c r="CF216" s="142"/>
      <c r="CL216" s="142"/>
      <c r="CR216" s="142"/>
      <c r="CX216" s="142"/>
      <c r="DD216" s="142"/>
      <c r="DJ216" s="142"/>
      <c r="DP216" s="142"/>
      <c r="DV216" s="142"/>
      <c r="EB216" s="142"/>
    </row>
    <row r="217">
      <c r="F217" s="142"/>
      <c r="L217" s="142"/>
      <c r="R217" s="142"/>
      <c r="X217" s="142"/>
      <c r="AD217" s="142"/>
      <c r="AJ217" s="142"/>
      <c r="AP217" s="142"/>
      <c r="AV217" s="142"/>
      <c r="BB217" s="142"/>
      <c r="BH217" s="142"/>
      <c r="BN217" s="142"/>
      <c r="BT217" s="142"/>
      <c r="BZ217" s="142"/>
      <c r="CF217" s="142"/>
      <c r="CL217" s="142"/>
      <c r="CR217" s="142"/>
      <c r="CX217" s="142"/>
      <c r="DD217" s="142"/>
      <c r="DJ217" s="142"/>
      <c r="DP217" s="142"/>
      <c r="DV217" s="142"/>
      <c r="EB217" s="142"/>
    </row>
    <row r="218">
      <c r="F218" s="142"/>
      <c r="L218" s="142"/>
      <c r="R218" s="142"/>
      <c r="X218" s="142"/>
      <c r="AD218" s="142"/>
      <c r="AJ218" s="142"/>
      <c r="AP218" s="142"/>
      <c r="AV218" s="142"/>
      <c r="BB218" s="142"/>
      <c r="BH218" s="142"/>
      <c r="BN218" s="142"/>
      <c r="BT218" s="142"/>
      <c r="BZ218" s="142"/>
      <c r="CF218" s="142"/>
      <c r="CL218" s="142"/>
      <c r="CR218" s="142"/>
      <c r="CX218" s="142"/>
      <c r="DD218" s="142"/>
      <c r="DJ218" s="142"/>
      <c r="DP218" s="142"/>
      <c r="DV218" s="142"/>
      <c r="EB218" s="142"/>
    </row>
    <row r="219">
      <c r="F219" s="142"/>
      <c r="L219" s="142"/>
      <c r="R219" s="142"/>
      <c r="X219" s="142"/>
      <c r="AD219" s="142"/>
      <c r="AJ219" s="142"/>
      <c r="AP219" s="142"/>
      <c r="AV219" s="142"/>
      <c r="BB219" s="142"/>
      <c r="BH219" s="142"/>
      <c r="BN219" s="142"/>
      <c r="BT219" s="142"/>
      <c r="BZ219" s="142"/>
      <c r="CF219" s="142"/>
      <c r="CL219" s="142"/>
      <c r="CR219" s="142"/>
      <c r="CX219" s="142"/>
      <c r="DD219" s="142"/>
      <c r="DJ219" s="142"/>
      <c r="DP219" s="142"/>
      <c r="DV219" s="142"/>
      <c r="EB219" s="142"/>
    </row>
    <row r="220">
      <c r="F220" s="142"/>
      <c r="L220" s="142"/>
      <c r="R220" s="142"/>
      <c r="X220" s="142"/>
      <c r="AD220" s="142"/>
      <c r="AJ220" s="142"/>
      <c r="AP220" s="142"/>
      <c r="AV220" s="142"/>
      <c r="BB220" s="142"/>
      <c r="BH220" s="142"/>
      <c r="BN220" s="142"/>
      <c r="BT220" s="142"/>
      <c r="BZ220" s="142"/>
      <c r="CF220" s="142"/>
      <c r="CL220" s="142"/>
      <c r="CR220" s="142"/>
      <c r="CX220" s="142"/>
      <c r="DD220" s="142"/>
      <c r="DJ220" s="142"/>
      <c r="DP220" s="142"/>
      <c r="DV220" s="142"/>
      <c r="EB220" s="142"/>
    </row>
    <row r="221">
      <c r="F221" s="142"/>
      <c r="L221" s="142"/>
      <c r="R221" s="142"/>
      <c r="X221" s="142"/>
      <c r="AD221" s="142"/>
      <c r="AJ221" s="142"/>
      <c r="AP221" s="142"/>
      <c r="AV221" s="142"/>
      <c r="BB221" s="142"/>
      <c r="BH221" s="142"/>
      <c r="BN221" s="142"/>
      <c r="BT221" s="142"/>
      <c r="BZ221" s="142"/>
      <c r="CF221" s="142"/>
      <c r="CL221" s="142"/>
      <c r="CR221" s="142"/>
      <c r="CX221" s="142"/>
      <c r="DD221" s="142"/>
      <c r="DJ221" s="142"/>
      <c r="DP221" s="142"/>
      <c r="DV221" s="142"/>
      <c r="EB221" s="142"/>
    </row>
    <row r="222">
      <c r="F222" s="142"/>
      <c r="L222" s="142"/>
      <c r="R222" s="142"/>
      <c r="X222" s="142"/>
      <c r="AD222" s="142"/>
      <c r="AJ222" s="142"/>
      <c r="AP222" s="142"/>
      <c r="AV222" s="142"/>
      <c r="BB222" s="142"/>
      <c r="BH222" s="142"/>
      <c r="BN222" s="142"/>
      <c r="BT222" s="142"/>
      <c r="BZ222" s="142"/>
      <c r="CF222" s="142"/>
      <c r="CL222" s="142"/>
      <c r="CR222" s="142"/>
      <c r="CX222" s="142"/>
      <c r="DD222" s="142"/>
      <c r="DJ222" s="142"/>
      <c r="DP222" s="142"/>
      <c r="DV222" s="142"/>
      <c r="EB222" s="142"/>
    </row>
    <row r="223">
      <c r="F223" s="142"/>
      <c r="L223" s="142"/>
      <c r="R223" s="142"/>
      <c r="X223" s="142"/>
      <c r="AD223" s="142"/>
      <c r="AJ223" s="142"/>
      <c r="AP223" s="142"/>
      <c r="AV223" s="142"/>
      <c r="BB223" s="142"/>
      <c r="BH223" s="142"/>
      <c r="BN223" s="142"/>
      <c r="BT223" s="142"/>
      <c r="BZ223" s="142"/>
      <c r="CF223" s="142"/>
      <c r="CL223" s="142"/>
      <c r="CR223" s="142"/>
      <c r="CX223" s="142"/>
      <c r="DD223" s="142"/>
      <c r="DJ223" s="142"/>
      <c r="DP223" s="142"/>
      <c r="DV223" s="142"/>
      <c r="EB223" s="142"/>
    </row>
    <row r="224">
      <c r="F224" s="142"/>
      <c r="L224" s="142"/>
      <c r="R224" s="142"/>
      <c r="X224" s="142"/>
      <c r="AD224" s="142"/>
      <c r="AJ224" s="142"/>
      <c r="AP224" s="142"/>
      <c r="AV224" s="142"/>
      <c r="BB224" s="142"/>
      <c r="BH224" s="142"/>
      <c r="BN224" s="142"/>
      <c r="BT224" s="142"/>
      <c r="BZ224" s="142"/>
      <c r="CF224" s="142"/>
      <c r="CL224" s="142"/>
      <c r="CR224" s="142"/>
      <c r="CX224" s="142"/>
      <c r="DD224" s="142"/>
      <c r="DJ224" s="142"/>
      <c r="DP224" s="142"/>
      <c r="DV224" s="142"/>
      <c r="EB224" s="142"/>
    </row>
    <row r="225">
      <c r="F225" s="142"/>
      <c r="L225" s="142"/>
      <c r="R225" s="142"/>
      <c r="X225" s="142"/>
      <c r="AD225" s="142"/>
      <c r="AJ225" s="142"/>
      <c r="AP225" s="142"/>
      <c r="AV225" s="142"/>
      <c r="BB225" s="142"/>
      <c r="BH225" s="142"/>
      <c r="BN225" s="142"/>
      <c r="BT225" s="142"/>
      <c r="BZ225" s="142"/>
      <c r="CF225" s="142"/>
      <c r="CL225" s="142"/>
      <c r="CR225" s="142"/>
      <c r="CX225" s="142"/>
      <c r="DD225" s="142"/>
      <c r="DJ225" s="142"/>
      <c r="DP225" s="142"/>
      <c r="DV225" s="142"/>
      <c r="EB225" s="142"/>
    </row>
    <row r="226">
      <c r="F226" s="142"/>
      <c r="L226" s="142"/>
      <c r="R226" s="142"/>
      <c r="X226" s="142"/>
      <c r="AD226" s="142"/>
      <c r="AJ226" s="142"/>
      <c r="AP226" s="142"/>
      <c r="AV226" s="142"/>
      <c r="BB226" s="142"/>
      <c r="BH226" s="142"/>
      <c r="BN226" s="142"/>
      <c r="BT226" s="142"/>
      <c r="BZ226" s="142"/>
      <c r="CF226" s="142"/>
      <c r="CL226" s="142"/>
      <c r="CR226" s="142"/>
      <c r="CX226" s="142"/>
      <c r="DD226" s="142"/>
      <c r="DJ226" s="142"/>
      <c r="DP226" s="142"/>
      <c r="DV226" s="142"/>
      <c r="EB226" s="142"/>
    </row>
    <row r="227">
      <c r="F227" s="142"/>
      <c r="L227" s="142"/>
      <c r="R227" s="142"/>
      <c r="X227" s="142"/>
      <c r="AD227" s="142"/>
      <c r="AJ227" s="142"/>
      <c r="AP227" s="142"/>
      <c r="AV227" s="142"/>
      <c r="BB227" s="142"/>
      <c r="BH227" s="142"/>
      <c r="BN227" s="142"/>
      <c r="BT227" s="142"/>
      <c r="BZ227" s="142"/>
      <c r="CF227" s="142"/>
      <c r="CL227" s="142"/>
      <c r="CR227" s="142"/>
      <c r="CX227" s="142"/>
      <c r="DD227" s="142"/>
      <c r="DJ227" s="142"/>
      <c r="DP227" s="142"/>
      <c r="DV227" s="142"/>
      <c r="EB227" s="142"/>
    </row>
    <row r="228">
      <c r="F228" s="142"/>
      <c r="L228" s="142"/>
      <c r="R228" s="142"/>
      <c r="X228" s="142"/>
      <c r="AD228" s="142"/>
      <c r="AJ228" s="142"/>
      <c r="AP228" s="142"/>
      <c r="AV228" s="142"/>
      <c r="BB228" s="142"/>
      <c r="BH228" s="142"/>
      <c r="BN228" s="142"/>
      <c r="BT228" s="142"/>
      <c r="BZ228" s="142"/>
      <c r="CF228" s="142"/>
      <c r="CL228" s="142"/>
      <c r="CR228" s="142"/>
      <c r="CX228" s="142"/>
      <c r="DD228" s="142"/>
      <c r="DJ228" s="142"/>
      <c r="DP228" s="142"/>
      <c r="DV228" s="142"/>
      <c r="EB228" s="142"/>
    </row>
    <row r="229">
      <c r="F229" s="142"/>
      <c r="L229" s="142"/>
      <c r="R229" s="142"/>
      <c r="X229" s="142"/>
      <c r="AD229" s="142"/>
      <c r="AJ229" s="142"/>
      <c r="AP229" s="142"/>
      <c r="AV229" s="142"/>
      <c r="BB229" s="142"/>
      <c r="BH229" s="142"/>
      <c r="BN229" s="142"/>
      <c r="BT229" s="142"/>
      <c r="BZ229" s="142"/>
      <c r="CF229" s="142"/>
      <c r="CL229" s="142"/>
      <c r="CR229" s="142"/>
      <c r="CX229" s="142"/>
      <c r="DD229" s="142"/>
      <c r="DJ229" s="142"/>
      <c r="DP229" s="142"/>
      <c r="DV229" s="142"/>
      <c r="EB229" s="142"/>
    </row>
    <row r="230">
      <c r="F230" s="142"/>
      <c r="L230" s="142"/>
      <c r="R230" s="142"/>
      <c r="X230" s="142"/>
      <c r="AD230" s="142"/>
      <c r="AJ230" s="142"/>
      <c r="AP230" s="142"/>
      <c r="AV230" s="142"/>
      <c r="BB230" s="142"/>
      <c r="BH230" s="142"/>
      <c r="BN230" s="142"/>
      <c r="BT230" s="142"/>
      <c r="BZ230" s="142"/>
      <c r="CF230" s="142"/>
      <c r="CL230" s="142"/>
      <c r="CR230" s="142"/>
      <c r="CX230" s="142"/>
      <c r="DD230" s="142"/>
      <c r="DJ230" s="142"/>
      <c r="DP230" s="142"/>
      <c r="DV230" s="142"/>
      <c r="EB230" s="142"/>
    </row>
    <row r="231">
      <c r="F231" s="142"/>
      <c r="L231" s="142"/>
      <c r="R231" s="142"/>
      <c r="X231" s="142"/>
      <c r="AD231" s="142"/>
      <c r="AJ231" s="142"/>
      <c r="AP231" s="142"/>
      <c r="AV231" s="142"/>
      <c r="BB231" s="142"/>
      <c r="BH231" s="142"/>
      <c r="BN231" s="142"/>
      <c r="BT231" s="142"/>
      <c r="BZ231" s="142"/>
      <c r="CF231" s="142"/>
      <c r="CL231" s="142"/>
      <c r="CR231" s="142"/>
      <c r="CX231" s="142"/>
      <c r="DD231" s="142"/>
      <c r="DJ231" s="142"/>
      <c r="DP231" s="142"/>
      <c r="DV231" s="142"/>
      <c r="EB231" s="142"/>
    </row>
    <row r="232">
      <c r="F232" s="142"/>
      <c r="L232" s="142"/>
      <c r="R232" s="142"/>
      <c r="X232" s="142"/>
      <c r="AD232" s="142"/>
      <c r="AJ232" s="142"/>
      <c r="AP232" s="142"/>
      <c r="AV232" s="142"/>
      <c r="BB232" s="142"/>
      <c r="BH232" s="142"/>
      <c r="BN232" s="142"/>
      <c r="BT232" s="142"/>
      <c r="BZ232" s="142"/>
      <c r="CF232" s="142"/>
      <c r="CL232" s="142"/>
      <c r="CR232" s="142"/>
      <c r="CX232" s="142"/>
      <c r="DD232" s="142"/>
      <c r="DJ232" s="142"/>
      <c r="DP232" s="142"/>
      <c r="DV232" s="142"/>
      <c r="EB232" s="142"/>
    </row>
    <row r="233">
      <c r="F233" s="142"/>
      <c r="L233" s="142"/>
      <c r="R233" s="142"/>
      <c r="X233" s="142"/>
      <c r="AD233" s="142"/>
      <c r="AJ233" s="142"/>
      <c r="AP233" s="142"/>
      <c r="AV233" s="142"/>
      <c r="BB233" s="142"/>
      <c r="BH233" s="142"/>
      <c r="BN233" s="142"/>
      <c r="BT233" s="142"/>
      <c r="BZ233" s="142"/>
      <c r="CF233" s="142"/>
      <c r="CL233" s="142"/>
      <c r="CR233" s="142"/>
      <c r="CX233" s="142"/>
      <c r="DD233" s="142"/>
      <c r="DJ233" s="142"/>
      <c r="DP233" s="142"/>
      <c r="DV233" s="142"/>
      <c r="EB233" s="142"/>
    </row>
    <row r="234">
      <c r="F234" s="142"/>
      <c r="L234" s="142"/>
      <c r="R234" s="142"/>
      <c r="X234" s="142"/>
      <c r="AD234" s="142"/>
      <c r="AJ234" s="142"/>
      <c r="AP234" s="142"/>
      <c r="AV234" s="142"/>
      <c r="BB234" s="142"/>
      <c r="BH234" s="142"/>
      <c r="BN234" s="142"/>
      <c r="BT234" s="142"/>
      <c r="BZ234" s="142"/>
      <c r="CF234" s="142"/>
      <c r="CL234" s="142"/>
      <c r="CR234" s="142"/>
      <c r="CX234" s="142"/>
      <c r="DD234" s="142"/>
      <c r="DJ234" s="142"/>
      <c r="DP234" s="142"/>
      <c r="DV234" s="142"/>
      <c r="EB234" s="142"/>
    </row>
    <row r="235">
      <c r="F235" s="142"/>
      <c r="L235" s="142"/>
      <c r="R235" s="142"/>
      <c r="X235" s="142"/>
      <c r="AD235" s="142"/>
      <c r="AJ235" s="142"/>
      <c r="AP235" s="142"/>
      <c r="AV235" s="142"/>
      <c r="BB235" s="142"/>
      <c r="BH235" s="142"/>
      <c r="BN235" s="142"/>
      <c r="BT235" s="142"/>
      <c r="BZ235" s="142"/>
      <c r="CF235" s="142"/>
      <c r="CL235" s="142"/>
      <c r="CR235" s="142"/>
      <c r="CX235" s="142"/>
      <c r="DD235" s="142"/>
      <c r="DJ235" s="142"/>
      <c r="DP235" s="142"/>
      <c r="DV235" s="142"/>
      <c r="EB235" s="142"/>
    </row>
    <row r="236">
      <c r="F236" s="142"/>
      <c r="L236" s="142"/>
      <c r="R236" s="142"/>
      <c r="X236" s="142"/>
      <c r="AD236" s="142"/>
      <c r="AJ236" s="142"/>
      <c r="AP236" s="142"/>
      <c r="AV236" s="142"/>
      <c r="BB236" s="142"/>
      <c r="BH236" s="142"/>
      <c r="BN236" s="142"/>
      <c r="BT236" s="142"/>
      <c r="BZ236" s="142"/>
      <c r="CF236" s="142"/>
      <c r="CL236" s="142"/>
      <c r="CR236" s="142"/>
      <c r="CX236" s="142"/>
      <c r="DD236" s="142"/>
      <c r="DJ236" s="142"/>
      <c r="DP236" s="142"/>
      <c r="DV236" s="142"/>
      <c r="EB236" s="142"/>
    </row>
    <row r="237">
      <c r="F237" s="142"/>
      <c r="L237" s="142"/>
      <c r="R237" s="142"/>
      <c r="X237" s="142"/>
      <c r="AD237" s="142"/>
      <c r="AJ237" s="142"/>
      <c r="AP237" s="142"/>
      <c r="AV237" s="142"/>
      <c r="BB237" s="142"/>
      <c r="BH237" s="142"/>
      <c r="BN237" s="142"/>
      <c r="BT237" s="142"/>
      <c r="BZ237" s="142"/>
      <c r="CF237" s="142"/>
      <c r="CL237" s="142"/>
      <c r="CR237" s="142"/>
      <c r="CX237" s="142"/>
      <c r="DD237" s="142"/>
      <c r="DJ237" s="142"/>
      <c r="DP237" s="142"/>
      <c r="DV237" s="142"/>
      <c r="EB237" s="142"/>
    </row>
    <row r="238">
      <c r="F238" s="142"/>
      <c r="L238" s="142"/>
      <c r="R238" s="142"/>
      <c r="X238" s="142"/>
      <c r="AD238" s="142"/>
      <c r="AJ238" s="142"/>
      <c r="AP238" s="142"/>
      <c r="AV238" s="142"/>
      <c r="BB238" s="142"/>
      <c r="BH238" s="142"/>
      <c r="BN238" s="142"/>
      <c r="BT238" s="142"/>
      <c r="BZ238" s="142"/>
      <c r="CF238" s="142"/>
      <c r="CL238" s="142"/>
      <c r="CR238" s="142"/>
      <c r="CX238" s="142"/>
      <c r="DD238" s="142"/>
      <c r="DJ238" s="142"/>
      <c r="DP238" s="142"/>
      <c r="DV238" s="142"/>
      <c r="EB238" s="142"/>
    </row>
    <row r="239">
      <c r="F239" s="142"/>
      <c r="L239" s="142"/>
      <c r="R239" s="142"/>
      <c r="X239" s="142"/>
      <c r="AD239" s="142"/>
      <c r="AJ239" s="142"/>
      <c r="AP239" s="142"/>
      <c r="AV239" s="142"/>
      <c r="BB239" s="142"/>
      <c r="BH239" s="142"/>
      <c r="BN239" s="142"/>
      <c r="BT239" s="142"/>
      <c r="BZ239" s="142"/>
      <c r="CF239" s="142"/>
      <c r="CL239" s="142"/>
      <c r="CR239" s="142"/>
      <c r="CX239" s="142"/>
      <c r="DD239" s="142"/>
      <c r="DJ239" s="142"/>
      <c r="DP239" s="142"/>
      <c r="DV239" s="142"/>
      <c r="EB239" s="142"/>
    </row>
    <row r="240">
      <c r="F240" s="142"/>
      <c r="L240" s="142"/>
      <c r="R240" s="142"/>
      <c r="X240" s="142"/>
      <c r="AD240" s="142"/>
      <c r="AJ240" s="142"/>
      <c r="AP240" s="142"/>
      <c r="AV240" s="142"/>
      <c r="BB240" s="142"/>
      <c r="BH240" s="142"/>
      <c r="BN240" s="142"/>
      <c r="BT240" s="142"/>
      <c r="BZ240" s="142"/>
      <c r="CF240" s="142"/>
      <c r="CL240" s="142"/>
      <c r="CR240" s="142"/>
      <c r="CX240" s="142"/>
      <c r="DD240" s="142"/>
      <c r="DJ240" s="142"/>
      <c r="DP240" s="142"/>
      <c r="DV240" s="142"/>
      <c r="EB240" s="142"/>
    </row>
    <row r="241">
      <c r="F241" s="142"/>
      <c r="L241" s="142"/>
      <c r="R241" s="142"/>
      <c r="X241" s="142"/>
      <c r="AD241" s="142"/>
      <c r="AJ241" s="142"/>
      <c r="AP241" s="142"/>
      <c r="AV241" s="142"/>
      <c r="BB241" s="142"/>
      <c r="BH241" s="142"/>
      <c r="BN241" s="142"/>
      <c r="BT241" s="142"/>
      <c r="BZ241" s="142"/>
      <c r="CF241" s="142"/>
      <c r="CL241" s="142"/>
      <c r="CR241" s="142"/>
      <c r="CX241" s="142"/>
      <c r="DD241" s="142"/>
      <c r="DJ241" s="142"/>
      <c r="DP241" s="142"/>
      <c r="DV241" s="142"/>
      <c r="EB241" s="142"/>
    </row>
    <row r="242">
      <c r="F242" s="142"/>
      <c r="L242" s="142"/>
      <c r="R242" s="142"/>
      <c r="X242" s="142"/>
      <c r="AD242" s="142"/>
      <c r="AJ242" s="142"/>
      <c r="AP242" s="142"/>
      <c r="AV242" s="142"/>
      <c r="BB242" s="142"/>
      <c r="BH242" s="142"/>
      <c r="BN242" s="142"/>
      <c r="BT242" s="142"/>
      <c r="BZ242" s="142"/>
      <c r="CF242" s="142"/>
      <c r="CL242" s="142"/>
      <c r="CR242" s="142"/>
      <c r="CX242" s="142"/>
      <c r="DD242" s="142"/>
      <c r="DJ242" s="142"/>
      <c r="DP242" s="142"/>
      <c r="DV242" s="142"/>
      <c r="EB242" s="142"/>
    </row>
    <row r="243">
      <c r="F243" s="142"/>
      <c r="L243" s="142"/>
      <c r="R243" s="142"/>
      <c r="X243" s="142"/>
      <c r="AD243" s="142"/>
      <c r="AJ243" s="142"/>
      <c r="AP243" s="142"/>
      <c r="AV243" s="142"/>
      <c r="BB243" s="142"/>
      <c r="BH243" s="142"/>
      <c r="BN243" s="142"/>
      <c r="BT243" s="142"/>
      <c r="BZ243" s="142"/>
      <c r="CF243" s="142"/>
      <c r="CL243" s="142"/>
      <c r="CR243" s="142"/>
      <c r="CX243" s="142"/>
      <c r="DD243" s="142"/>
      <c r="DJ243" s="142"/>
      <c r="DP243" s="142"/>
      <c r="DV243" s="142"/>
      <c r="EB243" s="142"/>
    </row>
    <row r="244">
      <c r="F244" s="142"/>
      <c r="L244" s="142"/>
      <c r="R244" s="142"/>
      <c r="X244" s="142"/>
      <c r="AD244" s="142"/>
      <c r="AJ244" s="142"/>
      <c r="AP244" s="142"/>
      <c r="AV244" s="142"/>
      <c r="BB244" s="142"/>
      <c r="BH244" s="142"/>
      <c r="BN244" s="142"/>
      <c r="BT244" s="142"/>
      <c r="BZ244" s="142"/>
      <c r="CF244" s="142"/>
      <c r="CL244" s="142"/>
      <c r="CR244" s="142"/>
      <c r="CX244" s="142"/>
      <c r="DD244" s="142"/>
      <c r="DJ244" s="142"/>
      <c r="DP244" s="142"/>
      <c r="DV244" s="142"/>
      <c r="EB244" s="142"/>
    </row>
    <row r="245">
      <c r="F245" s="142"/>
      <c r="L245" s="142"/>
      <c r="R245" s="142"/>
      <c r="X245" s="142"/>
      <c r="AD245" s="142"/>
      <c r="AJ245" s="142"/>
      <c r="AP245" s="142"/>
      <c r="AV245" s="142"/>
      <c r="BB245" s="142"/>
      <c r="BH245" s="142"/>
      <c r="BN245" s="142"/>
      <c r="BT245" s="142"/>
      <c r="BZ245" s="142"/>
      <c r="CF245" s="142"/>
      <c r="CL245" s="142"/>
      <c r="CR245" s="142"/>
      <c r="CX245" s="142"/>
      <c r="DD245" s="142"/>
      <c r="DJ245" s="142"/>
      <c r="DP245" s="142"/>
      <c r="DV245" s="142"/>
      <c r="EB245" s="142"/>
    </row>
    <row r="246">
      <c r="F246" s="142"/>
      <c r="L246" s="142"/>
      <c r="R246" s="142"/>
      <c r="X246" s="142"/>
      <c r="AD246" s="142"/>
      <c r="AJ246" s="142"/>
      <c r="AP246" s="142"/>
      <c r="AV246" s="142"/>
      <c r="BB246" s="142"/>
      <c r="BH246" s="142"/>
      <c r="BN246" s="142"/>
      <c r="BT246" s="142"/>
      <c r="BZ246" s="142"/>
      <c r="CF246" s="142"/>
      <c r="CL246" s="142"/>
      <c r="CR246" s="142"/>
      <c r="CX246" s="142"/>
      <c r="DD246" s="142"/>
      <c r="DJ246" s="142"/>
      <c r="DP246" s="142"/>
      <c r="DV246" s="142"/>
      <c r="EB246" s="142"/>
    </row>
    <row r="247">
      <c r="F247" s="142"/>
      <c r="L247" s="142"/>
      <c r="R247" s="142"/>
      <c r="X247" s="142"/>
      <c r="AD247" s="142"/>
      <c r="AJ247" s="142"/>
      <c r="AP247" s="142"/>
      <c r="AV247" s="142"/>
      <c r="BB247" s="142"/>
      <c r="BH247" s="142"/>
      <c r="BN247" s="142"/>
      <c r="BT247" s="142"/>
      <c r="BZ247" s="142"/>
      <c r="CF247" s="142"/>
      <c r="CL247" s="142"/>
      <c r="CR247" s="142"/>
      <c r="CX247" s="142"/>
      <c r="DD247" s="142"/>
      <c r="DJ247" s="142"/>
      <c r="DP247" s="142"/>
      <c r="DV247" s="142"/>
      <c r="EB247" s="142"/>
    </row>
    <row r="248">
      <c r="F248" s="142"/>
      <c r="L248" s="142"/>
      <c r="R248" s="142"/>
      <c r="X248" s="142"/>
      <c r="AD248" s="142"/>
      <c r="AJ248" s="142"/>
      <c r="AP248" s="142"/>
      <c r="AV248" s="142"/>
      <c r="BB248" s="142"/>
      <c r="BH248" s="142"/>
      <c r="BN248" s="142"/>
      <c r="BT248" s="142"/>
      <c r="BZ248" s="142"/>
      <c r="CF248" s="142"/>
      <c r="CL248" s="142"/>
      <c r="CR248" s="142"/>
      <c r="CX248" s="142"/>
      <c r="DD248" s="142"/>
      <c r="DJ248" s="142"/>
      <c r="DP248" s="142"/>
      <c r="DV248" s="142"/>
      <c r="EB248" s="142"/>
    </row>
    <row r="249">
      <c r="F249" s="142"/>
      <c r="L249" s="142"/>
      <c r="R249" s="142"/>
      <c r="X249" s="142"/>
      <c r="AD249" s="142"/>
      <c r="AJ249" s="142"/>
      <c r="AP249" s="142"/>
      <c r="AV249" s="142"/>
      <c r="BB249" s="142"/>
      <c r="BH249" s="142"/>
      <c r="BN249" s="142"/>
      <c r="BT249" s="142"/>
      <c r="BZ249" s="142"/>
      <c r="CF249" s="142"/>
      <c r="CL249" s="142"/>
      <c r="CR249" s="142"/>
      <c r="CX249" s="142"/>
      <c r="DD249" s="142"/>
      <c r="DJ249" s="142"/>
      <c r="DP249" s="142"/>
      <c r="DV249" s="142"/>
      <c r="EB249" s="142"/>
    </row>
    <row r="250">
      <c r="F250" s="142"/>
      <c r="L250" s="142"/>
      <c r="R250" s="142"/>
      <c r="X250" s="142"/>
      <c r="AD250" s="142"/>
      <c r="AJ250" s="142"/>
      <c r="AP250" s="142"/>
      <c r="AV250" s="142"/>
      <c r="BB250" s="142"/>
      <c r="BH250" s="142"/>
      <c r="BN250" s="142"/>
      <c r="BT250" s="142"/>
      <c r="BZ250" s="142"/>
      <c r="CF250" s="142"/>
      <c r="CL250" s="142"/>
      <c r="CR250" s="142"/>
      <c r="CX250" s="142"/>
      <c r="DD250" s="142"/>
      <c r="DJ250" s="142"/>
      <c r="DP250" s="142"/>
      <c r="DV250" s="142"/>
      <c r="EB250" s="142"/>
    </row>
    <row r="251">
      <c r="F251" s="142"/>
      <c r="L251" s="142"/>
      <c r="R251" s="142"/>
      <c r="X251" s="142"/>
      <c r="AD251" s="142"/>
      <c r="AJ251" s="142"/>
      <c r="AP251" s="142"/>
      <c r="AV251" s="142"/>
      <c r="BB251" s="142"/>
      <c r="BH251" s="142"/>
      <c r="BN251" s="142"/>
      <c r="BT251" s="142"/>
      <c r="BZ251" s="142"/>
      <c r="CF251" s="142"/>
      <c r="CL251" s="142"/>
      <c r="CR251" s="142"/>
      <c r="CX251" s="142"/>
      <c r="DD251" s="142"/>
      <c r="DJ251" s="142"/>
      <c r="DP251" s="142"/>
      <c r="DV251" s="142"/>
      <c r="EB251" s="142"/>
    </row>
    <row r="252">
      <c r="F252" s="142"/>
      <c r="L252" s="142"/>
      <c r="R252" s="142"/>
      <c r="X252" s="142"/>
      <c r="AD252" s="142"/>
      <c r="AJ252" s="142"/>
      <c r="AP252" s="142"/>
      <c r="AV252" s="142"/>
      <c r="BB252" s="142"/>
      <c r="BH252" s="142"/>
      <c r="BN252" s="142"/>
      <c r="BT252" s="142"/>
      <c r="BZ252" s="142"/>
      <c r="CF252" s="142"/>
      <c r="CL252" s="142"/>
      <c r="CR252" s="142"/>
      <c r="CX252" s="142"/>
      <c r="DD252" s="142"/>
      <c r="DJ252" s="142"/>
      <c r="DP252" s="142"/>
      <c r="DV252" s="142"/>
      <c r="EB252" s="142"/>
    </row>
    <row r="253">
      <c r="F253" s="142"/>
      <c r="L253" s="142"/>
      <c r="R253" s="142"/>
      <c r="X253" s="142"/>
      <c r="AD253" s="142"/>
      <c r="AJ253" s="142"/>
      <c r="AP253" s="142"/>
      <c r="AV253" s="142"/>
      <c r="BB253" s="142"/>
      <c r="BH253" s="142"/>
      <c r="BN253" s="142"/>
      <c r="BT253" s="142"/>
      <c r="BZ253" s="142"/>
      <c r="CF253" s="142"/>
      <c r="CL253" s="142"/>
      <c r="CR253" s="142"/>
      <c r="CX253" s="142"/>
      <c r="DD253" s="142"/>
      <c r="DJ253" s="142"/>
      <c r="DP253" s="142"/>
      <c r="DV253" s="142"/>
      <c r="EB253" s="142"/>
    </row>
    <row r="254">
      <c r="F254" s="142"/>
      <c r="L254" s="142"/>
      <c r="R254" s="142"/>
      <c r="X254" s="142"/>
      <c r="AD254" s="142"/>
      <c r="AJ254" s="142"/>
      <c r="AP254" s="142"/>
      <c r="AV254" s="142"/>
      <c r="BB254" s="142"/>
      <c r="BH254" s="142"/>
      <c r="BN254" s="142"/>
      <c r="BT254" s="142"/>
      <c r="BZ254" s="142"/>
      <c r="CF254" s="142"/>
      <c r="CL254" s="142"/>
      <c r="CR254" s="142"/>
      <c r="CX254" s="142"/>
      <c r="DD254" s="142"/>
      <c r="DJ254" s="142"/>
      <c r="DP254" s="142"/>
      <c r="DV254" s="142"/>
      <c r="EB254" s="142"/>
    </row>
    <row r="255">
      <c r="F255" s="142"/>
      <c r="L255" s="142"/>
      <c r="R255" s="142"/>
      <c r="X255" s="142"/>
      <c r="AD255" s="142"/>
      <c r="AJ255" s="142"/>
      <c r="AP255" s="142"/>
      <c r="AV255" s="142"/>
      <c r="BB255" s="142"/>
      <c r="BH255" s="142"/>
      <c r="BN255" s="142"/>
      <c r="BT255" s="142"/>
      <c r="BZ255" s="142"/>
      <c r="CF255" s="142"/>
      <c r="CL255" s="142"/>
      <c r="CR255" s="142"/>
      <c r="CX255" s="142"/>
      <c r="DD255" s="142"/>
      <c r="DJ255" s="142"/>
      <c r="DP255" s="142"/>
      <c r="DV255" s="142"/>
      <c r="EB255" s="142"/>
    </row>
    <row r="256">
      <c r="F256" s="142"/>
      <c r="L256" s="142"/>
      <c r="R256" s="142"/>
      <c r="X256" s="142"/>
      <c r="AD256" s="142"/>
      <c r="AJ256" s="142"/>
      <c r="AP256" s="142"/>
      <c r="AV256" s="142"/>
      <c r="BB256" s="142"/>
      <c r="BH256" s="142"/>
      <c r="BN256" s="142"/>
      <c r="BT256" s="142"/>
      <c r="BZ256" s="142"/>
      <c r="CF256" s="142"/>
      <c r="CL256" s="142"/>
      <c r="CR256" s="142"/>
      <c r="CX256" s="142"/>
      <c r="DD256" s="142"/>
      <c r="DJ256" s="142"/>
      <c r="DP256" s="142"/>
      <c r="DV256" s="142"/>
      <c r="EB256" s="142"/>
    </row>
    <row r="257">
      <c r="F257" s="142"/>
      <c r="L257" s="142"/>
      <c r="R257" s="142"/>
      <c r="X257" s="142"/>
      <c r="AD257" s="142"/>
      <c r="AJ257" s="142"/>
      <c r="AP257" s="142"/>
      <c r="AV257" s="142"/>
      <c r="BB257" s="142"/>
      <c r="BH257" s="142"/>
      <c r="BN257" s="142"/>
      <c r="BT257" s="142"/>
      <c r="BZ257" s="142"/>
      <c r="CF257" s="142"/>
      <c r="CL257" s="142"/>
      <c r="CR257" s="142"/>
      <c r="CX257" s="142"/>
      <c r="DD257" s="142"/>
      <c r="DJ257" s="142"/>
      <c r="DP257" s="142"/>
      <c r="DV257" s="142"/>
      <c r="EB257" s="142"/>
    </row>
    <row r="258">
      <c r="F258" s="142"/>
      <c r="L258" s="142"/>
      <c r="R258" s="142"/>
      <c r="X258" s="142"/>
      <c r="AD258" s="142"/>
      <c r="AJ258" s="142"/>
      <c r="AP258" s="142"/>
      <c r="AV258" s="142"/>
      <c r="BB258" s="142"/>
      <c r="BH258" s="142"/>
      <c r="BN258" s="142"/>
      <c r="BT258" s="142"/>
      <c r="BZ258" s="142"/>
      <c r="CF258" s="142"/>
      <c r="CL258" s="142"/>
      <c r="CR258" s="142"/>
      <c r="CX258" s="142"/>
      <c r="DD258" s="142"/>
      <c r="DJ258" s="142"/>
      <c r="DP258" s="142"/>
      <c r="DV258" s="142"/>
      <c r="EB258" s="142"/>
    </row>
    <row r="259">
      <c r="F259" s="142"/>
      <c r="L259" s="142"/>
      <c r="R259" s="142"/>
      <c r="X259" s="142"/>
      <c r="AD259" s="142"/>
      <c r="AJ259" s="142"/>
      <c r="AP259" s="142"/>
      <c r="AV259" s="142"/>
      <c r="BB259" s="142"/>
      <c r="BH259" s="142"/>
      <c r="BN259" s="142"/>
      <c r="BT259" s="142"/>
      <c r="BZ259" s="142"/>
      <c r="CF259" s="142"/>
      <c r="CL259" s="142"/>
      <c r="CR259" s="142"/>
      <c r="CX259" s="142"/>
      <c r="DD259" s="142"/>
      <c r="DJ259" s="142"/>
      <c r="DP259" s="142"/>
      <c r="DV259" s="142"/>
      <c r="EB259" s="142"/>
    </row>
    <row r="260">
      <c r="F260" s="142"/>
      <c r="L260" s="142"/>
      <c r="R260" s="142"/>
      <c r="X260" s="142"/>
      <c r="AD260" s="142"/>
      <c r="AJ260" s="142"/>
      <c r="AP260" s="142"/>
      <c r="AV260" s="142"/>
      <c r="BB260" s="142"/>
      <c r="BH260" s="142"/>
      <c r="BN260" s="142"/>
      <c r="BT260" s="142"/>
      <c r="BZ260" s="142"/>
      <c r="CF260" s="142"/>
      <c r="CL260" s="142"/>
      <c r="CR260" s="142"/>
      <c r="CX260" s="142"/>
      <c r="DD260" s="142"/>
      <c r="DJ260" s="142"/>
      <c r="DP260" s="142"/>
      <c r="DV260" s="142"/>
      <c r="EB260" s="142"/>
    </row>
    <row r="261">
      <c r="F261" s="142"/>
      <c r="L261" s="142"/>
      <c r="R261" s="142"/>
      <c r="X261" s="142"/>
      <c r="AD261" s="142"/>
      <c r="AJ261" s="142"/>
      <c r="AP261" s="142"/>
      <c r="AV261" s="142"/>
      <c r="BB261" s="142"/>
      <c r="BH261" s="142"/>
      <c r="BN261" s="142"/>
      <c r="BT261" s="142"/>
      <c r="BZ261" s="142"/>
      <c r="CF261" s="142"/>
      <c r="CL261" s="142"/>
      <c r="CR261" s="142"/>
      <c r="CX261" s="142"/>
      <c r="DD261" s="142"/>
      <c r="DJ261" s="142"/>
      <c r="DP261" s="142"/>
      <c r="DV261" s="142"/>
      <c r="EB261" s="142"/>
    </row>
    <row r="262">
      <c r="F262" s="142"/>
      <c r="L262" s="142"/>
      <c r="R262" s="142"/>
      <c r="X262" s="142"/>
      <c r="AD262" s="142"/>
      <c r="AJ262" s="142"/>
      <c r="AP262" s="142"/>
      <c r="AV262" s="142"/>
      <c r="BB262" s="142"/>
      <c r="BH262" s="142"/>
      <c r="BN262" s="142"/>
      <c r="BT262" s="142"/>
      <c r="BZ262" s="142"/>
      <c r="CF262" s="142"/>
      <c r="CL262" s="142"/>
      <c r="CR262" s="142"/>
      <c r="CX262" s="142"/>
      <c r="DD262" s="142"/>
      <c r="DJ262" s="142"/>
      <c r="DP262" s="142"/>
      <c r="DV262" s="142"/>
      <c r="EB262" s="142"/>
    </row>
    <row r="263">
      <c r="F263" s="142"/>
      <c r="L263" s="142"/>
      <c r="R263" s="142"/>
      <c r="X263" s="142"/>
      <c r="AD263" s="142"/>
      <c r="AJ263" s="142"/>
      <c r="AP263" s="142"/>
      <c r="AV263" s="142"/>
      <c r="BB263" s="142"/>
      <c r="BH263" s="142"/>
      <c r="BN263" s="142"/>
      <c r="BT263" s="142"/>
      <c r="BZ263" s="142"/>
      <c r="CF263" s="142"/>
      <c r="CL263" s="142"/>
      <c r="CR263" s="142"/>
      <c r="CX263" s="142"/>
      <c r="DD263" s="142"/>
      <c r="DJ263" s="142"/>
      <c r="DP263" s="142"/>
      <c r="DV263" s="142"/>
      <c r="EB263" s="142"/>
    </row>
    <row r="264">
      <c r="F264" s="142"/>
      <c r="L264" s="142"/>
      <c r="R264" s="142"/>
      <c r="X264" s="142"/>
      <c r="AD264" s="142"/>
      <c r="AJ264" s="142"/>
      <c r="AP264" s="142"/>
      <c r="AV264" s="142"/>
      <c r="BB264" s="142"/>
      <c r="BH264" s="142"/>
      <c r="BN264" s="142"/>
      <c r="BT264" s="142"/>
      <c r="BZ264" s="142"/>
      <c r="CF264" s="142"/>
      <c r="CL264" s="142"/>
      <c r="CR264" s="142"/>
      <c r="CX264" s="142"/>
      <c r="DD264" s="142"/>
      <c r="DJ264" s="142"/>
      <c r="DP264" s="142"/>
      <c r="DV264" s="142"/>
      <c r="EB264" s="142"/>
    </row>
    <row r="265">
      <c r="F265" s="142"/>
      <c r="L265" s="142"/>
      <c r="R265" s="142"/>
      <c r="X265" s="142"/>
      <c r="AD265" s="142"/>
      <c r="AJ265" s="142"/>
      <c r="AP265" s="142"/>
      <c r="AV265" s="142"/>
      <c r="BB265" s="142"/>
      <c r="BH265" s="142"/>
      <c r="BN265" s="142"/>
      <c r="BT265" s="142"/>
      <c r="BZ265" s="142"/>
      <c r="CF265" s="142"/>
      <c r="CL265" s="142"/>
      <c r="CR265" s="142"/>
      <c r="CX265" s="142"/>
      <c r="DD265" s="142"/>
      <c r="DJ265" s="142"/>
      <c r="DP265" s="142"/>
      <c r="DV265" s="142"/>
      <c r="EB265" s="142"/>
    </row>
    <row r="266">
      <c r="F266" s="142"/>
      <c r="L266" s="142"/>
      <c r="R266" s="142"/>
      <c r="X266" s="142"/>
      <c r="AD266" s="142"/>
      <c r="AJ266" s="142"/>
      <c r="AP266" s="142"/>
      <c r="AV266" s="142"/>
      <c r="BB266" s="142"/>
      <c r="BH266" s="142"/>
      <c r="BN266" s="142"/>
      <c r="BT266" s="142"/>
      <c r="BZ266" s="142"/>
      <c r="CF266" s="142"/>
      <c r="CL266" s="142"/>
      <c r="CR266" s="142"/>
      <c r="CX266" s="142"/>
      <c r="DD266" s="142"/>
      <c r="DJ266" s="142"/>
      <c r="DP266" s="142"/>
      <c r="DV266" s="142"/>
      <c r="EB266" s="142"/>
    </row>
    <row r="267">
      <c r="F267" s="142"/>
      <c r="L267" s="142"/>
      <c r="R267" s="142"/>
      <c r="X267" s="142"/>
      <c r="AD267" s="142"/>
      <c r="AJ267" s="142"/>
      <c r="AP267" s="142"/>
      <c r="AV267" s="142"/>
      <c r="BB267" s="142"/>
      <c r="BH267" s="142"/>
      <c r="BN267" s="142"/>
      <c r="BT267" s="142"/>
      <c r="BZ267" s="142"/>
      <c r="CF267" s="142"/>
      <c r="CL267" s="142"/>
      <c r="CR267" s="142"/>
      <c r="CX267" s="142"/>
      <c r="DD267" s="142"/>
      <c r="DJ267" s="142"/>
      <c r="DP267" s="142"/>
      <c r="DV267" s="142"/>
      <c r="EB267" s="142"/>
    </row>
    <row r="268">
      <c r="F268" s="142"/>
      <c r="L268" s="142"/>
      <c r="R268" s="142"/>
      <c r="X268" s="142"/>
      <c r="AD268" s="142"/>
      <c r="AJ268" s="142"/>
      <c r="AP268" s="142"/>
      <c r="AV268" s="142"/>
      <c r="BB268" s="142"/>
      <c r="BH268" s="142"/>
      <c r="BN268" s="142"/>
      <c r="BT268" s="142"/>
      <c r="BZ268" s="142"/>
      <c r="CF268" s="142"/>
      <c r="CL268" s="142"/>
      <c r="CR268" s="142"/>
      <c r="CX268" s="142"/>
      <c r="DD268" s="142"/>
      <c r="DJ268" s="142"/>
      <c r="DP268" s="142"/>
      <c r="DV268" s="142"/>
      <c r="EB268" s="142"/>
    </row>
    <row r="269">
      <c r="F269" s="142"/>
      <c r="L269" s="142"/>
      <c r="R269" s="142"/>
      <c r="X269" s="142"/>
      <c r="AD269" s="142"/>
      <c r="AJ269" s="142"/>
      <c r="AP269" s="142"/>
      <c r="AV269" s="142"/>
      <c r="BB269" s="142"/>
      <c r="BH269" s="142"/>
      <c r="BN269" s="142"/>
      <c r="BT269" s="142"/>
      <c r="BZ269" s="142"/>
      <c r="CF269" s="142"/>
      <c r="CL269" s="142"/>
      <c r="CR269" s="142"/>
      <c r="CX269" s="142"/>
      <c r="DD269" s="142"/>
      <c r="DJ269" s="142"/>
      <c r="DP269" s="142"/>
      <c r="DV269" s="142"/>
      <c r="EB269" s="142"/>
    </row>
    <row r="270">
      <c r="F270" s="142"/>
      <c r="L270" s="142"/>
      <c r="R270" s="142"/>
      <c r="X270" s="142"/>
      <c r="AD270" s="142"/>
      <c r="AJ270" s="142"/>
      <c r="AP270" s="142"/>
      <c r="AV270" s="142"/>
      <c r="BB270" s="142"/>
      <c r="BH270" s="142"/>
      <c r="BN270" s="142"/>
      <c r="BT270" s="142"/>
      <c r="BZ270" s="142"/>
      <c r="CF270" s="142"/>
      <c r="CL270" s="142"/>
      <c r="CR270" s="142"/>
      <c r="CX270" s="142"/>
      <c r="DD270" s="142"/>
      <c r="DJ270" s="142"/>
      <c r="DP270" s="142"/>
      <c r="DV270" s="142"/>
      <c r="EB270" s="142"/>
    </row>
    <row r="271">
      <c r="F271" s="142"/>
      <c r="L271" s="142"/>
      <c r="R271" s="142"/>
      <c r="X271" s="142"/>
      <c r="AD271" s="142"/>
      <c r="AJ271" s="142"/>
      <c r="AP271" s="142"/>
      <c r="AV271" s="142"/>
      <c r="BB271" s="142"/>
      <c r="BH271" s="142"/>
      <c r="BN271" s="142"/>
      <c r="BT271" s="142"/>
      <c r="BZ271" s="142"/>
      <c r="CF271" s="142"/>
      <c r="CL271" s="142"/>
      <c r="CR271" s="142"/>
      <c r="CX271" s="142"/>
      <c r="DD271" s="142"/>
      <c r="DJ271" s="142"/>
      <c r="DP271" s="142"/>
      <c r="DV271" s="142"/>
      <c r="EB271" s="142"/>
    </row>
    <row r="272">
      <c r="F272" s="142"/>
      <c r="L272" s="142"/>
      <c r="R272" s="142"/>
      <c r="X272" s="142"/>
      <c r="AD272" s="142"/>
      <c r="AJ272" s="142"/>
      <c r="AP272" s="142"/>
      <c r="AV272" s="142"/>
      <c r="BB272" s="142"/>
      <c r="BH272" s="142"/>
      <c r="BN272" s="142"/>
      <c r="BT272" s="142"/>
      <c r="BZ272" s="142"/>
      <c r="CF272" s="142"/>
      <c r="CL272" s="142"/>
      <c r="CR272" s="142"/>
      <c r="CX272" s="142"/>
      <c r="DD272" s="142"/>
      <c r="DJ272" s="142"/>
      <c r="DP272" s="142"/>
      <c r="DV272" s="142"/>
      <c r="EB272" s="142"/>
    </row>
    <row r="273">
      <c r="F273" s="142"/>
      <c r="L273" s="142"/>
      <c r="R273" s="142"/>
      <c r="X273" s="142"/>
      <c r="AD273" s="142"/>
      <c r="AJ273" s="142"/>
      <c r="AP273" s="142"/>
      <c r="AV273" s="142"/>
      <c r="BB273" s="142"/>
      <c r="BH273" s="142"/>
      <c r="BN273" s="142"/>
      <c r="BT273" s="142"/>
      <c r="BZ273" s="142"/>
      <c r="CF273" s="142"/>
      <c r="CL273" s="142"/>
      <c r="CR273" s="142"/>
      <c r="CX273" s="142"/>
      <c r="DD273" s="142"/>
      <c r="DJ273" s="142"/>
      <c r="DP273" s="142"/>
      <c r="DV273" s="142"/>
      <c r="EB273" s="142"/>
    </row>
    <row r="274">
      <c r="F274" s="142"/>
      <c r="L274" s="142"/>
      <c r="R274" s="142"/>
      <c r="X274" s="142"/>
      <c r="AD274" s="142"/>
      <c r="AJ274" s="142"/>
      <c r="AP274" s="142"/>
      <c r="AV274" s="142"/>
      <c r="BB274" s="142"/>
      <c r="BH274" s="142"/>
      <c r="BN274" s="142"/>
      <c r="BT274" s="142"/>
      <c r="BZ274" s="142"/>
      <c r="CF274" s="142"/>
      <c r="CL274" s="142"/>
      <c r="CR274" s="142"/>
      <c r="CX274" s="142"/>
      <c r="DD274" s="142"/>
      <c r="DJ274" s="142"/>
      <c r="DP274" s="142"/>
      <c r="DV274" s="142"/>
      <c r="EB274" s="142"/>
    </row>
    <row r="275">
      <c r="F275" s="142"/>
      <c r="L275" s="142"/>
      <c r="R275" s="142"/>
      <c r="X275" s="142"/>
      <c r="AD275" s="142"/>
      <c r="AJ275" s="142"/>
      <c r="AP275" s="142"/>
      <c r="AV275" s="142"/>
      <c r="BB275" s="142"/>
      <c r="BH275" s="142"/>
      <c r="BN275" s="142"/>
      <c r="BT275" s="142"/>
      <c r="BZ275" s="142"/>
      <c r="CF275" s="142"/>
      <c r="CL275" s="142"/>
      <c r="CR275" s="142"/>
      <c r="CX275" s="142"/>
      <c r="DD275" s="142"/>
      <c r="DJ275" s="142"/>
      <c r="DP275" s="142"/>
      <c r="DV275" s="142"/>
      <c r="EB275" s="142"/>
    </row>
    <row r="276">
      <c r="F276" s="142"/>
      <c r="L276" s="142"/>
      <c r="R276" s="142"/>
      <c r="X276" s="142"/>
      <c r="AD276" s="142"/>
      <c r="AJ276" s="142"/>
      <c r="AP276" s="142"/>
      <c r="AV276" s="142"/>
      <c r="BB276" s="142"/>
      <c r="BH276" s="142"/>
      <c r="BN276" s="142"/>
      <c r="BT276" s="142"/>
      <c r="BZ276" s="142"/>
      <c r="CF276" s="142"/>
      <c r="CL276" s="142"/>
      <c r="CR276" s="142"/>
      <c r="CX276" s="142"/>
      <c r="DD276" s="142"/>
      <c r="DJ276" s="142"/>
      <c r="DP276" s="142"/>
      <c r="DV276" s="142"/>
      <c r="EB276" s="142"/>
    </row>
    <row r="277">
      <c r="F277" s="142"/>
      <c r="L277" s="142"/>
      <c r="R277" s="142"/>
      <c r="X277" s="142"/>
      <c r="AD277" s="142"/>
      <c r="AJ277" s="142"/>
      <c r="AP277" s="142"/>
      <c r="AV277" s="142"/>
      <c r="BB277" s="142"/>
      <c r="BH277" s="142"/>
      <c r="BN277" s="142"/>
      <c r="BT277" s="142"/>
      <c r="BZ277" s="142"/>
      <c r="CF277" s="142"/>
      <c r="CL277" s="142"/>
      <c r="CR277" s="142"/>
      <c r="CX277" s="142"/>
      <c r="DD277" s="142"/>
      <c r="DJ277" s="142"/>
      <c r="DP277" s="142"/>
      <c r="DV277" s="142"/>
      <c r="EB277" s="142"/>
    </row>
    <row r="278">
      <c r="F278" s="142"/>
      <c r="L278" s="142"/>
      <c r="R278" s="142"/>
      <c r="X278" s="142"/>
      <c r="AD278" s="142"/>
      <c r="AJ278" s="142"/>
      <c r="AP278" s="142"/>
      <c r="AV278" s="142"/>
      <c r="BB278" s="142"/>
      <c r="BH278" s="142"/>
      <c r="BN278" s="142"/>
      <c r="BT278" s="142"/>
      <c r="BZ278" s="142"/>
      <c r="CF278" s="142"/>
      <c r="CL278" s="142"/>
      <c r="CR278" s="142"/>
      <c r="CX278" s="142"/>
      <c r="DD278" s="142"/>
      <c r="DJ278" s="142"/>
      <c r="DP278" s="142"/>
      <c r="DV278" s="142"/>
      <c r="EB278" s="142"/>
    </row>
    <row r="279">
      <c r="F279" s="142"/>
      <c r="L279" s="142"/>
      <c r="R279" s="142"/>
      <c r="X279" s="142"/>
      <c r="AD279" s="142"/>
      <c r="AJ279" s="142"/>
      <c r="AP279" s="142"/>
      <c r="AV279" s="142"/>
      <c r="BB279" s="142"/>
      <c r="BH279" s="142"/>
      <c r="BN279" s="142"/>
      <c r="BT279" s="142"/>
      <c r="BZ279" s="142"/>
      <c r="CF279" s="142"/>
      <c r="CL279" s="142"/>
      <c r="CR279" s="142"/>
      <c r="CX279" s="142"/>
      <c r="DD279" s="142"/>
      <c r="DJ279" s="142"/>
      <c r="DP279" s="142"/>
      <c r="DV279" s="142"/>
      <c r="EB279" s="142"/>
    </row>
    <row r="280">
      <c r="F280" s="142"/>
      <c r="L280" s="142"/>
      <c r="R280" s="142"/>
      <c r="X280" s="142"/>
      <c r="AD280" s="142"/>
      <c r="AJ280" s="142"/>
      <c r="AP280" s="142"/>
      <c r="AV280" s="142"/>
      <c r="BB280" s="142"/>
      <c r="BH280" s="142"/>
      <c r="BN280" s="142"/>
      <c r="BT280" s="142"/>
      <c r="BZ280" s="142"/>
      <c r="CF280" s="142"/>
      <c r="CL280" s="142"/>
      <c r="CR280" s="142"/>
      <c r="CX280" s="142"/>
      <c r="DD280" s="142"/>
      <c r="DJ280" s="142"/>
      <c r="DP280" s="142"/>
      <c r="DV280" s="142"/>
      <c r="EB280" s="142"/>
    </row>
    <row r="281">
      <c r="F281" s="142"/>
      <c r="L281" s="142"/>
      <c r="R281" s="142"/>
      <c r="X281" s="142"/>
      <c r="AD281" s="142"/>
      <c r="AJ281" s="142"/>
      <c r="AP281" s="142"/>
      <c r="AV281" s="142"/>
      <c r="BB281" s="142"/>
      <c r="BH281" s="142"/>
      <c r="BN281" s="142"/>
      <c r="BT281" s="142"/>
      <c r="BZ281" s="142"/>
      <c r="CF281" s="142"/>
      <c r="CL281" s="142"/>
      <c r="CR281" s="142"/>
      <c r="CX281" s="142"/>
      <c r="DD281" s="142"/>
      <c r="DJ281" s="142"/>
      <c r="DP281" s="142"/>
      <c r="DV281" s="142"/>
      <c r="EB281" s="142"/>
    </row>
    <row r="282">
      <c r="F282" s="142"/>
      <c r="L282" s="142"/>
      <c r="R282" s="142"/>
      <c r="X282" s="142"/>
      <c r="AD282" s="142"/>
      <c r="AJ282" s="142"/>
      <c r="AP282" s="142"/>
      <c r="AV282" s="142"/>
      <c r="BB282" s="142"/>
      <c r="BH282" s="142"/>
      <c r="BN282" s="142"/>
      <c r="BT282" s="142"/>
      <c r="BZ282" s="142"/>
      <c r="CF282" s="142"/>
      <c r="CL282" s="142"/>
      <c r="CR282" s="142"/>
      <c r="CX282" s="142"/>
      <c r="DD282" s="142"/>
      <c r="DJ282" s="142"/>
      <c r="DP282" s="142"/>
      <c r="DV282" s="142"/>
      <c r="EB282" s="142"/>
    </row>
    <row r="283">
      <c r="F283" s="142"/>
      <c r="L283" s="142"/>
      <c r="R283" s="142"/>
      <c r="X283" s="142"/>
      <c r="AD283" s="142"/>
      <c r="AJ283" s="142"/>
      <c r="AP283" s="142"/>
      <c r="AV283" s="142"/>
      <c r="BB283" s="142"/>
      <c r="BH283" s="142"/>
      <c r="BN283" s="142"/>
      <c r="BT283" s="142"/>
      <c r="BZ283" s="142"/>
      <c r="CF283" s="142"/>
      <c r="CL283" s="142"/>
      <c r="CR283" s="142"/>
      <c r="CX283" s="142"/>
      <c r="DD283" s="142"/>
      <c r="DJ283" s="142"/>
      <c r="DP283" s="142"/>
      <c r="DV283" s="142"/>
      <c r="EB283" s="142"/>
    </row>
    <row r="284">
      <c r="F284" s="142"/>
      <c r="L284" s="142"/>
      <c r="R284" s="142"/>
      <c r="X284" s="142"/>
      <c r="AD284" s="142"/>
      <c r="AJ284" s="142"/>
      <c r="AP284" s="142"/>
      <c r="AV284" s="142"/>
      <c r="BB284" s="142"/>
      <c r="BH284" s="142"/>
      <c r="BN284" s="142"/>
      <c r="BT284" s="142"/>
      <c r="BZ284" s="142"/>
      <c r="CF284" s="142"/>
      <c r="CL284" s="142"/>
      <c r="CR284" s="142"/>
      <c r="CX284" s="142"/>
      <c r="DD284" s="142"/>
      <c r="DJ284" s="142"/>
      <c r="DP284" s="142"/>
      <c r="DV284" s="142"/>
      <c r="EB284" s="142"/>
    </row>
    <row r="285">
      <c r="F285" s="142"/>
      <c r="L285" s="142"/>
      <c r="R285" s="142"/>
      <c r="X285" s="142"/>
      <c r="AD285" s="142"/>
      <c r="AJ285" s="142"/>
      <c r="AP285" s="142"/>
      <c r="AV285" s="142"/>
      <c r="BB285" s="142"/>
      <c r="BH285" s="142"/>
      <c r="BN285" s="142"/>
      <c r="BT285" s="142"/>
      <c r="BZ285" s="142"/>
      <c r="CF285" s="142"/>
      <c r="CL285" s="142"/>
      <c r="CR285" s="142"/>
      <c r="CX285" s="142"/>
      <c r="DD285" s="142"/>
      <c r="DJ285" s="142"/>
      <c r="DP285" s="142"/>
      <c r="DV285" s="142"/>
      <c r="EB285" s="142"/>
    </row>
    <row r="286">
      <c r="F286" s="142"/>
      <c r="L286" s="142"/>
      <c r="R286" s="142"/>
      <c r="X286" s="142"/>
      <c r="AD286" s="142"/>
      <c r="AJ286" s="142"/>
      <c r="AP286" s="142"/>
      <c r="AV286" s="142"/>
      <c r="BB286" s="142"/>
      <c r="BH286" s="142"/>
      <c r="BN286" s="142"/>
      <c r="BT286" s="142"/>
      <c r="BZ286" s="142"/>
      <c r="CF286" s="142"/>
      <c r="CL286" s="142"/>
      <c r="CR286" s="142"/>
      <c r="CX286" s="142"/>
      <c r="DD286" s="142"/>
      <c r="DJ286" s="142"/>
      <c r="DP286" s="142"/>
      <c r="DV286" s="142"/>
      <c r="EB286" s="142"/>
    </row>
    <row r="287">
      <c r="F287" s="142"/>
      <c r="L287" s="142"/>
      <c r="R287" s="142"/>
      <c r="X287" s="142"/>
      <c r="AD287" s="142"/>
      <c r="AJ287" s="142"/>
      <c r="AP287" s="142"/>
      <c r="AV287" s="142"/>
      <c r="BB287" s="142"/>
      <c r="BH287" s="142"/>
      <c r="BN287" s="142"/>
      <c r="BT287" s="142"/>
      <c r="BZ287" s="142"/>
      <c r="CF287" s="142"/>
      <c r="CL287" s="142"/>
      <c r="CR287" s="142"/>
      <c r="CX287" s="142"/>
      <c r="DD287" s="142"/>
      <c r="DJ287" s="142"/>
      <c r="DP287" s="142"/>
      <c r="DV287" s="142"/>
      <c r="EB287" s="142"/>
    </row>
    <row r="288">
      <c r="F288" s="142"/>
      <c r="L288" s="142"/>
      <c r="R288" s="142"/>
      <c r="X288" s="142"/>
      <c r="AD288" s="142"/>
      <c r="AJ288" s="142"/>
      <c r="AP288" s="142"/>
      <c r="AV288" s="142"/>
      <c r="BB288" s="142"/>
      <c r="BH288" s="142"/>
      <c r="BN288" s="142"/>
      <c r="BT288" s="142"/>
      <c r="BZ288" s="142"/>
      <c r="CF288" s="142"/>
      <c r="CL288" s="142"/>
      <c r="CR288" s="142"/>
      <c r="CX288" s="142"/>
      <c r="DD288" s="142"/>
      <c r="DJ288" s="142"/>
      <c r="DP288" s="142"/>
      <c r="DV288" s="142"/>
      <c r="EB288" s="142"/>
    </row>
    <row r="289">
      <c r="F289" s="142"/>
      <c r="L289" s="142"/>
      <c r="R289" s="142"/>
      <c r="X289" s="142"/>
      <c r="AD289" s="142"/>
      <c r="AJ289" s="142"/>
      <c r="AP289" s="142"/>
      <c r="AV289" s="142"/>
      <c r="BB289" s="142"/>
      <c r="BH289" s="142"/>
      <c r="BN289" s="142"/>
      <c r="BT289" s="142"/>
      <c r="BZ289" s="142"/>
      <c r="CF289" s="142"/>
      <c r="CL289" s="142"/>
      <c r="CR289" s="142"/>
      <c r="CX289" s="142"/>
      <c r="DD289" s="142"/>
      <c r="DJ289" s="142"/>
      <c r="DP289" s="142"/>
      <c r="DV289" s="142"/>
      <c r="EB289" s="142"/>
    </row>
    <row r="290">
      <c r="F290" s="142"/>
      <c r="L290" s="142"/>
      <c r="R290" s="142"/>
      <c r="X290" s="142"/>
      <c r="AD290" s="142"/>
      <c r="AJ290" s="142"/>
      <c r="AP290" s="142"/>
      <c r="AV290" s="142"/>
      <c r="BB290" s="142"/>
      <c r="BH290" s="142"/>
      <c r="BN290" s="142"/>
      <c r="BT290" s="142"/>
      <c r="BZ290" s="142"/>
      <c r="CF290" s="142"/>
      <c r="CL290" s="142"/>
      <c r="CR290" s="142"/>
      <c r="CX290" s="142"/>
      <c r="DD290" s="142"/>
      <c r="DJ290" s="142"/>
      <c r="DP290" s="142"/>
      <c r="DV290" s="142"/>
      <c r="EB290" s="142"/>
    </row>
    <row r="291">
      <c r="F291" s="142"/>
      <c r="L291" s="142"/>
      <c r="R291" s="142"/>
      <c r="X291" s="142"/>
      <c r="AD291" s="142"/>
      <c r="AJ291" s="142"/>
      <c r="AP291" s="142"/>
      <c r="AV291" s="142"/>
      <c r="BB291" s="142"/>
      <c r="BH291" s="142"/>
      <c r="BN291" s="142"/>
      <c r="BT291" s="142"/>
      <c r="BZ291" s="142"/>
      <c r="CF291" s="142"/>
      <c r="CL291" s="142"/>
      <c r="CR291" s="142"/>
      <c r="CX291" s="142"/>
      <c r="DD291" s="142"/>
      <c r="DJ291" s="142"/>
      <c r="DP291" s="142"/>
      <c r="DV291" s="142"/>
      <c r="EB291" s="142"/>
    </row>
    <row r="292">
      <c r="F292" s="142"/>
      <c r="L292" s="142"/>
      <c r="R292" s="142"/>
      <c r="X292" s="142"/>
      <c r="AD292" s="142"/>
      <c r="AJ292" s="142"/>
      <c r="AP292" s="142"/>
      <c r="AV292" s="142"/>
      <c r="BB292" s="142"/>
      <c r="BH292" s="142"/>
      <c r="BN292" s="142"/>
      <c r="BT292" s="142"/>
      <c r="BZ292" s="142"/>
      <c r="CF292" s="142"/>
      <c r="CL292" s="142"/>
      <c r="CR292" s="142"/>
      <c r="CX292" s="142"/>
      <c r="DD292" s="142"/>
      <c r="DJ292" s="142"/>
      <c r="DP292" s="142"/>
      <c r="DV292" s="142"/>
      <c r="EB292" s="142"/>
    </row>
    <row r="293">
      <c r="F293" s="142"/>
      <c r="L293" s="142"/>
      <c r="R293" s="142"/>
      <c r="X293" s="142"/>
      <c r="AD293" s="142"/>
      <c r="AJ293" s="142"/>
      <c r="AP293" s="142"/>
      <c r="AV293" s="142"/>
      <c r="BB293" s="142"/>
      <c r="BH293" s="142"/>
      <c r="BN293" s="142"/>
      <c r="BT293" s="142"/>
      <c r="BZ293" s="142"/>
      <c r="CF293" s="142"/>
      <c r="CL293" s="142"/>
      <c r="CR293" s="142"/>
      <c r="CX293" s="142"/>
      <c r="DD293" s="142"/>
      <c r="DJ293" s="142"/>
      <c r="DP293" s="142"/>
      <c r="DV293" s="142"/>
      <c r="EB293" s="142"/>
    </row>
    <row r="294">
      <c r="F294" s="142"/>
      <c r="L294" s="142"/>
      <c r="R294" s="142"/>
      <c r="X294" s="142"/>
      <c r="AD294" s="142"/>
      <c r="AJ294" s="142"/>
      <c r="AP294" s="142"/>
      <c r="AV294" s="142"/>
      <c r="BB294" s="142"/>
      <c r="BH294" s="142"/>
      <c r="BN294" s="142"/>
      <c r="BT294" s="142"/>
      <c r="BZ294" s="142"/>
      <c r="CF294" s="142"/>
      <c r="CL294" s="142"/>
      <c r="CR294" s="142"/>
      <c r="CX294" s="142"/>
      <c r="DD294" s="142"/>
      <c r="DJ294" s="142"/>
      <c r="DP294" s="142"/>
      <c r="DV294" s="142"/>
      <c r="EB294" s="142"/>
    </row>
    <row r="295">
      <c r="F295" s="142"/>
      <c r="L295" s="142"/>
      <c r="R295" s="142"/>
      <c r="X295" s="142"/>
      <c r="AD295" s="142"/>
      <c r="AJ295" s="142"/>
      <c r="AP295" s="142"/>
      <c r="AV295" s="142"/>
      <c r="BB295" s="142"/>
      <c r="BH295" s="142"/>
      <c r="BN295" s="142"/>
      <c r="BT295" s="142"/>
      <c r="BZ295" s="142"/>
      <c r="CF295" s="142"/>
      <c r="CL295" s="142"/>
      <c r="CR295" s="142"/>
      <c r="CX295" s="142"/>
      <c r="DD295" s="142"/>
      <c r="DJ295" s="142"/>
      <c r="DP295" s="142"/>
      <c r="DV295" s="142"/>
      <c r="EB295" s="142"/>
    </row>
    <row r="296">
      <c r="F296" s="142"/>
      <c r="L296" s="142"/>
      <c r="R296" s="142"/>
      <c r="X296" s="142"/>
      <c r="AD296" s="142"/>
      <c r="AJ296" s="142"/>
      <c r="AP296" s="142"/>
      <c r="AV296" s="142"/>
      <c r="BB296" s="142"/>
      <c r="BH296" s="142"/>
      <c r="BN296" s="142"/>
      <c r="BT296" s="142"/>
      <c r="BZ296" s="142"/>
      <c r="CF296" s="142"/>
      <c r="CL296" s="142"/>
      <c r="CR296" s="142"/>
      <c r="CX296" s="142"/>
      <c r="DD296" s="142"/>
      <c r="DJ296" s="142"/>
      <c r="DP296" s="142"/>
      <c r="DV296" s="142"/>
      <c r="EB296" s="142"/>
    </row>
    <row r="297">
      <c r="F297" s="142"/>
      <c r="L297" s="142"/>
      <c r="R297" s="142"/>
      <c r="X297" s="142"/>
      <c r="AD297" s="142"/>
      <c r="AJ297" s="142"/>
      <c r="AP297" s="142"/>
      <c r="AV297" s="142"/>
      <c r="BB297" s="142"/>
      <c r="BH297" s="142"/>
      <c r="BN297" s="142"/>
      <c r="BT297" s="142"/>
      <c r="BZ297" s="142"/>
      <c r="CF297" s="142"/>
      <c r="CL297" s="142"/>
      <c r="CR297" s="142"/>
      <c r="CX297" s="142"/>
      <c r="DD297" s="142"/>
      <c r="DJ297" s="142"/>
      <c r="DP297" s="142"/>
      <c r="DV297" s="142"/>
      <c r="EB297" s="142"/>
    </row>
    <row r="298">
      <c r="F298" s="142"/>
      <c r="L298" s="142"/>
      <c r="R298" s="142"/>
      <c r="X298" s="142"/>
      <c r="AD298" s="142"/>
      <c r="AJ298" s="142"/>
      <c r="AP298" s="142"/>
      <c r="AV298" s="142"/>
      <c r="BB298" s="142"/>
      <c r="BH298" s="142"/>
      <c r="BN298" s="142"/>
      <c r="BT298" s="142"/>
      <c r="BZ298" s="142"/>
      <c r="CF298" s="142"/>
      <c r="CL298" s="142"/>
      <c r="CR298" s="142"/>
      <c r="CX298" s="142"/>
      <c r="DD298" s="142"/>
      <c r="DJ298" s="142"/>
      <c r="DP298" s="142"/>
      <c r="DV298" s="142"/>
      <c r="EB298" s="142"/>
    </row>
    <row r="299">
      <c r="F299" s="142"/>
      <c r="L299" s="142"/>
      <c r="R299" s="142"/>
      <c r="X299" s="142"/>
      <c r="AD299" s="142"/>
      <c r="AJ299" s="142"/>
      <c r="AP299" s="142"/>
      <c r="AV299" s="142"/>
      <c r="BB299" s="142"/>
      <c r="BH299" s="142"/>
      <c r="BN299" s="142"/>
      <c r="BT299" s="142"/>
      <c r="BZ299" s="142"/>
      <c r="CF299" s="142"/>
      <c r="CL299" s="142"/>
      <c r="CR299" s="142"/>
      <c r="CX299" s="142"/>
      <c r="DD299" s="142"/>
      <c r="DJ299" s="142"/>
      <c r="DP299" s="142"/>
      <c r="DV299" s="142"/>
      <c r="EB299" s="142"/>
    </row>
    <row r="300">
      <c r="F300" s="142"/>
      <c r="L300" s="142"/>
      <c r="R300" s="142"/>
      <c r="X300" s="142"/>
      <c r="AD300" s="142"/>
      <c r="AJ300" s="142"/>
      <c r="AP300" s="142"/>
      <c r="AV300" s="142"/>
      <c r="BB300" s="142"/>
      <c r="BH300" s="142"/>
      <c r="BN300" s="142"/>
      <c r="BT300" s="142"/>
      <c r="BZ300" s="142"/>
      <c r="CF300" s="142"/>
      <c r="CL300" s="142"/>
      <c r="CR300" s="142"/>
      <c r="CX300" s="142"/>
      <c r="DD300" s="142"/>
      <c r="DJ300" s="142"/>
      <c r="DP300" s="142"/>
      <c r="DV300" s="142"/>
      <c r="EB300" s="142"/>
    </row>
    <row r="301">
      <c r="F301" s="142"/>
      <c r="L301" s="142"/>
      <c r="R301" s="142"/>
      <c r="X301" s="142"/>
      <c r="AD301" s="142"/>
      <c r="AJ301" s="142"/>
      <c r="AP301" s="142"/>
      <c r="AV301" s="142"/>
      <c r="BB301" s="142"/>
      <c r="BH301" s="142"/>
      <c r="BN301" s="142"/>
      <c r="BT301" s="142"/>
      <c r="BZ301" s="142"/>
      <c r="CF301" s="142"/>
      <c r="CL301" s="142"/>
      <c r="CR301" s="142"/>
      <c r="CX301" s="142"/>
      <c r="DD301" s="142"/>
      <c r="DJ301" s="142"/>
      <c r="DP301" s="142"/>
      <c r="DV301" s="142"/>
      <c r="EB301" s="142"/>
    </row>
    <row r="302">
      <c r="F302" s="142"/>
      <c r="L302" s="142"/>
      <c r="R302" s="142"/>
      <c r="X302" s="142"/>
      <c r="AD302" s="142"/>
      <c r="AJ302" s="142"/>
      <c r="AP302" s="142"/>
      <c r="AV302" s="142"/>
      <c r="BB302" s="142"/>
      <c r="BH302" s="142"/>
      <c r="BN302" s="142"/>
      <c r="BT302" s="142"/>
      <c r="BZ302" s="142"/>
      <c r="CF302" s="142"/>
      <c r="CL302" s="142"/>
      <c r="CR302" s="142"/>
      <c r="CX302" s="142"/>
      <c r="DD302" s="142"/>
      <c r="DJ302" s="142"/>
      <c r="DP302" s="142"/>
      <c r="DV302" s="142"/>
      <c r="EB302" s="142"/>
    </row>
    <row r="303">
      <c r="F303" s="142"/>
      <c r="L303" s="142"/>
      <c r="R303" s="142"/>
      <c r="X303" s="142"/>
      <c r="AD303" s="142"/>
      <c r="AJ303" s="142"/>
      <c r="AP303" s="142"/>
      <c r="AV303" s="142"/>
      <c r="BB303" s="142"/>
      <c r="BH303" s="142"/>
      <c r="BN303" s="142"/>
      <c r="BT303" s="142"/>
      <c r="BZ303" s="142"/>
      <c r="CF303" s="142"/>
      <c r="CL303" s="142"/>
      <c r="CR303" s="142"/>
      <c r="CX303" s="142"/>
      <c r="DD303" s="142"/>
      <c r="DJ303" s="142"/>
      <c r="DP303" s="142"/>
      <c r="DV303" s="142"/>
      <c r="EB303" s="142"/>
    </row>
    <row r="304">
      <c r="F304" s="142"/>
      <c r="L304" s="142"/>
      <c r="R304" s="142"/>
      <c r="X304" s="142"/>
      <c r="AD304" s="142"/>
      <c r="AJ304" s="142"/>
      <c r="AP304" s="142"/>
      <c r="AV304" s="142"/>
      <c r="BB304" s="142"/>
      <c r="BH304" s="142"/>
      <c r="BN304" s="142"/>
      <c r="BT304" s="142"/>
      <c r="BZ304" s="142"/>
      <c r="CF304" s="142"/>
      <c r="CL304" s="142"/>
      <c r="CR304" s="142"/>
      <c r="CX304" s="142"/>
      <c r="DD304" s="142"/>
      <c r="DJ304" s="142"/>
      <c r="DP304" s="142"/>
      <c r="DV304" s="142"/>
      <c r="EB304" s="142"/>
    </row>
    <row r="305">
      <c r="F305" s="142"/>
      <c r="L305" s="142"/>
      <c r="R305" s="142"/>
      <c r="X305" s="142"/>
      <c r="AD305" s="142"/>
      <c r="AJ305" s="142"/>
      <c r="AP305" s="142"/>
      <c r="AV305" s="142"/>
      <c r="BB305" s="142"/>
      <c r="BH305" s="142"/>
      <c r="BN305" s="142"/>
      <c r="BT305" s="142"/>
      <c r="BZ305" s="142"/>
      <c r="CF305" s="142"/>
      <c r="CL305" s="142"/>
      <c r="CR305" s="142"/>
      <c r="CX305" s="142"/>
      <c r="DD305" s="142"/>
      <c r="DJ305" s="142"/>
      <c r="DP305" s="142"/>
      <c r="DV305" s="142"/>
      <c r="EB305" s="142"/>
    </row>
    <row r="306">
      <c r="F306" s="142"/>
      <c r="L306" s="142"/>
      <c r="R306" s="142"/>
      <c r="X306" s="142"/>
      <c r="AD306" s="142"/>
      <c r="AJ306" s="142"/>
      <c r="AP306" s="142"/>
      <c r="AV306" s="142"/>
      <c r="BB306" s="142"/>
      <c r="BH306" s="142"/>
      <c r="BN306" s="142"/>
      <c r="BT306" s="142"/>
      <c r="BZ306" s="142"/>
      <c r="CF306" s="142"/>
      <c r="CL306" s="142"/>
      <c r="CR306" s="142"/>
      <c r="CX306" s="142"/>
      <c r="DD306" s="142"/>
      <c r="DJ306" s="142"/>
      <c r="DP306" s="142"/>
      <c r="DV306" s="142"/>
      <c r="EB306" s="142"/>
    </row>
    <row r="307">
      <c r="F307" s="142"/>
      <c r="L307" s="142"/>
      <c r="R307" s="142"/>
      <c r="X307" s="142"/>
      <c r="AD307" s="142"/>
      <c r="AJ307" s="142"/>
      <c r="AP307" s="142"/>
      <c r="AV307" s="142"/>
      <c r="BB307" s="142"/>
      <c r="BH307" s="142"/>
      <c r="BN307" s="142"/>
      <c r="BT307" s="142"/>
      <c r="BZ307" s="142"/>
      <c r="CF307" s="142"/>
      <c r="CL307" s="142"/>
      <c r="CR307" s="142"/>
      <c r="CX307" s="142"/>
      <c r="DD307" s="142"/>
      <c r="DJ307" s="142"/>
      <c r="DP307" s="142"/>
      <c r="DV307" s="142"/>
      <c r="EB307" s="142"/>
    </row>
    <row r="308">
      <c r="F308" s="142"/>
      <c r="L308" s="142"/>
      <c r="R308" s="142"/>
      <c r="X308" s="142"/>
      <c r="AD308" s="142"/>
      <c r="AJ308" s="142"/>
      <c r="AP308" s="142"/>
      <c r="AV308" s="142"/>
      <c r="BB308" s="142"/>
      <c r="BH308" s="142"/>
      <c r="BN308" s="142"/>
      <c r="BT308" s="142"/>
      <c r="BZ308" s="142"/>
      <c r="CF308" s="142"/>
      <c r="CL308" s="142"/>
      <c r="CR308" s="142"/>
      <c r="CX308" s="142"/>
      <c r="DD308" s="142"/>
      <c r="DJ308" s="142"/>
      <c r="DP308" s="142"/>
      <c r="DV308" s="142"/>
      <c r="EB308" s="142"/>
    </row>
    <row r="309">
      <c r="F309" s="142"/>
      <c r="L309" s="142"/>
      <c r="R309" s="142"/>
      <c r="X309" s="142"/>
      <c r="AD309" s="142"/>
      <c r="AJ309" s="142"/>
      <c r="AP309" s="142"/>
      <c r="AV309" s="142"/>
      <c r="BB309" s="142"/>
      <c r="BH309" s="142"/>
      <c r="BN309" s="142"/>
      <c r="BT309" s="142"/>
      <c r="BZ309" s="142"/>
      <c r="CF309" s="142"/>
      <c r="CL309" s="142"/>
      <c r="CR309" s="142"/>
      <c r="CX309" s="142"/>
      <c r="DD309" s="142"/>
      <c r="DJ309" s="142"/>
      <c r="DP309" s="142"/>
      <c r="DV309" s="142"/>
      <c r="EB309" s="142"/>
    </row>
    <row r="310">
      <c r="F310" s="142"/>
      <c r="L310" s="142"/>
      <c r="R310" s="142"/>
      <c r="X310" s="142"/>
      <c r="AD310" s="142"/>
      <c r="AJ310" s="142"/>
      <c r="AP310" s="142"/>
      <c r="AV310" s="142"/>
      <c r="BB310" s="142"/>
      <c r="BH310" s="142"/>
      <c r="BN310" s="142"/>
      <c r="BT310" s="142"/>
      <c r="BZ310" s="142"/>
      <c r="CF310" s="142"/>
      <c r="CL310" s="142"/>
      <c r="CR310" s="142"/>
      <c r="CX310" s="142"/>
      <c r="DD310" s="142"/>
      <c r="DJ310" s="142"/>
      <c r="DP310" s="142"/>
      <c r="DV310" s="142"/>
      <c r="EB310" s="142"/>
    </row>
    <row r="311">
      <c r="F311" s="142"/>
      <c r="L311" s="142"/>
      <c r="R311" s="142"/>
      <c r="X311" s="142"/>
      <c r="AD311" s="142"/>
      <c r="AJ311" s="142"/>
      <c r="AP311" s="142"/>
      <c r="AV311" s="142"/>
      <c r="BB311" s="142"/>
      <c r="BH311" s="142"/>
      <c r="BN311" s="142"/>
      <c r="BT311" s="142"/>
      <c r="BZ311" s="142"/>
      <c r="CF311" s="142"/>
      <c r="CL311" s="142"/>
      <c r="CR311" s="142"/>
      <c r="CX311" s="142"/>
      <c r="DD311" s="142"/>
      <c r="DJ311" s="142"/>
      <c r="DP311" s="142"/>
      <c r="DV311" s="142"/>
      <c r="EB311" s="142"/>
    </row>
    <row r="312">
      <c r="F312" s="142"/>
      <c r="L312" s="142"/>
      <c r="R312" s="142"/>
      <c r="X312" s="142"/>
      <c r="AD312" s="142"/>
      <c r="AJ312" s="142"/>
      <c r="AP312" s="142"/>
      <c r="AV312" s="142"/>
      <c r="BB312" s="142"/>
      <c r="BH312" s="142"/>
      <c r="BN312" s="142"/>
      <c r="BT312" s="142"/>
      <c r="BZ312" s="142"/>
      <c r="CF312" s="142"/>
      <c r="CL312" s="142"/>
      <c r="CR312" s="142"/>
      <c r="CX312" s="142"/>
      <c r="DD312" s="142"/>
      <c r="DJ312" s="142"/>
      <c r="DP312" s="142"/>
      <c r="DV312" s="142"/>
      <c r="EB312" s="142"/>
    </row>
    <row r="313">
      <c r="F313" s="142"/>
      <c r="L313" s="142"/>
      <c r="R313" s="142"/>
      <c r="X313" s="142"/>
      <c r="AD313" s="142"/>
      <c r="AJ313" s="142"/>
      <c r="AP313" s="142"/>
      <c r="AV313" s="142"/>
      <c r="BB313" s="142"/>
      <c r="BH313" s="142"/>
      <c r="BN313" s="142"/>
      <c r="BT313" s="142"/>
      <c r="BZ313" s="142"/>
      <c r="CF313" s="142"/>
      <c r="CL313" s="142"/>
      <c r="CR313" s="142"/>
      <c r="CX313" s="142"/>
      <c r="DD313" s="142"/>
      <c r="DJ313" s="142"/>
      <c r="DP313" s="142"/>
      <c r="DV313" s="142"/>
      <c r="EB313" s="142"/>
    </row>
    <row r="314">
      <c r="F314" s="142"/>
      <c r="L314" s="142"/>
      <c r="R314" s="142"/>
      <c r="X314" s="142"/>
      <c r="AD314" s="142"/>
      <c r="AJ314" s="142"/>
      <c r="AP314" s="142"/>
      <c r="AV314" s="142"/>
      <c r="BB314" s="142"/>
      <c r="BH314" s="142"/>
      <c r="BN314" s="142"/>
      <c r="BT314" s="142"/>
      <c r="BZ314" s="142"/>
      <c r="CF314" s="142"/>
      <c r="CL314" s="142"/>
      <c r="CR314" s="142"/>
      <c r="CX314" s="142"/>
      <c r="DD314" s="142"/>
      <c r="DJ314" s="142"/>
      <c r="DP314" s="142"/>
      <c r="DV314" s="142"/>
      <c r="EB314" s="142"/>
    </row>
    <row r="315">
      <c r="F315" s="142"/>
      <c r="L315" s="142"/>
      <c r="R315" s="142"/>
      <c r="X315" s="142"/>
      <c r="AD315" s="142"/>
      <c r="AJ315" s="142"/>
      <c r="AP315" s="142"/>
      <c r="AV315" s="142"/>
      <c r="BB315" s="142"/>
      <c r="BH315" s="142"/>
      <c r="BN315" s="142"/>
      <c r="BT315" s="142"/>
      <c r="BZ315" s="142"/>
      <c r="CF315" s="142"/>
      <c r="CL315" s="142"/>
      <c r="CR315" s="142"/>
      <c r="CX315" s="142"/>
      <c r="DD315" s="142"/>
      <c r="DJ315" s="142"/>
      <c r="DP315" s="142"/>
      <c r="DV315" s="142"/>
      <c r="EB315" s="142"/>
    </row>
    <row r="316">
      <c r="F316" s="142"/>
      <c r="L316" s="142"/>
      <c r="R316" s="142"/>
      <c r="X316" s="142"/>
      <c r="AD316" s="142"/>
      <c r="AJ316" s="142"/>
      <c r="AP316" s="142"/>
      <c r="AV316" s="142"/>
      <c r="BB316" s="142"/>
      <c r="BH316" s="142"/>
      <c r="BN316" s="142"/>
      <c r="BT316" s="142"/>
      <c r="BZ316" s="142"/>
      <c r="CF316" s="142"/>
      <c r="CL316" s="142"/>
      <c r="CR316" s="142"/>
      <c r="CX316" s="142"/>
      <c r="DD316" s="142"/>
      <c r="DJ316" s="142"/>
      <c r="DP316" s="142"/>
      <c r="DV316" s="142"/>
      <c r="EB316" s="142"/>
    </row>
    <row r="317">
      <c r="F317" s="142"/>
      <c r="L317" s="142"/>
      <c r="R317" s="142"/>
      <c r="X317" s="142"/>
      <c r="AD317" s="142"/>
      <c r="AJ317" s="142"/>
      <c r="AP317" s="142"/>
      <c r="AV317" s="142"/>
      <c r="BB317" s="142"/>
      <c r="BH317" s="142"/>
      <c r="BN317" s="142"/>
      <c r="BT317" s="142"/>
      <c r="BZ317" s="142"/>
      <c r="CF317" s="142"/>
      <c r="CL317" s="142"/>
      <c r="CR317" s="142"/>
      <c r="CX317" s="142"/>
      <c r="DD317" s="142"/>
      <c r="DJ317" s="142"/>
      <c r="DP317" s="142"/>
      <c r="DV317" s="142"/>
      <c r="EB317" s="142"/>
    </row>
    <row r="318">
      <c r="F318" s="142"/>
      <c r="L318" s="142"/>
      <c r="R318" s="142"/>
      <c r="X318" s="142"/>
      <c r="AD318" s="142"/>
      <c r="AJ318" s="142"/>
      <c r="AP318" s="142"/>
      <c r="AV318" s="142"/>
      <c r="BB318" s="142"/>
      <c r="BH318" s="142"/>
      <c r="BN318" s="142"/>
      <c r="BT318" s="142"/>
      <c r="BZ318" s="142"/>
      <c r="CF318" s="142"/>
      <c r="CL318" s="142"/>
      <c r="CR318" s="142"/>
      <c r="CX318" s="142"/>
      <c r="DD318" s="142"/>
      <c r="DJ318" s="142"/>
      <c r="DP318" s="142"/>
      <c r="DV318" s="142"/>
      <c r="EB318" s="142"/>
    </row>
    <row r="319">
      <c r="F319" s="142"/>
      <c r="L319" s="142"/>
      <c r="R319" s="142"/>
      <c r="X319" s="142"/>
      <c r="AD319" s="142"/>
      <c r="AJ319" s="142"/>
      <c r="AP319" s="142"/>
      <c r="AV319" s="142"/>
      <c r="BB319" s="142"/>
      <c r="BH319" s="142"/>
      <c r="BN319" s="142"/>
      <c r="BT319" s="142"/>
      <c r="BZ319" s="142"/>
      <c r="CF319" s="142"/>
      <c r="CL319" s="142"/>
      <c r="CR319" s="142"/>
      <c r="CX319" s="142"/>
      <c r="DD319" s="142"/>
      <c r="DJ319" s="142"/>
      <c r="DP319" s="142"/>
      <c r="DV319" s="142"/>
      <c r="EB319" s="142"/>
    </row>
    <row r="320">
      <c r="F320" s="142"/>
      <c r="L320" s="142"/>
      <c r="R320" s="142"/>
      <c r="X320" s="142"/>
      <c r="AD320" s="142"/>
      <c r="AJ320" s="142"/>
      <c r="AP320" s="142"/>
      <c r="AV320" s="142"/>
      <c r="BB320" s="142"/>
      <c r="BH320" s="142"/>
      <c r="BN320" s="142"/>
      <c r="BT320" s="142"/>
      <c r="BZ320" s="142"/>
      <c r="CF320" s="142"/>
      <c r="CL320" s="142"/>
      <c r="CR320" s="142"/>
      <c r="CX320" s="142"/>
      <c r="DD320" s="142"/>
      <c r="DJ320" s="142"/>
      <c r="DP320" s="142"/>
      <c r="DV320" s="142"/>
      <c r="EB320" s="142"/>
    </row>
    <row r="321">
      <c r="F321" s="142"/>
      <c r="L321" s="142"/>
      <c r="R321" s="142"/>
      <c r="X321" s="142"/>
      <c r="AD321" s="142"/>
      <c r="AJ321" s="142"/>
      <c r="AP321" s="142"/>
      <c r="AV321" s="142"/>
      <c r="BB321" s="142"/>
      <c r="BH321" s="142"/>
      <c r="BN321" s="142"/>
      <c r="BT321" s="142"/>
      <c r="BZ321" s="142"/>
      <c r="CF321" s="142"/>
      <c r="CL321" s="142"/>
      <c r="CR321" s="142"/>
      <c r="CX321" s="142"/>
      <c r="DD321" s="142"/>
      <c r="DJ321" s="142"/>
      <c r="DP321" s="142"/>
      <c r="DV321" s="142"/>
      <c r="EB321" s="142"/>
    </row>
    <row r="322">
      <c r="F322" s="142"/>
      <c r="L322" s="142"/>
      <c r="R322" s="142"/>
      <c r="X322" s="142"/>
      <c r="AD322" s="142"/>
      <c r="AJ322" s="142"/>
      <c r="AP322" s="142"/>
      <c r="AV322" s="142"/>
      <c r="BB322" s="142"/>
      <c r="BH322" s="142"/>
      <c r="BN322" s="142"/>
      <c r="BT322" s="142"/>
      <c r="BZ322" s="142"/>
      <c r="CF322" s="142"/>
      <c r="CL322" s="142"/>
      <c r="CR322" s="142"/>
      <c r="CX322" s="142"/>
      <c r="DD322" s="142"/>
      <c r="DJ322" s="142"/>
      <c r="DP322" s="142"/>
      <c r="DV322" s="142"/>
      <c r="EB322" s="142"/>
    </row>
    <row r="323">
      <c r="F323" s="142"/>
      <c r="L323" s="142"/>
      <c r="R323" s="142"/>
      <c r="X323" s="142"/>
      <c r="AD323" s="142"/>
      <c r="AJ323" s="142"/>
      <c r="AP323" s="142"/>
      <c r="AV323" s="142"/>
      <c r="BB323" s="142"/>
      <c r="BH323" s="142"/>
      <c r="BN323" s="142"/>
      <c r="BT323" s="142"/>
      <c r="BZ323" s="142"/>
      <c r="CF323" s="142"/>
      <c r="CL323" s="142"/>
      <c r="CR323" s="142"/>
      <c r="CX323" s="142"/>
      <c r="DD323" s="142"/>
      <c r="DJ323" s="142"/>
      <c r="DP323" s="142"/>
      <c r="DV323" s="142"/>
      <c r="EB323" s="142"/>
    </row>
    <row r="324">
      <c r="F324" s="142"/>
      <c r="L324" s="142"/>
      <c r="R324" s="142"/>
      <c r="X324" s="142"/>
      <c r="AD324" s="142"/>
      <c r="AJ324" s="142"/>
      <c r="AP324" s="142"/>
      <c r="AV324" s="142"/>
      <c r="BB324" s="142"/>
      <c r="BH324" s="142"/>
      <c r="BN324" s="142"/>
      <c r="BT324" s="142"/>
      <c r="BZ324" s="142"/>
      <c r="CF324" s="142"/>
      <c r="CL324" s="142"/>
      <c r="CR324" s="142"/>
      <c r="CX324" s="142"/>
      <c r="DD324" s="142"/>
      <c r="DJ324" s="142"/>
      <c r="DP324" s="142"/>
      <c r="DV324" s="142"/>
      <c r="EB324" s="142"/>
    </row>
    <row r="325">
      <c r="F325" s="142"/>
      <c r="L325" s="142"/>
      <c r="R325" s="142"/>
      <c r="X325" s="142"/>
      <c r="AD325" s="142"/>
      <c r="AJ325" s="142"/>
      <c r="AP325" s="142"/>
      <c r="AV325" s="142"/>
      <c r="BB325" s="142"/>
      <c r="BH325" s="142"/>
      <c r="BN325" s="142"/>
      <c r="BT325" s="142"/>
      <c r="BZ325" s="142"/>
      <c r="CF325" s="142"/>
      <c r="CL325" s="142"/>
      <c r="CR325" s="142"/>
      <c r="CX325" s="142"/>
      <c r="DD325" s="142"/>
      <c r="DJ325" s="142"/>
      <c r="DP325" s="142"/>
      <c r="DV325" s="142"/>
      <c r="EB325" s="142"/>
    </row>
    <row r="326">
      <c r="F326" s="142"/>
      <c r="L326" s="142"/>
      <c r="R326" s="142"/>
      <c r="X326" s="142"/>
      <c r="AD326" s="142"/>
      <c r="AJ326" s="142"/>
      <c r="AP326" s="142"/>
      <c r="AV326" s="142"/>
      <c r="BB326" s="142"/>
      <c r="BH326" s="142"/>
      <c r="BN326" s="142"/>
      <c r="BT326" s="142"/>
      <c r="BZ326" s="142"/>
      <c r="CF326" s="142"/>
      <c r="CL326" s="142"/>
      <c r="CR326" s="142"/>
      <c r="CX326" s="142"/>
      <c r="DD326" s="142"/>
      <c r="DJ326" s="142"/>
      <c r="DP326" s="142"/>
      <c r="DV326" s="142"/>
      <c r="EB326" s="142"/>
    </row>
    <row r="327">
      <c r="F327" s="142"/>
      <c r="L327" s="142"/>
      <c r="R327" s="142"/>
      <c r="X327" s="142"/>
      <c r="AD327" s="142"/>
      <c r="AJ327" s="142"/>
      <c r="AP327" s="142"/>
      <c r="AV327" s="142"/>
      <c r="BB327" s="142"/>
      <c r="BH327" s="142"/>
      <c r="BN327" s="142"/>
      <c r="BT327" s="142"/>
      <c r="BZ327" s="142"/>
      <c r="CF327" s="142"/>
      <c r="CL327" s="142"/>
      <c r="CR327" s="142"/>
      <c r="CX327" s="142"/>
      <c r="DD327" s="142"/>
      <c r="DJ327" s="142"/>
      <c r="DP327" s="142"/>
      <c r="DV327" s="142"/>
      <c r="EB327" s="142"/>
    </row>
    <row r="328">
      <c r="F328" s="142"/>
      <c r="L328" s="142"/>
      <c r="R328" s="142"/>
      <c r="X328" s="142"/>
      <c r="AD328" s="142"/>
      <c r="AJ328" s="142"/>
      <c r="AP328" s="142"/>
      <c r="AV328" s="142"/>
      <c r="BB328" s="142"/>
      <c r="BH328" s="142"/>
      <c r="BN328" s="142"/>
      <c r="BT328" s="142"/>
      <c r="BZ328" s="142"/>
      <c r="CF328" s="142"/>
      <c r="CL328" s="142"/>
      <c r="CR328" s="142"/>
      <c r="CX328" s="142"/>
      <c r="DD328" s="142"/>
      <c r="DJ328" s="142"/>
      <c r="DP328" s="142"/>
      <c r="DV328" s="142"/>
      <c r="EB328" s="142"/>
    </row>
    <row r="329">
      <c r="F329" s="142"/>
      <c r="L329" s="142"/>
      <c r="R329" s="142"/>
      <c r="X329" s="142"/>
      <c r="AD329" s="142"/>
      <c r="AJ329" s="142"/>
      <c r="AP329" s="142"/>
      <c r="AV329" s="142"/>
      <c r="BB329" s="142"/>
      <c r="BH329" s="142"/>
      <c r="BN329" s="142"/>
      <c r="BT329" s="142"/>
      <c r="BZ329" s="142"/>
      <c r="CF329" s="142"/>
      <c r="CL329" s="142"/>
      <c r="CR329" s="142"/>
      <c r="CX329" s="142"/>
      <c r="DD329" s="142"/>
      <c r="DJ329" s="142"/>
      <c r="DP329" s="142"/>
      <c r="DV329" s="142"/>
      <c r="EB329" s="142"/>
    </row>
    <row r="330">
      <c r="F330" s="142"/>
      <c r="L330" s="142"/>
      <c r="R330" s="142"/>
      <c r="X330" s="142"/>
      <c r="AD330" s="142"/>
      <c r="AJ330" s="142"/>
      <c r="AP330" s="142"/>
      <c r="AV330" s="142"/>
      <c r="BB330" s="142"/>
      <c r="BH330" s="142"/>
      <c r="BN330" s="142"/>
      <c r="BT330" s="142"/>
      <c r="BZ330" s="142"/>
      <c r="CF330" s="142"/>
      <c r="CL330" s="142"/>
      <c r="CR330" s="142"/>
      <c r="CX330" s="142"/>
      <c r="DD330" s="142"/>
      <c r="DJ330" s="142"/>
      <c r="DP330" s="142"/>
      <c r="DV330" s="142"/>
      <c r="EB330" s="142"/>
    </row>
    <row r="331">
      <c r="F331" s="142"/>
      <c r="L331" s="142"/>
      <c r="R331" s="142"/>
      <c r="X331" s="142"/>
      <c r="AD331" s="142"/>
      <c r="AJ331" s="142"/>
      <c r="AP331" s="142"/>
      <c r="AV331" s="142"/>
      <c r="BB331" s="142"/>
      <c r="BH331" s="142"/>
      <c r="BN331" s="142"/>
      <c r="BT331" s="142"/>
      <c r="BZ331" s="142"/>
      <c r="CF331" s="142"/>
      <c r="CL331" s="142"/>
      <c r="CR331" s="142"/>
      <c r="CX331" s="142"/>
      <c r="DD331" s="142"/>
      <c r="DJ331" s="142"/>
      <c r="DP331" s="142"/>
      <c r="DV331" s="142"/>
      <c r="EB331" s="142"/>
    </row>
    <row r="332">
      <c r="F332" s="142"/>
      <c r="L332" s="142"/>
      <c r="R332" s="142"/>
      <c r="X332" s="142"/>
      <c r="AD332" s="142"/>
      <c r="AJ332" s="142"/>
      <c r="AP332" s="142"/>
      <c r="AV332" s="142"/>
      <c r="BB332" s="142"/>
      <c r="BH332" s="142"/>
      <c r="BN332" s="142"/>
      <c r="BT332" s="142"/>
      <c r="BZ332" s="142"/>
      <c r="CF332" s="142"/>
      <c r="CL332" s="142"/>
      <c r="CR332" s="142"/>
      <c r="CX332" s="142"/>
      <c r="DD332" s="142"/>
      <c r="DJ332" s="142"/>
      <c r="DP332" s="142"/>
      <c r="DV332" s="142"/>
      <c r="EB332" s="142"/>
    </row>
    <row r="333">
      <c r="F333" s="142"/>
      <c r="L333" s="142"/>
      <c r="R333" s="142"/>
      <c r="X333" s="142"/>
      <c r="AD333" s="142"/>
      <c r="AJ333" s="142"/>
      <c r="AP333" s="142"/>
      <c r="AV333" s="142"/>
      <c r="BB333" s="142"/>
      <c r="BH333" s="142"/>
      <c r="BN333" s="142"/>
      <c r="BT333" s="142"/>
      <c r="BZ333" s="142"/>
      <c r="CF333" s="142"/>
      <c r="CL333" s="142"/>
      <c r="CR333" s="142"/>
      <c r="CX333" s="142"/>
      <c r="DD333" s="142"/>
      <c r="DJ333" s="142"/>
      <c r="DP333" s="142"/>
      <c r="DV333" s="142"/>
      <c r="EB333" s="142"/>
    </row>
    <row r="334">
      <c r="F334" s="142"/>
      <c r="L334" s="142"/>
      <c r="R334" s="142"/>
      <c r="X334" s="142"/>
      <c r="AD334" s="142"/>
      <c r="AJ334" s="142"/>
      <c r="AP334" s="142"/>
      <c r="AV334" s="142"/>
      <c r="BB334" s="142"/>
      <c r="BH334" s="142"/>
      <c r="BN334" s="142"/>
      <c r="BT334" s="142"/>
      <c r="BZ334" s="142"/>
      <c r="CF334" s="142"/>
      <c r="CL334" s="142"/>
      <c r="CR334" s="142"/>
      <c r="CX334" s="142"/>
      <c r="DD334" s="142"/>
      <c r="DJ334" s="142"/>
      <c r="DP334" s="142"/>
      <c r="DV334" s="142"/>
      <c r="EB334" s="142"/>
    </row>
    <row r="335">
      <c r="F335" s="142"/>
      <c r="L335" s="142"/>
      <c r="R335" s="142"/>
      <c r="X335" s="142"/>
      <c r="AD335" s="142"/>
      <c r="AJ335" s="142"/>
      <c r="AP335" s="142"/>
      <c r="AV335" s="142"/>
      <c r="BB335" s="142"/>
      <c r="BH335" s="142"/>
      <c r="BN335" s="142"/>
      <c r="BT335" s="142"/>
      <c r="BZ335" s="142"/>
      <c r="CF335" s="142"/>
      <c r="CL335" s="142"/>
      <c r="CR335" s="142"/>
      <c r="CX335" s="142"/>
      <c r="DD335" s="142"/>
      <c r="DJ335" s="142"/>
      <c r="DP335" s="142"/>
      <c r="DV335" s="142"/>
      <c r="EB335" s="142"/>
    </row>
    <row r="336">
      <c r="F336" s="142"/>
      <c r="L336" s="142"/>
      <c r="R336" s="142"/>
      <c r="X336" s="142"/>
      <c r="AD336" s="142"/>
      <c r="AJ336" s="142"/>
      <c r="AP336" s="142"/>
      <c r="AV336" s="142"/>
      <c r="BB336" s="142"/>
      <c r="BH336" s="142"/>
      <c r="BN336" s="142"/>
      <c r="BT336" s="142"/>
      <c r="BZ336" s="142"/>
      <c r="CF336" s="142"/>
      <c r="CL336" s="142"/>
      <c r="CR336" s="142"/>
      <c r="CX336" s="142"/>
      <c r="DD336" s="142"/>
      <c r="DJ336" s="142"/>
      <c r="DP336" s="142"/>
      <c r="DV336" s="142"/>
      <c r="EB336" s="142"/>
    </row>
    <row r="337">
      <c r="F337" s="142"/>
      <c r="L337" s="142"/>
      <c r="R337" s="142"/>
      <c r="X337" s="142"/>
      <c r="AD337" s="142"/>
      <c r="AJ337" s="142"/>
      <c r="AP337" s="142"/>
      <c r="AV337" s="142"/>
      <c r="BB337" s="142"/>
      <c r="BH337" s="142"/>
      <c r="BN337" s="142"/>
      <c r="BT337" s="142"/>
      <c r="BZ337" s="142"/>
      <c r="CF337" s="142"/>
      <c r="CL337" s="142"/>
      <c r="CR337" s="142"/>
      <c r="CX337" s="142"/>
      <c r="DD337" s="142"/>
      <c r="DJ337" s="142"/>
      <c r="DP337" s="142"/>
      <c r="DV337" s="142"/>
      <c r="EB337" s="142"/>
    </row>
    <row r="338">
      <c r="F338" s="142"/>
      <c r="L338" s="142"/>
      <c r="R338" s="142"/>
      <c r="X338" s="142"/>
      <c r="AD338" s="142"/>
      <c r="AJ338" s="142"/>
      <c r="AP338" s="142"/>
      <c r="AV338" s="142"/>
      <c r="BB338" s="142"/>
      <c r="BH338" s="142"/>
      <c r="BN338" s="142"/>
      <c r="BT338" s="142"/>
      <c r="BZ338" s="142"/>
      <c r="CF338" s="142"/>
      <c r="CL338" s="142"/>
      <c r="CR338" s="142"/>
      <c r="CX338" s="142"/>
      <c r="DD338" s="142"/>
      <c r="DJ338" s="142"/>
      <c r="DP338" s="142"/>
      <c r="DV338" s="142"/>
      <c r="EB338" s="142"/>
    </row>
    <row r="339">
      <c r="F339" s="142"/>
      <c r="L339" s="142"/>
      <c r="R339" s="142"/>
      <c r="X339" s="142"/>
      <c r="AD339" s="142"/>
      <c r="AJ339" s="142"/>
      <c r="AP339" s="142"/>
      <c r="AV339" s="142"/>
      <c r="BB339" s="142"/>
      <c r="BH339" s="142"/>
      <c r="BN339" s="142"/>
      <c r="BT339" s="142"/>
      <c r="BZ339" s="142"/>
      <c r="CF339" s="142"/>
      <c r="CL339" s="142"/>
      <c r="CR339" s="142"/>
      <c r="CX339" s="142"/>
      <c r="DD339" s="142"/>
      <c r="DJ339" s="142"/>
      <c r="DP339" s="142"/>
      <c r="DV339" s="142"/>
      <c r="EB339" s="142"/>
    </row>
    <row r="340">
      <c r="F340" s="142"/>
      <c r="L340" s="142"/>
      <c r="R340" s="142"/>
      <c r="X340" s="142"/>
      <c r="AD340" s="142"/>
      <c r="AJ340" s="142"/>
      <c r="AP340" s="142"/>
      <c r="AV340" s="142"/>
      <c r="BB340" s="142"/>
      <c r="BH340" s="142"/>
      <c r="BN340" s="142"/>
      <c r="BT340" s="142"/>
      <c r="BZ340" s="142"/>
      <c r="CF340" s="142"/>
      <c r="CL340" s="142"/>
      <c r="CR340" s="142"/>
      <c r="CX340" s="142"/>
      <c r="DD340" s="142"/>
      <c r="DJ340" s="142"/>
      <c r="DP340" s="142"/>
      <c r="DV340" s="142"/>
      <c r="EB340" s="142"/>
    </row>
    <row r="341">
      <c r="F341" s="142"/>
      <c r="L341" s="142"/>
      <c r="R341" s="142"/>
      <c r="X341" s="142"/>
      <c r="AD341" s="142"/>
      <c r="AJ341" s="142"/>
      <c r="AP341" s="142"/>
      <c r="AV341" s="142"/>
      <c r="BB341" s="142"/>
      <c r="BH341" s="142"/>
      <c r="BN341" s="142"/>
      <c r="BT341" s="142"/>
      <c r="BZ341" s="142"/>
      <c r="CF341" s="142"/>
      <c r="CL341" s="142"/>
      <c r="CR341" s="142"/>
      <c r="CX341" s="142"/>
      <c r="DD341" s="142"/>
      <c r="DJ341" s="142"/>
      <c r="DP341" s="142"/>
      <c r="DV341" s="142"/>
      <c r="EB341" s="142"/>
    </row>
    <row r="342">
      <c r="F342" s="142"/>
      <c r="L342" s="142"/>
      <c r="R342" s="142"/>
      <c r="X342" s="142"/>
      <c r="AD342" s="142"/>
      <c r="AJ342" s="142"/>
      <c r="AP342" s="142"/>
      <c r="AV342" s="142"/>
      <c r="BB342" s="142"/>
      <c r="BH342" s="142"/>
      <c r="BN342" s="142"/>
      <c r="BT342" s="142"/>
      <c r="BZ342" s="142"/>
      <c r="CF342" s="142"/>
      <c r="CL342" s="142"/>
      <c r="CR342" s="142"/>
      <c r="CX342" s="142"/>
      <c r="DD342" s="142"/>
      <c r="DJ342" s="142"/>
      <c r="DP342" s="142"/>
      <c r="DV342" s="142"/>
      <c r="EB342" s="142"/>
    </row>
    <row r="343">
      <c r="F343" s="142"/>
      <c r="L343" s="142"/>
      <c r="R343" s="142"/>
      <c r="X343" s="142"/>
      <c r="AD343" s="142"/>
      <c r="AJ343" s="142"/>
      <c r="AP343" s="142"/>
      <c r="AV343" s="142"/>
      <c r="BB343" s="142"/>
      <c r="BH343" s="142"/>
      <c r="BN343" s="142"/>
      <c r="BT343" s="142"/>
      <c r="BZ343" s="142"/>
      <c r="CF343" s="142"/>
      <c r="CL343" s="142"/>
      <c r="CR343" s="142"/>
      <c r="CX343" s="142"/>
      <c r="DD343" s="142"/>
      <c r="DJ343" s="142"/>
      <c r="DP343" s="142"/>
      <c r="DV343" s="142"/>
      <c r="EB343" s="142"/>
    </row>
    <row r="344">
      <c r="F344" s="142"/>
      <c r="L344" s="142"/>
      <c r="R344" s="142"/>
      <c r="X344" s="142"/>
      <c r="AD344" s="142"/>
      <c r="AJ344" s="142"/>
      <c r="AP344" s="142"/>
      <c r="AV344" s="142"/>
      <c r="BB344" s="142"/>
      <c r="BH344" s="142"/>
      <c r="BN344" s="142"/>
      <c r="BT344" s="142"/>
      <c r="BZ344" s="142"/>
      <c r="CF344" s="142"/>
      <c r="CL344" s="142"/>
      <c r="CR344" s="142"/>
      <c r="CX344" s="142"/>
      <c r="DD344" s="142"/>
      <c r="DJ344" s="142"/>
      <c r="DP344" s="142"/>
      <c r="DV344" s="142"/>
      <c r="EB344" s="142"/>
    </row>
    <row r="345">
      <c r="F345" s="142"/>
      <c r="L345" s="142"/>
      <c r="R345" s="142"/>
      <c r="X345" s="142"/>
      <c r="AD345" s="142"/>
      <c r="AJ345" s="142"/>
      <c r="AP345" s="142"/>
      <c r="AV345" s="142"/>
      <c r="BB345" s="142"/>
      <c r="BH345" s="142"/>
      <c r="BN345" s="142"/>
      <c r="BT345" s="142"/>
      <c r="BZ345" s="142"/>
      <c r="CF345" s="142"/>
      <c r="CL345" s="142"/>
      <c r="CR345" s="142"/>
      <c r="CX345" s="142"/>
      <c r="DD345" s="142"/>
      <c r="DJ345" s="142"/>
      <c r="DP345" s="142"/>
      <c r="DV345" s="142"/>
      <c r="EB345" s="142"/>
    </row>
    <row r="346">
      <c r="F346" s="142"/>
      <c r="L346" s="142"/>
      <c r="R346" s="142"/>
      <c r="X346" s="142"/>
      <c r="AD346" s="142"/>
      <c r="AJ346" s="142"/>
      <c r="AP346" s="142"/>
      <c r="AV346" s="142"/>
      <c r="BB346" s="142"/>
      <c r="BH346" s="142"/>
      <c r="BN346" s="142"/>
      <c r="BT346" s="142"/>
      <c r="BZ346" s="142"/>
      <c r="CF346" s="142"/>
      <c r="CL346" s="142"/>
      <c r="CR346" s="142"/>
      <c r="CX346" s="142"/>
      <c r="DD346" s="142"/>
      <c r="DJ346" s="142"/>
      <c r="DP346" s="142"/>
      <c r="DV346" s="142"/>
      <c r="EB346" s="142"/>
    </row>
    <row r="347">
      <c r="F347" s="142"/>
      <c r="L347" s="142"/>
      <c r="R347" s="142"/>
      <c r="X347" s="142"/>
      <c r="AD347" s="142"/>
      <c r="AJ347" s="142"/>
      <c r="AP347" s="142"/>
      <c r="AV347" s="142"/>
      <c r="BB347" s="142"/>
      <c r="BH347" s="142"/>
      <c r="BN347" s="142"/>
      <c r="BT347" s="142"/>
      <c r="BZ347" s="142"/>
      <c r="CF347" s="142"/>
      <c r="CL347" s="142"/>
      <c r="CR347" s="142"/>
      <c r="CX347" s="142"/>
      <c r="DD347" s="142"/>
      <c r="DJ347" s="142"/>
      <c r="DP347" s="142"/>
      <c r="DV347" s="142"/>
      <c r="EB347" s="142"/>
    </row>
    <row r="348">
      <c r="F348" s="142"/>
      <c r="L348" s="142"/>
      <c r="R348" s="142"/>
      <c r="X348" s="142"/>
      <c r="AD348" s="142"/>
      <c r="AJ348" s="142"/>
      <c r="AP348" s="142"/>
      <c r="AV348" s="142"/>
      <c r="BB348" s="142"/>
      <c r="BH348" s="142"/>
      <c r="BN348" s="142"/>
      <c r="BT348" s="142"/>
      <c r="BZ348" s="142"/>
      <c r="CF348" s="142"/>
      <c r="CL348" s="142"/>
      <c r="CR348" s="142"/>
      <c r="CX348" s="142"/>
      <c r="DD348" s="142"/>
      <c r="DJ348" s="142"/>
      <c r="DP348" s="142"/>
      <c r="DV348" s="142"/>
      <c r="EB348" s="142"/>
    </row>
    <row r="349">
      <c r="F349" s="142"/>
      <c r="L349" s="142"/>
      <c r="R349" s="142"/>
      <c r="X349" s="142"/>
      <c r="AD349" s="142"/>
      <c r="AJ349" s="142"/>
      <c r="AP349" s="142"/>
      <c r="AV349" s="142"/>
      <c r="BB349" s="142"/>
      <c r="BH349" s="142"/>
      <c r="BN349" s="142"/>
      <c r="BT349" s="142"/>
      <c r="BZ349" s="142"/>
      <c r="CF349" s="142"/>
      <c r="CL349" s="142"/>
      <c r="CR349" s="142"/>
      <c r="CX349" s="142"/>
      <c r="DD349" s="142"/>
      <c r="DJ349" s="142"/>
      <c r="DP349" s="142"/>
      <c r="DV349" s="142"/>
      <c r="EB349" s="142"/>
    </row>
    <row r="350">
      <c r="F350" s="142"/>
      <c r="L350" s="142"/>
      <c r="R350" s="142"/>
      <c r="X350" s="142"/>
      <c r="AD350" s="142"/>
      <c r="AJ350" s="142"/>
      <c r="AP350" s="142"/>
      <c r="AV350" s="142"/>
      <c r="BB350" s="142"/>
      <c r="BH350" s="142"/>
      <c r="BN350" s="142"/>
      <c r="BT350" s="142"/>
      <c r="BZ350" s="142"/>
      <c r="CF350" s="142"/>
      <c r="CL350" s="142"/>
      <c r="CR350" s="142"/>
      <c r="CX350" s="142"/>
      <c r="DD350" s="142"/>
      <c r="DJ350" s="142"/>
      <c r="DP350" s="142"/>
      <c r="DV350" s="142"/>
      <c r="EB350" s="142"/>
    </row>
    <row r="351">
      <c r="F351" s="142"/>
      <c r="L351" s="142"/>
      <c r="R351" s="142"/>
      <c r="X351" s="142"/>
      <c r="AD351" s="142"/>
      <c r="AJ351" s="142"/>
      <c r="AP351" s="142"/>
      <c r="AV351" s="142"/>
      <c r="BB351" s="142"/>
      <c r="BH351" s="142"/>
      <c r="BN351" s="142"/>
      <c r="BT351" s="142"/>
      <c r="BZ351" s="142"/>
      <c r="CF351" s="142"/>
      <c r="CL351" s="142"/>
      <c r="CR351" s="142"/>
      <c r="CX351" s="142"/>
      <c r="DD351" s="142"/>
      <c r="DJ351" s="142"/>
      <c r="DP351" s="142"/>
      <c r="DV351" s="142"/>
      <c r="EB351" s="142"/>
    </row>
    <row r="352">
      <c r="F352" s="142"/>
      <c r="L352" s="142"/>
      <c r="R352" s="142"/>
      <c r="X352" s="142"/>
      <c r="AD352" s="142"/>
      <c r="AJ352" s="142"/>
      <c r="AP352" s="142"/>
      <c r="AV352" s="142"/>
      <c r="BB352" s="142"/>
      <c r="BH352" s="142"/>
      <c r="BN352" s="142"/>
      <c r="BT352" s="142"/>
      <c r="BZ352" s="142"/>
      <c r="CF352" s="142"/>
      <c r="CL352" s="142"/>
      <c r="CR352" s="142"/>
      <c r="CX352" s="142"/>
      <c r="DD352" s="142"/>
      <c r="DJ352" s="142"/>
      <c r="DP352" s="142"/>
      <c r="DV352" s="142"/>
      <c r="EB352" s="142"/>
    </row>
    <row r="353">
      <c r="F353" s="142"/>
      <c r="L353" s="142"/>
      <c r="R353" s="142"/>
      <c r="X353" s="142"/>
      <c r="AD353" s="142"/>
      <c r="AJ353" s="142"/>
      <c r="AP353" s="142"/>
      <c r="AV353" s="142"/>
      <c r="BB353" s="142"/>
      <c r="BH353" s="142"/>
      <c r="BN353" s="142"/>
      <c r="BT353" s="142"/>
      <c r="BZ353" s="142"/>
      <c r="CF353" s="142"/>
      <c r="CL353" s="142"/>
      <c r="CR353" s="142"/>
      <c r="CX353" s="142"/>
      <c r="DD353" s="142"/>
      <c r="DJ353" s="142"/>
      <c r="DP353" s="142"/>
      <c r="DV353" s="142"/>
      <c r="EB353" s="142"/>
    </row>
    <row r="354">
      <c r="F354" s="142"/>
      <c r="L354" s="142"/>
      <c r="R354" s="142"/>
      <c r="X354" s="142"/>
      <c r="AD354" s="142"/>
      <c r="AJ354" s="142"/>
      <c r="AP354" s="142"/>
      <c r="AV354" s="142"/>
      <c r="BB354" s="142"/>
      <c r="BH354" s="142"/>
      <c r="BN354" s="142"/>
      <c r="BT354" s="142"/>
      <c r="BZ354" s="142"/>
      <c r="CF354" s="142"/>
      <c r="CL354" s="142"/>
      <c r="CR354" s="142"/>
      <c r="CX354" s="142"/>
      <c r="DD354" s="142"/>
      <c r="DJ354" s="142"/>
      <c r="DP354" s="142"/>
      <c r="DV354" s="142"/>
      <c r="EB354" s="142"/>
    </row>
    <row r="355">
      <c r="F355" s="142"/>
      <c r="L355" s="142"/>
      <c r="R355" s="142"/>
      <c r="X355" s="142"/>
      <c r="AD355" s="142"/>
      <c r="AJ355" s="142"/>
      <c r="AP355" s="142"/>
      <c r="AV355" s="142"/>
      <c r="BB355" s="142"/>
      <c r="BH355" s="142"/>
      <c r="BN355" s="142"/>
      <c r="BT355" s="142"/>
      <c r="BZ355" s="142"/>
      <c r="CF355" s="142"/>
      <c r="CL355" s="142"/>
      <c r="CR355" s="142"/>
      <c r="CX355" s="142"/>
      <c r="DD355" s="142"/>
      <c r="DJ355" s="142"/>
      <c r="DP355" s="142"/>
      <c r="DV355" s="142"/>
      <c r="EB355" s="142"/>
    </row>
    <row r="356">
      <c r="F356" s="142"/>
      <c r="L356" s="142"/>
      <c r="R356" s="142"/>
      <c r="X356" s="142"/>
      <c r="AD356" s="142"/>
      <c r="AJ356" s="142"/>
      <c r="AP356" s="142"/>
      <c r="AV356" s="142"/>
      <c r="BB356" s="142"/>
      <c r="BH356" s="142"/>
      <c r="BN356" s="142"/>
      <c r="BT356" s="142"/>
      <c r="BZ356" s="142"/>
      <c r="CF356" s="142"/>
      <c r="CL356" s="142"/>
      <c r="CR356" s="142"/>
      <c r="CX356" s="142"/>
      <c r="DD356" s="142"/>
      <c r="DJ356" s="142"/>
      <c r="DP356" s="142"/>
      <c r="DV356" s="142"/>
      <c r="EB356" s="142"/>
    </row>
    <row r="357">
      <c r="F357" s="142"/>
      <c r="L357" s="142"/>
      <c r="R357" s="142"/>
      <c r="X357" s="142"/>
      <c r="AD357" s="142"/>
      <c r="AJ357" s="142"/>
      <c r="AP357" s="142"/>
      <c r="AV357" s="142"/>
      <c r="BB357" s="142"/>
      <c r="BH357" s="142"/>
      <c r="BN357" s="142"/>
      <c r="BT357" s="142"/>
      <c r="BZ357" s="142"/>
      <c r="CF357" s="142"/>
      <c r="CL357" s="142"/>
      <c r="CR357" s="142"/>
      <c r="CX357" s="142"/>
      <c r="DD357" s="142"/>
      <c r="DJ357" s="142"/>
      <c r="DP357" s="142"/>
      <c r="DV357" s="142"/>
      <c r="EB357" s="142"/>
    </row>
    <row r="358">
      <c r="F358" s="142"/>
      <c r="L358" s="142"/>
      <c r="R358" s="142"/>
      <c r="X358" s="142"/>
      <c r="AD358" s="142"/>
      <c r="AJ358" s="142"/>
      <c r="AP358" s="142"/>
      <c r="AV358" s="142"/>
      <c r="BB358" s="142"/>
      <c r="BH358" s="142"/>
      <c r="BN358" s="142"/>
      <c r="BT358" s="142"/>
      <c r="BZ358" s="142"/>
      <c r="CF358" s="142"/>
      <c r="CL358" s="142"/>
      <c r="CR358" s="142"/>
      <c r="CX358" s="142"/>
      <c r="DD358" s="142"/>
      <c r="DJ358" s="142"/>
      <c r="DP358" s="142"/>
      <c r="DV358" s="142"/>
      <c r="EB358" s="142"/>
    </row>
    <row r="359">
      <c r="F359" s="142"/>
      <c r="L359" s="142"/>
      <c r="R359" s="142"/>
      <c r="X359" s="142"/>
      <c r="AD359" s="142"/>
      <c r="AJ359" s="142"/>
      <c r="AP359" s="142"/>
      <c r="AV359" s="142"/>
      <c r="BB359" s="142"/>
      <c r="BH359" s="142"/>
      <c r="BN359" s="142"/>
      <c r="BT359" s="142"/>
      <c r="BZ359" s="142"/>
      <c r="CF359" s="142"/>
      <c r="CL359" s="142"/>
      <c r="CR359" s="142"/>
      <c r="CX359" s="142"/>
      <c r="DD359" s="142"/>
      <c r="DJ359" s="142"/>
      <c r="DP359" s="142"/>
      <c r="DV359" s="142"/>
      <c r="EB359" s="142"/>
    </row>
    <row r="360">
      <c r="F360" s="142"/>
      <c r="L360" s="142"/>
      <c r="R360" s="142"/>
      <c r="X360" s="142"/>
      <c r="AD360" s="142"/>
      <c r="AJ360" s="142"/>
      <c r="AP360" s="142"/>
      <c r="AV360" s="142"/>
      <c r="BB360" s="142"/>
      <c r="BH360" s="142"/>
      <c r="BN360" s="142"/>
      <c r="BT360" s="142"/>
      <c r="BZ360" s="142"/>
      <c r="CF360" s="142"/>
      <c r="CL360" s="142"/>
      <c r="CR360" s="142"/>
      <c r="CX360" s="142"/>
      <c r="DD360" s="142"/>
      <c r="DJ360" s="142"/>
      <c r="DP360" s="142"/>
      <c r="DV360" s="142"/>
      <c r="EB360" s="142"/>
    </row>
    <row r="361">
      <c r="F361" s="142"/>
      <c r="L361" s="142"/>
      <c r="R361" s="142"/>
      <c r="X361" s="142"/>
      <c r="AD361" s="142"/>
      <c r="AJ361" s="142"/>
      <c r="AP361" s="142"/>
      <c r="AV361" s="142"/>
      <c r="BB361" s="142"/>
      <c r="BH361" s="142"/>
      <c r="BN361" s="142"/>
      <c r="BT361" s="142"/>
      <c r="BZ361" s="142"/>
      <c r="CF361" s="142"/>
      <c r="CL361" s="142"/>
      <c r="CR361" s="142"/>
      <c r="CX361" s="142"/>
      <c r="DD361" s="142"/>
      <c r="DJ361" s="142"/>
      <c r="DP361" s="142"/>
      <c r="DV361" s="142"/>
      <c r="EB361" s="142"/>
    </row>
    <row r="362">
      <c r="F362" s="142"/>
      <c r="L362" s="142"/>
      <c r="R362" s="142"/>
      <c r="X362" s="142"/>
      <c r="AD362" s="142"/>
      <c r="AJ362" s="142"/>
      <c r="AP362" s="142"/>
      <c r="AV362" s="142"/>
      <c r="BB362" s="142"/>
      <c r="BH362" s="142"/>
      <c r="BN362" s="142"/>
      <c r="BT362" s="142"/>
      <c r="BZ362" s="142"/>
      <c r="CF362" s="142"/>
      <c r="CL362" s="142"/>
      <c r="CR362" s="142"/>
      <c r="CX362" s="142"/>
      <c r="DD362" s="142"/>
      <c r="DJ362" s="142"/>
      <c r="DP362" s="142"/>
      <c r="DV362" s="142"/>
      <c r="EB362" s="142"/>
    </row>
    <row r="363">
      <c r="F363" s="142"/>
      <c r="L363" s="142"/>
      <c r="R363" s="142"/>
      <c r="X363" s="142"/>
      <c r="AD363" s="142"/>
      <c r="AJ363" s="142"/>
      <c r="AP363" s="142"/>
      <c r="AV363" s="142"/>
      <c r="BB363" s="142"/>
      <c r="BH363" s="142"/>
      <c r="BN363" s="142"/>
      <c r="BT363" s="142"/>
      <c r="BZ363" s="142"/>
      <c r="CF363" s="142"/>
      <c r="CL363" s="142"/>
      <c r="CR363" s="142"/>
      <c r="CX363" s="142"/>
      <c r="DD363" s="142"/>
      <c r="DJ363" s="142"/>
      <c r="DP363" s="142"/>
      <c r="DV363" s="142"/>
      <c r="EB363" s="142"/>
    </row>
    <row r="364">
      <c r="F364" s="142"/>
      <c r="L364" s="142"/>
      <c r="R364" s="142"/>
      <c r="X364" s="142"/>
      <c r="AD364" s="142"/>
      <c r="AJ364" s="142"/>
      <c r="AP364" s="142"/>
      <c r="AV364" s="142"/>
      <c r="BB364" s="142"/>
      <c r="BH364" s="142"/>
      <c r="BN364" s="142"/>
      <c r="BT364" s="142"/>
      <c r="BZ364" s="142"/>
      <c r="CF364" s="142"/>
      <c r="CL364" s="142"/>
      <c r="CR364" s="142"/>
      <c r="CX364" s="142"/>
      <c r="DD364" s="142"/>
      <c r="DJ364" s="142"/>
      <c r="DP364" s="142"/>
      <c r="DV364" s="142"/>
      <c r="EB364" s="142"/>
    </row>
    <row r="365">
      <c r="F365" s="142"/>
      <c r="L365" s="142"/>
      <c r="R365" s="142"/>
      <c r="X365" s="142"/>
      <c r="AD365" s="142"/>
      <c r="AJ365" s="142"/>
      <c r="AP365" s="142"/>
      <c r="AV365" s="142"/>
      <c r="BB365" s="142"/>
      <c r="BH365" s="142"/>
      <c r="BN365" s="142"/>
      <c r="BT365" s="142"/>
      <c r="BZ365" s="142"/>
      <c r="CF365" s="142"/>
      <c r="CL365" s="142"/>
      <c r="CR365" s="142"/>
      <c r="CX365" s="142"/>
      <c r="DD365" s="142"/>
      <c r="DJ365" s="142"/>
      <c r="DP365" s="142"/>
      <c r="DV365" s="142"/>
      <c r="EB365" s="142"/>
    </row>
    <row r="366">
      <c r="F366" s="142"/>
      <c r="L366" s="142"/>
      <c r="R366" s="142"/>
      <c r="X366" s="142"/>
      <c r="AD366" s="142"/>
      <c r="AJ366" s="142"/>
      <c r="AP366" s="142"/>
      <c r="AV366" s="142"/>
      <c r="BB366" s="142"/>
      <c r="BH366" s="142"/>
      <c r="BN366" s="142"/>
      <c r="BT366" s="142"/>
      <c r="BZ366" s="142"/>
      <c r="CF366" s="142"/>
      <c r="CL366" s="142"/>
      <c r="CR366" s="142"/>
      <c r="CX366" s="142"/>
      <c r="DD366" s="142"/>
      <c r="DJ366" s="142"/>
      <c r="DP366" s="142"/>
      <c r="DV366" s="142"/>
      <c r="EB366" s="142"/>
    </row>
    <row r="367">
      <c r="F367" s="142"/>
      <c r="L367" s="142"/>
      <c r="R367" s="142"/>
      <c r="X367" s="142"/>
      <c r="AD367" s="142"/>
      <c r="AJ367" s="142"/>
      <c r="AP367" s="142"/>
      <c r="AV367" s="142"/>
      <c r="BB367" s="142"/>
      <c r="BH367" s="142"/>
      <c r="BN367" s="142"/>
      <c r="BT367" s="142"/>
      <c r="BZ367" s="142"/>
      <c r="CF367" s="142"/>
      <c r="CL367" s="142"/>
      <c r="CR367" s="142"/>
      <c r="CX367" s="142"/>
      <c r="DD367" s="142"/>
      <c r="DJ367" s="142"/>
      <c r="DP367" s="142"/>
      <c r="DV367" s="142"/>
      <c r="EB367" s="142"/>
    </row>
    <row r="368">
      <c r="F368" s="142"/>
      <c r="L368" s="142"/>
      <c r="R368" s="142"/>
      <c r="X368" s="142"/>
      <c r="AD368" s="142"/>
      <c r="AJ368" s="142"/>
      <c r="AP368" s="142"/>
      <c r="AV368" s="142"/>
      <c r="BB368" s="142"/>
      <c r="BH368" s="142"/>
      <c r="BN368" s="142"/>
      <c r="BT368" s="142"/>
      <c r="BZ368" s="142"/>
      <c r="CF368" s="142"/>
      <c r="CL368" s="142"/>
      <c r="CR368" s="142"/>
      <c r="CX368" s="142"/>
      <c r="DD368" s="142"/>
      <c r="DJ368" s="142"/>
      <c r="DP368" s="142"/>
      <c r="DV368" s="142"/>
      <c r="EB368" s="142"/>
    </row>
    <row r="369">
      <c r="F369" s="142"/>
      <c r="L369" s="142"/>
      <c r="R369" s="142"/>
      <c r="X369" s="142"/>
      <c r="AD369" s="142"/>
      <c r="AJ369" s="142"/>
      <c r="AP369" s="142"/>
      <c r="AV369" s="142"/>
      <c r="BB369" s="142"/>
      <c r="BH369" s="142"/>
      <c r="BN369" s="142"/>
      <c r="BT369" s="142"/>
      <c r="BZ369" s="142"/>
      <c r="CF369" s="142"/>
      <c r="CL369" s="142"/>
      <c r="CR369" s="142"/>
      <c r="CX369" s="142"/>
      <c r="DD369" s="142"/>
      <c r="DJ369" s="142"/>
      <c r="DP369" s="142"/>
      <c r="DV369" s="142"/>
      <c r="EB369" s="142"/>
    </row>
    <row r="370">
      <c r="F370" s="142"/>
      <c r="L370" s="142"/>
      <c r="R370" s="142"/>
      <c r="X370" s="142"/>
      <c r="AD370" s="142"/>
      <c r="AJ370" s="142"/>
      <c r="AP370" s="142"/>
      <c r="AV370" s="142"/>
      <c r="BB370" s="142"/>
      <c r="BH370" s="142"/>
      <c r="BN370" s="142"/>
      <c r="BT370" s="142"/>
      <c r="BZ370" s="142"/>
      <c r="CF370" s="142"/>
      <c r="CL370" s="142"/>
      <c r="CR370" s="142"/>
      <c r="CX370" s="142"/>
      <c r="DD370" s="142"/>
      <c r="DJ370" s="142"/>
      <c r="DP370" s="142"/>
      <c r="DV370" s="142"/>
      <c r="EB370" s="142"/>
    </row>
    <row r="371">
      <c r="F371" s="142"/>
      <c r="L371" s="142"/>
      <c r="R371" s="142"/>
      <c r="X371" s="142"/>
      <c r="AD371" s="142"/>
      <c r="AJ371" s="142"/>
      <c r="AP371" s="142"/>
      <c r="AV371" s="142"/>
      <c r="BB371" s="142"/>
      <c r="BH371" s="142"/>
      <c r="BN371" s="142"/>
      <c r="BT371" s="142"/>
      <c r="BZ371" s="142"/>
      <c r="CF371" s="142"/>
      <c r="CL371" s="142"/>
      <c r="CR371" s="142"/>
      <c r="CX371" s="142"/>
      <c r="DD371" s="142"/>
      <c r="DJ371" s="142"/>
      <c r="DP371" s="142"/>
      <c r="DV371" s="142"/>
      <c r="EB371" s="142"/>
    </row>
    <row r="372">
      <c r="F372" s="142"/>
      <c r="L372" s="142"/>
      <c r="R372" s="142"/>
      <c r="X372" s="142"/>
      <c r="AD372" s="142"/>
      <c r="AJ372" s="142"/>
      <c r="AP372" s="142"/>
      <c r="AV372" s="142"/>
      <c r="BB372" s="142"/>
      <c r="BH372" s="142"/>
      <c r="BN372" s="142"/>
      <c r="BT372" s="142"/>
      <c r="BZ372" s="142"/>
      <c r="CF372" s="142"/>
      <c r="CL372" s="142"/>
      <c r="CR372" s="142"/>
      <c r="CX372" s="142"/>
      <c r="DD372" s="142"/>
      <c r="DJ372" s="142"/>
      <c r="DP372" s="142"/>
      <c r="DV372" s="142"/>
      <c r="EB372" s="142"/>
    </row>
    <row r="373">
      <c r="F373" s="142"/>
      <c r="L373" s="142"/>
      <c r="R373" s="142"/>
      <c r="X373" s="142"/>
      <c r="AD373" s="142"/>
      <c r="AJ373" s="142"/>
      <c r="AP373" s="142"/>
      <c r="AV373" s="142"/>
      <c r="BB373" s="142"/>
      <c r="BH373" s="142"/>
      <c r="BN373" s="142"/>
      <c r="BT373" s="142"/>
      <c r="BZ373" s="142"/>
      <c r="CF373" s="142"/>
      <c r="CL373" s="142"/>
      <c r="CR373" s="142"/>
      <c r="CX373" s="142"/>
      <c r="DD373" s="142"/>
      <c r="DJ373" s="142"/>
      <c r="DP373" s="142"/>
      <c r="DV373" s="142"/>
      <c r="EB373" s="142"/>
    </row>
    <row r="374">
      <c r="F374" s="142"/>
      <c r="L374" s="142"/>
      <c r="R374" s="142"/>
      <c r="X374" s="142"/>
      <c r="AD374" s="142"/>
      <c r="AJ374" s="142"/>
      <c r="AP374" s="142"/>
      <c r="AV374" s="142"/>
      <c r="BB374" s="142"/>
      <c r="BH374" s="142"/>
      <c r="BN374" s="142"/>
      <c r="BT374" s="142"/>
      <c r="BZ374" s="142"/>
      <c r="CF374" s="142"/>
      <c r="CL374" s="142"/>
      <c r="CR374" s="142"/>
      <c r="CX374" s="142"/>
      <c r="DD374" s="142"/>
      <c r="DJ374" s="142"/>
      <c r="DP374" s="142"/>
      <c r="DV374" s="142"/>
      <c r="EB374" s="142"/>
    </row>
    <row r="375">
      <c r="F375" s="142"/>
      <c r="L375" s="142"/>
      <c r="R375" s="142"/>
      <c r="X375" s="142"/>
      <c r="AD375" s="142"/>
      <c r="AJ375" s="142"/>
      <c r="AP375" s="142"/>
      <c r="AV375" s="142"/>
      <c r="BB375" s="142"/>
      <c r="BH375" s="142"/>
      <c r="BN375" s="142"/>
      <c r="BT375" s="142"/>
      <c r="BZ375" s="142"/>
      <c r="CF375" s="142"/>
      <c r="CL375" s="142"/>
      <c r="CR375" s="142"/>
      <c r="CX375" s="142"/>
      <c r="DD375" s="142"/>
      <c r="DJ375" s="142"/>
      <c r="DP375" s="142"/>
      <c r="DV375" s="142"/>
      <c r="EB375" s="142"/>
    </row>
    <row r="376">
      <c r="F376" s="142"/>
      <c r="L376" s="142"/>
      <c r="R376" s="142"/>
      <c r="X376" s="142"/>
      <c r="AD376" s="142"/>
      <c r="AJ376" s="142"/>
      <c r="AP376" s="142"/>
      <c r="AV376" s="142"/>
      <c r="BB376" s="142"/>
      <c r="BH376" s="142"/>
      <c r="BN376" s="142"/>
      <c r="BT376" s="142"/>
      <c r="BZ376" s="142"/>
      <c r="CF376" s="142"/>
      <c r="CL376" s="142"/>
      <c r="CR376" s="142"/>
      <c r="CX376" s="142"/>
      <c r="DD376" s="142"/>
      <c r="DJ376" s="142"/>
      <c r="DP376" s="142"/>
      <c r="DV376" s="142"/>
      <c r="EB376" s="142"/>
    </row>
    <row r="377">
      <c r="F377" s="142"/>
      <c r="L377" s="142"/>
      <c r="R377" s="142"/>
      <c r="X377" s="142"/>
      <c r="AD377" s="142"/>
      <c r="AJ377" s="142"/>
      <c r="AP377" s="142"/>
      <c r="AV377" s="142"/>
      <c r="BB377" s="142"/>
      <c r="BH377" s="142"/>
      <c r="BN377" s="142"/>
      <c r="BT377" s="142"/>
      <c r="BZ377" s="142"/>
      <c r="CF377" s="142"/>
      <c r="CL377" s="142"/>
      <c r="CR377" s="142"/>
      <c r="CX377" s="142"/>
      <c r="DD377" s="142"/>
      <c r="DJ377" s="142"/>
      <c r="DP377" s="142"/>
      <c r="DV377" s="142"/>
      <c r="EB377" s="142"/>
    </row>
    <row r="378">
      <c r="F378" s="142"/>
      <c r="L378" s="142"/>
      <c r="R378" s="142"/>
      <c r="X378" s="142"/>
      <c r="AD378" s="142"/>
      <c r="AJ378" s="142"/>
      <c r="AP378" s="142"/>
      <c r="AV378" s="142"/>
      <c r="BB378" s="142"/>
      <c r="BH378" s="142"/>
      <c r="BN378" s="142"/>
      <c r="BT378" s="142"/>
      <c r="BZ378" s="142"/>
      <c r="CF378" s="142"/>
      <c r="CL378" s="142"/>
      <c r="CR378" s="142"/>
      <c r="CX378" s="142"/>
      <c r="DD378" s="142"/>
      <c r="DJ378" s="142"/>
      <c r="DP378" s="142"/>
      <c r="DV378" s="142"/>
      <c r="EB378" s="142"/>
    </row>
    <row r="379">
      <c r="F379" s="142"/>
      <c r="L379" s="142"/>
      <c r="R379" s="142"/>
      <c r="X379" s="142"/>
      <c r="AD379" s="142"/>
      <c r="AJ379" s="142"/>
      <c r="AP379" s="142"/>
      <c r="AV379" s="142"/>
      <c r="BB379" s="142"/>
      <c r="BH379" s="142"/>
      <c r="BN379" s="142"/>
      <c r="BT379" s="142"/>
      <c r="BZ379" s="142"/>
      <c r="CF379" s="142"/>
      <c r="CL379" s="142"/>
      <c r="CR379" s="142"/>
      <c r="CX379" s="142"/>
      <c r="DD379" s="142"/>
      <c r="DJ379" s="142"/>
      <c r="DP379" s="142"/>
      <c r="DV379" s="142"/>
      <c r="EB379" s="142"/>
    </row>
    <row r="380">
      <c r="F380" s="142"/>
      <c r="L380" s="142"/>
      <c r="R380" s="142"/>
      <c r="X380" s="142"/>
      <c r="AD380" s="142"/>
      <c r="AJ380" s="142"/>
      <c r="AP380" s="142"/>
      <c r="AV380" s="142"/>
      <c r="BB380" s="142"/>
      <c r="BH380" s="142"/>
      <c r="BN380" s="142"/>
      <c r="BT380" s="142"/>
      <c r="BZ380" s="142"/>
      <c r="CF380" s="142"/>
      <c r="CL380" s="142"/>
      <c r="CR380" s="142"/>
      <c r="CX380" s="142"/>
      <c r="DD380" s="142"/>
      <c r="DJ380" s="142"/>
      <c r="DP380" s="142"/>
      <c r="DV380" s="142"/>
      <c r="EB380" s="142"/>
    </row>
    <row r="381">
      <c r="F381" s="142"/>
      <c r="L381" s="142"/>
      <c r="R381" s="142"/>
      <c r="X381" s="142"/>
      <c r="AD381" s="142"/>
      <c r="AJ381" s="142"/>
      <c r="AP381" s="142"/>
      <c r="AV381" s="142"/>
      <c r="BB381" s="142"/>
      <c r="BH381" s="142"/>
      <c r="BN381" s="142"/>
      <c r="BT381" s="142"/>
      <c r="BZ381" s="142"/>
      <c r="CF381" s="142"/>
      <c r="CL381" s="142"/>
      <c r="CR381" s="142"/>
      <c r="CX381" s="142"/>
      <c r="DD381" s="142"/>
      <c r="DJ381" s="142"/>
      <c r="DP381" s="142"/>
      <c r="DV381" s="142"/>
      <c r="EB381" s="142"/>
    </row>
    <row r="382">
      <c r="F382" s="142"/>
      <c r="L382" s="142"/>
      <c r="R382" s="142"/>
      <c r="X382" s="142"/>
      <c r="AD382" s="142"/>
      <c r="AJ382" s="142"/>
      <c r="AP382" s="142"/>
      <c r="AV382" s="142"/>
      <c r="BB382" s="142"/>
      <c r="BH382" s="142"/>
      <c r="BN382" s="142"/>
      <c r="BT382" s="142"/>
      <c r="BZ382" s="142"/>
      <c r="CF382" s="142"/>
      <c r="CL382" s="142"/>
      <c r="CR382" s="142"/>
      <c r="CX382" s="142"/>
      <c r="DD382" s="142"/>
      <c r="DJ382" s="142"/>
      <c r="DP382" s="142"/>
      <c r="DV382" s="142"/>
      <c r="EB382" s="142"/>
    </row>
    <row r="383">
      <c r="F383" s="142"/>
      <c r="L383" s="142"/>
      <c r="R383" s="142"/>
      <c r="X383" s="142"/>
      <c r="AD383" s="142"/>
      <c r="AJ383" s="142"/>
      <c r="AP383" s="142"/>
      <c r="AV383" s="142"/>
      <c r="BB383" s="142"/>
      <c r="BH383" s="142"/>
      <c r="BN383" s="142"/>
      <c r="BT383" s="142"/>
      <c r="BZ383" s="142"/>
      <c r="CF383" s="142"/>
      <c r="CL383" s="142"/>
      <c r="CR383" s="142"/>
      <c r="CX383" s="142"/>
      <c r="DD383" s="142"/>
      <c r="DJ383" s="142"/>
      <c r="DP383" s="142"/>
      <c r="DV383" s="142"/>
      <c r="EB383" s="142"/>
    </row>
    <row r="384">
      <c r="F384" s="142"/>
      <c r="L384" s="142"/>
      <c r="R384" s="142"/>
      <c r="X384" s="142"/>
      <c r="AD384" s="142"/>
      <c r="AJ384" s="142"/>
      <c r="AP384" s="142"/>
      <c r="AV384" s="142"/>
      <c r="BB384" s="142"/>
      <c r="BH384" s="142"/>
      <c r="BN384" s="142"/>
      <c r="BT384" s="142"/>
      <c r="BZ384" s="142"/>
      <c r="CF384" s="142"/>
      <c r="CL384" s="142"/>
      <c r="CR384" s="142"/>
      <c r="CX384" s="142"/>
      <c r="DD384" s="142"/>
      <c r="DJ384" s="142"/>
      <c r="DP384" s="142"/>
      <c r="DV384" s="142"/>
      <c r="EB384" s="142"/>
    </row>
    <row r="385">
      <c r="F385" s="142"/>
      <c r="L385" s="142"/>
      <c r="R385" s="142"/>
      <c r="X385" s="142"/>
      <c r="AD385" s="142"/>
      <c r="AJ385" s="142"/>
      <c r="AP385" s="142"/>
      <c r="AV385" s="142"/>
      <c r="BB385" s="142"/>
      <c r="BH385" s="142"/>
      <c r="BN385" s="142"/>
      <c r="BT385" s="142"/>
      <c r="BZ385" s="142"/>
      <c r="CF385" s="142"/>
      <c r="CL385" s="142"/>
      <c r="CR385" s="142"/>
      <c r="CX385" s="142"/>
      <c r="DD385" s="142"/>
      <c r="DJ385" s="142"/>
      <c r="DP385" s="142"/>
      <c r="DV385" s="142"/>
      <c r="EB385" s="142"/>
    </row>
    <row r="386">
      <c r="F386" s="142"/>
      <c r="L386" s="142"/>
      <c r="R386" s="142"/>
      <c r="X386" s="142"/>
      <c r="AD386" s="142"/>
      <c r="AJ386" s="142"/>
      <c r="AP386" s="142"/>
      <c r="AV386" s="142"/>
      <c r="BB386" s="142"/>
      <c r="BH386" s="142"/>
      <c r="BN386" s="142"/>
      <c r="BT386" s="142"/>
      <c r="BZ386" s="142"/>
      <c r="CF386" s="142"/>
      <c r="CL386" s="142"/>
      <c r="CR386" s="142"/>
      <c r="CX386" s="142"/>
      <c r="DD386" s="142"/>
      <c r="DJ386" s="142"/>
      <c r="DP386" s="142"/>
      <c r="DV386" s="142"/>
      <c r="EB386" s="142"/>
    </row>
    <row r="387">
      <c r="F387" s="142"/>
      <c r="L387" s="142"/>
      <c r="R387" s="142"/>
      <c r="X387" s="142"/>
      <c r="AD387" s="142"/>
      <c r="AJ387" s="142"/>
      <c r="AP387" s="142"/>
      <c r="AV387" s="142"/>
      <c r="BB387" s="142"/>
      <c r="BH387" s="142"/>
      <c r="BN387" s="142"/>
      <c r="BT387" s="142"/>
      <c r="BZ387" s="142"/>
      <c r="CF387" s="142"/>
      <c r="CL387" s="142"/>
      <c r="CR387" s="142"/>
      <c r="CX387" s="142"/>
      <c r="DD387" s="142"/>
      <c r="DJ387" s="142"/>
      <c r="DP387" s="142"/>
      <c r="DV387" s="142"/>
      <c r="EB387" s="142"/>
    </row>
    <row r="388">
      <c r="F388" s="142"/>
      <c r="L388" s="142"/>
      <c r="R388" s="142"/>
      <c r="X388" s="142"/>
      <c r="AD388" s="142"/>
      <c r="AJ388" s="142"/>
      <c r="AP388" s="142"/>
      <c r="AV388" s="142"/>
      <c r="BB388" s="142"/>
      <c r="BH388" s="142"/>
      <c r="BN388" s="142"/>
      <c r="BT388" s="142"/>
      <c r="BZ388" s="142"/>
      <c r="CF388" s="142"/>
      <c r="CL388" s="142"/>
      <c r="CR388" s="142"/>
      <c r="CX388" s="142"/>
      <c r="DD388" s="142"/>
      <c r="DJ388" s="142"/>
      <c r="DP388" s="142"/>
      <c r="DV388" s="142"/>
      <c r="EB388" s="142"/>
    </row>
    <row r="389">
      <c r="F389" s="142"/>
      <c r="L389" s="142"/>
      <c r="R389" s="142"/>
      <c r="X389" s="142"/>
      <c r="AD389" s="142"/>
      <c r="AJ389" s="142"/>
      <c r="AP389" s="142"/>
      <c r="AV389" s="142"/>
      <c r="BB389" s="142"/>
      <c r="BH389" s="142"/>
      <c r="BN389" s="142"/>
      <c r="BT389" s="142"/>
      <c r="BZ389" s="142"/>
      <c r="CF389" s="142"/>
      <c r="CL389" s="142"/>
      <c r="CR389" s="142"/>
      <c r="CX389" s="142"/>
      <c r="DD389" s="142"/>
      <c r="DJ389" s="142"/>
      <c r="DP389" s="142"/>
      <c r="DV389" s="142"/>
      <c r="EB389" s="142"/>
    </row>
    <row r="390">
      <c r="F390" s="142"/>
      <c r="L390" s="142"/>
      <c r="R390" s="142"/>
      <c r="X390" s="142"/>
      <c r="AD390" s="142"/>
      <c r="AJ390" s="142"/>
      <c r="AP390" s="142"/>
      <c r="AV390" s="142"/>
      <c r="BB390" s="142"/>
      <c r="BH390" s="142"/>
      <c r="BN390" s="142"/>
      <c r="BT390" s="142"/>
      <c r="BZ390" s="142"/>
      <c r="CF390" s="142"/>
      <c r="CL390" s="142"/>
      <c r="CR390" s="142"/>
      <c r="CX390" s="142"/>
      <c r="DD390" s="142"/>
      <c r="DJ390" s="142"/>
      <c r="DP390" s="142"/>
      <c r="DV390" s="142"/>
      <c r="EB390" s="142"/>
    </row>
    <row r="391">
      <c r="F391" s="142"/>
      <c r="L391" s="142"/>
      <c r="R391" s="142"/>
      <c r="X391" s="142"/>
      <c r="AD391" s="142"/>
      <c r="AJ391" s="142"/>
      <c r="AP391" s="142"/>
      <c r="AV391" s="142"/>
      <c r="BB391" s="142"/>
      <c r="BH391" s="142"/>
      <c r="BN391" s="142"/>
      <c r="BT391" s="142"/>
      <c r="BZ391" s="142"/>
      <c r="CF391" s="142"/>
      <c r="CL391" s="142"/>
      <c r="CR391" s="142"/>
      <c r="CX391" s="142"/>
      <c r="DD391" s="142"/>
      <c r="DJ391" s="142"/>
      <c r="DP391" s="142"/>
      <c r="DV391" s="142"/>
      <c r="EB391" s="142"/>
    </row>
    <row r="392">
      <c r="F392" s="142"/>
      <c r="L392" s="142"/>
      <c r="R392" s="142"/>
      <c r="X392" s="142"/>
      <c r="AD392" s="142"/>
      <c r="AJ392" s="142"/>
      <c r="AP392" s="142"/>
      <c r="AV392" s="142"/>
      <c r="BB392" s="142"/>
      <c r="BH392" s="142"/>
      <c r="BN392" s="142"/>
      <c r="BT392" s="142"/>
      <c r="BZ392" s="142"/>
      <c r="CF392" s="142"/>
      <c r="CL392" s="142"/>
      <c r="CR392" s="142"/>
      <c r="CX392" s="142"/>
      <c r="DD392" s="142"/>
      <c r="DJ392" s="142"/>
      <c r="DP392" s="142"/>
      <c r="DV392" s="142"/>
      <c r="EB392" s="142"/>
    </row>
    <row r="393">
      <c r="F393" s="142"/>
      <c r="L393" s="142"/>
      <c r="R393" s="142"/>
      <c r="X393" s="142"/>
      <c r="AD393" s="142"/>
      <c r="AJ393" s="142"/>
      <c r="AP393" s="142"/>
      <c r="AV393" s="142"/>
      <c r="BB393" s="142"/>
      <c r="BH393" s="142"/>
      <c r="BN393" s="142"/>
      <c r="BT393" s="142"/>
      <c r="BZ393" s="142"/>
      <c r="CF393" s="142"/>
      <c r="CL393" s="142"/>
      <c r="CR393" s="142"/>
      <c r="CX393" s="142"/>
      <c r="DD393" s="142"/>
      <c r="DJ393" s="142"/>
      <c r="DP393" s="142"/>
      <c r="DV393" s="142"/>
      <c r="EB393" s="142"/>
    </row>
    <row r="394">
      <c r="F394" s="142"/>
      <c r="L394" s="142"/>
      <c r="R394" s="142"/>
      <c r="X394" s="142"/>
      <c r="AD394" s="142"/>
      <c r="AJ394" s="142"/>
      <c r="AP394" s="142"/>
      <c r="AV394" s="142"/>
      <c r="BB394" s="142"/>
      <c r="BH394" s="142"/>
      <c r="BN394" s="142"/>
      <c r="BT394" s="142"/>
      <c r="BZ394" s="142"/>
      <c r="CF394" s="142"/>
      <c r="CL394" s="142"/>
      <c r="CR394" s="142"/>
      <c r="CX394" s="142"/>
      <c r="DD394" s="142"/>
      <c r="DJ394" s="142"/>
      <c r="DP394" s="142"/>
      <c r="DV394" s="142"/>
      <c r="EB394" s="142"/>
    </row>
    <row r="395">
      <c r="F395" s="142"/>
      <c r="L395" s="142"/>
      <c r="R395" s="142"/>
      <c r="X395" s="142"/>
      <c r="AD395" s="142"/>
      <c r="AJ395" s="142"/>
      <c r="AP395" s="142"/>
      <c r="AV395" s="142"/>
      <c r="BB395" s="142"/>
      <c r="BH395" s="142"/>
      <c r="BN395" s="142"/>
      <c r="BT395" s="142"/>
      <c r="BZ395" s="142"/>
      <c r="CF395" s="142"/>
      <c r="CL395" s="142"/>
      <c r="CR395" s="142"/>
      <c r="CX395" s="142"/>
      <c r="DD395" s="142"/>
      <c r="DJ395" s="142"/>
      <c r="DP395" s="142"/>
      <c r="DV395" s="142"/>
      <c r="EB395" s="142"/>
    </row>
    <row r="396">
      <c r="F396" s="142"/>
      <c r="L396" s="142"/>
      <c r="R396" s="142"/>
      <c r="X396" s="142"/>
      <c r="AD396" s="142"/>
      <c r="AJ396" s="142"/>
      <c r="AP396" s="142"/>
      <c r="AV396" s="142"/>
      <c r="BB396" s="142"/>
      <c r="BH396" s="142"/>
      <c r="BN396" s="142"/>
      <c r="BT396" s="142"/>
      <c r="BZ396" s="142"/>
      <c r="CF396" s="142"/>
      <c r="CL396" s="142"/>
      <c r="CR396" s="142"/>
      <c r="CX396" s="142"/>
      <c r="DD396" s="142"/>
      <c r="DJ396" s="142"/>
      <c r="DP396" s="142"/>
      <c r="DV396" s="142"/>
      <c r="EB396" s="142"/>
    </row>
    <row r="397">
      <c r="F397" s="142"/>
      <c r="L397" s="142"/>
      <c r="R397" s="142"/>
      <c r="X397" s="142"/>
      <c r="AD397" s="142"/>
      <c r="AJ397" s="142"/>
      <c r="AP397" s="142"/>
      <c r="AV397" s="142"/>
      <c r="BB397" s="142"/>
      <c r="BH397" s="142"/>
      <c r="BN397" s="142"/>
      <c r="BT397" s="142"/>
      <c r="BZ397" s="142"/>
      <c r="CF397" s="142"/>
      <c r="CL397" s="142"/>
      <c r="CR397" s="142"/>
      <c r="CX397" s="142"/>
      <c r="DD397" s="142"/>
      <c r="DJ397" s="142"/>
      <c r="DP397" s="142"/>
      <c r="DV397" s="142"/>
      <c r="EB397" s="142"/>
    </row>
    <row r="398">
      <c r="F398" s="142"/>
      <c r="L398" s="142"/>
      <c r="R398" s="142"/>
      <c r="X398" s="142"/>
      <c r="AD398" s="142"/>
      <c r="AJ398" s="142"/>
      <c r="AP398" s="142"/>
      <c r="AV398" s="142"/>
      <c r="BB398" s="142"/>
      <c r="BH398" s="142"/>
      <c r="BN398" s="142"/>
      <c r="BT398" s="142"/>
      <c r="BZ398" s="142"/>
      <c r="CF398" s="142"/>
      <c r="CL398" s="142"/>
      <c r="CR398" s="142"/>
      <c r="CX398" s="142"/>
      <c r="DD398" s="142"/>
      <c r="DJ398" s="142"/>
      <c r="DP398" s="142"/>
      <c r="DV398" s="142"/>
      <c r="EB398" s="142"/>
    </row>
    <row r="399">
      <c r="F399" s="142"/>
      <c r="L399" s="142"/>
      <c r="R399" s="142"/>
      <c r="X399" s="142"/>
      <c r="AD399" s="142"/>
      <c r="AJ399" s="142"/>
      <c r="AP399" s="142"/>
      <c r="AV399" s="142"/>
      <c r="BB399" s="142"/>
      <c r="BH399" s="142"/>
      <c r="BN399" s="142"/>
      <c r="BT399" s="142"/>
      <c r="BZ399" s="142"/>
      <c r="CF399" s="142"/>
      <c r="CL399" s="142"/>
      <c r="CR399" s="142"/>
      <c r="CX399" s="142"/>
      <c r="DD399" s="142"/>
      <c r="DJ399" s="142"/>
      <c r="DP399" s="142"/>
      <c r="DV399" s="142"/>
      <c r="EB399" s="142"/>
    </row>
    <row r="400">
      <c r="F400" s="142"/>
      <c r="L400" s="142"/>
      <c r="R400" s="142"/>
      <c r="X400" s="142"/>
      <c r="AD400" s="142"/>
      <c r="AJ400" s="142"/>
      <c r="AP400" s="142"/>
      <c r="AV400" s="142"/>
      <c r="BB400" s="142"/>
      <c r="BH400" s="142"/>
      <c r="BN400" s="142"/>
      <c r="BT400" s="142"/>
      <c r="BZ400" s="142"/>
      <c r="CF400" s="142"/>
      <c r="CL400" s="142"/>
      <c r="CR400" s="142"/>
      <c r="CX400" s="142"/>
      <c r="DD400" s="142"/>
      <c r="DJ400" s="142"/>
      <c r="DP400" s="142"/>
      <c r="DV400" s="142"/>
      <c r="EB400" s="142"/>
    </row>
    <row r="401">
      <c r="F401" s="142"/>
      <c r="L401" s="142"/>
      <c r="R401" s="142"/>
      <c r="X401" s="142"/>
      <c r="AD401" s="142"/>
      <c r="AJ401" s="142"/>
      <c r="AP401" s="142"/>
      <c r="AV401" s="142"/>
      <c r="BB401" s="142"/>
      <c r="BH401" s="142"/>
      <c r="BN401" s="142"/>
      <c r="BT401" s="142"/>
      <c r="BZ401" s="142"/>
      <c r="CF401" s="142"/>
      <c r="CL401" s="142"/>
      <c r="CR401" s="142"/>
      <c r="CX401" s="142"/>
      <c r="DD401" s="142"/>
      <c r="DJ401" s="142"/>
      <c r="DP401" s="142"/>
      <c r="DV401" s="142"/>
      <c r="EB401" s="142"/>
    </row>
    <row r="402">
      <c r="F402" s="142"/>
      <c r="L402" s="142"/>
      <c r="R402" s="142"/>
      <c r="X402" s="142"/>
      <c r="AD402" s="142"/>
      <c r="AJ402" s="142"/>
      <c r="AP402" s="142"/>
      <c r="AV402" s="142"/>
      <c r="BB402" s="142"/>
      <c r="BH402" s="142"/>
      <c r="BN402" s="142"/>
      <c r="BT402" s="142"/>
      <c r="BZ402" s="142"/>
      <c r="CF402" s="142"/>
      <c r="CL402" s="142"/>
      <c r="CR402" s="142"/>
      <c r="CX402" s="142"/>
      <c r="DD402" s="142"/>
      <c r="DJ402" s="142"/>
      <c r="DP402" s="142"/>
      <c r="DV402" s="142"/>
      <c r="EB402" s="142"/>
    </row>
    <row r="403">
      <c r="F403" s="142"/>
      <c r="L403" s="142"/>
      <c r="R403" s="142"/>
      <c r="X403" s="142"/>
      <c r="AD403" s="142"/>
      <c r="AJ403" s="142"/>
      <c r="AP403" s="142"/>
      <c r="AV403" s="142"/>
      <c r="BB403" s="142"/>
      <c r="BH403" s="142"/>
      <c r="BN403" s="142"/>
      <c r="BT403" s="142"/>
      <c r="BZ403" s="142"/>
      <c r="CF403" s="142"/>
      <c r="CL403" s="142"/>
      <c r="CR403" s="142"/>
      <c r="CX403" s="142"/>
      <c r="DD403" s="142"/>
      <c r="DJ403" s="142"/>
      <c r="DP403" s="142"/>
      <c r="DV403" s="142"/>
      <c r="EB403" s="142"/>
    </row>
    <row r="404">
      <c r="F404" s="142"/>
      <c r="L404" s="142"/>
      <c r="R404" s="142"/>
      <c r="X404" s="142"/>
      <c r="AD404" s="142"/>
      <c r="AJ404" s="142"/>
      <c r="AP404" s="142"/>
      <c r="AV404" s="142"/>
      <c r="BB404" s="142"/>
      <c r="BH404" s="142"/>
      <c r="BN404" s="142"/>
      <c r="BT404" s="142"/>
      <c r="BZ404" s="142"/>
      <c r="CF404" s="142"/>
      <c r="CL404" s="142"/>
      <c r="CR404" s="142"/>
      <c r="CX404" s="142"/>
      <c r="DD404" s="142"/>
      <c r="DJ404" s="142"/>
      <c r="DP404" s="142"/>
      <c r="DV404" s="142"/>
      <c r="EB404" s="142"/>
    </row>
    <row r="405">
      <c r="F405" s="142"/>
      <c r="L405" s="142"/>
      <c r="R405" s="142"/>
      <c r="X405" s="142"/>
      <c r="AD405" s="142"/>
      <c r="AJ405" s="142"/>
      <c r="AP405" s="142"/>
      <c r="AV405" s="142"/>
      <c r="BB405" s="142"/>
      <c r="BH405" s="142"/>
      <c r="BN405" s="142"/>
      <c r="BT405" s="142"/>
      <c r="BZ405" s="142"/>
      <c r="CF405" s="142"/>
      <c r="CL405" s="142"/>
      <c r="CR405" s="142"/>
      <c r="CX405" s="142"/>
      <c r="DD405" s="142"/>
      <c r="DJ405" s="142"/>
      <c r="DP405" s="142"/>
      <c r="DV405" s="142"/>
      <c r="EB405" s="142"/>
    </row>
    <row r="406">
      <c r="F406" s="142"/>
      <c r="L406" s="142"/>
      <c r="R406" s="142"/>
      <c r="X406" s="142"/>
      <c r="AD406" s="142"/>
      <c r="AJ406" s="142"/>
      <c r="AP406" s="142"/>
      <c r="AV406" s="142"/>
      <c r="BB406" s="142"/>
      <c r="BH406" s="142"/>
      <c r="BN406" s="142"/>
      <c r="BT406" s="142"/>
      <c r="BZ406" s="142"/>
      <c r="CF406" s="142"/>
      <c r="CL406" s="142"/>
      <c r="CR406" s="142"/>
      <c r="CX406" s="142"/>
      <c r="DD406" s="142"/>
      <c r="DJ406" s="142"/>
      <c r="DP406" s="142"/>
      <c r="DV406" s="142"/>
      <c r="EB406" s="142"/>
    </row>
    <row r="407">
      <c r="F407" s="142"/>
      <c r="L407" s="142"/>
      <c r="R407" s="142"/>
      <c r="X407" s="142"/>
      <c r="AD407" s="142"/>
      <c r="AJ407" s="142"/>
      <c r="AP407" s="142"/>
      <c r="AV407" s="142"/>
      <c r="BB407" s="142"/>
      <c r="BH407" s="142"/>
      <c r="BN407" s="142"/>
      <c r="BT407" s="142"/>
      <c r="BZ407" s="142"/>
      <c r="CF407" s="142"/>
      <c r="CL407" s="142"/>
      <c r="CR407" s="142"/>
      <c r="CX407" s="142"/>
      <c r="DD407" s="142"/>
      <c r="DJ407" s="142"/>
      <c r="DP407" s="142"/>
      <c r="DV407" s="142"/>
      <c r="EB407" s="142"/>
    </row>
    <row r="408">
      <c r="F408" s="142"/>
      <c r="L408" s="142"/>
      <c r="R408" s="142"/>
      <c r="X408" s="142"/>
      <c r="AD408" s="142"/>
      <c r="AJ408" s="142"/>
      <c r="AP408" s="142"/>
      <c r="AV408" s="142"/>
      <c r="BB408" s="142"/>
      <c r="BH408" s="142"/>
      <c r="BN408" s="142"/>
      <c r="BT408" s="142"/>
      <c r="BZ408" s="142"/>
      <c r="CF408" s="142"/>
      <c r="CL408" s="142"/>
      <c r="CR408" s="142"/>
      <c r="CX408" s="142"/>
      <c r="DD408" s="142"/>
      <c r="DJ408" s="142"/>
      <c r="DP408" s="142"/>
      <c r="DV408" s="142"/>
      <c r="EB408" s="142"/>
    </row>
    <row r="409">
      <c r="F409" s="142"/>
      <c r="L409" s="142"/>
      <c r="R409" s="142"/>
      <c r="X409" s="142"/>
      <c r="AD409" s="142"/>
      <c r="AJ409" s="142"/>
      <c r="AP409" s="142"/>
      <c r="AV409" s="142"/>
      <c r="BB409" s="142"/>
      <c r="BH409" s="142"/>
      <c r="BN409" s="142"/>
      <c r="BT409" s="142"/>
      <c r="BZ409" s="142"/>
      <c r="CF409" s="142"/>
      <c r="CL409" s="142"/>
      <c r="CR409" s="142"/>
      <c r="CX409" s="142"/>
      <c r="DD409" s="142"/>
      <c r="DJ409" s="142"/>
      <c r="DP409" s="142"/>
      <c r="DV409" s="142"/>
      <c r="EB409" s="142"/>
    </row>
    <row r="410">
      <c r="F410" s="142"/>
      <c r="L410" s="142"/>
      <c r="R410" s="142"/>
      <c r="X410" s="142"/>
      <c r="AD410" s="142"/>
      <c r="AJ410" s="142"/>
      <c r="AP410" s="142"/>
      <c r="AV410" s="142"/>
      <c r="BB410" s="142"/>
      <c r="BH410" s="142"/>
      <c r="BN410" s="142"/>
      <c r="BT410" s="142"/>
      <c r="BZ410" s="142"/>
      <c r="CF410" s="142"/>
      <c r="CL410" s="142"/>
      <c r="CR410" s="142"/>
      <c r="CX410" s="142"/>
      <c r="DD410" s="142"/>
      <c r="DJ410" s="142"/>
      <c r="DP410" s="142"/>
      <c r="DV410" s="142"/>
      <c r="EB410" s="142"/>
    </row>
    <row r="411">
      <c r="F411" s="142"/>
      <c r="L411" s="142"/>
      <c r="R411" s="142"/>
      <c r="X411" s="142"/>
      <c r="AD411" s="142"/>
      <c r="AJ411" s="142"/>
      <c r="AP411" s="142"/>
      <c r="AV411" s="142"/>
      <c r="BB411" s="142"/>
      <c r="BH411" s="142"/>
      <c r="BN411" s="142"/>
      <c r="BT411" s="142"/>
      <c r="BZ411" s="142"/>
      <c r="CF411" s="142"/>
      <c r="CL411" s="142"/>
      <c r="CR411" s="142"/>
      <c r="CX411" s="142"/>
      <c r="DD411" s="142"/>
      <c r="DJ411" s="142"/>
      <c r="DP411" s="142"/>
      <c r="DV411" s="142"/>
      <c r="EB411" s="142"/>
    </row>
    <row r="412">
      <c r="F412" s="142"/>
      <c r="L412" s="142"/>
      <c r="R412" s="142"/>
      <c r="X412" s="142"/>
      <c r="AD412" s="142"/>
      <c r="AJ412" s="142"/>
      <c r="AP412" s="142"/>
      <c r="AV412" s="142"/>
      <c r="BB412" s="142"/>
      <c r="BH412" s="142"/>
      <c r="BN412" s="142"/>
      <c r="BT412" s="142"/>
      <c r="BZ412" s="142"/>
      <c r="CF412" s="142"/>
      <c r="CL412" s="142"/>
      <c r="CR412" s="142"/>
      <c r="CX412" s="142"/>
      <c r="DD412" s="142"/>
      <c r="DJ412" s="142"/>
      <c r="DP412" s="142"/>
      <c r="DV412" s="142"/>
      <c r="EB412" s="142"/>
    </row>
    <row r="413">
      <c r="F413" s="142"/>
      <c r="L413" s="142"/>
      <c r="R413" s="142"/>
      <c r="X413" s="142"/>
      <c r="AD413" s="142"/>
      <c r="AJ413" s="142"/>
      <c r="AP413" s="142"/>
      <c r="AV413" s="142"/>
      <c r="BB413" s="142"/>
      <c r="BH413" s="142"/>
      <c r="BN413" s="142"/>
      <c r="BT413" s="142"/>
      <c r="BZ413" s="142"/>
      <c r="CF413" s="142"/>
      <c r="CL413" s="142"/>
      <c r="CR413" s="142"/>
      <c r="CX413" s="142"/>
      <c r="DD413" s="142"/>
      <c r="DJ413" s="142"/>
      <c r="DP413" s="142"/>
      <c r="DV413" s="142"/>
      <c r="EB413" s="142"/>
    </row>
    <row r="414">
      <c r="F414" s="142"/>
      <c r="L414" s="142"/>
      <c r="R414" s="142"/>
      <c r="X414" s="142"/>
      <c r="AD414" s="142"/>
      <c r="AJ414" s="142"/>
      <c r="AP414" s="142"/>
      <c r="AV414" s="142"/>
      <c r="BB414" s="142"/>
      <c r="BH414" s="142"/>
      <c r="BN414" s="142"/>
      <c r="BT414" s="142"/>
      <c r="BZ414" s="142"/>
      <c r="CF414" s="142"/>
      <c r="CL414" s="142"/>
      <c r="CR414" s="142"/>
      <c r="CX414" s="142"/>
      <c r="DD414" s="142"/>
      <c r="DJ414" s="142"/>
      <c r="DP414" s="142"/>
      <c r="DV414" s="142"/>
      <c r="EB414" s="142"/>
    </row>
    <row r="415">
      <c r="F415" s="142"/>
      <c r="L415" s="142"/>
      <c r="R415" s="142"/>
      <c r="X415" s="142"/>
      <c r="AD415" s="142"/>
      <c r="AJ415" s="142"/>
      <c r="AP415" s="142"/>
      <c r="AV415" s="142"/>
      <c r="BB415" s="142"/>
      <c r="BH415" s="142"/>
      <c r="BN415" s="142"/>
      <c r="BT415" s="142"/>
      <c r="BZ415" s="142"/>
      <c r="CF415" s="142"/>
      <c r="CL415" s="142"/>
      <c r="CR415" s="142"/>
      <c r="CX415" s="142"/>
      <c r="DD415" s="142"/>
      <c r="DJ415" s="142"/>
      <c r="DP415" s="142"/>
      <c r="DV415" s="142"/>
      <c r="EB415" s="142"/>
    </row>
    <row r="416">
      <c r="F416" s="142"/>
      <c r="L416" s="142"/>
      <c r="R416" s="142"/>
      <c r="X416" s="142"/>
      <c r="AD416" s="142"/>
      <c r="AJ416" s="142"/>
      <c r="AP416" s="142"/>
      <c r="AV416" s="142"/>
      <c r="BB416" s="142"/>
      <c r="BH416" s="142"/>
      <c r="BN416" s="142"/>
      <c r="BT416" s="142"/>
      <c r="BZ416" s="142"/>
      <c r="CF416" s="142"/>
      <c r="CL416" s="142"/>
      <c r="CR416" s="142"/>
      <c r="CX416" s="142"/>
      <c r="DD416" s="142"/>
      <c r="DJ416" s="142"/>
      <c r="DP416" s="142"/>
      <c r="DV416" s="142"/>
      <c r="EB416" s="142"/>
    </row>
    <row r="417">
      <c r="F417" s="142"/>
      <c r="L417" s="142"/>
      <c r="R417" s="142"/>
      <c r="X417" s="142"/>
      <c r="AD417" s="142"/>
      <c r="AJ417" s="142"/>
      <c r="AP417" s="142"/>
      <c r="AV417" s="142"/>
      <c r="BB417" s="142"/>
      <c r="BH417" s="142"/>
      <c r="BN417" s="142"/>
      <c r="BT417" s="142"/>
      <c r="BZ417" s="142"/>
      <c r="CF417" s="142"/>
      <c r="CL417" s="142"/>
      <c r="CR417" s="142"/>
      <c r="CX417" s="142"/>
      <c r="DD417" s="142"/>
      <c r="DJ417" s="142"/>
      <c r="DP417" s="142"/>
      <c r="DV417" s="142"/>
      <c r="EB417" s="142"/>
    </row>
    <row r="418">
      <c r="F418" s="142"/>
      <c r="L418" s="142"/>
      <c r="R418" s="142"/>
      <c r="X418" s="142"/>
      <c r="AD418" s="142"/>
      <c r="AJ418" s="142"/>
      <c r="AP418" s="142"/>
      <c r="AV418" s="142"/>
      <c r="BB418" s="142"/>
      <c r="BH418" s="142"/>
      <c r="BN418" s="142"/>
      <c r="BT418" s="142"/>
      <c r="BZ418" s="142"/>
      <c r="CF418" s="142"/>
      <c r="CL418" s="142"/>
      <c r="CR418" s="142"/>
      <c r="CX418" s="142"/>
      <c r="DD418" s="142"/>
      <c r="DJ418" s="142"/>
      <c r="DP418" s="142"/>
      <c r="DV418" s="142"/>
      <c r="EB418" s="142"/>
    </row>
    <row r="419">
      <c r="F419" s="142"/>
      <c r="L419" s="142"/>
      <c r="R419" s="142"/>
      <c r="X419" s="142"/>
      <c r="AD419" s="142"/>
      <c r="AJ419" s="142"/>
      <c r="AP419" s="142"/>
      <c r="AV419" s="142"/>
      <c r="BB419" s="142"/>
      <c r="BH419" s="142"/>
      <c r="BN419" s="142"/>
      <c r="BT419" s="142"/>
      <c r="BZ419" s="142"/>
      <c r="CF419" s="142"/>
      <c r="CL419" s="142"/>
      <c r="CR419" s="142"/>
      <c r="CX419" s="142"/>
      <c r="DD419" s="142"/>
      <c r="DJ419" s="142"/>
      <c r="DP419" s="142"/>
      <c r="DV419" s="142"/>
      <c r="EB419" s="142"/>
    </row>
    <row r="420">
      <c r="F420" s="142"/>
      <c r="L420" s="142"/>
      <c r="R420" s="142"/>
      <c r="X420" s="142"/>
      <c r="AD420" s="142"/>
      <c r="AJ420" s="142"/>
      <c r="AP420" s="142"/>
      <c r="AV420" s="142"/>
      <c r="BB420" s="142"/>
      <c r="BH420" s="142"/>
      <c r="BN420" s="142"/>
      <c r="BT420" s="142"/>
      <c r="BZ420" s="142"/>
      <c r="CF420" s="142"/>
      <c r="CL420" s="142"/>
      <c r="CR420" s="142"/>
      <c r="CX420" s="142"/>
      <c r="DD420" s="142"/>
      <c r="DJ420" s="142"/>
      <c r="DP420" s="142"/>
      <c r="DV420" s="142"/>
      <c r="EB420" s="142"/>
    </row>
    <row r="421">
      <c r="F421" s="142"/>
      <c r="L421" s="142"/>
      <c r="R421" s="142"/>
      <c r="X421" s="142"/>
      <c r="AD421" s="142"/>
      <c r="AJ421" s="142"/>
      <c r="AP421" s="142"/>
      <c r="AV421" s="142"/>
      <c r="BB421" s="142"/>
      <c r="BH421" s="142"/>
      <c r="BN421" s="142"/>
      <c r="BT421" s="142"/>
      <c r="BZ421" s="142"/>
      <c r="CF421" s="142"/>
      <c r="CL421" s="142"/>
      <c r="CR421" s="142"/>
      <c r="CX421" s="142"/>
      <c r="DD421" s="142"/>
      <c r="DJ421" s="142"/>
      <c r="DP421" s="142"/>
      <c r="DV421" s="142"/>
      <c r="EB421" s="142"/>
    </row>
    <row r="422">
      <c r="F422" s="142"/>
      <c r="L422" s="142"/>
      <c r="R422" s="142"/>
      <c r="X422" s="142"/>
      <c r="AD422" s="142"/>
      <c r="AJ422" s="142"/>
      <c r="AP422" s="142"/>
      <c r="AV422" s="142"/>
      <c r="BB422" s="142"/>
      <c r="BH422" s="142"/>
      <c r="BN422" s="142"/>
      <c r="BT422" s="142"/>
      <c r="BZ422" s="142"/>
      <c r="CF422" s="142"/>
      <c r="CL422" s="142"/>
      <c r="CR422" s="142"/>
      <c r="CX422" s="142"/>
      <c r="DD422" s="142"/>
      <c r="DJ422" s="142"/>
      <c r="DP422" s="142"/>
      <c r="DV422" s="142"/>
      <c r="EB422" s="142"/>
    </row>
    <row r="423">
      <c r="F423" s="142"/>
      <c r="L423" s="142"/>
      <c r="R423" s="142"/>
      <c r="X423" s="142"/>
      <c r="AD423" s="142"/>
      <c r="AJ423" s="142"/>
      <c r="AP423" s="142"/>
      <c r="AV423" s="142"/>
      <c r="BB423" s="142"/>
      <c r="BH423" s="142"/>
      <c r="BN423" s="142"/>
      <c r="BT423" s="142"/>
      <c r="BZ423" s="142"/>
      <c r="CF423" s="142"/>
      <c r="CL423" s="142"/>
      <c r="CR423" s="142"/>
      <c r="CX423" s="142"/>
      <c r="DD423" s="142"/>
      <c r="DJ423" s="142"/>
      <c r="DP423" s="142"/>
      <c r="DV423" s="142"/>
      <c r="EB423" s="142"/>
    </row>
    <row r="424">
      <c r="F424" s="142"/>
      <c r="L424" s="142"/>
      <c r="R424" s="142"/>
      <c r="X424" s="142"/>
      <c r="AD424" s="142"/>
      <c r="AJ424" s="142"/>
      <c r="AP424" s="142"/>
      <c r="AV424" s="142"/>
      <c r="BB424" s="142"/>
      <c r="BH424" s="142"/>
      <c r="BN424" s="142"/>
      <c r="BT424" s="142"/>
      <c r="BZ424" s="142"/>
      <c r="CF424" s="142"/>
      <c r="CL424" s="142"/>
      <c r="CR424" s="142"/>
      <c r="CX424" s="142"/>
      <c r="DD424" s="142"/>
      <c r="DJ424" s="142"/>
      <c r="DP424" s="142"/>
      <c r="DV424" s="142"/>
      <c r="EB424" s="142"/>
    </row>
    <row r="425">
      <c r="F425" s="142"/>
      <c r="L425" s="142"/>
      <c r="R425" s="142"/>
      <c r="X425" s="142"/>
      <c r="AD425" s="142"/>
      <c r="AJ425" s="142"/>
      <c r="AP425" s="142"/>
      <c r="AV425" s="142"/>
      <c r="BB425" s="142"/>
      <c r="BH425" s="142"/>
      <c r="BN425" s="142"/>
      <c r="BT425" s="142"/>
      <c r="BZ425" s="142"/>
      <c r="CF425" s="142"/>
      <c r="CL425" s="142"/>
      <c r="CR425" s="142"/>
      <c r="CX425" s="142"/>
      <c r="DD425" s="142"/>
      <c r="DJ425" s="142"/>
      <c r="DP425" s="142"/>
      <c r="DV425" s="142"/>
      <c r="EB425" s="142"/>
    </row>
    <row r="426">
      <c r="F426" s="142"/>
      <c r="L426" s="142"/>
      <c r="R426" s="142"/>
      <c r="X426" s="142"/>
      <c r="AD426" s="142"/>
      <c r="AJ426" s="142"/>
      <c r="AP426" s="142"/>
      <c r="AV426" s="142"/>
      <c r="BB426" s="142"/>
      <c r="BH426" s="142"/>
      <c r="BN426" s="142"/>
      <c r="BT426" s="142"/>
      <c r="BZ426" s="142"/>
      <c r="CF426" s="142"/>
      <c r="CL426" s="142"/>
      <c r="CR426" s="142"/>
      <c r="CX426" s="142"/>
      <c r="DD426" s="142"/>
      <c r="DJ426" s="142"/>
      <c r="DP426" s="142"/>
      <c r="DV426" s="142"/>
      <c r="EB426" s="142"/>
    </row>
    <row r="427">
      <c r="F427" s="142"/>
      <c r="L427" s="142"/>
      <c r="R427" s="142"/>
      <c r="X427" s="142"/>
      <c r="AD427" s="142"/>
      <c r="AJ427" s="142"/>
      <c r="AP427" s="142"/>
      <c r="AV427" s="142"/>
      <c r="BB427" s="142"/>
      <c r="BH427" s="142"/>
      <c r="BN427" s="142"/>
      <c r="BT427" s="142"/>
      <c r="BZ427" s="142"/>
      <c r="CF427" s="142"/>
      <c r="CL427" s="142"/>
      <c r="CR427" s="142"/>
      <c r="CX427" s="142"/>
      <c r="DD427" s="142"/>
      <c r="DJ427" s="142"/>
      <c r="DP427" s="142"/>
      <c r="DV427" s="142"/>
      <c r="EB427" s="142"/>
    </row>
    <row r="428">
      <c r="F428" s="142"/>
      <c r="L428" s="142"/>
      <c r="R428" s="142"/>
      <c r="X428" s="142"/>
      <c r="AD428" s="142"/>
      <c r="AJ428" s="142"/>
      <c r="AP428" s="142"/>
      <c r="AV428" s="142"/>
      <c r="BB428" s="142"/>
      <c r="BH428" s="142"/>
      <c r="BN428" s="142"/>
      <c r="BT428" s="142"/>
      <c r="BZ428" s="142"/>
      <c r="CF428" s="142"/>
      <c r="CL428" s="142"/>
      <c r="CR428" s="142"/>
      <c r="CX428" s="142"/>
      <c r="DD428" s="142"/>
      <c r="DJ428" s="142"/>
      <c r="DP428" s="142"/>
      <c r="DV428" s="142"/>
      <c r="EB428" s="142"/>
    </row>
    <row r="429">
      <c r="F429" s="142"/>
      <c r="L429" s="142"/>
      <c r="R429" s="142"/>
      <c r="X429" s="142"/>
      <c r="AD429" s="142"/>
      <c r="AJ429" s="142"/>
      <c r="AP429" s="142"/>
      <c r="AV429" s="142"/>
      <c r="BB429" s="142"/>
      <c r="BH429" s="142"/>
      <c r="BN429" s="142"/>
      <c r="BT429" s="142"/>
      <c r="BZ429" s="142"/>
      <c r="CF429" s="142"/>
      <c r="CL429" s="142"/>
      <c r="CR429" s="142"/>
      <c r="CX429" s="142"/>
      <c r="DD429" s="142"/>
      <c r="DJ429" s="142"/>
      <c r="DP429" s="142"/>
      <c r="DV429" s="142"/>
      <c r="EB429" s="142"/>
    </row>
    <row r="430">
      <c r="F430" s="142"/>
      <c r="L430" s="142"/>
      <c r="R430" s="142"/>
      <c r="X430" s="142"/>
      <c r="AD430" s="142"/>
      <c r="AJ430" s="142"/>
      <c r="AP430" s="142"/>
      <c r="AV430" s="142"/>
      <c r="BB430" s="142"/>
      <c r="BH430" s="142"/>
      <c r="BN430" s="142"/>
      <c r="BT430" s="142"/>
      <c r="BZ430" s="142"/>
      <c r="CF430" s="142"/>
      <c r="CL430" s="142"/>
      <c r="CR430" s="142"/>
      <c r="CX430" s="142"/>
      <c r="DD430" s="142"/>
      <c r="DJ430" s="142"/>
      <c r="DP430" s="142"/>
      <c r="DV430" s="142"/>
      <c r="EB430" s="142"/>
    </row>
    <row r="431">
      <c r="F431" s="142"/>
      <c r="L431" s="142"/>
      <c r="R431" s="142"/>
      <c r="X431" s="142"/>
      <c r="AD431" s="142"/>
      <c r="AJ431" s="142"/>
      <c r="AP431" s="142"/>
      <c r="AV431" s="142"/>
      <c r="BB431" s="142"/>
      <c r="BH431" s="142"/>
      <c r="BN431" s="142"/>
      <c r="BT431" s="142"/>
      <c r="BZ431" s="142"/>
      <c r="CF431" s="142"/>
      <c r="CL431" s="142"/>
      <c r="CR431" s="142"/>
      <c r="CX431" s="142"/>
      <c r="DD431" s="142"/>
      <c r="DJ431" s="142"/>
      <c r="DP431" s="142"/>
      <c r="DV431" s="142"/>
      <c r="EB431" s="142"/>
    </row>
    <row r="432">
      <c r="F432" s="142"/>
      <c r="L432" s="142"/>
      <c r="R432" s="142"/>
      <c r="X432" s="142"/>
      <c r="AD432" s="142"/>
      <c r="AJ432" s="142"/>
      <c r="AP432" s="142"/>
      <c r="AV432" s="142"/>
      <c r="BB432" s="142"/>
      <c r="BH432" s="142"/>
      <c r="BN432" s="142"/>
      <c r="BT432" s="142"/>
      <c r="BZ432" s="142"/>
      <c r="CF432" s="142"/>
      <c r="CL432" s="142"/>
      <c r="CR432" s="142"/>
      <c r="CX432" s="142"/>
      <c r="DD432" s="142"/>
      <c r="DJ432" s="142"/>
      <c r="DP432" s="142"/>
      <c r="DV432" s="142"/>
      <c r="EB432" s="142"/>
    </row>
    <row r="433">
      <c r="F433" s="142"/>
      <c r="L433" s="142"/>
      <c r="R433" s="142"/>
      <c r="X433" s="142"/>
      <c r="AD433" s="142"/>
      <c r="AJ433" s="142"/>
      <c r="AP433" s="142"/>
      <c r="AV433" s="142"/>
      <c r="BB433" s="142"/>
      <c r="BH433" s="142"/>
      <c r="BN433" s="142"/>
      <c r="BT433" s="142"/>
      <c r="BZ433" s="142"/>
      <c r="CF433" s="142"/>
      <c r="CL433" s="142"/>
      <c r="CR433" s="142"/>
      <c r="CX433" s="142"/>
      <c r="DD433" s="142"/>
      <c r="DJ433" s="142"/>
      <c r="DP433" s="142"/>
      <c r="DV433" s="142"/>
      <c r="EB433" s="142"/>
    </row>
    <row r="434">
      <c r="F434" s="142"/>
      <c r="L434" s="142"/>
      <c r="R434" s="142"/>
      <c r="X434" s="142"/>
      <c r="AD434" s="142"/>
      <c r="AJ434" s="142"/>
      <c r="AP434" s="142"/>
      <c r="AV434" s="142"/>
      <c r="BB434" s="142"/>
      <c r="BH434" s="142"/>
      <c r="BN434" s="142"/>
      <c r="BT434" s="142"/>
      <c r="BZ434" s="142"/>
      <c r="CF434" s="142"/>
      <c r="CL434" s="142"/>
      <c r="CR434" s="142"/>
      <c r="CX434" s="142"/>
      <c r="DD434" s="142"/>
      <c r="DJ434" s="142"/>
      <c r="DP434" s="142"/>
      <c r="DV434" s="142"/>
      <c r="EB434" s="142"/>
    </row>
    <row r="435">
      <c r="F435" s="142"/>
      <c r="L435" s="142"/>
      <c r="R435" s="142"/>
      <c r="X435" s="142"/>
      <c r="AD435" s="142"/>
      <c r="AJ435" s="142"/>
      <c r="AP435" s="142"/>
      <c r="AV435" s="142"/>
      <c r="BB435" s="142"/>
      <c r="BH435" s="142"/>
      <c r="BN435" s="142"/>
      <c r="BT435" s="142"/>
      <c r="BZ435" s="142"/>
      <c r="CF435" s="142"/>
      <c r="CL435" s="142"/>
      <c r="CR435" s="142"/>
      <c r="CX435" s="142"/>
      <c r="DD435" s="142"/>
      <c r="DJ435" s="142"/>
      <c r="DP435" s="142"/>
      <c r="DV435" s="142"/>
      <c r="EB435" s="142"/>
    </row>
    <row r="436">
      <c r="F436" s="142"/>
      <c r="L436" s="142"/>
      <c r="R436" s="142"/>
      <c r="X436" s="142"/>
      <c r="AD436" s="142"/>
      <c r="AJ436" s="142"/>
      <c r="AP436" s="142"/>
      <c r="AV436" s="142"/>
      <c r="BB436" s="142"/>
      <c r="BH436" s="142"/>
      <c r="BN436" s="142"/>
      <c r="BT436" s="142"/>
      <c r="BZ436" s="142"/>
      <c r="CF436" s="142"/>
      <c r="CL436" s="142"/>
      <c r="CR436" s="142"/>
      <c r="CX436" s="142"/>
      <c r="DD436" s="142"/>
      <c r="DJ436" s="142"/>
      <c r="DP436" s="142"/>
      <c r="DV436" s="142"/>
      <c r="EB436" s="142"/>
    </row>
    <row r="437">
      <c r="F437" s="142"/>
      <c r="L437" s="142"/>
      <c r="R437" s="142"/>
      <c r="X437" s="142"/>
      <c r="AD437" s="142"/>
      <c r="AJ437" s="142"/>
      <c r="AP437" s="142"/>
      <c r="AV437" s="142"/>
      <c r="BB437" s="142"/>
      <c r="BH437" s="142"/>
      <c r="BN437" s="142"/>
      <c r="BT437" s="142"/>
      <c r="BZ437" s="142"/>
      <c r="CF437" s="142"/>
      <c r="CL437" s="142"/>
      <c r="CR437" s="142"/>
      <c r="CX437" s="142"/>
      <c r="DD437" s="142"/>
      <c r="DJ437" s="142"/>
      <c r="DP437" s="142"/>
      <c r="DV437" s="142"/>
      <c r="EB437" s="142"/>
    </row>
    <row r="438">
      <c r="F438" s="142"/>
      <c r="L438" s="142"/>
      <c r="R438" s="142"/>
      <c r="X438" s="142"/>
      <c r="AD438" s="142"/>
      <c r="AJ438" s="142"/>
      <c r="AP438" s="142"/>
      <c r="AV438" s="142"/>
      <c r="BB438" s="142"/>
      <c r="BH438" s="142"/>
      <c r="BN438" s="142"/>
      <c r="BT438" s="142"/>
      <c r="BZ438" s="142"/>
      <c r="CF438" s="142"/>
      <c r="CL438" s="142"/>
      <c r="CR438" s="142"/>
      <c r="CX438" s="142"/>
      <c r="DD438" s="142"/>
      <c r="DJ438" s="142"/>
      <c r="DP438" s="142"/>
      <c r="DV438" s="142"/>
      <c r="EB438" s="142"/>
    </row>
    <row r="439">
      <c r="F439" s="142"/>
      <c r="L439" s="142"/>
      <c r="R439" s="142"/>
      <c r="X439" s="142"/>
      <c r="AD439" s="142"/>
      <c r="AJ439" s="142"/>
      <c r="AP439" s="142"/>
      <c r="AV439" s="142"/>
      <c r="BB439" s="142"/>
      <c r="BH439" s="142"/>
      <c r="BN439" s="142"/>
      <c r="BT439" s="142"/>
      <c r="BZ439" s="142"/>
      <c r="CF439" s="142"/>
      <c r="CL439" s="142"/>
      <c r="CR439" s="142"/>
      <c r="CX439" s="142"/>
      <c r="DD439" s="142"/>
      <c r="DJ439" s="142"/>
      <c r="DP439" s="142"/>
      <c r="DV439" s="142"/>
      <c r="EB439" s="142"/>
    </row>
    <row r="440">
      <c r="F440" s="142"/>
      <c r="L440" s="142"/>
      <c r="R440" s="142"/>
      <c r="X440" s="142"/>
      <c r="AD440" s="142"/>
      <c r="AJ440" s="142"/>
      <c r="AP440" s="142"/>
      <c r="AV440" s="142"/>
      <c r="BB440" s="142"/>
      <c r="BH440" s="142"/>
      <c r="BN440" s="142"/>
      <c r="BT440" s="142"/>
      <c r="BZ440" s="142"/>
      <c r="CF440" s="142"/>
      <c r="CL440" s="142"/>
      <c r="CR440" s="142"/>
      <c r="CX440" s="142"/>
      <c r="DD440" s="142"/>
      <c r="DJ440" s="142"/>
      <c r="DP440" s="142"/>
      <c r="DV440" s="142"/>
      <c r="EB440" s="142"/>
    </row>
    <row r="441">
      <c r="F441" s="142"/>
      <c r="L441" s="142"/>
      <c r="R441" s="142"/>
      <c r="X441" s="142"/>
      <c r="AD441" s="142"/>
      <c r="AJ441" s="142"/>
      <c r="AP441" s="142"/>
      <c r="AV441" s="142"/>
      <c r="BB441" s="142"/>
      <c r="BH441" s="142"/>
      <c r="BN441" s="142"/>
      <c r="BT441" s="142"/>
      <c r="BZ441" s="142"/>
      <c r="CF441" s="142"/>
      <c r="CL441" s="142"/>
      <c r="CR441" s="142"/>
      <c r="CX441" s="142"/>
      <c r="DD441" s="142"/>
      <c r="DJ441" s="142"/>
      <c r="DP441" s="142"/>
      <c r="DV441" s="142"/>
      <c r="EB441" s="142"/>
    </row>
    <row r="442">
      <c r="F442" s="142"/>
      <c r="L442" s="142"/>
      <c r="R442" s="142"/>
      <c r="X442" s="142"/>
      <c r="AD442" s="142"/>
      <c r="AJ442" s="142"/>
      <c r="AP442" s="142"/>
      <c r="AV442" s="142"/>
      <c r="BB442" s="142"/>
      <c r="BH442" s="142"/>
      <c r="BN442" s="142"/>
      <c r="BT442" s="142"/>
      <c r="BZ442" s="142"/>
      <c r="CF442" s="142"/>
      <c r="CL442" s="142"/>
      <c r="CR442" s="142"/>
      <c r="CX442" s="142"/>
      <c r="DD442" s="142"/>
      <c r="DJ442" s="142"/>
      <c r="DP442" s="142"/>
      <c r="DV442" s="142"/>
      <c r="EB442" s="142"/>
    </row>
    <row r="443">
      <c r="F443" s="142"/>
      <c r="L443" s="142"/>
      <c r="R443" s="142"/>
      <c r="X443" s="142"/>
      <c r="AD443" s="142"/>
      <c r="AJ443" s="142"/>
      <c r="AP443" s="142"/>
      <c r="AV443" s="142"/>
      <c r="BB443" s="142"/>
      <c r="BH443" s="142"/>
      <c r="BN443" s="142"/>
      <c r="BT443" s="142"/>
      <c r="BZ443" s="142"/>
      <c r="CF443" s="142"/>
      <c r="CL443" s="142"/>
      <c r="CR443" s="142"/>
      <c r="CX443" s="142"/>
      <c r="DD443" s="142"/>
      <c r="DJ443" s="142"/>
      <c r="DP443" s="142"/>
      <c r="DV443" s="142"/>
      <c r="EB443" s="142"/>
    </row>
    <row r="444">
      <c r="F444" s="142"/>
      <c r="L444" s="142"/>
      <c r="R444" s="142"/>
      <c r="X444" s="142"/>
      <c r="AD444" s="142"/>
      <c r="AJ444" s="142"/>
      <c r="AP444" s="142"/>
      <c r="AV444" s="142"/>
      <c r="BB444" s="142"/>
      <c r="BH444" s="142"/>
      <c r="BN444" s="142"/>
      <c r="BT444" s="142"/>
      <c r="BZ444" s="142"/>
      <c r="CF444" s="142"/>
      <c r="CL444" s="142"/>
      <c r="CR444" s="142"/>
      <c r="CX444" s="142"/>
      <c r="DD444" s="142"/>
      <c r="DJ444" s="142"/>
      <c r="DP444" s="142"/>
      <c r="DV444" s="142"/>
      <c r="EB444" s="142"/>
    </row>
    <row r="445">
      <c r="F445" s="142"/>
      <c r="L445" s="142"/>
      <c r="R445" s="142"/>
      <c r="X445" s="142"/>
      <c r="AD445" s="142"/>
      <c r="AJ445" s="142"/>
      <c r="AP445" s="142"/>
      <c r="AV445" s="142"/>
      <c r="BB445" s="142"/>
      <c r="BH445" s="142"/>
      <c r="BN445" s="142"/>
      <c r="BT445" s="142"/>
      <c r="BZ445" s="142"/>
      <c r="CF445" s="142"/>
      <c r="CL445" s="142"/>
      <c r="CR445" s="142"/>
      <c r="CX445" s="142"/>
      <c r="DD445" s="142"/>
      <c r="DJ445" s="142"/>
      <c r="DP445" s="142"/>
      <c r="DV445" s="142"/>
      <c r="EB445" s="142"/>
    </row>
    <row r="446">
      <c r="F446" s="142"/>
      <c r="L446" s="142"/>
      <c r="R446" s="142"/>
      <c r="X446" s="142"/>
      <c r="AD446" s="142"/>
      <c r="AJ446" s="142"/>
      <c r="AP446" s="142"/>
      <c r="AV446" s="142"/>
      <c r="BB446" s="142"/>
      <c r="BH446" s="142"/>
      <c r="BN446" s="142"/>
      <c r="BT446" s="142"/>
      <c r="BZ446" s="142"/>
      <c r="CF446" s="142"/>
      <c r="CL446" s="142"/>
      <c r="CR446" s="142"/>
      <c r="CX446" s="142"/>
      <c r="DD446" s="142"/>
      <c r="DJ446" s="142"/>
      <c r="DP446" s="142"/>
      <c r="DV446" s="142"/>
      <c r="EB446" s="142"/>
    </row>
    <row r="447">
      <c r="F447" s="142"/>
      <c r="L447" s="142"/>
      <c r="R447" s="142"/>
      <c r="X447" s="142"/>
      <c r="AD447" s="142"/>
      <c r="AJ447" s="142"/>
      <c r="AP447" s="142"/>
      <c r="AV447" s="142"/>
      <c r="BB447" s="142"/>
      <c r="BH447" s="142"/>
      <c r="BN447" s="142"/>
      <c r="BT447" s="142"/>
      <c r="BZ447" s="142"/>
      <c r="CF447" s="142"/>
      <c r="CL447" s="142"/>
      <c r="CR447" s="142"/>
      <c r="CX447" s="142"/>
      <c r="DD447" s="142"/>
      <c r="DJ447" s="142"/>
      <c r="DP447" s="142"/>
      <c r="DV447" s="142"/>
      <c r="EB447" s="142"/>
    </row>
    <row r="448">
      <c r="F448" s="142"/>
      <c r="L448" s="142"/>
      <c r="R448" s="142"/>
      <c r="X448" s="142"/>
      <c r="AD448" s="142"/>
      <c r="AJ448" s="142"/>
      <c r="AP448" s="142"/>
      <c r="AV448" s="142"/>
      <c r="BB448" s="142"/>
      <c r="BH448" s="142"/>
      <c r="BN448" s="142"/>
      <c r="BT448" s="142"/>
      <c r="BZ448" s="142"/>
      <c r="CF448" s="142"/>
      <c r="CL448" s="142"/>
      <c r="CR448" s="142"/>
      <c r="CX448" s="142"/>
      <c r="DD448" s="142"/>
      <c r="DJ448" s="142"/>
      <c r="DP448" s="142"/>
      <c r="DV448" s="142"/>
      <c r="EB448" s="142"/>
    </row>
    <row r="449">
      <c r="F449" s="142"/>
      <c r="L449" s="142"/>
      <c r="R449" s="142"/>
      <c r="X449" s="142"/>
      <c r="AD449" s="142"/>
      <c r="AJ449" s="142"/>
      <c r="AP449" s="142"/>
      <c r="AV449" s="142"/>
      <c r="BB449" s="142"/>
      <c r="BH449" s="142"/>
      <c r="BN449" s="142"/>
      <c r="BT449" s="142"/>
      <c r="BZ449" s="142"/>
      <c r="CF449" s="142"/>
      <c r="CL449" s="142"/>
      <c r="CR449" s="142"/>
      <c r="CX449" s="142"/>
      <c r="DD449" s="142"/>
      <c r="DJ449" s="142"/>
      <c r="DP449" s="142"/>
      <c r="DV449" s="142"/>
      <c r="EB449" s="142"/>
    </row>
    <row r="450">
      <c r="F450" s="142"/>
      <c r="L450" s="142"/>
      <c r="R450" s="142"/>
      <c r="X450" s="142"/>
      <c r="AD450" s="142"/>
      <c r="AJ450" s="142"/>
      <c r="AP450" s="142"/>
      <c r="AV450" s="142"/>
      <c r="BB450" s="142"/>
      <c r="BH450" s="142"/>
      <c r="BN450" s="142"/>
      <c r="BT450" s="142"/>
      <c r="BZ450" s="142"/>
      <c r="CF450" s="142"/>
      <c r="CL450" s="142"/>
      <c r="CR450" s="142"/>
      <c r="CX450" s="142"/>
      <c r="DD450" s="142"/>
      <c r="DJ450" s="142"/>
      <c r="DP450" s="142"/>
      <c r="DV450" s="142"/>
      <c r="EB450" s="142"/>
    </row>
    <row r="451">
      <c r="F451" s="142"/>
      <c r="L451" s="142"/>
      <c r="R451" s="142"/>
      <c r="X451" s="142"/>
      <c r="AD451" s="142"/>
      <c r="AJ451" s="142"/>
      <c r="AP451" s="142"/>
      <c r="AV451" s="142"/>
      <c r="BB451" s="142"/>
      <c r="BH451" s="142"/>
      <c r="BN451" s="142"/>
      <c r="BT451" s="142"/>
      <c r="BZ451" s="142"/>
      <c r="CF451" s="142"/>
      <c r="CL451" s="142"/>
      <c r="CR451" s="142"/>
      <c r="CX451" s="142"/>
      <c r="DD451" s="142"/>
      <c r="DJ451" s="142"/>
      <c r="DP451" s="142"/>
      <c r="DV451" s="142"/>
      <c r="EB451" s="142"/>
    </row>
    <row r="452">
      <c r="F452" s="142"/>
      <c r="L452" s="142"/>
      <c r="R452" s="142"/>
      <c r="X452" s="142"/>
      <c r="AD452" s="142"/>
      <c r="AJ452" s="142"/>
      <c r="AP452" s="142"/>
      <c r="AV452" s="142"/>
      <c r="BB452" s="142"/>
      <c r="BH452" s="142"/>
      <c r="BN452" s="142"/>
      <c r="BT452" s="142"/>
      <c r="BZ452" s="142"/>
      <c r="CF452" s="142"/>
      <c r="CL452" s="142"/>
      <c r="CR452" s="142"/>
      <c r="CX452" s="142"/>
      <c r="DD452" s="142"/>
      <c r="DJ452" s="142"/>
      <c r="DP452" s="142"/>
      <c r="DV452" s="142"/>
      <c r="EB452" s="142"/>
    </row>
    <row r="453">
      <c r="F453" s="142"/>
      <c r="L453" s="142"/>
      <c r="R453" s="142"/>
      <c r="X453" s="142"/>
      <c r="AD453" s="142"/>
      <c r="AJ453" s="142"/>
      <c r="AP453" s="142"/>
      <c r="AV453" s="142"/>
      <c r="BB453" s="142"/>
      <c r="BH453" s="142"/>
      <c r="BN453" s="142"/>
      <c r="BT453" s="142"/>
      <c r="BZ453" s="142"/>
      <c r="CF453" s="142"/>
      <c r="CL453" s="142"/>
      <c r="CR453" s="142"/>
      <c r="CX453" s="142"/>
      <c r="DD453" s="142"/>
      <c r="DJ453" s="142"/>
      <c r="DP453" s="142"/>
      <c r="DV453" s="142"/>
      <c r="EB453" s="142"/>
    </row>
    <row r="454">
      <c r="F454" s="142"/>
      <c r="L454" s="142"/>
      <c r="R454" s="142"/>
      <c r="X454" s="142"/>
      <c r="AD454" s="142"/>
      <c r="AJ454" s="142"/>
      <c r="AP454" s="142"/>
      <c r="AV454" s="142"/>
      <c r="BB454" s="142"/>
      <c r="BH454" s="142"/>
      <c r="BN454" s="142"/>
      <c r="BT454" s="142"/>
      <c r="BZ454" s="142"/>
      <c r="CF454" s="142"/>
      <c r="CL454" s="142"/>
      <c r="CR454" s="142"/>
      <c r="CX454" s="142"/>
      <c r="DD454" s="142"/>
      <c r="DJ454" s="142"/>
      <c r="DP454" s="142"/>
      <c r="DV454" s="142"/>
      <c r="EB454" s="142"/>
    </row>
    <row r="455">
      <c r="F455" s="142"/>
      <c r="L455" s="142"/>
      <c r="R455" s="142"/>
      <c r="X455" s="142"/>
      <c r="AD455" s="142"/>
      <c r="AJ455" s="142"/>
      <c r="AP455" s="142"/>
      <c r="AV455" s="142"/>
      <c r="BB455" s="142"/>
      <c r="BH455" s="142"/>
      <c r="BN455" s="142"/>
      <c r="BT455" s="142"/>
      <c r="BZ455" s="142"/>
      <c r="CF455" s="142"/>
      <c r="CL455" s="142"/>
      <c r="CR455" s="142"/>
      <c r="CX455" s="142"/>
      <c r="DD455" s="142"/>
      <c r="DJ455" s="142"/>
      <c r="DP455" s="142"/>
      <c r="DV455" s="142"/>
      <c r="EB455" s="142"/>
    </row>
    <row r="456">
      <c r="F456" s="142"/>
      <c r="L456" s="142"/>
      <c r="R456" s="142"/>
      <c r="X456" s="142"/>
      <c r="AD456" s="142"/>
      <c r="AJ456" s="142"/>
      <c r="AP456" s="142"/>
      <c r="AV456" s="142"/>
      <c r="BB456" s="142"/>
      <c r="BH456" s="142"/>
      <c r="BN456" s="142"/>
      <c r="BT456" s="142"/>
      <c r="BZ456" s="142"/>
      <c r="CF456" s="142"/>
      <c r="CL456" s="142"/>
      <c r="CR456" s="142"/>
      <c r="CX456" s="142"/>
      <c r="DD456" s="142"/>
      <c r="DJ456" s="142"/>
      <c r="DP456" s="142"/>
      <c r="DV456" s="142"/>
      <c r="EB456" s="142"/>
    </row>
    <row r="457">
      <c r="F457" s="142"/>
      <c r="L457" s="142"/>
      <c r="R457" s="142"/>
      <c r="X457" s="142"/>
      <c r="AD457" s="142"/>
      <c r="AJ457" s="142"/>
      <c r="AP457" s="142"/>
      <c r="AV457" s="142"/>
      <c r="BB457" s="142"/>
      <c r="BH457" s="142"/>
      <c r="BN457" s="142"/>
      <c r="BT457" s="142"/>
      <c r="BZ457" s="142"/>
      <c r="CF457" s="142"/>
      <c r="CL457" s="142"/>
      <c r="CR457" s="142"/>
      <c r="CX457" s="142"/>
      <c r="DD457" s="142"/>
      <c r="DJ457" s="142"/>
      <c r="DP457" s="142"/>
      <c r="DV457" s="142"/>
      <c r="EB457" s="142"/>
    </row>
    <row r="458">
      <c r="F458" s="142"/>
      <c r="L458" s="142"/>
      <c r="R458" s="142"/>
      <c r="X458" s="142"/>
      <c r="AD458" s="142"/>
      <c r="AJ458" s="142"/>
      <c r="AP458" s="142"/>
      <c r="AV458" s="142"/>
      <c r="BB458" s="142"/>
      <c r="BH458" s="142"/>
      <c r="BN458" s="142"/>
      <c r="BT458" s="142"/>
      <c r="BZ458" s="142"/>
      <c r="CF458" s="142"/>
      <c r="CL458" s="142"/>
      <c r="CR458" s="142"/>
      <c r="CX458" s="142"/>
      <c r="DD458" s="142"/>
      <c r="DJ458" s="142"/>
      <c r="DP458" s="142"/>
      <c r="DV458" s="142"/>
      <c r="EB458" s="142"/>
    </row>
    <row r="459">
      <c r="F459" s="142"/>
      <c r="L459" s="142"/>
      <c r="R459" s="142"/>
      <c r="X459" s="142"/>
      <c r="AD459" s="142"/>
      <c r="AJ459" s="142"/>
      <c r="AP459" s="142"/>
      <c r="AV459" s="142"/>
      <c r="BB459" s="142"/>
      <c r="BH459" s="142"/>
      <c r="BN459" s="142"/>
      <c r="BT459" s="142"/>
      <c r="BZ459" s="142"/>
      <c r="CF459" s="142"/>
      <c r="CL459" s="142"/>
      <c r="CR459" s="142"/>
      <c r="CX459" s="142"/>
      <c r="DD459" s="142"/>
      <c r="DJ459" s="142"/>
      <c r="DP459" s="142"/>
      <c r="DV459" s="142"/>
      <c r="EB459" s="142"/>
    </row>
    <row r="460">
      <c r="F460" s="142"/>
      <c r="L460" s="142"/>
      <c r="R460" s="142"/>
      <c r="X460" s="142"/>
      <c r="AD460" s="142"/>
      <c r="AJ460" s="142"/>
      <c r="AP460" s="142"/>
      <c r="AV460" s="142"/>
      <c r="BB460" s="142"/>
      <c r="BH460" s="142"/>
      <c r="BN460" s="142"/>
      <c r="BT460" s="142"/>
      <c r="BZ460" s="142"/>
      <c r="CF460" s="142"/>
      <c r="CL460" s="142"/>
      <c r="CR460" s="142"/>
      <c r="CX460" s="142"/>
      <c r="DD460" s="142"/>
      <c r="DJ460" s="142"/>
      <c r="DP460" s="142"/>
      <c r="DV460" s="142"/>
      <c r="EB460" s="142"/>
    </row>
    <row r="461">
      <c r="F461" s="142"/>
      <c r="L461" s="142"/>
      <c r="R461" s="142"/>
      <c r="X461" s="142"/>
      <c r="AD461" s="142"/>
      <c r="AJ461" s="142"/>
      <c r="AP461" s="142"/>
      <c r="AV461" s="142"/>
      <c r="BB461" s="142"/>
      <c r="BH461" s="142"/>
      <c r="BN461" s="142"/>
      <c r="BT461" s="142"/>
      <c r="BZ461" s="142"/>
      <c r="CF461" s="142"/>
      <c r="CL461" s="142"/>
      <c r="CR461" s="142"/>
      <c r="CX461" s="142"/>
      <c r="DD461" s="142"/>
      <c r="DJ461" s="142"/>
      <c r="DP461" s="142"/>
      <c r="DV461" s="142"/>
      <c r="EB461" s="142"/>
    </row>
    <row r="462">
      <c r="F462" s="142"/>
      <c r="L462" s="142"/>
      <c r="R462" s="142"/>
      <c r="X462" s="142"/>
      <c r="AD462" s="142"/>
      <c r="AJ462" s="142"/>
      <c r="AP462" s="142"/>
      <c r="AV462" s="142"/>
      <c r="BB462" s="142"/>
      <c r="BH462" s="142"/>
      <c r="BN462" s="142"/>
      <c r="BT462" s="142"/>
      <c r="BZ462" s="142"/>
      <c r="CF462" s="142"/>
      <c r="CL462" s="142"/>
      <c r="CR462" s="142"/>
      <c r="CX462" s="142"/>
      <c r="DD462" s="142"/>
      <c r="DJ462" s="142"/>
      <c r="DP462" s="142"/>
      <c r="DV462" s="142"/>
      <c r="EB462" s="142"/>
    </row>
    <row r="463">
      <c r="F463" s="142"/>
      <c r="L463" s="142"/>
      <c r="R463" s="142"/>
      <c r="X463" s="142"/>
      <c r="AD463" s="142"/>
      <c r="AJ463" s="142"/>
      <c r="AP463" s="142"/>
      <c r="AV463" s="142"/>
      <c r="BB463" s="142"/>
      <c r="BH463" s="142"/>
      <c r="BN463" s="142"/>
      <c r="BT463" s="142"/>
      <c r="BZ463" s="142"/>
      <c r="CF463" s="142"/>
      <c r="CL463" s="142"/>
      <c r="CR463" s="142"/>
      <c r="CX463" s="142"/>
      <c r="DD463" s="142"/>
      <c r="DJ463" s="142"/>
      <c r="DP463" s="142"/>
      <c r="DV463" s="142"/>
      <c r="EB463" s="142"/>
    </row>
    <row r="464">
      <c r="F464" s="142"/>
      <c r="L464" s="142"/>
      <c r="R464" s="142"/>
      <c r="X464" s="142"/>
      <c r="AD464" s="142"/>
      <c r="AJ464" s="142"/>
      <c r="AP464" s="142"/>
      <c r="AV464" s="142"/>
      <c r="BB464" s="142"/>
      <c r="BH464" s="142"/>
      <c r="BN464" s="142"/>
      <c r="BT464" s="142"/>
      <c r="BZ464" s="142"/>
      <c r="CF464" s="142"/>
      <c r="CL464" s="142"/>
      <c r="CR464" s="142"/>
      <c r="CX464" s="142"/>
      <c r="DD464" s="142"/>
      <c r="DJ464" s="142"/>
      <c r="DP464" s="142"/>
      <c r="DV464" s="142"/>
      <c r="EB464" s="142"/>
    </row>
    <row r="465">
      <c r="F465" s="142"/>
      <c r="L465" s="142"/>
      <c r="R465" s="142"/>
      <c r="X465" s="142"/>
      <c r="AD465" s="142"/>
      <c r="AJ465" s="142"/>
      <c r="AP465" s="142"/>
      <c r="AV465" s="142"/>
      <c r="BB465" s="142"/>
      <c r="BH465" s="142"/>
      <c r="BN465" s="142"/>
      <c r="BT465" s="142"/>
      <c r="BZ465" s="142"/>
      <c r="CF465" s="142"/>
      <c r="CL465" s="142"/>
      <c r="CR465" s="142"/>
      <c r="CX465" s="142"/>
      <c r="DD465" s="142"/>
      <c r="DJ465" s="142"/>
      <c r="DP465" s="142"/>
      <c r="DV465" s="142"/>
      <c r="EB465" s="142"/>
    </row>
    <row r="466">
      <c r="F466" s="142"/>
      <c r="L466" s="142"/>
      <c r="R466" s="142"/>
      <c r="X466" s="142"/>
      <c r="AD466" s="142"/>
      <c r="AJ466" s="142"/>
      <c r="AP466" s="142"/>
      <c r="AV466" s="142"/>
      <c r="BB466" s="142"/>
      <c r="BH466" s="142"/>
      <c r="BN466" s="142"/>
      <c r="BT466" s="142"/>
      <c r="BZ466" s="142"/>
      <c r="CF466" s="142"/>
      <c r="CL466" s="142"/>
      <c r="CR466" s="142"/>
      <c r="CX466" s="142"/>
      <c r="DD466" s="142"/>
      <c r="DJ466" s="142"/>
      <c r="DP466" s="142"/>
      <c r="DV466" s="142"/>
      <c r="EB466" s="142"/>
    </row>
    <row r="467">
      <c r="F467" s="142"/>
      <c r="L467" s="142"/>
      <c r="R467" s="142"/>
      <c r="X467" s="142"/>
      <c r="AD467" s="142"/>
      <c r="AJ467" s="142"/>
      <c r="AP467" s="142"/>
      <c r="AV467" s="142"/>
      <c r="BB467" s="142"/>
      <c r="BH467" s="142"/>
      <c r="BN467" s="142"/>
      <c r="BT467" s="142"/>
      <c r="BZ467" s="142"/>
      <c r="CF467" s="142"/>
      <c r="CL467" s="142"/>
      <c r="CR467" s="142"/>
      <c r="CX467" s="142"/>
      <c r="DD467" s="142"/>
      <c r="DJ467" s="142"/>
      <c r="DP467" s="142"/>
      <c r="DV467" s="142"/>
      <c r="EB467" s="142"/>
    </row>
    <row r="468">
      <c r="F468" s="142"/>
      <c r="L468" s="142"/>
      <c r="R468" s="142"/>
      <c r="X468" s="142"/>
      <c r="AD468" s="142"/>
      <c r="AJ468" s="142"/>
      <c r="AP468" s="142"/>
      <c r="AV468" s="142"/>
      <c r="BB468" s="142"/>
      <c r="BH468" s="142"/>
      <c r="BN468" s="142"/>
      <c r="BT468" s="142"/>
      <c r="BZ468" s="142"/>
      <c r="CF468" s="142"/>
      <c r="CL468" s="142"/>
      <c r="CR468" s="142"/>
      <c r="CX468" s="142"/>
      <c r="DD468" s="142"/>
      <c r="DJ468" s="142"/>
      <c r="DP468" s="142"/>
      <c r="DV468" s="142"/>
      <c r="EB468" s="142"/>
    </row>
    <row r="469">
      <c r="F469" s="142"/>
      <c r="L469" s="142"/>
      <c r="R469" s="142"/>
      <c r="X469" s="142"/>
      <c r="AD469" s="142"/>
      <c r="AJ469" s="142"/>
      <c r="AP469" s="142"/>
      <c r="AV469" s="142"/>
      <c r="BB469" s="142"/>
      <c r="BH469" s="142"/>
      <c r="BN469" s="142"/>
      <c r="BT469" s="142"/>
      <c r="BZ469" s="142"/>
      <c r="CF469" s="142"/>
      <c r="CL469" s="142"/>
      <c r="CR469" s="142"/>
      <c r="CX469" s="142"/>
      <c r="DD469" s="142"/>
      <c r="DJ469" s="142"/>
      <c r="DP469" s="142"/>
      <c r="DV469" s="142"/>
      <c r="EB469" s="142"/>
    </row>
    <row r="470">
      <c r="F470" s="142"/>
      <c r="L470" s="142"/>
      <c r="R470" s="142"/>
      <c r="X470" s="142"/>
      <c r="AD470" s="142"/>
      <c r="AJ470" s="142"/>
      <c r="AP470" s="142"/>
      <c r="AV470" s="142"/>
      <c r="BB470" s="142"/>
      <c r="BH470" s="142"/>
      <c r="BN470" s="142"/>
      <c r="BT470" s="142"/>
      <c r="BZ470" s="142"/>
      <c r="CF470" s="142"/>
      <c r="CL470" s="142"/>
      <c r="CR470" s="142"/>
      <c r="CX470" s="142"/>
      <c r="DD470" s="142"/>
      <c r="DJ470" s="142"/>
      <c r="DP470" s="142"/>
      <c r="DV470" s="142"/>
      <c r="EB470" s="142"/>
    </row>
    <row r="471">
      <c r="F471" s="142"/>
      <c r="L471" s="142"/>
      <c r="R471" s="142"/>
      <c r="X471" s="142"/>
      <c r="AD471" s="142"/>
      <c r="AJ471" s="142"/>
      <c r="AP471" s="142"/>
      <c r="AV471" s="142"/>
      <c r="BB471" s="142"/>
      <c r="BH471" s="142"/>
      <c r="BN471" s="142"/>
      <c r="BT471" s="142"/>
      <c r="BZ471" s="142"/>
      <c r="CF471" s="142"/>
      <c r="CL471" s="142"/>
      <c r="CR471" s="142"/>
      <c r="CX471" s="142"/>
      <c r="DD471" s="142"/>
      <c r="DJ471" s="142"/>
      <c r="DP471" s="142"/>
      <c r="DV471" s="142"/>
      <c r="EB471" s="142"/>
    </row>
    <row r="472">
      <c r="F472" s="142"/>
      <c r="L472" s="142"/>
      <c r="R472" s="142"/>
      <c r="X472" s="142"/>
      <c r="AD472" s="142"/>
      <c r="AJ472" s="142"/>
      <c r="AP472" s="142"/>
      <c r="AV472" s="142"/>
      <c r="BB472" s="142"/>
      <c r="BH472" s="142"/>
      <c r="BN472" s="142"/>
      <c r="BT472" s="142"/>
      <c r="BZ472" s="142"/>
      <c r="CF472" s="142"/>
      <c r="CL472" s="142"/>
      <c r="CR472" s="142"/>
      <c r="CX472" s="142"/>
      <c r="DD472" s="142"/>
      <c r="DJ472" s="142"/>
      <c r="DP472" s="142"/>
      <c r="DV472" s="142"/>
      <c r="EB472" s="142"/>
    </row>
    <row r="473">
      <c r="F473" s="142"/>
      <c r="L473" s="142"/>
      <c r="R473" s="142"/>
      <c r="X473" s="142"/>
      <c r="AD473" s="142"/>
      <c r="AJ473" s="142"/>
      <c r="AP473" s="142"/>
      <c r="AV473" s="142"/>
      <c r="BB473" s="142"/>
      <c r="BH473" s="142"/>
      <c r="BN473" s="142"/>
      <c r="BT473" s="142"/>
      <c r="BZ473" s="142"/>
      <c r="CF473" s="142"/>
      <c r="CL473" s="142"/>
      <c r="CR473" s="142"/>
      <c r="CX473" s="142"/>
      <c r="DD473" s="142"/>
      <c r="DJ473" s="142"/>
      <c r="DP473" s="142"/>
      <c r="DV473" s="142"/>
      <c r="EB473" s="142"/>
    </row>
    <row r="474">
      <c r="F474" s="142"/>
      <c r="L474" s="142"/>
      <c r="R474" s="142"/>
      <c r="X474" s="142"/>
      <c r="AD474" s="142"/>
      <c r="AJ474" s="142"/>
      <c r="AP474" s="142"/>
      <c r="AV474" s="142"/>
      <c r="BB474" s="142"/>
      <c r="BH474" s="142"/>
      <c r="BN474" s="142"/>
      <c r="BT474" s="142"/>
      <c r="BZ474" s="142"/>
      <c r="CF474" s="142"/>
      <c r="CL474" s="142"/>
      <c r="CR474" s="142"/>
      <c r="CX474" s="142"/>
      <c r="DD474" s="142"/>
      <c r="DJ474" s="142"/>
      <c r="DP474" s="142"/>
      <c r="DV474" s="142"/>
      <c r="EB474" s="142"/>
    </row>
    <row r="475">
      <c r="F475" s="142"/>
      <c r="L475" s="142"/>
      <c r="R475" s="142"/>
      <c r="X475" s="142"/>
      <c r="AD475" s="142"/>
      <c r="AJ475" s="142"/>
      <c r="AP475" s="142"/>
      <c r="AV475" s="142"/>
      <c r="BB475" s="142"/>
      <c r="BH475" s="142"/>
      <c r="BN475" s="142"/>
      <c r="BT475" s="142"/>
      <c r="BZ475" s="142"/>
      <c r="CF475" s="142"/>
      <c r="CL475" s="142"/>
      <c r="CR475" s="142"/>
      <c r="CX475" s="142"/>
      <c r="DD475" s="142"/>
      <c r="DJ475" s="142"/>
      <c r="DP475" s="142"/>
      <c r="DV475" s="142"/>
      <c r="EB475" s="142"/>
    </row>
    <row r="476">
      <c r="F476" s="142"/>
      <c r="L476" s="142"/>
      <c r="R476" s="142"/>
      <c r="X476" s="142"/>
      <c r="AD476" s="142"/>
      <c r="AJ476" s="142"/>
      <c r="AP476" s="142"/>
      <c r="AV476" s="142"/>
      <c r="BB476" s="142"/>
      <c r="BH476" s="142"/>
      <c r="BN476" s="142"/>
      <c r="BT476" s="142"/>
      <c r="BZ476" s="142"/>
      <c r="CF476" s="142"/>
      <c r="CL476" s="142"/>
      <c r="CR476" s="142"/>
      <c r="CX476" s="142"/>
      <c r="DD476" s="142"/>
      <c r="DJ476" s="142"/>
      <c r="DP476" s="142"/>
      <c r="DV476" s="142"/>
      <c r="EB476" s="142"/>
    </row>
    <row r="477">
      <c r="F477" s="142"/>
      <c r="L477" s="142"/>
      <c r="R477" s="142"/>
      <c r="X477" s="142"/>
      <c r="AD477" s="142"/>
      <c r="AJ477" s="142"/>
      <c r="AP477" s="142"/>
      <c r="AV477" s="142"/>
      <c r="BB477" s="142"/>
      <c r="BH477" s="142"/>
      <c r="BN477" s="142"/>
      <c r="BT477" s="142"/>
      <c r="BZ477" s="142"/>
      <c r="CF477" s="142"/>
      <c r="CL477" s="142"/>
      <c r="CR477" s="142"/>
      <c r="CX477" s="142"/>
      <c r="DD477" s="142"/>
      <c r="DJ477" s="142"/>
      <c r="DP477" s="142"/>
      <c r="DV477" s="142"/>
      <c r="EB477" s="142"/>
    </row>
    <row r="478">
      <c r="F478" s="142"/>
      <c r="L478" s="142"/>
      <c r="R478" s="142"/>
      <c r="X478" s="142"/>
      <c r="AD478" s="142"/>
      <c r="AJ478" s="142"/>
      <c r="AP478" s="142"/>
      <c r="AV478" s="142"/>
      <c r="BB478" s="142"/>
      <c r="BH478" s="142"/>
      <c r="BN478" s="142"/>
      <c r="BT478" s="142"/>
      <c r="BZ478" s="142"/>
      <c r="CF478" s="142"/>
      <c r="CL478" s="142"/>
      <c r="CR478" s="142"/>
      <c r="CX478" s="142"/>
      <c r="DD478" s="142"/>
      <c r="DJ478" s="142"/>
      <c r="DP478" s="142"/>
      <c r="DV478" s="142"/>
      <c r="EB478" s="142"/>
    </row>
    <row r="479">
      <c r="F479" s="142"/>
      <c r="L479" s="142"/>
      <c r="R479" s="142"/>
      <c r="X479" s="142"/>
      <c r="AD479" s="142"/>
      <c r="AJ479" s="142"/>
      <c r="AP479" s="142"/>
      <c r="AV479" s="142"/>
      <c r="BB479" s="142"/>
      <c r="BH479" s="142"/>
      <c r="BN479" s="142"/>
      <c r="BT479" s="142"/>
      <c r="BZ479" s="142"/>
      <c r="CF479" s="142"/>
      <c r="CL479" s="142"/>
      <c r="CR479" s="142"/>
      <c r="CX479" s="142"/>
      <c r="DD479" s="142"/>
      <c r="DJ479" s="142"/>
      <c r="DP479" s="142"/>
      <c r="DV479" s="142"/>
      <c r="EB479" s="142"/>
    </row>
    <row r="480">
      <c r="F480" s="142"/>
      <c r="L480" s="142"/>
      <c r="R480" s="142"/>
      <c r="X480" s="142"/>
      <c r="AD480" s="142"/>
      <c r="AJ480" s="142"/>
      <c r="AP480" s="142"/>
      <c r="AV480" s="142"/>
      <c r="BB480" s="142"/>
      <c r="BH480" s="142"/>
      <c r="BN480" s="142"/>
      <c r="BT480" s="142"/>
      <c r="BZ480" s="142"/>
      <c r="CF480" s="142"/>
      <c r="CL480" s="142"/>
      <c r="CR480" s="142"/>
      <c r="CX480" s="142"/>
      <c r="DD480" s="142"/>
      <c r="DJ480" s="142"/>
      <c r="DP480" s="142"/>
      <c r="DV480" s="142"/>
      <c r="EB480" s="142"/>
    </row>
    <row r="481">
      <c r="F481" s="142"/>
      <c r="L481" s="142"/>
      <c r="R481" s="142"/>
      <c r="X481" s="142"/>
      <c r="AD481" s="142"/>
      <c r="AJ481" s="142"/>
      <c r="AP481" s="142"/>
      <c r="AV481" s="142"/>
      <c r="BB481" s="142"/>
      <c r="BH481" s="142"/>
      <c r="BN481" s="142"/>
      <c r="BT481" s="142"/>
      <c r="BZ481" s="142"/>
      <c r="CF481" s="142"/>
      <c r="CL481" s="142"/>
      <c r="CR481" s="142"/>
      <c r="CX481" s="142"/>
      <c r="DD481" s="142"/>
      <c r="DJ481" s="142"/>
      <c r="DP481" s="142"/>
      <c r="DV481" s="142"/>
      <c r="EB481" s="142"/>
    </row>
    <row r="482">
      <c r="F482" s="142"/>
      <c r="L482" s="142"/>
      <c r="R482" s="142"/>
      <c r="X482" s="142"/>
      <c r="AD482" s="142"/>
      <c r="AJ482" s="142"/>
      <c r="AP482" s="142"/>
      <c r="AV482" s="142"/>
      <c r="BB482" s="142"/>
      <c r="BH482" s="142"/>
      <c r="BN482" s="142"/>
      <c r="BT482" s="142"/>
      <c r="BZ482" s="142"/>
      <c r="CF482" s="142"/>
      <c r="CL482" s="142"/>
      <c r="CR482" s="142"/>
      <c r="CX482" s="142"/>
      <c r="DD482" s="142"/>
      <c r="DJ482" s="142"/>
      <c r="DP482" s="142"/>
      <c r="DV482" s="142"/>
      <c r="EB482" s="142"/>
    </row>
    <row r="483">
      <c r="F483" s="142"/>
      <c r="L483" s="142"/>
      <c r="R483" s="142"/>
      <c r="X483" s="142"/>
      <c r="AD483" s="142"/>
      <c r="AJ483" s="142"/>
      <c r="AP483" s="142"/>
      <c r="AV483" s="142"/>
      <c r="BB483" s="142"/>
      <c r="BH483" s="142"/>
      <c r="BN483" s="142"/>
      <c r="BT483" s="142"/>
      <c r="BZ483" s="142"/>
      <c r="CF483" s="142"/>
      <c r="CL483" s="142"/>
      <c r="CR483" s="142"/>
      <c r="CX483" s="142"/>
      <c r="DD483" s="142"/>
      <c r="DJ483" s="142"/>
      <c r="DP483" s="142"/>
      <c r="DV483" s="142"/>
      <c r="EB483" s="142"/>
    </row>
    <row r="484">
      <c r="F484" s="142"/>
      <c r="L484" s="142"/>
      <c r="R484" s="142"/>
      <c r="X484" s="142"/>
      <c r="AD484" s="142"/>
      <c r="AJ484" s="142"/>
      <c r="AP484" s="142"/>
      <c r="AV484" s="142"/>
      <c r="BB484" s="142"/>
      <c r="BH484" s="142"/>
      <c r="BN484" s="142"/>
      <c r="BT484" s="142"/>
      <c r="BZ484" s="142"/>
      <c r="CF484" s="142"/>
      <c r="CL484" s="142"/>
      <c r="CR484" s="142"/>
      <c r="CX484" s="142"/>
      <c r="DD484" s="142"/>
      <c r="DJ484" s="142"/>
      <c r="DP484" s="142"/>
      <c r="DV484" s="142"/>
      <c r="EB484" s="142"/>
    </row>
    <row r="485">
      <c r="F485" s="142"/>
      <c r="L485" s="142"/>
      <c r="R485" s="142"/>
      <c r="X485" s="142"/>
      <c r="AD485" s="142"/>
      <c r="AJ485" s="142"/>
      <c r="AP485" s="142"/>
      <c r="AV485" s="142"/>
      <c r="BB485" s="142"/>
      <c r="BH485" s="142"/>
      <c r="BN485" s="142"/>
      <c r="BT485" s="142"/>
      <c r="BZ485" s="142"/>
      <c r="CF485" s="142"/>
      <c r="CL485" s="142"/>
      <c r="CR485" s="142"/>
      <c r="CX485" s="142"/>
      <c r="DD485" s="142"/>
      <c r="DJ485" s="142"/>
      <c r="DP485" s="142"/>
      <c r="DV485" s="142"/>
      <c r="EB485" s="142"/>
    </row>
    <row r="486">
      <c r="F486" s="142"/>
      <c r="L486" s="142"/>
      <c r="R486" s="142"/>
      <c r="X486" s="142"/>
      <c r="AD486" s="142"/>
      <c r="AJ486" s="142"/>
      <c r="AP486" s="142"/>
      <c r="AV486" s="142"/>
      <c r="BB486" s="142"/>
      <c r="BH486" s="142"/>
      <c r="BN486" s="142"/>
      <c r="BT486" s="142"/>
      <c r="BZ486" s="142"/>
      <c r="CF486" s="142"/>
      <c r="CL486" s="142"/>
      <c r="CR486" s="142"/>
      <c r="CX486" s="142"/>
      <c r="DD486" s="142"/>
      <c r="DJ486" s="142"/>
      <c r="DP486" s="142"/>
      <c r="DV486" s="142"/>
      <c r="EB486" s="142"/>
    </row>
    <row r="487">
      <c r="F487" s="142"/>
      <c r="L487" s="142"/>
      <c r="R487" s="142"/>
      <c r="X487" s="142"/>
      <c r="AD487" s="142"/>
      <c r="AJ487" s="142"/>
      <c r="AP487" s="142"/>
      <c r="AV487" s="142"/>
      <c r="BB487" s="142"/>
      <c r="BH487" s="142"/>
      <c r="BN487" s="142"/>
      <c r="BT487" s="142"/>
      <c r="BZ487" s="142"/>
      <c r="CF487" s="142"/>
      <c r="CL487" s="142"/>
      <c r="CR487" s="142"/>
      <c r="CX487" s="142"/>
      <c r="DD487" s="142"/>
      <c r="DJ487" s="142"/>
      <c r="DP487" s="142"/>
      <c r="DV487" s="142"/>
      <c r="EB487" s="142"/>
    </row>
    <row r="488">
      <c r="F488" s="142"/>
      <c r="L488" s="142"/>
      <c r="R488" s="142"/>
      <c r="X488" s="142"/>
      <c r="AD488" s="142"/>
      <c r="AJ488" s="142"/>
      <c r="AP488" s="142"/>
      <c r="AV488" s="142"/>
      <c r="BB488" s="142"/>
      <c r="BH488" s="142"/>
      <c r="BN488" s="142"/>
      <c r="BT488" s="142"/>
      <c r="BZ488" s="142"/>
      <c r="CF488" s="142"/>
      <c r="CL488" s="142"/>
      <c r="CR488" s="142"/>
      <c r="CX488" s="142"/>
      <c r="DD488" s="142"/>
      <c r="DJ488" s="142"/>
      <c r="DP488" s="142"/>
      <c r="DV488" s="142"/>
      <c r="EB488" s="142"/>
    </row>
    <row r="489">
      <c r="F489" s="142"/>
      <c r="L489" s="142"/>
      <c r="R489" s="142"/>
      <c r="X489" s="142"/>
      <c r="AD489" s="142"/>
      <c r="AJ489" s="142"/>
      <c r="AP489" s="142"/>
      <c r="AV489" s="142"/>
      <c r="BB489" s="142"/>
      <c r="BH489" s="142"/>
      <c r="BN489" s="142"/>
      <c r="BT489" s="142"/>
      <c r="BZ489" s="142"/>
      <c r="CF489" s="142"/>
      <c r="CL489" s="142"/>
      <c r="CR489" s="142"/>
      <c r="CX489" s="142"/>
      <c r="DD489" s="142"/>
      <c r="DJ489" s="142"/>
      <c r="DP489" s="142"/>
      <c r="DV489" s="142"/>
      <c r="EB489" s="142"/>
    </row>
    <row r="490">
      <c r="F490" s="142"/>
      <c r="L490" s="142"/>
      <c r="R490" s="142"/>
      <c r="X490" s="142"/>
      <c r="AD490" s="142"/>
      <c r="AJ490" s="142"/>
      <c r="AP490" s="142"/>
      <c r="AV490" s="142"/>
      <c r="BB490" s="142"/>
      <c r="BH490" s="142"/>
      <c r="BN490" s="142"/>
      <c r="BT490" s="142"/>
      <c r="BZ490" s="142"/>
      <c r="CF490" s="142"/>
      <c r="CL490" s="142"/>
      <c r="CR490" s="142"/>
      <c r="CX490" s="142"/>
      <c r="DD490" s="142"/>
      <c r="DJ490" s="142"/>
      <c r="DP490" s="142"/>
      <c r="DV490" s="142"/>
      <c r="EB490" s="142"/>
    </row>
    <row r="491">
      <c r="F491" s="142"/>
      <c r="L491" s="142"/>
      <c r="R491" s="142"/>
      <c r="X491" s="142"/>
      <c r="AD491" s="142"/>
      <c r="AJ491" s="142"/>
      <c r="AP491" s="142"/>
      <c r="AV491" s="142"/>
      <c r="BB491" s="142"/>
      <c r="BH491" s="142"/>
      <c r="BN491" s="142"/>
      <c r="BT491" s="142"/>
      <c r="BZ491" s="142"/>
      <c r="CF491" s="142"/>
      <c r="CL491" s="142"/>
      <c r="CR491" s="142"/>
      <c r="CX491" s="142"/>
      <c r="DD491" s="142"/>
      <c r="DJ491" s="142"/>
      <c r="DP491" s="142"/>
      <c r="DV491" s="142"/>
      <c r="EB491" s="142"/>
    </row>
    <row r="492">
      <c r="F492" s="142"/>
      <c r="L492" s="142"/>
      <c r="R492" s="142"/>
      <c r="X492" s="142"/>
      <c r="AD492" s="142"/>
      <c r="AJ492" s="142"/>
      <c r="AP492" s="142"/>
      <c r="AV492" s="142"/>
      <c r="BB492" s="142"/>
      <c r="BH492" s="142"/>
      <c r="BN492" s="142"/>
      <c r="BT492" s="142"/>
      <c r="BZ492" s="142"/>
      <c r="CF492" s="142"/>
      <c r="CL492" s="142"/>
      <c r="CR492" s="142"/>
      <c r="CX492" s="142"/>
      <c r="DD492" s="142"/>
      <c r="DJ492" s="142"/>
      <c r="DP492" s="142"/>
      <c r="DV492" s="142"/>
      <c r="EB492" s="142"/>
    </row>
    <row r="493">
      <c r="F493" s="142"/>
      <c r="L493" s="142"/>
      <c r="R493" s="142"/>
      <c r="X493" s="142"/>
      <c r="AD493" s="142"/>
      <c r="AJ493" s="142"/>
      <c r="AP493" s="142"/>
      <c r="AV493" s="142"/>
      <c r="BB493" s="142"/>
      <c r="BH493" s="142"/>
      <c r="BN493" s="142"/>
      <c r="BT493" s="142"/>
      <c r="BZ493" s="142"/>
      <c r="CF493" s="142"/>
      <c r="CL493" s="142"/>
      <c r="CR493" s="142"/>
      <c r="CX493" s="142"/>
      <c r="DD493" s="142"/>
      <c r="DJ493" s="142"/>
      <c r="DP493" s="142"/>
      <c r="DV493" s="142"/>
      <c r="EB493" s="142"/>
    </row>
    <row r="494">
      <c r="F494" s="142"/>
      <c r="L494" s="142"/>
      <c r="R494" s="142"/>
      <c r="X494" s="142"/>
      <c r="AD494" s="142"/>
      <c r="AJ494" s="142"/>
      <c r="AP494" s="142"/>
      <c r="AV494" s="142"/>
      <c r="BB494" s="142"/>
      <c r="BH494" s="142"/>
      <c r="BN494" s="142"/>
      <c r="BT494" s="142"/>
      <c r="BZ494" s="142"/>
      <c r="CF494" s="142"/>
      <c r="CL494" s="142"/>
      <c r="CR494" s="142"/>
      <c r="CX494" s="142"/>
      <c r="DD494" s="142"/>
      <c r="DJ494" s="142"/>
      <c r="DP494" s="142"/>
      <c r="DV494" s="142"/>
      <c r="EB494" s="142"/>
    </row>
    <row r="495">
      <c r="F495" s="142"/>
      <c r="L495" s="142"/>
      <c r="R495" s="142"/>
      <c r="X495" s="142"/>
      <c r="AD495" s="142"/>
      <c r="AJ495" s="142"/>
      <c r="AP495" s="142"/>
      <c r="AV495" s="142"/>
      <c r="BB495" s="142"/>
      <c r="BH495" s="142"/>
      <c r="BN495" s="142"/>
      <c r="BT495" s="142"/>
      <c r="BZ495" s="142"/>
      <c r="CF495" s="142"/>
      <c r="CL495" s="142"/>
      <c r="CR495" s="142"/>
      <c r="CX495" s="142"/>
      <c r="DD495" s="142"/>
      <c r="DJ495" s="142"/>
      <c r="DP495" s="142"/>
      <c r="DV495" s="142"/>
      <c r="EB495" s="142"/>
    </row>
    <row r="496">
      <c r="F496" s="142"/>
      <c r="L496" s="142"/>
      <c r="R496" s="142"/>
      <c r="X496" s="142"/>
      <c r="AD496" s="142"/>
      <c r="AJ496" s="142"/>
      <c r="AP496" s="142"/>
      <c r="AV496" s="142"/>
      <c r="BB496" s="142"/>
      <c r="BH496" s="142"/>
      <c r="BN496" s="142"/>
      <c r="BT496" s="142"/>
      <c r="BZ496" s="142"/>
      <c r="CF496" s="142"/>
      <c r="CL496" s="142"/>
      <c r="CR496" s="142"/>
      <c r="CX496" s="142"/>
      <c r="DD496" s="142"/>
      <c r="DJ496" s="142"/>
      <c r="DP496" s="142"/>
      <c r="DV496" s="142"/>
      <c r="EB496" s="142"/>
    </row>
    <row r="497">
      <c r="F497" s="142"/>
      <c r="L497" s="142"/>
      <c r="R497" s="142"/>
      <c r="X497" s="142"/>
      <c r="AD497" s="142"/>
      <c r="AJ497" s="142"/>
      <c r="AP497" s="142"/>
      <c r="AV497" s="142"/>
      <c r="BB497" s="142"/>
      <c r="BH497" s="142"/>
      <c r="BN497" s="142"/>
      <c r="BT497" s="142"/>
      <c r="BZ497" s="142"/>
      <c r="CF497" s="142"/>
      <c r="CL497" s="142"/>
      <c r="CR497" s="142"/>
      <c r="CX497" s="142"/>
      <c r="DD497" s="142"/>
      <c r="DJ497" s="142"/>
      <c r="DP497" s="142"/>
      <c r="DV497" s="142"/>
      <c r="EB497" s="142"/>
    </row>
    <row r="498">
      <c r="F498" s="142"/>
      <c r="L498" s="142"/>
      <c r="R498" s="142"/>
      <c r="X498" s="142"/>
      <c r="AD498" s="142"/>
      <c r="AJ498" s="142"/>
      <c r="AP498" s="142"/>
      <c r="AV498" s="142"/>
      <c r="BB498" s="142"/>
      <c r="BH498" s="142"/>
      <c r="BN498" s="142"/>
      <c r="BT498" s="142"/>
      <c r="BZ498" s="142"/>
      <c r="CF498" s="142"/>
      <c r="CL498" s="142"/>
      <c r="CR498" s="142"/>
      <c r="CX498" s="142"/>
      <c r="DD498" s="142"/>
      <c r="DJ498" s="142"/>
      <c r="DP498" s="142"/>
      <c r="DV498" s="142"/>
      <c r="EB498" s="142"/>
    </row>
    <row r="499">
      <c r="F499" s="142"/>
      <c r="L499" s="142"/>
      <c r="R499" s="142"/>
      <c r="X499" s="142"/>
      <c r="AD499" s="142"/>
      <c r="AJ499" s="142"/>
      <c r="AP499" s="142"/>
      <c r="AV499" s="142"/>
      <c r="BB499" s="142"/>
      <c r="BH499" s="142"/>
      <c r="BN499" s="142"/>
      <c r="BT499" s="142"/>
      <c r="BZ499" s="142"/>
      <c r="CF499" s="142"/>
      <c r="CL499" s="142"/>
      <c r="CR499" s="142"/>
      <c r="CX499" s="142"/>
      <c r="DD499" s="142"/>
      <c r="DJ499" s="142"/>
      <c r="DP499" s="142"/>
      <c r="DV499" s="142"/>
      <c r="EB499" s="142"/>
    </row>
    <row r="500">
      <c r="F500" s="142"/>
      <c r="L500" s="142"/>
      <c r="R500" s="142"/>
      <c r="X500" s="142"/>
      <c r="AD500" s="142"/>
      <c r="AJ500" s="142"/>
      <c r="AP500" s="142"/>
      <c r="AV500" s="142"/>
      <c r="BB500" s="142"/>
      <c r="BH500" s="142"/>
      <c r="BN500" s="142"/>
      <c r="BT500" s="142"/>
      <c r="BZ500" s="142"/>
      <c r="CF500" s="142"/>
      <c r="CL500" s="142"/>
      <c r="CR500" s="142"/>
      <c r="CX500" s="142"/>
      <c r="DD500" s="142"/>
      <c r="DJ500" s="142"/>
      <c r="DP500" s="142"/>
      <c r="DV500" s="142"/>
      <c r="EB500" s="142"/>
    </row>
    <row r="501">
      <c r="F501" s="142"/>
      <c r="L501" s="142"/>
      <c r="R501" s="142"/>
      <c r="X501" s="142"/>
      <c r="AD501" s="142"/>
      <c r="AJ501" s="142"/>
      <c r="AP501" s="142"/>
      <c r="AV501" s="142"/>
      <c r="BB501" s="142"/>
      <c r="BH501" s="142"/>
      <c r="BN501" s="142"/>
      <c r="BT501" s="142"/>
      <c r="BZ501" s="142"/>
      <c r="CF501" s="142"/>
      <c r="CL501" s="142"/>
      <c r="CR501" s="142"/>
      <c r="CX501" s="142"/>
      <c r="DD501" s="142"/>
      <c r="DJ501" s="142"/>
      <c r="DP501" s="142"/>
      <c r="DV501" s="142"/>
      <c r="EB501" s="142"/>
    </row>
    <row r="502">
      <c r="F502" s="142"/>
      <c r="L502" s="142"/>
      <c r="R502" s="142"/>
      <c r="X502" s="142"/>
      <c r="AD502" s="142"/>
      <c r="AJ502" s="142"/>
      <c r="AP502" s="142"/>
      <c r="AV502" s="142"/>
      <c r="BB502" s="142"/>
      <c r="BH502" s="142"/>
      <c r="BN502" s="142"/>
      <c r="BT502" s="142"/>
      <c r="BZ502" s="142"/>
      <c r="CF502" s="142"/>
      <c r="CL502" s="142"/>
      <c r="CR502" s="142"/>
      <c r="CX502" s="142"/>
      <c r="DD502" s="142"/>
      <c r="DJ502" s="142"/>
      <c r="DP502" s="142"/>
      <c r="DV502" s="142"/>
      <c r="EB502" s="142"/>
    </row>
    <row r="503">
      <c r="F503" s="142"/>
      <c r="L503" s="142"/>
      <c r="R503" s="142"/>
      <c r="X503" s="142"/>
      <c r="AD503" s="142"/>
      <c r="AJ503" s="142"/>
      <c r="AP503" s="142"/>
      <c r="AV503" s="142"/>
      <c r="BB503" s="142"/>
      <c r="BH503" s="142"/>
      <c r="BN503" s="142"/>
      <c r="BT503" s="142"/>
      <c r="BZ503" s="142"/>
      <c r="CF503" s="142"/>
      <c r="CL503" s="142"/>
      <c r="CR503" s="142"/>
      <c r="CX503" s="142"/>
      <c r="DD503" s="142"/>
      <c r="DJ503" s="142"/>
      <c r="DP503" s="142"/>
      <c r="DV503" s="142"/>
      <c r="EB503" s="142"/>
    </row>
    <row r="504">
      <c r="F504" s="142"/>
      <c r="L504" s="142"/>
      <c r="R504" s="142"/>
      <c r="X504" s="142"/>
      <c r="AD504" s="142"/>
      <c r="AJ504" s="142"/>
      <c r="AP504" s="142"/>
      <c r="AV504" s="142"/>
      <c r="BB504" s="142"/>
      <c r="BH504" s="142"/>
      <c r="BN504" s="142"/>
      <c r="BT504" s="142"/>
      <c r="BZ504" s="142"/>
      <c r="CF504" s="142"/>
      <c r="CL504" s="142"/>
      <c r="CR504" s="142"/>
      <c r="CX504" s="142"/>
      <c r="DD504" s="142"/>
      <c r="DJ504" s="142"/>
      <c r="DP504" s="142"/>
      <c r="DV504" s="142"/>
      <c r="EB504" s="142"/>
    </row>
    <row r="505">
      <c r="F505" s="142"/>
      <c r="L505" s="142"/>
      <c r="R505" s="142"/>
      <c r="X505" s="142"/>
      <c r="AD505" s="142"/>
      <c r="AJ505" s="142"/>
      <c r="AP505" s="142"/>
      <c r="AV505" s="142"/>
      <c r="BB505" s="142"/>
      <c r="BH505" s="142"/>
      <c r="BN505" s="142"/>
      <c r="BT505" s="142"/>
      <c r="BZ505" s="142"/>
      <c r="CF505" s="142"/>
      <c r="CL505" s="142"/>
      <c r="CR505" s="142"/>
      <c r="CX505" s="142"/>
      <c r="DD505" s="142"/>
      <c r="DJ505" s="142"/>
      <c r="DP505" s="142"/>
      <c r="DV505" s="142"/>
      <c r="EB505" s="142"/>
    </row>
    <row r="506">
      <c r="F506" s="142"/>
      <c r="L506" s="142"/>
      <c r="R506" s="142"/>
      <c r="X506" s="142"/>
      <c r="AD506" s="142"/>
      <c r="AJ506" s="142"/>
      <c r="AP506" s="142"/>
      <c r="AV506" s="142"/>
      <c r="BB506" s="142"/>
      <c r="BH506" s="142"/>
      <c r="BN506" s="142"/>
      <c r="BT506" s="142"/>
      <c r="BZ506" s="142"/>
      <c r="CF506" s="142"/>
      <c r="CL506" s="142"/>
      <c r="CR506" s="142"/>
      <c r="CX506" s="142"/>
      <c r="DD506" s="142"/>
      <c r="DJ506" s="142"/>
      <c r="DP506" s="142"/>
      <c r="DV506" s="142"/>
      <c r="EB506" s="142"/>
    </row>
    <row r="507">
      <c r="F507" s="142"/>
      <c r="L507" s="142"/>
      <c r="R507" s="142"/>
      <c r="X507" s="142"/>
      <c r="AD507" s="142"/>
      <c r="AJ507" s="142"/>
      <c r="AP507" s="142"/>
      <c r="AV507" s="142"/>
      <c r="BB507" s="142"/>
      <c r="BH507" s="142"/>
      <c r="BN507" s="142"/>
      <c r="BT507" s="142"/>
      <c r="BZ507" s="142"/>
      <c r="CF507" s="142"/>
      <c r="CL507" s="142"/>
      <c r="CR507" s="142"/>
      <c r="CX507" s="142"/>
      <c r="DD507" s="142"/>
      <c r="DJ507" s="142"/>
      <c r="DP507" s="142"/>
      <c r="DV507" s="142"/>
      <c r="EB507" s="142"/>
    </row>
    <row r="508">
      <c r="F508" s="142"/>
      <c r="L508" s="142"/>
      <c r="R508" s="142"/>
      <c r="X508" s="142"/>
      <c r="AD508" s="142"/>
      <c r="AJ508" s="142"/>
      <c r="AP508" s="142"/>
      <c r="AV508" s="142"/>
      <c r="BB508" s="142"/>
      <c r="BH508" s="142"/>
      <c r="BN508" s="142"/>
      <c r="BT508" s="142"/>
      <c r="BZ508" s="142"/>
      <c r="CF508" s="142"/>
      <c r="CL508" s="142"/>
      <c r="CR508" s="142"/>
      <c r="CX508" s="142"/>
      <c r="DD508" s="142"/>
      <c r="DJ508" s="142"/>
      <c r="DP508" s="142"/>
      <c r="DV508" s="142"/>
      <c r="EB508" s="142"/>
    </row>
    <row r="509">
      <c r="F509" s="142"/>
      <c r="L509" s="142"/>
      <c r="R509" s="142"/>
      <c r="X509" s="142"/>
      <c r="AD509" s="142"/>
      <c r="AJ509" s="142"/>
      <c r="AP509" s="142"/>
      <c r="AV509" s="142"/>
      <c r="BB509" s="142"/>
      <c r="BH509" s="142"/>
      <c r="BN509" s="142"/>
      <c r="BT509" s="142"/>
      <c r="BZ509" s="142"/>
      <c r="CF509" s="142"/>
      <c r="CL509" s="142"/>
      <c r="CR509" s="142"/>
      <c r="CX509" s="142"/>
      <c r="DD509" s="142"/>
      <c r="DJ509" s="142"/>
      <c r="DP509" s="142"/>
      <c r="DV509" s="142"/>
      <c r="EB509" s="142"/>
    </row>
    <row r="510">
      <c r="F510" s="142"/>
      <c r="L510" s="142"/>
      <c r="R510" s="142"/>
      <c r="X510" s="142"/>
      <c r="AD510" s="142"/>
      <c r="AJ510" s="142"/>
      <c r="AP510" s="142"/>
      <c r="AV510" s="142"/>
      <c r="BB510" s="142"/>
      <c r="BH510" s="142"/>
      <c r="BN510" s="142"/>
      <c r="BT510" s="142"/>
      <c r="BZ510" s="142"/>
      <c r="CF510" s="142"/>
      <c r="CL510" s="142"/>
      <c r="CR510" s="142"/>
      <c r="CX510" s="142"/>
      <c r="DD510" s="142"/>
      <c r="DJ510" s="142"/>
      <c r="DP510" s="142"/>
      <c r="DV510" s="142"/>
      <c r="EB510" s="142"/>
    </row>
    <row r="511">
      <c r="F511" s="142"/>
      <c r="L511" s="142"/>
      <c r="R511" s="142"/>
      <c r="X511" s="142"/>
      <c r="AD511" s="142"/>
      <c r="AJ511" s="142"/>
      <c r="AP511" s="142"/>
      <c r="AV511" s="142"/>
      <c r="BB511" s="142"/>
      <c r="BH511" s="142"/>
      <c r="BN511" s="142"/>
      <c r="BT511" s="142"/>
      <c r="BZ511" s="142"/>
      <c r="CF511" s="142"/>
      <c r="CL511" s="142"/>
      <c r="CR511" s="142"/>
      <c r="CX511" s="142"/>
      <c r="DD511" s="142"/>
      <c r="DJ511" s="142"/>
      <c r="DP511" s="142"/>
      <c r="DV511" s="142"/>
      <c r="EB511" s="142"/>
    </row>
    <row r="512">
      <c r="F512" s="142"/>
      <c r="L512" s="142"/>
      <c r="R512" s="142"/>
      <c r="X512" s="142"/>
      <c r="AD512" s="142"/>
      <c r="AJ512" s="142"/>
      <c r="AP512" s="142"/>
      <c r="AV512" s="142"/>
      <c r="BB512" s="142"/>
      <c r="BH512" s="142"/>
      <c r="BN512" s="142"/>
      <c r="BT512" s="142"/>
      <c r="BZ512" s="142"/>
      <c r="CF512" s="142"/>
      <c r="CL512" s="142"/>
      <c r="CR512" s="142"/>
      <c r="CX512" s="142"/>
      <c r="DD512" s="142"/>
      <c r="DJ512" s="142"/>
      <c r="DP512" s="142"/>
      <c r="DV512" s="142"/>
      <c r="EB512" s="142"/>
    </row>
    <row r="513">
      <c r="F513" s="142"/>
      <c r="L513" s="142"/>
      <c r="R513" s="142"/>
      <c r="X513" s="142"/>
      <c r="AD513" s="142"/>
      <c r="AJ513" s="142"/>
      <c r="AP513" s="142"/>
      <c r="AV513" s="142"/>
      <c r="BB513" s="142"/>
      <c r="BH513" s="142"/>
      <c r="BN513" s="142"/>
      <c r="BT513" s="142"/>
      <c r="BZ513" s="142"/>
      <c r="CF513" s="142"/>
      <c r="CL513" s="142"/>
      <c r="CR513" s="142"/>
      <c r="CX513" s="142"/>
      <c r="DD513" s="142"/>
      <c r="DJ513" s="142"/>
      <c r="DP513" s="142"/>
      <c r="DV513" s="142"/>
      <c r="EB513" s="142"/>
    </row>
    <row r="514">
      <c r="F514" s="142"/>
      <c r="L514" s="142"/>
      <c r="R514" s="142"/>
      <c r="X514" s="142"/>
      <c r="AD514" s="142"/>
      <c r="AJ514" s="142"/>
      <c r="AP514" s="142"/>
      <c r="AV514" s="142"/>
      <c r="BB514" s="142"/>
      <c r="BH514" s="142"/>
      <c r="BN514" s="142"/>
      <c r="BT514" s="142"/>
      <c r="BZ514" s="142"/>
      <c r="CF514" s="142"/>
      <c r="CL514" s="142"/>
      <c r="CR514" s="142"/>
      <c r="CX514" s="142"/>
      <c r="DD514" s="142"/>
      <c r="DJ514" s="142"/>
      <c r="DP514" s="142"/>
      <c r="DV514" s="142"/>
      <c r="EB514" s="142"/>
    </row>
    <row r="515">
      <c r="F515" s="142"/>
      <c r="L515" s="142"/>
      <c r="R515" s="142"/>
      <c r="X515" s="142"/>
      <c r="AD515" s="142"/>
      <c r="AJ515" s="142"/>
      <c r="AP515" s="142"/>
      <c r="AV515" s="142"/>
      <c r="BB515" s="142"/>
      <c r="BH515" s="142"/>
      <c r="BN515" s="142"/>
      <c r="BT515" s="142"/>
      <c r="BZ515" s="142"/>
      <c r="CF515" s="142"/>
      <c r="CL515" s="142"/>
      <c r="CR515" s="142"/>
      <c r="CX515" s="142"/>
      <c r="DD515" s="142"/>
      <c r="DJ515" s="142"/>
      <c r="DP515" s="142"/>
      <c r="DV515" s="142"/>
      <c r="EB515" s="142"/>
    </row>
    <row r="516">
      <c r="F516" s="142"/>
      <c r="L516" s="142"/>
      <c r="R516" s="142"/>
      <c r="X516" s="142"/>
      <c r="AD516" s="142"/>
      <c r="AJ516" s="142"/>
      <c r="AP516" s="142"/>
      <c r="AV516" s="142"/>
      <c r="BB516" s="142"/>
      <c r="BH516" s="142"/>
      <c r="BN516" s="142"/>
      <c r="BT516" s="142"/>
      <c r="BZ516" s="142"/>
      <c r="CF516" s="142"/>
      <c r="CL516" s="142"/>
      <c r="CR516" s="142"/>
      <c r="CX516" s="142"/>
      <c r="DD516" s="142"/>
      <c r="DJ516" s="142"/>
      <c r="DP516" s="142"/>
      <c r="DV516" s="142"/>
      <c r="EB516" s="142"/>
    </row>
    <row r="517">
      <c r="F517" s="142"/>
      <c r="L517" s="142"/>
      <c r="R517" s="142"/>
      <c r="X517" s="142"/>
      <c r="AD517" s="142"/>
      <c r="AJ517" s="142"/>
      <c r="AP517" s="142"/>
      <c r="AV517" s="142"/>
      <c r="BB517" s="142"/>
      <c r="BH517" s="142"/>
      <c r="BN517" s="142"/>
      <c r="BT517" s="142"/>
      <c r="BZ517" s="142"/>
      <c r="CF517" s="142"/>
      <c r="CL517" s="142"/>
      <c r="CR517" s="142"/>
      <c r="CX517" s="142"/>
      <c r="DD517" s="142"/>
      <c r="DJ517" s="142"/>
      <c r="DP517" s="142"/>
      <c r="DV517" s="142"/>
      <c r="EB517" s="142"/>
    </row>
    <row r="518">
      <c r="F518" s="142"/>
      <c r="L518" s="142"/>
      <c r="R518" s="142"/>
      <c r="X518" s="142"/>
      <c r="AD518" s="142"/>
      <c r="AJ518" s="142"/>
      <c r="AP518" s="142"/>
      <c r="AV518" s="142"/>
      <c r="BB518" s="142"/>
      <c r="BH518" s="142"/>
      <c r="BN518" s="142"/>
      <c r="BT518" s="142"/>
      <c r="BZ518" s="142"/>
      <c r="CF518" s="142"/>
      <c r="CL518" s="142"/>
      <c r="CR518" s="142"/>
      <c r="CX518" s="142"/>
      <c r="DD518" s="142"/>
      <c r="DJ518" s="142"/>
      <c r="DP518" s="142"/>
      <c r="DV518" s="142"/>
      <c r="EB518" s="142"/>
    </row>
    <row r="519">
      <c r="F519" s="142"/>
      <c r="L519" s="142"/>
      <c r="R519" s="142"/>
      <c r="X519" s="142"/>
      <c r="AD519" s="142"/>
      <c r="AJ519" s="142"/>
      <c r="AP519" s="142"/>
      <c r="AV519" s="142"/>
      <c r="BB519" s="142"/>
      <c r="BH519" s="142"/>
      <c r="BN519" s="142"/>
      <c r="BT519" s="142"/>
      <c r="BZ519" s="142"/>
      <c r="CF519" s="142"/>
      <c r="CL519" s="142"/>
      <c r="CR519" s="142"/>
      <c r="CX519" s="142"/>
      <c r="DD519" s="142"/>
      <c r="DJ519" s="142"/>
      <c r="DP519" s="142"/>
      <c r="DV519" s="142"/>
      <c r="EB519" s="142"/>
    </row>
    <row r="520">
      <c r="F520" s="142"/>
      <c r="L520" s="142"/>
      <c r="R520" s="142"/>
      <c r="X520" s="142"/>
      <c r="AD520" s="142"/>
      <c r="AJ520" s="142"/>
      <c r="AP520" s="142"/>
      <c r="AV520" s="142"/>
      <c r="BB520" s="142"/>
      <c r="BH520" s="142"/>
      <c r="BN520" s="142"/>
      <c r="BT520" s="142"/>
      <c r="BZ520" s="142"/>
      <c r="CF520" s="142"/>
      <c r="CL520" s="142"/>
      <c r="CR520" s="142"/>
      <c r="CX520" s="142"/>
      <c r="DD520" s="142"/>
      <c r="DJ520" s="142"/>
      <c r="DP520" s="142"/>
      <c r="DV520" s="142"/>
      <c r="EB520" s="142"/>
    </row>
    <row r="521">
      <c r="F521" s="142"/>
      <c r="L521" s="142"/>
      <c r="R521" s="142"/>
      <c r="X521" s="142"/>
      <c r="AD521" s="142"/>
      <c r="AJ521" s="142"/>
      <c r="AP521" s="142"/>
      <c r="AV521" s="142"/>
      <c r="BB521" s="142"/>
      <c r="BH521" s="142"/>
      <c r="BN521" s="142"/>
      <c r="BT521" s="142"/>
      <c r="BZ521" s="142"/>
      <c r="CF521" s="142"/>
      <c r="CL521" s="142"/>
      <c r="CR521" s="142"/>
      <c r="CX521" s="142"/>
      <c r="DD521" s="142"/>
      <c r="DJ521" s="142"/>
      <c r="DP521" s="142"/>
      <c r="DV521" s="142"/>
      <c r="EB521" s="142"/>
    </row>
    <row r="522">
      <c r="F522" s="142"/>
      <c r="L522" s="142"/>
      <c r="R522" s="142"/>
      <c r="X522" s="142"/>
      <c r="AD522" s="142"/>
      <c r="AJ522" s="142"/>
      <c r="AP522" s="142"/>
      <c r="AV522" s="142"/>
      <c r="BB522" s="142"/>
      <c r="BH522" s="142"/>
      <c r="BN522" s="142"/>
      <c r="BT522" s="142"/>
      <c r="BZ522" s="142"/>
      <c r="CF522" s="142"/>
      <c r="CL522" s="142"/>
      <c r="CR522" s="142"/>
      <c r="CX522" s="142"/>
      <c r="DD522" s="142"/>
      <c r="DJ522" s="142"/>
      <c r="DP522" s="142"/>
      <c r="DV522" s="142"/>
      <c r="EB522" s="142"/>
    </row>
    <row r="523">
      <c r="F523" s="142"/>
      <c r="L523" s="142"/>
      <c r="R523" s="142"/>
      <c r="X523" s="142"/>
      <c r="AD523" s="142"/>
      <c r="AJ523" s="142"/>
      <c r="AP523" s="142"/>
      <c r="AV523" s="142"/>
      <c r="BB523" s="142"/>
      <c r="BH523" s="142"/>
      <c r="BN523" s="142"/>
      <c r="BT523" s="142"/>
      <c r="BZ523" s="142"/>
      <c r="CF523" s="142"/>
      <c r="CL523" s="142"/>
      <c r="CR523" s="142"/>
      <c r="CX523" s="142"/>
      <c r="DD523" s="142"/>
      <c r="DJ523" s="142"/>
      <c r="DP523" s="142"/>
      <c r="DV523" s="142"/>
      <c r="EB523" s="142"/>
    </row>
    <row r="524">
      <c r="F524" s="142"/>
      <c r="L524" s="142"/>
      <c r="R524" s="142"/>
      <c r="X524" s="142"/>
      <c r="AD524" s="142"/>
      <c r="AJ524" s="142"/>
      <c r="AP524" s="142"/>
      <c r="AV524" s="142"/>
      <c r="BB524" s="142"/>
      <c r="BH524" s="142"/>
      <c r="BN524" s="142"/>
      <c r="BT524" s="142"/>
      <c r="BZ524" s="142"/>
      <c r="CF524" s="142"/>
      <c r="CL524" s="142"/>
      <c r="CR524" s="142"/>
      <c r="CX524" s="142"/>
      <c r="DD524" s="142"/>
      <c r="DJ524" s="142"/>
      <c r="DP524" s="142"/>
      <c r="DV524" s="142"/>
      <c r="EB524" s="142"/>
    </row>
    <row r="525">
      <c r="F525" s="142"/>
      <c r="L525" s="142"/>
      <c r="R525" s="142"/>
      <c r="X525" s="142"/>
      <c r="AD525" s="142"/>
      <c r="AJ525" s="142"/>
      <c r="AP525" s="142"/>
      <c r="AV525" s="142"/>
      <c r="BB525" s="142"/>
      <c r="BH525" s="142"/>
      <c r="BN525" s="142"/>
      <c r="BT525" s="142"/>
      <c r="BZ525" s="142"/>
      <c r="CF525" s="142"/>
      <c r="CL525" s="142"/>
      <c r="CR525" s="142"/>
      <c r="CX525" s="142"/>
      <c r="DD525" s="142"/>
      <c r="DJ525" s="142"/>
      <c r="DP525" s="142"/>
      <c r="DV525" s="142"/>
      <c r="EB525" s="142"/>
    </row>
    <row r="526">
      <c r="F526" s="142"/>
      <c r="L526" s="142"/>
      <c r="R526" s="142"/>
      <c r="X526" s="142"/>
      <c r="AD526" s="142"/>
      <c r="AJ526" s="142"/>
      <c r="AP526" s="142"/>
      <c r="AV526" s="142"/>
      <c r="BB526" s="142"/>
      <c r="BH526" s="142"/>
      <c r="BN526" s="142"/>
      <c r="BT526" s="142"/>
      <c r="BZ526" s="142"/>
      <c r="CF526" s="142"/>
      <c r="CL526" s="142"/>
      <c r="CR526" s="142"/>
      <c r="CX526" s="142"/>
      <c r="DD526" s="142"/>
      <c r="DJ526" s="142"/>
      <c r="DP526" s="142"/>
      <c r="DV526" s="142"/>
      <c r="EB526" s="142"/>
    </row>
    <row r="527">
      <c r="F527" s="142"/>
      <c r="L527" s="142"/>
      <c r="R527" s="142"/>
      <c r="X527" s="142"/>
      <c r="AD527" s="142"/>
      <c r="AJ527" s="142"/>
      <c r="AP527" s="142"/>
      <c r="AV527" s="142"/>
      <c r="BB527" s="142"/>
      <c r="BH527" s="142"/>
      <c r="BN527" s="142"/>
      <c r="BT527" s="142"/>
      <c r="BZ527" s="142"/>
      <c r="CF527" s="142"/>
      <c r="CL527" s="142"/>
      <c r="CR527" s="142"/>
      <c r="CX527" s="142"/>
      <c r="DD527" s="142"/>
      <c r="DJ527" s="142"/>
      <c r="DP527" s="142"/>
      <c r="DV527" s="142"/>
      <c r="EB527" s="142"/>
    </row>
    <row r="528">
      <c r="F528" s="142"/>
      <c r="L528" s="142"/>
      <c r="R528" s="142"/>
      <c r="X528" s="142"/>
      <c r="AD528" s="142"/>
      <c r="AJ528" s="142"/>
      <c r="AP528" s="142"/>
      <c r="AV528" s="142"/>
      <c r="BB528" s="142"/>
      <c r="BH528" s="142"/>
      <c r="BN528" s="142"/>
      <c r="BT528" s="142"/>
      <c r="BZ528" s="142"/>
      <c r="CF528" s="142"/>
      <c r="CL528" s="142"/>
      <c r="CR528" s="142"/>
      <c r="CX528" s="142"/>
      <c r="DD528" s="142"/>
      <c r="DJ528" s="142"/>
      <c r="DP528" s="142"/>
      <c r="DV528" s="142"/>
      <c r="EB528" s="142"/>
    </row>
    <row r="529">
      <c r="F529" s="142"/>
      <c r="L529" s="142"/>
      <c r="R529" s="142"/>
      <c r="X529" s="142"/>
      <c r="AD529" s="142"/>
      <c r="AJ529" s="142"/>
      <c r="AP529" s="142"/>
      <c r="AV529" s="142"/>
      <c r="BB529" s="142"/>
      <c r="BH529" s="142"/>
      <c r="BN529" s="142"/>
      <c r="BT529" s="142"/>
      <c r="BZ529" s="142"/>
      <c r="CF529" s="142"/>
      <c r="CL529" s="142"/>
      <c r="CR529" s="142"/>
      <c r="CX529" s="142"/>
      <c r="DD529" s="142"/>
      <c r="DJ529" s="142"/>
      <c r="DP529" s="142"/>
      <c r="DV529" s="142"/>
      <c r="EB529" s="142"/>
    </row>
    <row r="530">
      <c r="F530" s="142"/>
      <c r="L530" s="142"/>
      <c r="R530" s="142"/>
      <c r="X530" s="142"/>
      <c r="AD530" s="142"/>
      <c r="AJ530" s="142"/>
      <c r="AP530" s="142"/>
      <c r="AV530" s="142"/>
      <c r="BB530" s="142"/>
      <c r="BH530" s="142"/>
      <c r="BN530" s="142"/>
      <c r="BT530" s="142"/>
      <c r="BZ530" s="142"/>
      <c r="CF530" s="142"/>
      <c r="CL530" s="142"/>
      <c r="CR530" s="142"/>
      <c r="CX530" s="142"/>
      <c r="DD530" s="142"/>
      <c r="DJ530" s="142"/>
      <c r="DP530" s="142"/>
      <c r="DV530" s="142"/>
      <c r="EB530" s="142"/>
    </row>
    <row r="531">
      <c r="F531" s="142"/>
      <c r="L531" s="142"/>
      <c r="R531" s="142"/>
      <c r="X531" s="142"/>
      <c r="AD531" s="142"/>
      <c r="AJ531" s="142"/>
      <c r="AP531" s="142"/>
      <c r="AV531" s="142"/>
      <c r="BB531" s="142"/>
      <c r="BH531" s="142"/>
      <c r="BN531" s="142"/>
      <c r="BT531" s="142"/>
      <c r="BZ531" s="142"/>
      <c r="CF531" s="142"/>
      <c r="CL531" s="142"/>
      <c r="CR531" s="142"/>
      <c r="CX531" s="142"/>
      <c r="DD531" s="142"/>
      <c r="DJ531" s="142"/>
      <c r="DP531" s="142"/>
      <c r="DV531" s="142"/>
      <c r="EB531" s="142"/>
    </row>
    <row r="532">
      <c r="F532" s="142"/>
      <c r="L532" s="142"/>
      <c r="R532" s="142"/>
      <c r="X532" s="142"/>
      <c r="AD532" s="142"/>
      <c r="AJ532" s="142"/>
      <c r="AP532" s="142"/>
      <c r="AV532" s="142"/>
      <c r="BB532" s="142"/>
      <c r="BH532" s="142"/>
      <c r="BN532" s="142"/>
      <c r="BT532" s="142"/>
      <c r="BZ532" s="142"/>
      <c r="CF532" s="142"/>
      <c r="CL532" s="142"/>
      <c r="CR532" s="142"/>
      <c r="CX532" s="142"/>
      <c r="DD532" s="142"/>
      <c r="DJ532" s="142"/>
      <c r="DP532" s="142"/>
      <c r="DV532" s="142"/>
      <c r="EB532" s="142"/>
    </row>
    <row r="533">
      <c r="F533" s="142"/>
      <c r="L533" s="142"/>
      <c r="R533" s="142"/>
      <c r="X533" s="142"/>
      <c r="AD533" s="142"/>
      <c r="AJ533" s="142"/>
      <c r="AP533" s="142"/>
      <c r="AV533" s="142"/>
      <c r="BB533" s="142"/>
      <c r="BH533" s="142"/>
      <c r="BN533" s="142"/>
      <c r="BT533" s="142"/>
      <c r="BZ533" s="142"/>
      <c r="CF533" s="142"/>
      <c r="CL533" s="142"/>
      <c r="CR533" s="142"/>
      <c r="CX533" s="142"/>
      <c r="DD533" s="142"/>
      <c r="DJ533" s="142"/>
      <c r="DP533" s="142"/>
      <c r="DV533" s="142"/>
      <c r="EB533" s="142"/>
    </row>
    <row r="534">
      <c r="F534" s="142"/>
      <c r="L534" s="142"/>
      <c r="R534" s="142"/>
      <c r="X534" s="142"/>
      <c r="AD534" s="142"/>
      <c r="AJ534" s="142"/>
      <c r="AP534" s="142"/>
      <c r="AV534" s="142"/>
      <c r="BB534" s="142"/>
      <c r="BH534" s="142"/>
      <c r="BN534" s="142"/>
      <c r="BT534" s="142"/>
      <c r="BZ534" s="142"/>
      <c r="CF534" s="142"/>
      <c r="CL534" s="142"/>
      <c r="CR534" s="142"/>
      <c r="CX534" s="142"/>
      <c r="DD534" s="142"/>
      <c r="DJ534" s="142"/>
      <c r="DP534" s="142"/>
      <c r="DV534" s="142"/>
      <c r="EB534" s="142"/>
    </row>
    <row r="535">
      <c r="F535" s="142"/>
      <c r="L535" s="142"/>
      <c r="R535" s="142"/>
      <c r="X535" s="142"/>
      <c r="AD535" s="142"/>
      <c r="AJ535" s="142"/>
      <c r="AP535" s="142"/>
      <c r="AV535" s="142"/>
      <c r="BB535" s="142"/>
      <c r="BH535" s="142"/>
      <c r="BN535" s="142"/>
      <c r="BT535" s="142"/>
      <c r="BZ535" s="142"/>
      <c r="CF535" s="142"/>
      <c r="CL535" s="142"/>
      <c r="CR535" s="142"/>
      <c r="CX535" s="142"/>
      <c r="DD535" s="142"/>
      <c r="DJ535" s="142"/>
      <c r="DP535" s="142"/>
      <c r="DV535" s="142"/>
      <c r="EB535" s="142"/>
    </row>
    <row r="536">
      <c r="F536" s="142"/>
      <c r="L536" s="142"/>
      <c r="R536" s="142"/>
      <c r="X536" s="142"/>
      <c r="AD536" s="142"/>
      <c r="AJ536" s="142"/>
      <c r="AP536" s="142"/>
      <c r="AV536" s="142"/>
      <c r="BB536" s="142"/>
      <c r="BH536" s="142"/>
      <c r="BN536" s="142"/>
      <c r="BT536" s="142"/>
      <c r="BZ536" s="142"/>
      <c r="CF536" s="142"/>
      <c r="CL536" s="142"/>
      <c r="CR536" s="142"/>
      <c r="CX536" s="142"/>
      <c r="DD536" s="142"/>
      <c r="DJ536" s="142"/>
      <c r="DP536" s="142"/>
      <c r="DV536" s="142"/>
      <c r="EB536" s="142"/>
    </row>
    <row r="537">
      <c r="F537" s="142"/>
      <c r="L537" s="142"/>
      <c r="R537" s="142"/>
      <c r="X537" s="142"/>
      <c r="AD537" s="142"/>
      <c r="AJ537" s="142"/>
      <c r="AP537" s="142"/>
      <c r="AV537" s="142"/>
      <c r="BB537" s="142"/>
      <c r="BH537" s="142"/>
      <c r="BN537" s="142"/>
      <c r="BT537" s="142"/>
      <c r="BZ537" s="142"/>
      <c r="CF537" s="142"/>
      <c r="CL537" s="142"/>
      <c r="CR537" s="142"/>
      <c r="CX537" s="142"/>
      <c r="DD537" s="142"/>
      <c r="DJ537" s="142"/>
      <c r="DP537" s="142"/>
      <c r="DV537" s="142"/>
      <c r="EB537" s="142"/>
    </row>
    <row r="538">
      <c r="F538" s="142"/>
      <c r="L538" s="142"/>
      <c r="R538" s="142"/>
      <c r="X538" s="142"/>
      <c r="AD538" s="142"/>
      <c r="AJ538" s="142"/>
      <c r="AP538" s="142"/>
      <c r="AV538" s="142"/>
      <c r="BB538" s="142"/>
      <c r="BH538" s="142"/>
      <c r="BN538" s="142"/>
      <c r="BT538" s="142"/>
      <c r="BZ538" s="142"/>
      <c r="CF538" s="142"/>
      <c r="CL538" s="142"/>
      <c r="CR538" s="142"/>
      <c r="CX538" s="142"/>
      <c r="DD538" s="142"/>
      <c r="DJ538" s="142"/>
      <c r="DP538" s="142"/>
      <c r="DV538" s="142"/>
      <c r="EB538" s="142"/>
    </row>
    <row r="539">
      <c r="F539" s="142"/>
      <c r="L539" s="142"/>
      <c r="R539" s="142"/>
      <c r="X539" s="142"/>
      <c r="AD539" s="142"/>
      <c r="AJ539" s="142"/>
      <c r="AP539" s="142"/>
      <c r="AV539" s="142"/>
      <c r="BB539" s="142"/>
      <c r="BH539" s="142"/>
      <c r="BN539" s="142"/>
      <c r="BT539" s="142"/>
      <c r="BZ539" s="142"/>
      <c r="CF539" s="142"/>
      <c r="CL539" s="142"/>
      <c r="CR539" s="142"/>
      <c r="CX539" s="142"/>
      <c r="DD539" s="142"/>
      <c r="DJ539" s="142"/>
      <c r="DP539" s="142"/>
      <c r="DV539" s="142"/>
      <c r="EB539" s="142"/>
    </row>
    <row r="540">
      <c r="F540" s="142"/>
      <c r="L540" s="142"/>
      <c r="R540" s="142"/>
      <c r="X540" s="142"/>
      <c r="AD540" s="142"/>
      <c r="AJ540" s="142"/>
      <c r="AP540" s="142"/>
      <c r="AV540" s="142"/>
      <c r="BB540" s="142"/>
      <c r="BH540" s="142"/>
      <c r="BN540" s="142"/>
      <c r="BT540" s="142"/>
      <c r="BZ540" s="142"/>
      <c r="CF540" s="142"/>
      <c r="CL540" s="142"/>
      <c r="CR540" s="142"/>
      <c r="CX540" s="142"/>
      <c r="DD540" s="142"/>
      <c r="DJ540" s="142"/>
      <c r="DP540" s="142"/>
      <c r="DV540" s="142"/>
      <c r="EB540" s="142"/>
    </row>
    <row r="541">
      <c r="F541" s="142"/>
      <c r="L541" s="142"/>
      <c r="R541" s="142"/>
      <c r="X541" s="142"/>
      <c r="AD541" s="142"/>
      <c r="AJ541" s="142"/>
      <c r="AP541" s="142"/>
      <c r="AV541" s="142"/>
      <c r="BB541" s="142"/>
      <c r="BH541" s="142"/>
      <c r="BN541" s="142"/>
      <c r="BT541" s="142"/>
      <c r="BZ541" s="142"/>
      <c r="CF541" s="142"/>
      <c r="CL541" s="142"/>
      <c r="CR541" s="142"/>
      <c r="CX541" s="142"/>
      <c r="DD541" s="142"/>
      <c r="DJ541" s="142"/>
      <c r="DP541" s="142"/>
      <c r="DV541" s="142"/>
      <c r="EB541" s="142"/>
    </row>
    <row r="542">
      <c r="F542" s="142"/>
      <c r="L542" s="142"/>
      <c r="R542" s="142"/>
      <c r="X542" s="142"/>
      <c r="AD542" s="142"/>
      <c r="AJ542" s="142"/>
      <c r="AP542" s="142"/>
      <c r="AV542" s="142"/>
      <c r="BB542" s="142"/>
      <c r="BH542" s="142"/>
      <c r="BN542" s="142"/>
      <c r="BT542" s="142"/>
      <c r="BZ542" s="142"/>
      <c r="CF542" s="142"/>
      <c r="CL542" s="142"/>
      <c r="CR542" s="142"/>
      <c r="CX542" s="142"/>
      <c r="DD542" s="142"/>
      <c r="DJ542" s="142"/>
      <c r="DP542" s="142"/>
      <c r="DV542" s="142"/>
      <c r="EB542" s="142"/>
    </row>
    <row r="543">
      <c r="F543" s="142"/>
      <c r="L543" s="142"/>
      <c r="R543" s="142"/>
      <c r="X543" s="142"/>
      <c r="AD543" s="142"/>
      <c r="AJ543" s="142"/>
      <c r="AP543" s="142"/>
      <c r="AV543" s="142"/>
      <c r="BB543" s="142"/>
      <c r="BH543" s="142"/>
      <c r="BN543" s="142"/>
      <c r="BT543" s="142"/>
      <c r="BZ543" s="142"/>
      <c r="CF543" s="142"/>
      <c r="CL543" s="142"/>
      <c r="CR543" s="142"/>
      <c r="CX543" s="142"/>
      <c r="DD543" s="142"/>
      <c r="DJ543" s="142"/>
      <c r="DP543" s="142"/>
      <c r="DV543" s="142"/>
      <c r="EB543" s="142"/>
    </row>
    <row r="544">
      <c r="F544" s="142"/>
      <c r="L544" s="142"/>
      <c r="R544" s="142"/>
      <c r="X544" s="142"/>
      <c r="AD544" s="142"/>
      <c r="AJ544" s="142"/>
      <c r="AP544" s="142"/>
      <c r="AV544" s="142"/>
      <c r="BB544" s="142"/>
      <c r="BH544" s="142"/>
      <c r="BN544" s="142"/>
      <c r="BT544" s="142"/>
      <c r="BZ544" s="142"/>
      <c r="CF544" s="142"/>
      <c r="CL544" s="142"/>
      <c r="CR544" s="142"/>
      <c r="CX544" s="142"/>
      <c r="DD544" s="142"/>
      <c r="DJ544" s="142"/>
      <c r="DP544" s="142"/>
      <c r="DV544" s="142"/>
      <c r="EB544" s="142"/>
    </row>
    <row r="545">
      <c r="F545" s="142"/>
      <c r="L545" s="142"/>
      <c r="R545" s="142"/>
      <c r="X545" s="142"/>
      <c r="AD545" s="142"/>
      <c r="AJ545" s="142"/>
      <c r="AP545" s="142"/>
      <c r="AV545" s="142"/>
      <c r="BB545" s="142"/>
      <c r="BH545" s="142"/>
      <c r="BN545" s="142"/>
      <c r="BT545" s="142"/>
      <c r="BZ545" s="142"/>
      <c r="CF545" s="142"/>
      <c r="CL545" s="142"/>
      <c r="CR545" s="142"/>
      <c r="CX545" s="142"/>
      <c r="DD545" s="142"/>
      <c r="DJ545" s="142"/>
      <c r="DP545" s="142"/>
      <c r="DV545" s="142"/>
      <c r="EB545" s="142"/>
    </row>
    <row r="546">
      <c r="F546" s="142"/>
      <c r="L546" s="142"/>
      <c r="R546" s="142"/>
      <c r="X546" s="142"/>
      <c r="AD546" s="142"/>
      <c r="AJ546" s="142"/>
      <c r="AP546" s="142"/>
      <c r="AV546" s="142"/>
      <c r="BB546" s="142"/>
      <c r="BH546" s="142"/>
      <c r="BN546" s="142"/>
      <c r="BT546" s="142"/>
      <c r="BZ546" s="142"/>
      <c r="CF546" s="142"/>
      <c r="CL546" s="142"/>
      <c r="CR546" s="142"/>
      <c r="CX546" s="142"/>
      <c r="DD546" s="142"/>
      <c r="DJ546" s="142"/>
      <c r="DP546" s="142"/>
      <c r="DV546" s="142"/>
      <c r="EB546" s="142"/>
    </row>
    <row r="547">
      <c r="F547" s="142"/>
      <c r="L547" s="142"/>
      <c r="R547" s="142"/>
      <c r="X547" s="142"/>
      <c r="AD547" s="142"/>
      <c r="AJ547" s="142"/>
      <c r="AP547" s="142"/>
      <c r="AV547" s="142"/>
      <c r="BB547" s="142"/>
      <c r="BH547" s="142"/>
      <c r="BN547" s="142"/>
      <c r="BT547" s="142"/>
      <c r="BZ547" s="142"/>
      <c r="CF547" s="142"/>
      <c r="CL547" s="142"/>
      <c r="CR547" s="142"/>
      <c r="CX547" s="142"/>
      <c r="DD547" s="142"/>
      <c r="DJ547" s="142"/>
      <c r="DP547" s="142"/>
      <c r="DV547" s="142"/>
      <c r="EB547" s="142"/>
    </row>
    <row r="548">
      <c r="F548" s="142"/>
      <c r="L548" s="142"/>
      <c r="R548" s="142"/>
      <c r="X548" s="142"/>
      <c r="AD548" s="142"/>
      <c r="AJ548" s="142"/>
      <c r="AP548" s="142"/>
      <c r="AV548" s="142"/>
      <c r="BB548" s="142"/>
      <c r="BH548" s="142"/>
      <c r="BN548" s="142"/>
      <c r="BT548" s="142"/>
      <c r="BZ548" s="142"/>
      <c r="CF548" s="142"/>
      <c r="CL548" s="142"/>
      <c r="CR548" s="142"/>
      <c r="CX548" s="142"/>
      <c r="DD548" s="142"/>
      <c r="DJ548" s="142"/>
      <c r="DP548" s="142"/>
      <c r="DV548" s="142"/>
      <c r="EB548" s="142"/>
    </row>
    <row r="549">
      <c r="F549" s="142"/>
      <c r="L549" s="142"/>
      <c r="R549" s="142"/>
      <c r="X549" s="142"/>
      <c r="AD549" s="142"/>
      <c r="AJ549" s="142"/>
      <c r="AP549" s="142"/>
      <c r="AV549" s="142"/>
      <c r="BB549" s="142"/>
      <c r="BH549" s="142"/>
      <c r="BN549" s="142"/>
      <c r="BT549" s="142"/>
      <c r="BZ549" s="142"/>
      <c r="CF549" s="142"/>
      <c r="CL549" s="142"/>
      <c r="CR549" s="142"/>
      <c r="CX549" s="142"/>
      <c r="DD549" s="142"/>
      <c r="DJ549" s="142"/>
      <c r="DP549" s="142"/>
      <c r="DV549" s="142"/>
      <c r="EB549" s="142"/>
    </row>
    <row r="550">
      <c r="F550" s="142"/>
      <c r="L550" s="142"/>
      <c r="R550" s="142"/>
      <c r="X550" s="142"/>
      <c r="AD550" s="142"/>
      <c r="AJ550" s="142"/>
      <c r="AP550" s="142"/>
      <c r="AV550" s="142"/>
      <c r="BB550" s="142"/>
      <c r="BH550" s="142"/>
      <c r="BN550" s="142"/>
      <c r="BT550" s="142"/>
      <c r="BZ550" s="142"/>
      <c r="CF550" s="142"/>
      <c r="CL550" s="142"/>
      <c r="CR550" s="142"/>
      <c r="CX550" s="142"/>
      <c r="DD550" s="142"/>
      <c r="DJ550" s="142"/>
      <c r="DP550" s="142"/>
      <c r="DV550" s="142"/>
      <c r="EB550" s="142"/>
    </row>
    <row r="551">
      <c r="F551" s="142"/>
      <c r="L551" s="142"/>
      <c r="R551" s="142"/>
      <c r="X551" s="142"/>
      <c r="AD551" s="142"/>
      <c r="AJ551" s="142"/>
      <c r="AP551" s="142"/>
      <c r="AV551" s="142"/>
      <c r="BB551" s="142"/>
      <c r="BH551" s="142"/>
      <c r="BN551" s="142"/>
      <c r="BT551" s="142"/>
      <c r="BZ551" s="142"/>
      <c r="CF551" s="142"/>
      <c r="CL551" s="142"/>
      <c r="CR551" s="142"/>
      <c r="CX551" s="142"/>
      <c r="DD551" s="142"/>
      <c r="DJ551" s="142"/>
      <c r="DP551" s="142"/>
      <c r="DV551" s="142"/>
      <c r="EB551" s="142"/>
    </row>
    <row r="552">
      <c r="F552" s="142"/>
      <c r="L552" s="142"/>
      <c r="R552" s="142"/>
      <c r="X552" s="142"/>
      <c r="AD552" s="142"/>
      <c r="AJ552" s="142"/>
      <c r="AP552" s="142"/>
      <c r="AV552" s="142"/>
      <c r="BB552" s="142"/>
      <c r="BH552" s="142"/>
      <c r="BN552" s="142"/>
      <c r="BT552" s="142"/>
      <c r="BZ552" s="142"/>
      <c r="CF552" s="142"/>
      <c r="CL552" s="142"/>
      <c r="CR552" s="142"/>
      <c r="CX552" s="142"/>
      <c r="DD552" s="142"/>
      <c r="DJ552" s="142"/>
      <c r="DP552" s="142"/>
      <c r="DV552" s="142"/>
      <c r="EB552" s="142"/>
    </row>
    <row r="553">
      <c r="F553" s="142"/>
      <c r="L553" s="142"/>
      <c r="R553" s="142"/>
      <c r="X553" s="142"/>
      <c r="AD553" s="142"/>
      <c r="AJ553" s="142"/>
      <c r="AP553" s="142"/>
      <c r="AV553" s="142"/>
      <c r="BB553" s="142"/>
      <c r="BH553" s="142"/>
      <c r="BN553" s="142"/>
      <c r="BT553" s="142"/>
      <c r="BZ553" s="142"/>
      <c r="CF553" s="142"/>
      <c r="CL553" s="142"/>
      <c r="CR553" s="142"/>
      <c r="CX553" s="142"/>
      <c r="DD553" s="142"/>
      <c r="DJ553" s="142"/>
      <c r="DP553" s="142"/>
      <c r="DV553" s="142"/>
      <c r="EB553" s="142"/>
    </row>
    <row r="554">
      <c r="F554" s="142"/>
      <c r="L554" s="142"/>
      <c r="R554" s="142"/>
      <c r="X554" s="142"/>
      <c r="AD554" s="142"/>
      <c r="AJ554" s="142"/>
      <c r="AP554" s="142"/>
      <c r="AV554" s="142"/>
      <c r="BB554" s="142"/>
      <c r="BH554" s="142"/>
      <c r="BN554" s="142"/>
      <c r="BT554" s="142"/>
      <c r="BZ554" s="142"/>
      <c r="CF554" s="142"/>
      <c r="CL554" s="142"/>
      <c r="CR554" s="142"/>
      <c r="CX554" s="142"/>
      <c r="DD554" s="142"/>
      <c r="DJ554" s="142"/>
      <c r="DP554" s="142"/>
      <c r="DV554" s="142"/>
      <c r="EB554" s="142"/>
    </row>
    <row r="555">
      <c r="F555" s="142"/>
      <c r="L555" s="142"/>
      <c r="R555" s="142"/>
      <c r="X555" s="142"/>
      <c r="AD555" s="142"/>
      <c r="AJ555" s="142"/>
      <c r="AP555" s="142"/>
      <c r="AV555" s="142"/>
      <c r="BB555" s="142"/>
      <c r="BH555" s="142"/>
      <c r="BN555" s="142"/>
      <c r="BT555" s="142"/>
      <c r="BZ555" s="142"/>
      <c r="CF555" s="142"/>
      <c r="CL555" s="142"/>
      <c r="CR555" s="142"/>
      <c r="CX555" s="142"/>
      <c r="DD555" s="142"/>
      <c r="DJ555" s="142"/>
      <c r="DP555" s="142"/>
      <c r="DV555" s="142"/>
      <c r="EB555" s="142"/>
    </row>
    <row r="556">
      <c r="F556" s="142"/>
      <c r="L556" s="142"/>
      <c r="R556" s="142"/>
      <c r="X556" s="142"/>
      <c r="AD556" s="142"/>
      <c r="AJ556" s="142"/>
      <c r="AP556" s="142"/>
      <c r="AV556" s="142"/>
      <c r="BB556" s="142"/>
      <c r="BH556" s="142"/>
      <c r="BN556" s="142"/>
      <c r="BT556" s="142"/>
      <c r="BZ556" s="142"/>
      <c r="CF556" s="142"/>
      <c r="CL556" s="142"/>
      <c r="CR556" s="142"/>
      <c r="CX556" s="142"/>
      <c r="DD556" s="142"/>
      <c r="DJ556" s="142"/>
      <c r="DP556" s="142"/>
      <c r="DV556" s="142"/>
      <c r="EB556" s="142"/>
    </row>
    <row r="557">
      <c r="F557" s="142"/>
      <c r="L557" s="142"/>
      <c r="R557" s="142"/>
      <c r="X557" s="142"/>
      <c r="AD557" s="142"/>
      <c r="AJ557" s="142"/>
      <c r="AP557" s="142"/>
      <c r="AV557" s="142"/>
      <c r="BB557" s="142"/>
      <c r="BH557" s="142"/>
      <c r="BN557" s="142"/>
      <c r="BT557" s="142"/>
      <c r="BZ557" s="142"/>
      <c r="CF557" s="142"/>
      <c r="CL557" s="142"/>
      <c r="CR557" s="142"/>
      <c r="CX557" s="142"/>
      <c r="DD557" s="142"/>
      <c r="DJ557" s="142"/>
      <c r="DP557" s="142"/>
      <c r="DV557" s="142"/>
      <c r="EB557" s="142"/>
    </row>
    <row r="558">
      <c r="F558" s="142"/>
      <c r="L558" s="142"/>
      <c r="R558" s="142"/>
      <c r="X558" s="142"/>
      <c r="AD558" s="142"/>
      <c r="AJ558" s="142"/>
      <c r="AP558" s="142"/>
      <c r="AV558" s="142"/>
      <c r="BB558" s="142"/>
      <c r="BH558" s="142"/>
      <c r="BN558" s="142"/>
      <c r="BT558" s="142"/>
      <c r="BZ558" s="142"/>
      <c r="CF558" s="142"/>
      <c r="CL558" s="142"/>
      <c r="CR558" s="142"/>
      <c r="CX558" s="142"/>
      <c r="DD558" s="142"/>
      <c r="DJ558" s="142"/>
      <c r="DP558" s="142"/>
      <c r="DV558" s="142"/>
      <c r="EB558" s="142"/>
    </row>
    <row r="559">
      <c r="F559" s="142"/>
      <c r="L559" s="142"/>
      <c r="R559" s="142"/>
      <c r="X559" s="142"/>
      <c r="AD559" s="142"/>
      <c r="AJ559" s="142"/>
      <c r="AP559" s="142"/>
      <c r="AV559" s="142"/>
      <c r="BB559" s="142"/>
      <c r="BH559" s="142"/>
      <c r="BN559" s="142"/>
      <c r="BT559" s="142"/>
      <c r="BZ559" s="142"/>
      <c r="CF559" s="142"/>
      <c r="CL559" s="142"/>
      <c r="CR559" s="142"/>
      <c r="CX559" s="142"/>
      <c r="DD559" s="142"/>
      <c r="DJ559" s="142"/>
      <c r="DP559" s="142"/>
      <c r="DV559" s="142"/>
      <c r="EB559" s="142"/>
    </row>
    <row r="560">
      <c r="F560" s="142"/>
      <c r="L560" s="142"/>
      <c r="R560" s="142"/>
      <c r="X560" s="142"/>
      <c r="AD560" s="142"/>
      <c r="AJ560" s="142"/>
      <c r="AP560" s="142"/>
      <c r="AV560" s="142"/>
      <c r="BB560" s="142"/>
      <c r="BH560" s="142"/>
      <c r="BN560" s="142"/>
      <c r="BT560" s="142"/>
      <c r="BZ560" s="142"/>
      <c r="CF560" s="142"/>
      <c r="CL560" s="142"/>
      <c r="CR560" s="142"/>
      <c r="CX560" s="142"/>
      <c r="DD560" s="142"/>
      <c r="DJ560" s="142"/>
      <c r="DP560" s="142"/>
      <c r="DV560" s="142"/>
      <c r="EB560" s="142"/>
    </row>
    <row r="561">
      <c r="F561" s="142"/>
      <c r="L561" s="142"/>
      <c r="R561" s="142"/>
      <c r="X561" s="142"/>
      <c r="AD561" s="142"/>
      <c r="AJ561" s="142"/>
      <c r="AP561" s="142"/>
      <c r="AV561" s="142"/>
      <c r="BB561" s="142"/>
      <c r="BH561" s="142"/>
      <c r="BN561" s="142"/>
      <c r="BT561" s="142"/>
      <c r="BZ561" s="142"/>
      <c r="CF561" s="142"/>
      <c r="CL561" s="142"/>
      <c r="CR561" s="142"/>
      <c r="CX561" s="142"/>
      <c r="DD561" s="142"/>
      <c r="DJ561" s="142"/>
      <c r="DP561" s="142"/>
      <c r="DV561" s="142"/>
      <c r="EB561" s="142"/>
    </row>
    <row r="562">
      <c r="F562" s="142"/>
      <c r="L562" s="142"/>
      <c r="R562" s="142"/>
      <c r="X562" s="142"/>
      <c r="AD562" s="142"/>
      <c r="AJ562" s="142"/>
      <c r="AP562" s="142"/>
      <c r="AV562" s="142"/>
      <c r="BB562" s="142"/>
      <c r="BH562" s="142"/>
      <c r="BN562" s="142"/>
      <c r="BT562" s="142"/>
      <c r="BZ562" s="142"/>
      <c r="CF562" s="142"/>
      <c r="CL562" s="142"/>
      <c r="CR562" s="142"/>
      <c r="CX562" s="142"/>
      <c r="DD562" s="142"/>
      <c r="DJ562" s="142"/>
      <c r="DP562" s="142"/>
      <c r="DV562" s="142"/>
      <c r="EB562" s="142"/>
    </row>
    <row r="563">
      <c r="F563" s="142"/>
      <c r="L563" s="142"/>
      <c r="R563" s="142"/>
      <c r="X563" s="142"/>
      <c r="AD563" s="142"/>
      <c r="AJ563" s="142"/>
      <c r="AP563" s="142"/>
      <c r="AV563" s="142"/>
      <c r="BB563" s="142"/>
      <c r="BH563" s="142"/>
      <c r="BN563" s="142"/>
      <c r="BT563" s="142"/>
      <c r="BZ563" s="142"/>
      <c r="CF563" s="142"/>
      <c r="CL563" s="142"/>
      <c r="CR563" s="142"/>
      <c r="CX563" s="142"/>
      <c r="DD563" s="142"/>
      <c r="DJ563" s="142"/>
      <c r="DP563" s="142"/>
      <c r="DV563" s="142"/>
      <c r="EB563" s="142"/>
    </row>
    <row r="564">
      <c r="F564" s="142"/>
      <c r="L564" s="142"/>
      <c r="R564" s="142"/>
      <c r="X564" s="142"/>
      <c r="AD564" s="142"/>
      <c r="AJ564" s="142"/>
      <c r="AP564" s="142"/>
      <c r="AV564" s="142"/>
      <c r="BB564" s="142"/>
      <c r="BH564" s="142"/>
      <c r="BN564" s="142"/>
      <c r="BT564" s="142"/>
      <c r="BZ564" s="142"/>
      <c r="CF564" s="142"/>
      <c r="CL564" s="142"/>
      <c r="CR564" s="142"/>
      <c r="CX564" s="142"/>
      <c r="DD564" s="142"/>
      <c r="DJ564" s="142"/>
      <c r="DP564" s="142"/>
      <c r="DV564" s="142"/>
      <c r="EB564" s="142"/>
    </row>
    <row r="565">
      <c r="F565" s="142"/>
      <c r="L565" s="142"/>
      <c r="R565" s="142"/>
      <c r="X565" s="142"/>
      <c r="AD565" s="142"/>
      <c r="AJ565" s="142"/>
      <c r="AP565" s="142"/>
      <c r="AV565" s="142"/>
      <c r="BB565" s="142"/>
      <c r="BH565" s="142"/>
      <c r="BN565" s="142"/>
      <c r="BT565" s="142"/>
      <c r="BZ565" s="142"/>
      <c r="CF565" s="142"/>
      <c r="CL565" s="142"/>
      <c r="CR565" s="142"/>
      <c r="CX565" s="142"/>
      <c r="DD565" s="142"/>
      <c r="DJ565" s="142"/>
      <c r="DP565" s="142"/>
      <c r="DV565" s="142"/>
      <c r="EB565" s="142"/>
    </row>
    <row r="566">
      <c r="F566" s="142"/>
      <c r="L566" s="142"/>
      <c r="R566" s="142"/>
      <c r="X566" s="142"/>
      <c r="AD566" s="142"/>
      <c r="AJ566" s="142"/>
      <c r="AP566" s="142"/>
      <c r="AV566" s="142"/>
      <c r="BB566" s="142"/>
      <c r="BH566" s="142"/>
      <c r="BN566" s="142"/>
      <c r="BT566" s="142"/>
      <c r="BZ566" s="142"/>
      <c r="CF566" s="142"/>
      <c r="CL566" s="142"/>
      <c r="CR566" s="142"/>
      <c r="CX566" s="142"/>
      <c r="DD566" s="142"/>
      <c r="DJ566" s="142"/>
      <c r="DP566" s="142"/>
      <c r="DV566" s="142"/>
      <c r="EB566" s="142"/>
    </row>
    <row r="567">
      <c r="F567" s="142"/>
      <c r="L567" s="142"/>
      <c r="R567" s="142"/>
      <c r="X567" s="142"/>
      <c r="AD567" s="142"/>
      <c r="AJ567" s="142"/>
      <c r="AP567" s="142"/>
      <c r="AV567" s="142"/>
      <c r="BB567" s="142"/>
      <c r="BH567" s="142"/>
      <c r="BN567" s="142"/>
      <c r="BT567" s="142"/>
      <c r="BZ567" s="142"/>
      <c r="CF567" s="142"/>
      <c r="CL567" s="142"/>
      <c r="CR567" s="142"/>
      <c r="CX567" s="142"/>
      <c r="DD567" s="142"/>
      <c r="DJ567" s="142"/>
      <c r="DP567" s="142"/>
      <c r="DV567" s="142"/>
      <c r="EB567" s="142"/>
    </row>
    <row r="568">
      <c r="F568" s="142"/>
      <c r="L568" s="142"/>
      <c r="R568" s="142"/>
      <c r="X568" s="142"/>
      <c r="AD568" s="142"/>
      <c r="AJ568" s="142"/>
      <c r="AP568" s="142"/>
      <c r="AV568" s="142"/>
      <c r="BB568" s="142"/>
      <c r="BH568" s="142"/>
      <c r="BN568" s="142"/>
      <c r="BT568" s="142"/>
      <c r="BZ568" s="142"/>
      <c r="CF568" s="142"/>
      <c r="CL568" s="142"/>
      <c r="CR568" s="142"/>
      <c r="CX568" s="142"/>
      <c r="DD568" s="142"/>
      <c r="DJ568" s="142"/>
      <c r="DP568" s="142"/>
      <c r="DV568" s="142"/>
      <c r="EB568" s="142"/>
    </row>
    <row r="569">
      <c r="F569" s="142"/>
      <c r="L569" s="142"/>
      <c r="R569" s="142"/>
      <c r="X569" s="142"/>
      <c r="AD569" s="142"/>
      <c r="AJ569" s="142"/>
      <c r="AP569" s="142"/>
      <c r="AV569" s="142"/>
      <c r="BB569" s="142"/>
      <c r="BH569" s="142"/>
      <c r="BN569" s="142"/>
      <c r="BT569" s="142"/>
      <c r="BZ569" s="142"/>
      <c r="CF569" s="142"/>
      <c r="CL569" s="142"/>
      <c r="CR569" s="142"/>
      <c r="CX569" s="142"/>
      <c r="DD569" s="142"/>
      <c r="DJ569" s="142"/>
      <c r="DP569" s="142"/>
      <c r="DV569" s="142"/>
      <c r="EB569" s="142"/>
    </row>
    <row r="570">
      <c r="F570" s="142"/>
      <c r="L570" s="142"/>
      <c r="R570" s="142"/>
      <c r="X570" s="142"/>
      <c r="AD570" s="142"/>
      <c r="AJ570" s="142"/>
      <c r="AP570" s="142"/>
      <c r="AV570" s="142"/>
      <c r="BB570" s="142"/>
      <c r="BH570" s="142"/>
      <c r="BN570" s="142"/>
      <c r="BT570" s="142"/>
      <c r="BZ570" s="142"/>
      <c r="CF570" s="142"/>
      <c r="CL570" s="142"/>
      <c r="CR570" s="142"/>
      <c r="CX570" s="142"/>
      <c r="DD570" s="142"/>
      <c r="DJ570" s="142"/>
      <c r="DP570" s="142"/>
      <c r="DV570" s="142"/>
      <c r="EB570" s="142"/>
    </row>
    <row r="571">
      <c r="F571" s="142"/>
      <c r="L571" s="142"/>
      <c r="R571" s="142"/>
      <c r="X571" s="142"/>
      <c r="AD571" s="142"/>
      <c r="AJ571" s="142"/>
      <c r="AP571" s="142"/>
      <c r="AV571" s="142"/>
      <c r="BB571" s="142"/>
      <c r="BH571" s="142"/>
      <c r="BN571" s="142"/>
      <c r="BT571" s="142"/>
      <c r="BZ571" s="142"/>
      <c r="CF571" s="142"/>
      <c r="CL571" s="142"/>
      <c r="CR571" s="142"/>
      <c r="CX571" s="142"/>
      <c r="DD571" s="142"/>
      <c r="DJ571" s="142"/>
      <c r="DP571" s="142"/>
      <c r="DV571" s="142"/>
      <c r="EB571" s="142"/>
    </row>
    <row r="572">
      <c r="F572" s="142"/>
      <c r="L572" s="142"/>
      <c r="R572" s="142"/>
      <c r="X572" s="142"/>
      <c r="AD572" s="142"/>
      <c r="AJ572" s="142"/>
      <c r="AP572" s="142"/>
      <c r="AV572" s="142"/>
      <c r="BB572" s="142"/>
      <c r="BH572" s="142"/>
      <c r="BN572" s="142"/>
      <c r="BT572" s="142"/>
      <c r="BZ572" s="142"/>
      <c r="CF572" s="142"/>
      <c r="CL572" s="142"/>
      <c r="CR572" s="142"/>
      <c r="CX572" s="142"/>
      <c r="DD572" s="142"/>
      <c r="DJ572" s="142"/>
      <c r="DP572" s="142"/>
      <c r="DV572" s="142"/>
      <c r="EB572" s="142"/>
    </row>
    <row r="573">
      <c r="F573" s="142"/>
      <c r="L573" s="142"/>
      <c r="R573" s="142"/>
      <c r="X573" s="142"/>
      <c r="AD573" s="142"/>
      <c r="AJ573" s="142"/>
      <c r="AP573" s="142"/>
      <c r="AV573" s="142"/>
      <c r="BB573" s="142"/>
      <c r="BH573" s="142"/>
      <c r="BN573" s="142"/>
      <c r="BT573" s="142"/>
      <c r="BZ573" s="142"/>
      <c r="CF573" s="142"/>
      <c r="CL573" s="142"/>
      <c r="CR573" s="142"/>
      <c r="CX573" s="142"/>
      <c r="DD573" s="142"/>
      <c r="DJ573" s="142"/>
      <c r="DP573" s="142"/>
      <c r="DV573" s="142"/>
      <c r="EB573" s="142"/>
    </row>
    <row r="574">
      <c r="F574" s="142"/>
      <c r="L574" s="142"/>
      <c r="R574" s="142"/>
      <c r="X574" s="142"/>
      <c r="AD574" s="142"/>
      <c r="AJ574" s="142"/>
      <c r="AP574" s="142"/>
      <c r="AV574" s="142"/>
      <c r="BB574" s="142"/>
      <c r="BH574" s="142"/>
      <c r="BN574" s="142"/>
      <c r="BT574" s="142"/>
      <c r="BZ574" s="142"/>
      <c r="CF574" s="142"/>
      <c r="CL574" s="142"/>
      <c r="CR574" s="142"/>
      <c r="CX574" s="142"/>
      <c r="DD574" s="142"/>
      <c r="DJ574" s="142"/>
      <c r="DP574" s="142"/>
      <c r="DV574" s="142"/>
      <c r="EB574" s="142"/>
    </row>
    <row r="575">
      <c r="F575" s="142"/>
      <c r="L575" s="142"/>
      <c r="R575" s="142"/>
      <c r="X575" s="142"/>
      <c r="AD575" s="142"/>
      <c r="AJ575" s="142"/>
      <c r="AP575" s="142"/>
      <c r="AV575" s="142"/>
      <c r="BB575" s="142"/>
      <c r="BH575" s="142"/>
      <c r="BN575" s="142"/>
      <c r="BT575" s="142"/>
      <c r="BZ575" s="142"/>
      <c r="CF575" s="142"/>
      <c r="CL575" s="142"/>
      <c r="CR575" s="142"/>
      <c r="CX575" s="142"/>
      <c r="DD575" s="142"/>
      <c r="DJ575" s="142"/>
      <c r="DP575" s="142"/>
      <c r="DV575" s="142"/>
      <c r="EB575" s="142"/>
    </row>
    <row r="576">
      <c r="F576" s="142"/>
      <c r="L576" s="142"/>
      <c r="R576" s="142"/>
      <c r="X576" s="142"/>
      <c r="AD576" s="142"/>
      <c r="AJ576" s="142"/>
      <c r="AP576" s="142"/>
      <c r="AV576" s="142"/>
      <c r="BB576" s="142"/>
      <c r="BH576" s="142"/>
      <c r="BN576" s="142"/>
      <c r="BT576" s="142"/>
      <c r="BZ576" s="142"/>
      <c r="CF576" s="142"/>
      <c r="CL576" s="142"/>
      <c r="CR576" s="142"/>
      <c r="CX576" s="142"/>
      <c r="DD576" s="142"/>
      <c r="DJ576" s="142"/>
      <c r="DP576" s="142"/>
      <c r="DV576" s="142"/>
      <c r="EB576" s="142"/>
    </row>
    <row r="577">
      <c r="F577" s="142"/>
      <c r="L577" s="142"/>
      <c r="R577" s="142"/>
      <c r="X577" s="142"/>
      <c r="AD577" s="142"/>
      <c r="AJ577" s="142"/>
      <c r="AP577" s="142"/>
      <c r="AV577" s="142"/>
      <c r="BB577" s="142"/>
      <c r="BH577" s="142"/>
      <c r="BN577" s="142"/>
      <c r="BT577" s="142"/>
      <c r="BZ577" s="142"/>
      <c r="CF577" s="142"/>
      <c r="CL577" s="142"/>
      <c r="CR577" s="142"/>
      <c r="CX577" s="142"/>
      <c r="DD577" s="142"/>
      <c r="DJ577" s="142"/>
      <c r="DP577" s="142"/>
      <c r="DV577" s="142"/>
      <c r="EB577" s="142"/>
    </row>
    <row r="578">
      <c r="F578" s="142"/>
      <c r="L578" s="142"/>
      <c r="R578" s="142"/>
      <c r="X578" s="142"/>
      <c r="AD578" s="142"/>
      <c r="AJ578" s="142"/>
      <c r="AP578" s="142"/>
      <c r="AV578" s="142"/>
      <c r="BB578" s="142"/>
      <c r="BH578" s="142"/>
      <c r="BN578" s="142"/>
      <c r="BT578" s="142"/>
      <c r="BZ578" s="142"/>
      <c r="CF578" s="142"/>
      <c r="CL578" s="142"/>
      <c r="CR578" s="142"/>
      <c r="CX578" s="142"/>
      <c r="DD578" s="142"/>
      <c r="DJ578" s="142"/>
      <c r="DP578" s="142"/>
      <c r="DV578" s="142"/>
      <c r="EB578" s="142"/>
    </row>
    <row r="579">
      <c r="F579" s="142"/>
      <c r="L579" s="142"/>
      <c r="R579" s="142"/>
      <c r="X579" s="142"/>
      <c r="AD579" s="142"/>
      <c r="AJ579" s="142"/>
      <c r="AP579" s="142"/>
      <c r="AV579" s="142"/>
      <c r="BB579" s="142"/>
      <c r="BH579" s="142"/>
      <c r="BN579" s="142"/>
      <c r="BT579" s="142"/>
      <c r="BZ579" s="142"/>
      <c r="CF579" s="142"/>
      <c r="CL579" s="142"/>
      <c r="CR579" s="142"/>
      <c r="CX579" s="142"/>
      <c r="DD579" s="142"/>
      <c r="DJ579" s="142"/>
      <c r="DP579" s="142"/>
      <c r="DV579" s="142"/>
      <c r="EB579" s="142"/>
    </row>
    <row r="580">
      <c r="F580" s="142"/>
      <c r="L580" s="142"/>
      <c r="R580" s="142"/>
      <c r="X580" s="142"/>
      <c r="AD580" s="142"/>
      <c r="AJ580" s="142"/>
      <c r="AP580" s="142"/>
      <c r="AV580" s="142"/>
      <c r="BB580" s="142"/>
      <c r="BH580" s="142"/>
      <c r="BN580" s="142"/>
      <c r="BT580" s="142"/>
      <c r="BZ580" s="142"/>
      <c r="CF580" s="142"/>
      <c r="CL580" s="142"/>
      <c r="CR580" s="142"/>
      <c r="CX580" s="142"/>
      <c r="DD580" s="142"/>
      <c r="DJ580" s="142"/>
      <c r="DP580" s="142"/>
      <c r="DV580" s="142"/>
      <c r="EB580" s="142"/>
    </row>
    <row r="581">
      <c r="F581" s="142"/>
      <c r="L581" s="142"/>
      <c r="R581" s="142"/>
      <c r="X581" s="142"/>
      <c r="AD581" s="142"/>
      <c r="AJ581" s="142"/>
      <c r="AP581" s="142"/>
      <c r="AV581" s="142"/>
      <c r="BB581" s="142"/>
      <c r="BH581" s="142"/>
      <c r="BN581" s="142"/>
      <c r="BT581" s="142"/>
      <c r="BZ581" s="142"/>
      <c r="CF581" s="142"/>
      <c r="CL581" s="142"/>
      <c r="CR581" s="142"/>
      <c r="CX581" s="142"/>
      <c r="DD581" s="142"/>
      <c r="DJ581" s="142"/>
      <c r="DP581" s="142"/>
      <c r="DV581" s="142"/>
      <c r="EB581" s="142"/>
    </row>
    <row r="582">
      <c r="F582" s="142"/>
      <c r="L582" s="142"/>
      <c r="R582" s="142"/>
      <c r="X582" s="142"/>
      <c r="AD582" s="142"/>
      <c r="AJ582" s="142"/>
      <c r="AP582" s="142"/>
      <c r="AV582" s="142"/>
      <c r="BB582" s="142"/>
      <c r="BH582" s="142"/>
      <c r="BN582" s="142"/>
      <c r="BT582" s="142"/>
      <c r="BZ582" s="142"/>
      <c r="CF582" s="142"/>
      <c r="CL582" s="142"/>
      <c r="CR582" s="142"/>
      <c r="CX582" s="142"/>
      <c r="DD582" s="142"/>
      <c r="DJ582" s="142"/>
      <c r="DP582" s="142"/>
      <c r="DV582" s="142"/>
      <c r="EB582" s="142"/>
    </row>
    <row r="583">
      <c r="F583" s="142"/>
      <c r="L583" s="142"/>
      <c r="R583" s="142"/>
      <c r="X583" s="142"/>
      <c r="AD583" s="142"/>
      <c r="AJ583" s="142"/>
      <c r="AP583" s="142"/>
      <c r="AV583" s="142"/>
      <c r="BB583" s="142"/>
      <c r="BH583" s="142"/>
      <c r="BN583" s="142"/>
      <c r="BT583" s="142"/>
      <c r="BZ583" s="142"/>
      <c r="CF583" s="142"/>
      <c r="CL583" s="142"/>
      <c r="CR583" s="142"/>
      <c r="CX583" s="142"/>
      <c r="DD583" s="142"/>
      <c r="DJ583" s="142"/>
      <c r="DP583" s="142"/>
      <c r="DV583" s="142"/>
      <c r="EB583" s="142"/>
    </row>
    <row r="584">
      <c r="F584" s="142"/>
      <c r="L584" s="142"/>
      <c r="R584" s="142"/>
      <c r="X584" s="142"/>
      <c r="AD584" s="142"/>
      <c r="AJ584" s="142"/>
      <c r="AP584" s="142"/>
      <c r="AV584" s="142"/>
      <c r="BB584" s="142"/>
      <c r="BH584" s="142"/>
      <c r="BN584" s="142"/>
      <c r="BT584" s="142"/>
      <c r="BZ584" s="142"/>
      <c r="CF584" s="142"/>
      <c r="CL584" s="142"/>
      <c r="CR584" s="142"/>
      <c r="CX584" s="142"/>
      <c r="DD584" s="142"/>
      <c r="DJ584" s="142"/>
      <c r="DP584" s="142"/>
      <c r="DV584" s="142"/>
      <c r="EB584" s="142"/>
    </row>
    <row r="585">
      <c r="F585" s="142"/>
      <c r="L585" s="142"/>
      <c r="R585" s="142"/>
      <c r="X585" s="142"/>
      <c r="AD585" s="142"/>
      <c r="AJ585" s="142"/>
      <c r="AP585" s="142"/>
      <c r="AV585" s="142"/>
      <c r="BB585" s="142"/>
      <c r="BH585" s="142"/>
      <c r="BN585" s="142"/>
      <c r="BT585" s="142"/>
      <c r="BZ585" s="142"/>
      <c r="CF585" s="142"/>
      <c r="CL585" s="142"/>
      <c r="CR585" s="142"/>
      <c r="CX585" s="142"/>
      <c r="DD585" s="142"/>
      <c r="DJ585" s="142"/>
      <c r="DP585" s="142"/>
      <c r="DV585" s="142"/>
      <c r="EB585" s="142"/>
    </row>
    <row r="586">
      <c r="F586" s="142"/>
      <c r="L586" s="142"/>
      <c r="R586" s="142"/>
      <c r="X586" s="142"/>
      <c r="AD586" s="142"/>
      <c r="AJ586" s="142"/>
      <c r="AP586" s="142"/>
      <c r="AV586" s="142"/>
      <c r="BB586" s="142"/>
      <c r="BH586" s="142"/>
      <c r="BN586" s="142"/>
      <c r="BT586" s="142"/>
      <c r="BZ586" s="142"/>
      <c r="CF586" s="142"/>
      <c r="CL586" s="142"/>
      <c r="CR586" s="142"/>
      <c r="CX586" s="142"/>
      <c r="DD586" s="142"/>
      <c r="DJ586" s="142"/>
      <c r="DP586" s="142"/>
      <c r="DV586" s="142"/>
      <c r="EB586" s="142"/>
    </row>
    <row r="587">
      <c r="F587" s="142"/>
      <c r="L587" s="142"/>
      <c r="R587" s="142"/>
      <c r="X587" s="142"/>
      <c r="AD587" s="142"/>
      <c r="AJ587" s="142"/>
      <c r="AP587" s="142"/>
      <c r="AV587" s="142"/>
      <c r="BB587" s="142"/>
      <c r="BH587" s="142"/>
      <c r="BN587" s="142"/>
      <c r="BT587" s="142"/>
      <c r="BZ587" s="142"/>
      <c r="CF587" s="142"/>
      <c r="CL587" s="142"/>
      <c r="CR587" s="142"/>
      <c r="CX587" s="142"/>
      <c r="DD587" s="142"/>
      <c r="DJ587" s="142"/>
      <c r="DP587" s="142"/>
      <c r="DV587" s="142"/>
      <c r="EB587" s="142"/>
    </row>
    <row r="588">
      <c r="F588" s="142"/>
      <c r="L588" s="142"/>
      <c r="R588" s="142"/>
      <c r="X588" s="142"/>
      <c r="AD588" s="142"/>
      <c r="AJ588" s="142"/>
      <c r="AP588" s="142"/>
      <c r="AV588" s="142"/>
      <c r="BB588" s="142"/>
      <c r="BH588" s="142"/>
      <c r="BN588" s="142"/>
      <c r="BT588" s="142"/>
      <c r="BZ588" s="142"/>
      <c r="CF588" s="142"/>
      <c r="CL588" s="142"/>
      <c r="CR588" s="142"/>
      <c r="CX588" s="142"/>
      <c r="DD588" s="142"/>
      <c r="DJ588" s="142"/>
      <c r="DP588" s="142"/>
      <c r="DV588" s="142"/>
      <c r="EB588" s="142"/>
    </row>
    <row r="589">
      <c r="F589" s="142"/>
      <c r="L589" s="142"/>
      <c r="R589" s="142"/>
      <c r="X589" s="142"/>
      <c r="AD589" s="142"/>
      <c r="AJ589" s="142"/>
      <c r="AP589" s="142"/>
      <c r="AV589" s="142"/>
      <c r="BB589" s="142"/>
      <c r="BH589" s="142"/>
      <c r="BN589" s="142"/>
      <c r="BT589" s="142"/>
      <c r="BZ589" s="142"/>
      <c r="CF589" s="142"/>
      <c r="CL589" s="142"/>
      <c r="CR589" s="142"/>
      <c r="CX589" s="142"/>
      <c r="DD589" s="142"/>
      <c r="DJ589" s="142"/>
      <c r="DP589" s="142"/>
      <c r="DV589" s="142"/>
      <c r="EB589" s="142"/>
    </row>
    <row r="590">
      <c r="F590" s="142"/>
      <c r="L590" s="142"/>
      <c r="R590" s="142"/>
      <c r="X590" s="142"/>
      <c r="AD590" s="142"/>
      <c r="AJ590" s="142"/>
      <c r="AP590" s="142"/>
      <c r="AV590" s="142"/>
      <c r="BB590" s="142"/>
      <c r="BH590" s="142"/>
      <c r="BN590" s="142"/>
      <c r="BT590" s="142"/>
      <c r="BZ590" s="142"/>
      <c r="CF590" s="142"/>
      <c r="CL590" s="142"/>
      <c r="CR590" s="142"/>
      <c r="CX590" s="142"/>
      <c r="DD590" s="142"/>
      <c r="DJ590" s="142"/>
      <c r="DP590" s="142"/>
      <c r="DV590" s="142"/>
      <c r="EB590" s="142"/>
    </row>
    <row r="591">
      <c r="F591" s="142"/>
      <c r="L591" s="142"/>
      <c r="R591" s="142"/>
      <c r="X591" s="142"/>
      <c r="AD591" s="142"/>
      <c r="AJ591" s="142"/>
      <c r="AP591" s="142"/>
      <c r="AV591" s="142"/>
      <c r="BB591" s="142"/>
      <c r="BH591" s="142"/>
      <c r="BN591" s="142"/>
      <c r="BT591" s="142"/>
      <c r="BZ591" s="142"/>
      <c r="CF591" s="142"/>
      <c r="CL591" s="142"/>
      <c r="CR591" s="142"/>
      <c r="CX591" s="142"/>
      <c r="DD591" s="142"/>
      <c r="DJ591" s="142"/>
      <c r="DP591" s="142"/>
      <c r="DV591" s="142"/>
      <c r="EB591" s="142"/>
    </row>
    <row r="592">
      <c r="F592" s="142"/>
      <c r="L592" s="142"/>
      <c r="R592" s="142"/>
      <c r="X592" s="142"/>
      <c r="AD592" s="142"/>
      <c r="AJ592" s="142"/>
      <c r="AP592" s="142"/>
      <c r="AV592" s="142"/>
      <c r="BB592" s="142"/>
      <c r="BH592" s="142"/>
      <c r="BN592" s="142"/>
      <c r="BT592" s="142"/>
      <c r="BZ592" s="142"/>
      <c r="CF592" s="142"/>
      <c r="CL592" s="142"/>
      <c r="CR592" s="142"/>
      <c r="CX592" s="142"/>
      <c r="DD592" s="142"/>
      <c r="DJ592" s="142"/>
      <c r="DP592" s="142"/>
      <c r="DV592" s="142"/>
      <c r="EB592" s="142"/>
    </row>
    <row r="593">
      <c r="F593" s="142"/>
      <c r="L593" s="142"/>
      <c r="R593" s="142"/>
      <c r="X593" s="142"/>
      <c r="AD593" s="142"/>
      <c r="AJ593" s="142"/>
      <c r="AP593" s="142"/>
      <c r="AV593" s="142"/>
      <c r="BB593" s="142"/>
      <c r="BH593" s="142"/>
      <c r="BN593" s="142"/>
      <c r="BT593" s="142"/>
      <c r="BZ593" s="142"/>
      <c r="CF593" s="142"/>
      <c r="CL593" s="142"/>
      <c r="CR593" s="142"/>
      <c r="CX593" s="142"/>
      <c r="DD593" s="142"/>
      <c r="DJ593" s="142"/>
      <c r="DP593" s="142"/>
      <c r="DV593" s="142"/>
      <c r="EB593" s="142"/>
    </row>
    <row r="594">
      <c r="F594" s="142"/>
      <c r="L594" s="142"/>
      <c r="R594" s="142"/>
      <c r="X594" s="142"/>
      <c r="AD594" s="142"/>
      <c r="AJ594" s="142"/>
      <c r="AP594" s="142"/>
      <c r="AV594" s="142"/>
      <c r="BB594" s="142"/>
      <c r="BH594" s="142"/>
      <c r="BN594" s="142"/>
      <c r="BT594" s="142"/>
      <c r="BZ594" s="142"/>
      <c r="CF594" s="142"/>
      <c r="CL594" s="142"/>
      <c r="CR594" s="142"/>
      <c r="CX594" s="142"/>
      <c r="DD594" s="142"/>
      <c r="DJ594" s="142"/>
      <c r="DP594" s="142"/>
      <c r="DV594" s="142"/>
      <c r="EB594" s="142"/>
    </row>
    <row r="595">
      <c r="F595" s="142"/>
      <c r="L595" s="142"/>
      <c r="R595" s="142"/>
      <c r="X595" s="142"/>
      <c r="AD595" s="142"/>
      <c r="AJ595" s="142"/>
      <c r="AP595" s="142"/>
      <c r="AV595" s="142"/>
      <c r="BB595" s="142"/>
      <c r="BH595" s="142"/>
      <c r="BN595" s="142"/>
      <c r="BT595" s="142"/>
      <c r="BZ595" s="142"/>
      <c r="CF595" s="142"/>
      <c r="CL595" s="142"/>
      <c r="CR595" s="142"/>
      <c r="CX595" s="142"/>
      <c r="DD595" s="142"/>
      <c r="DJ595" s="142"/>
      <c r="DP595" s="142"/>
      <c r="DV595" s="142"/>
      <c r="EB595" s="142"/>
    </row>
    <row r="596">
      <c r="F596" s="142"/>
      <c r="L596" s="142"/>
      <c r="R596" s="142"/>
      <c r="X596" s="142"/>
      <c r="AD596" s="142"/>
      <c r="AJ596" s="142"/>
      <c r="AP596" s="142"/>
      <c r="AV596" s="142"/>
      <c r="BB596" s="142"/>
      <c r="BH596" s="142"/>
      <c r="BN596" s="142"/>
      <c r="BT596" s="142"/>
      <c r="BZ596" s="142"/>
      <c r="CF596" s="142"/>
      <c r="CL596" s="142"/>
      <c r="CR596" s="142"/>
      <c r="CX596" s="142"/>
      <c r="DD596" s="142"/>
      <c r="DJ596" s="142"/>
      <c r="DP596" s="142"/>
      <c r="DV596" s="142"/>
      <c r="EB596" s="142"/>
    </row>
    <row r="597">
      <c r="F597" s="142"/>
      <c r="L597" s="142"/>
      <c r="R597" s="142"/>
      <c r="X597" s="142"/>
      <c r="AD597" s="142"/>
      <c r="AJ597" s="142"/>
      <c r="AP597" s="142"/>
      <c r="AV597" s="142"/>
      <c r="BB597" s="142"/>
      <c r="BH597" s="142"/>
      <c r="BN597" s="142"/>
      <c r="BT597" s="142"/>
      <c r="BZ597" s="142"/>
      <c r="CF597" s="142"/>
      <c r="CL597" s="142"/>
      <c r="CR597" s="142"/>
      <c r="CX597" s="142"/>
      <c r="DD597" s="142"/>
      <c r="DJ597" s="142"/>
      <c r="DP597" s="142"/>
      <c r="DV597" s="142"/>
      <c r="EB597" s="142"/>
    </row>
    <row r="598">
      <c r="F598" s="142"/>
      <c r="L598" s="142"/>
      <c r="R598" s="142"/>
      <c r="X598" s="142"/>
      <c r="AD598" s="142"/>
      <c r="AJ598" s="142"/>
      <c r="AP598" s="142"/>
      <c r="AV598" s="142"/>
      <c r="BB598" s="142"/>
      <c r="BH598" s="142"/>
      <c r="BN598" s="142"/>
      <c r="BT598" s="142"/>
      <c r="BZ598" s="142"/>
      <c r="CF598" s="142"/>
      <c r="CL598" s="142"/>
      <c r="CR598" s="142"/>
      <c r="CX598" s="142"/>
      <c r="DD598" s="142"/>
      <c r="DJ598" s="142"/>
      <c r="DP598" s="142"/>
      <c r="DV598" s="142"/>
      <c r="EB598" s="142"/>
    </row>
    <row r="599">
      <c r="F599" s="142"/>
      <c r="L599" s="142"/>
      <c r="R599" s="142"/>
      <c r="X599" s="142"/>
      <c r="AD599" s="142"/>
      <c r="AJ599" s="142"/>
      <c r="AP599" s="142"/>
      <c r="AV599" s="142"/>
      <c r="BB599" s="142"/>
      <c r="BH599" s="142"/>
      <c r="BN599" s="142"/>
      <c r="BT599" s="142"/>
      <c r="BZ599" s="142"/>
      <c r="CF599" s="142"/>
      <c r="CL599" s="142"/>
      <c r="CR599" s="142"/>
      <c r="CX599" s="142"/>
      <c r="DD599" s="142"/>
      <c r="DJ599" s="142"/>
      <c r="DP599" s="142"/>
      <c r="DV599" s="142"/>
      <c r="EB599" s="142"/>
    </row>
    <row r="600">
      <c r="F600" s="142"/>
      <c r="L600" s="142"/>
      <c r="R600" s="142"/>
      <c r="X600" s="142"/>
      <c r="AD600" s="142"/>
      <c r="AJ600" s="142"/>
      <c r="AP600" s="142"/>
      <c r="AV600" s="142"/>
      <c r="BB600" s="142"/>
      <c r="BH600" s="142"/>
      <c r="BN600" s="142"/>
      <c r="BT600" s="142"/>
      <c r="BZ600" s="142"/>
      <c r="CF600" s="142"/>
      <c r="CL600" s="142"/>
      <c r="CR600" s="142"/>
      <c r="CX600" s="142"/>
      <c r="DD600" s="142"/>
      <c r="DJ600" s="142"/>
      <c r="DP600" s="142"/>
      <c r="DV600" s="142"/>
      <c r="EB600" s="142"/>
    </row>
    <row r="601">
      <c r="F601" s="142"/>
      <c r="L601" s="142"/>
      <c r="R601" s="142"/>
      <c r="X601" s="142"/>
      <c r="AD601" s="142"/>
      <c r="AJ601" s="142"/>
      <c r="AP601" s="142"/>
      <c r="AV601" s="142"/>
      <c r="BB601" s="142"/>
      <c r="BH601" s="142"/>
      <c r="BN601" s="142"/>
      <c r="BT601" s="142"/>
      <c r="BZ601" s="142"/>
      <c r="CF601" s="142"/>
      <c r="CL601" s="142"/>
      <c r="CR601" s="142"/>
      <c r="CX601" s="142"/>
      <c r="DD601" s="142"/>
      <c r="DJ601" s="142"/>
      <c r="DP601" s="142"/>
      <c r="DV601" s="142"/>
      <c r="EB601" s="142"/>
    </row>
    <row r="602">
      <c r="F602" s="142"/>
      <c r="L602" s="142"/>
      <c r="R602" s="142"/>
      <c r="X602" s="142"/>
      <c r="AD602" s="142"/>
      <c r="AJ602" s="142"/>
      <c r="AP602" s="142"/>
      <c r="AV602" s="142"/>
      <c r="BB602" s="142"/>
      <c r="BH602" s="142"/>
      <c r="BN602" s="142"/>
      <c r="BT602" s="142"/>
      <c r="BZ602" s="142"/>
      <c r="CF602" s="142"/>
      <c r="CL602" s="142"/>
      <c r="CR602" s="142"/>
      <c r="CX602" s="142"/>
      <c r="DD602" s="142"/>
      <c r="DJ602" s="142"/>
      <c r="DP602" s="142"/>
      <c r="DV602" s="142"/>
      <c r="EB602" s="142"/>
    </row>
    <row r="603">
      <c r="F603" s="142"/>
      <c r="L603" s="142"/>
      <c r="R603" s="142"/>
      <c r="X603" s="142"/>
      <c r="AD603" s="142"/>
      <c r="AJ603" s="142"/>
      <c r="AP603" s="142"/>
      <c r="AV603" s="142"/>
      <c r="BB603" s="142"/>
      <c r="BH603" s="142"/>
      <c r="BN603" s="142"/>
      <c r="BT603" s="142"/>
      <c r="BZ603" s="142"/>
      <c r="CF603" s="142"/>
      <c r="CL603" s="142"/>
      <c r="CR603" s="142"/>
      <c r="CX603" s="142"/>
      <c r="DD603" s="142"/>
      <c r="DJ603" s="142"/>
      <c r="DP603" s="142"/>
      <c r="DV603" s="142"/>
      <c r="EB603" s="142"/>
    </row>
    <row r="604">
      <c r="F604" s="142"/>
      <c r="L604" s="142"/>
      <c r="R604" s="142"/>
      <c r="X604" s="142"/>
      <c r="AD604" s="142"/>
      <c r="AJ604" s="142"/>
      <c r="AP604" s="142"/>
      <c r="AV604" s="142"/>
      <c r="BB604" s="142"/>
      <c r="BH604" s="142"/>
      <c r="BN604" s="142"/>
      <c r="BT604" s="142"/>
      <c r="BZ604" s="142"/>
      <c r="CF604" s="142"/>
      <c r="CL604" s="142"/>
      <c r="CR604" s="142"/>
      <c r="CX604" s="142"/>
      <c r="DD604" s="142"/>
      <c r="DJ604" s="142"/>
      <c r="DP604" s="142"/>
      <c r="DV604" s="142"/>
      <c r="EB604" s="142"/>
    </row>
    <row r="605">
      <c r="F605" s="142"/>
      <c r="L605" s="142"/>
      <c r="R605" s="142"/>
      <c r="X605" s="142"/>
      <c r="AD605" s="142"/>
      <c r="AJ605" s="142"/>
      <c r="AP605" s="142"/>
      <c r="AV605" s="142"/>
      <c r="BB605" s="142"/>
      <c r="BH605" s="142"/>
      <c r="BN605" s="142"/>
      <c r="BT605" s="142"/>
      <c r="BZ605" s="142"/>
      <c r="CF605" s="142"/>
      <c r="CL605" s="142"/>
      <c r="CR605" s="142"/>
      <c r="CX605" s="142"/>
      <c r="DD605" s="142"/>
      <c r="DJ605" s="142"/>
      <c r="DP605" s="142"/>
      <c r="DV605" s="142"/>
      <c r="EB605" s="142"/>
    </row>
    <row r="606">
      <c r="F606" s="142"/>
      <c r="L606" s="142"/>
      <c r="R606" s="142"/>
      <c r="X606" s="142"/>
      <c r="AD606" s="142"/>
      <c r="AJ606" s="142"/>
      <c r="AP606" s="142"/>
      <c r="AV606" s="142"/>
      <c r="BB606" s="142"/>
      <c r="BH606" s="142"/>
      <c r="BN606" s="142"/>
      <c r="BT606" s="142"/>
      <c r="BZ606" s="142"/>
      <c r="CF606" s="142"/>
      <c r="CL606" s="142"/>
      <c r="CR606" s="142"/>
      <c r="CX606" s="142"/>
      <c r="DD606" s="142"/>
      <c r="DJ606" s="142"/>
      <c r="DP606" s="142"/>
      <c r="DV606" s="142"/>
      <c r="EB606" s="142"/>
    </row>
    <row r="607">
      <c r="F607" s="142"/>
      <c r="L607" s="142"/>
      <c r="R607" s="142"/>
      <c r="X607" s="142"/>
      <c r="AD607" s="142"/>
      <c r="AJ607" s="142"/>
      <c r="AP607" s="142"/>
      <c r="AV607" s="142"/>
      <c r="BB607" s="142"/>
      <c r="BH607" s="142"/>
      <c r="BN607" s="142"/>
      <c r="BT607" s="142"/>
      <c r="BZ607" s="142"/>
      <c r="CF607" s="142"/>
      <c r="CL607" s="142"/>
      <c r="CR607" s="142"/>
      <c r="CX607" s="142"/>
      <c r="DD607" s="142"/>
      <c r="DJ607" s="142"/>
      <c r="DP607" s="142"/>
      <c r="DV607" s="142"/>
      <c r="EB607" s="142"/>
    </row>
    <row r="608">
      <c r="F608" s="142"/>
      <c r="L608" s="142"/>
      <c r="R608" s="142"/>
      <c r="X608" s="142"/>
      <c r="AD608" s="142"/>
      <c r="AJ608" s="142"/>
      <c r="AP608" s="142"/>
      <c r="AV608" s="142"/>
      <c r="BB608" s="142"/>
      <c r="BH608" s="142"/>
      <c r="BN608" s="142"/>
      <c r="BT608" s="142"/>
      <c r="BZ608" s="142"/>
      <c r="CF608" s="142"/>
      <c r="CL608" s="142"/>
      <c r="CR608" s="142"/>
      <c r="CX608" s="142"/>
      <c r="DD608" s="142"/>
      <c r="DJ608" s="142"/>
      <c r="DP608" s="142"/>
      <c r="DV608" s="142"/>
      <c r="EB608" s="142"/>
    </row>
    <row r="609">
      <c r="F609" s="142"/>
      <c r="L609" s="142"/>
      <c r="R609" s="142"/>
      <c r="X609" s="142"/>
      <c r="AD609" s="142"/>
      <c r="AJ609" s="142"/>
      <c r="AP609" s="142"/>
      <c r="AV609" s="142"/>
      <c r="BB609" s="142"/>
      <c r="BH609" s="142"/>
      <c r="BN609" s="142"/>
      <c r="BT609" s="142"/>
      <c r="BZ609" s="142"/>
      <c r="CF609" s="142"/>
      <c r="CL609" s="142"/>
      <c r="CR609" s="142"/>
      <c r="CX609" s="142"/>
      <c r="DD609" s="142"/>
      <c r="DJ609" s="142"/>
      <c r="DP609" s="142"/>
      <c r="DV609" s="142"/>
      <c r="EB609" s="142"/>
    </row>
    <row r="610">
      <c r="F610" s="142"/>
      <c r="L610" s="142"/>
      <c r="R610" s="142"/>
      <c r="X610" s="142"/>
      <c r="AD610" s="142"/>
      <c r="AJ610" s="142"/>
      <c r="AP610" s="142"/>
      <c r="AV610" s="142"/>
      <c r="BB610" s="142"/>
      <c r="BH610" s="142"/>
      <c r="BN610" s="142"/>
      <c r="BT610" s="142"/>
      <c r="BZ610" s="142"/>
      <c r="CF610" s="142"/>
      <c r="CL610" s="142"/>
      <c r="CR610" s="142"/>
      <c r="CX610" s="142"/>
      <c r="DD610" s="142"/>
      <c r="DJ610" s="142"/>
      <c r="DP610" s="142"/>
      <c r="DV610" s="142"/>
      <c r="EB610" s="142"/>
    </row>
    <row r="611">
      <c r="F611" s="142"/>
      <c r="L611" s="142"/>
      <c r="R611" s="142"/>
      <c r="X611" s="142"/>
      <c r="AD611" s="142"/>
      <c r="AJ611" s="142"/>
      <c r="AP611" s="142"/>
      <c r="AV611" s="142"/>
      <c r="BB611" s="142"/>
      <c r="BH611" s="142"/>
      <c r="BN611" s="142"/>
      <c r="BT611" s="142"/>
      <c r="BZ611" s="142"/>
      <c r="CF611" s="142"/>
      <c r="CL611" s="142"/>
      <c r="CR611" s="142"/>
      <c r="CX611" s="142"/>
      <c r="DD611" s="142"/>
      <c r="DJ611" s="142"/>
      <c r="DP611" s="142"/>
      <c r="DV611" s="142"/>
      <c r="EB611" s="142"/>
    </row>
    <row r="612">
      <c r="F612" s="142"/>
      <c r="L612" s="142"/>
      <c r="R612" s="142"/>
      <c r="X612" s="142"/>
      <c r="AD612" s="142"/>
      <c r="AJ612" s="142"/>
      <c r="AP612" s="142"/>
      <c r="AV612" s="142"/>
      <c r="BB612" s="142"/>
      <c r="BH612" s="142"/>
      <c r="BN612" s="142"/>
      <c r="BT612" s="142"/>
      <c r="BZ612" s="142"/>
      <c r="CF612" s="142"/>
      <c r="CL612" s="142"/>
      <c r="CR612" s="142"/>
      <c r="CX612" s="142"/>
      <c r="DD612" s="142"/>
      <c r="DJ612" s="142"/>
      <c r="DP612" s="142"/>
      <c r="DV612" s="142"/>
      <c r="EB612" s="142"/>
    </row>
    <row r="613">
      <c r="F613" s="142"/>
      <c r="L613" s="142"/>
      <c r="R613" s="142"/>
      <c r="X613" s="142"/>
      <c r="AD613" s="142"/>
      <c r="AJ613" s="142"/>
      <c r="AP613" s="142"/>
      <c r="AV613" s="142"/>
      <c r="BB613" s="142"/>
      <c r="BH613" s="142"/>
      <c r="BN613" s="142"/>
      <c r="BT613" s="142"/>
      <c r="BZ613" s="142"/>
      <c r="CF613" s="142"/>
      <c r="CL613" s="142"/>
      <c r="CR613" s="142"/>
      <c r="CX613" s="142"/>
      <c r="DD613" s="142"/>
      <c r="DJ613" s="142"/>
      <c r="DP613" s="142"/>
      <c r="DV613" s="142"/>
      <c r="EB613" s="142"/>
    </row>
    <row r="614">
      <c r="F614" s="142"/>
      <c r="L614" s="142"/>
      <c r="R614" s="142"/>
      <c r="X614" s="142"/>
      <c r="AD614" s="142"/>
      <c r="AJ614" s="142"/>
      <c r="AP614" s="142"/>
      <c r="AV614" s="142"/>
      <c r="BB614" s="142"/>
      <c r="BH614" s="142"/>
      <c r="BN614" s="142"/>
      <c r="BT614" s="142"/>
      <c r="BZ614" s="142"/>
      <c r="CF614" s="142"/>
      <c r="CL614" s="142"/>
      <c r="CR614" s="142"/>
      <c r="CX614" s="142"/>
      <c r="DD614" s="142"/>
      <c r="DJ614" s="142"/>
      <c r="DP614" s="142"/>
      <c r="DV614" s="142"/>
      <c r="EB614" s="142"/>
    </row>
    <row r="615">
      <c r="F615" s="142"/>
      <c r="L615" s="142"/>
      <c r="R615" s="142"/>
      <c r="X615" s="142"/>
      <c r="AD615" s="142"/>
      <c r="AJ615" s="142"/>
      <c r="AP615" s="142"/>
      <c r="AV615" s="142"/>
      <c r="BB615" s="142"/>
      <c r="BH615" s="142"/>
      <c r="BN615" s="142"/>
      <c r="BT615" s="142"/>
      <c r="BZ615" s="142"/>
      <c r="CF615" s="142"/>
      <c r="CL615" s="142"/>
      <c r="CR615" s="142"/>
      <c r="CX615" s="142"/>
      <c r="DD615" s="142"/>
      <c r="DJ615" s="142"/>
      <c r="DP615" s="142"/>
      <c r="DV615" s="142"/>
      <c r="EB615" s="142"/>
    </row>
    <row r="616">
      <c r="F616" s="142"/>
      <c r="L616" s="142"/>
      <c r="R616" s="142"/>
      <c r="X616" s="142"/>
      <c r="AD616" s="142"/>
      <c r="AJ616" s="142"/>
      <c r="AP616" s="142"/>
      <c r="AV616" s="142"/>
      <c r="BB616" s="142"/>
      <c r="BH616" s="142"/>
      <c r="BN616" s="142"/>
      <c r="BT616" s="142"/>
      <c r="BZ616" s="142"/>
      <c r="CF616" s="142"/>
      <c r="CL616" s="142"/>
      <c r="CR616" s="142"/>
      <c r="CX616" s="142"/>
      <c r="DD616" s="142"/>
      <c r="DJ616" s="142"/>
      <c r="DP616" s="142"/>
      <c r="DV616" s="142"/>
      <c r="EB616" s="142"/>
    </row>
    <row r="617">
      <c r="F617" s="142"/>
      <c r="L617" s="142"/>
      <c r="R617" s="142"/>
      <c r="X617" s="142"/>
      <c r="AD617" s="142"/>
      <c r="AJ617" s="142"/>
      <c r="AP617" s="142"/>
      <c r="AV617" s="142"/>
      <c r="BB617" s="142"/>
      <c r="BH617" s="142"/>
      <c r="BN617" s="142"/>
      <c r="BT617" s="142"/>
      <c r="BZ617" s="142"/>
      <c r="CF617" s="142"/>
      <c r="CL617" s="142"/>
      <c r="CR617" s="142"/>
      <c r="CX617" s="142"/>
      <c r="DD617" s="142"/>
      <c r="DJ617" s="142"/>
      <c r="DP617" s="142"/>
      <c r="DV617" s="142"/>
      <c r="EB617" s="142"/>
    </row>
    <row r="618">
      <c r="F618" s="142"/>
      <c r="L618" s="142"/>
      <c r="R618" s="142"/>
      <c r="X618" s="142"/>
      <c r="AD618" s="142"/>
      <c r="AJ618" s="142"/>
      <c r="AP618" s="142"/>
      <c r="AV618" s="142"/>
      <c r="BB618" s="142"/>
      <c r="BH618" s="142"/>
      <c r="BN618" s="142"/>
      <c r="BT618" s="142"/>
      <c r="BZ618" s="142"/>
      <c r="CF618" s="142"/>
      <c r="CL618" s="142"/>
      <c r="CR618" s="142"/>
      <c r="CX618" s="142"/>
      <c r="DD618" s="142"/>
      <c r="DJ618" s="142"/>
      <c r="DP618" s="142"/>
      <c r="DV618" s="142"/>
      <c r="EB618" s="142"/>
    </row>
    <row r="619">
      <c r="F619" s="142"/>
      <c r="L619" s="142"/>
      <c r="R619" s="142"/>
      <c r="X619" s="142"/>
      <c r="AD619" s="142"/>
      <c r="AJ619" s="142"/>
      <c r="AP619" s="142"/>
      <c r="AV619" s="142"/>
      <c r="BB619" s="142"/>
      <c r="BH619" s="142"/>
      <c r="BN619" s="142"/>
      <c r="BT619" s="142"/>
      <c r="BZ619" s="142"/>
      <c r="CF619" s="142"/>
      <c r="CL619" s="142"/>
      <c r="CR619" s="142"/>
      <c r="CX619" s="142"/>
      <c r="DD619" s="142"/>
      <c r="DJ619" s="142"/>
      <c r="DP619" s="142"/>
      <c r="DV619" s="142"/>
      <c r="EB619" s="142"/>
    </row>
    <row r="620">
      <c r="F620" s="142"/>
      <c r="L620" s="142"/>
      <c r="R620" s="142"/>
      <c r="X620" s="142"/>
      <c r="AD620" s="142"/>
      <c r="AJ620" s="142"/>
      <c r="AP620" s="142"/>
      <c r="AV620" s="142"/>
      <c r="BB620" s="142"/>
      <c r="BH620" s="142"/>
      <c r="BN620" s="142"/>
      <c r="BT620" s="142"/>
      <c r="BZ620" s="142"/>
      <c r="CF620" s="142"/>
      <c r="CL620" s="142"/>
      <c r="CR620" s="142"/>
      <c r="CX620" s="142"/>
      <c r="DD620" s="142"/>
      <c r="DJ620" s="142"/>
      <c r="DP620" s="142"/>
      <c r="DV620" s="142"/>
      <c r="EB620" s="142"/>
    </row>
    <row r="621">
      <c r="F621" s="142"/>
      <c r="L621" s="142"/>
      <c r="R621" s="142"/>
      <c r="X621" s="142"/>
      <c r="AD621" s="142"/>
      <c r="AJ621" s="142"/>
      <c r="AP621" s="142"/>
      <c r="AV621" s="142"/>
      <c r="BB621" s="142"/>
      <c r="BH621" s="142"/>
      <c r="BN621" s="142"/>
      <c r="BT621" s="142"/>
      <c r="BZ621" s="142"/>
      <c r="CF621" s="142"/>
      <c r="CL621" s="142"/>
      <c r="CR621" s="142"/>
      <c r="CX621" s="142"/>
      <c r="DD621" s="142"/>
      <c r="DJ621" s="142"/>
      <c r="DP621" s="142"/>
      <c r="DV621" s="142"/>
      <c r="EB621" s="142"/>
    </row>
    <row r="622">
      <c r="F622" s="142"/>
      <c r="L622" s="142"/>
      <c r="R622" s="142"/>
      <c r="X622" s="142"/>
      <c r="AD622" s="142"/>
      <c r="AJ622" s="142"/>
      <c r="AP622" s="142"/>
      <c r="AV622" s="142"/>
      <c r="BB622" s="142"/>
      <c r="BH622" s="142"/>
      <c r="BN622" s="142"/>
      <c r="BT622" s="142"/>
      <c r="BZ622" s="142"/>
      <c r="CF622" s="142"/>
      <c r="CL622" s="142"/>
      <c r="CR622" s="142"/>
      <c r="CX622" s="142"/>
      <c r="DD622" s="142"/>
      <c r="DJ622" s="142"/>
      <c r="DP622" s="142"/>
      <c r="DV622" s="142"/>
      <c r="EB622" s="142"/>
    </row>
    <row r="623">
      <c r="F623" s="142"/>
      <c r="L623" s="142"/>
      <c r="R623" s="142"/>
      <c r="X623" s="142"/>
      <c r="AD623" s="142"/>
      <c r="AJ623" s="142"/>
      <c r="AP623" s="142"/>
      <c r="AV623" s="142"/>
      <c r="BB623" s="142"/>
      <c r="BH623" s="142"/>
      <c r="BN623" s="142"/>
      <c r="BT623" s="142"/>
      <c r="BZ623" s="142"/>
      <c r="CF623" s="142"/>
      <c r="CL623" s="142"/>
      <c r="CR623" s="142"/>
      <c r="CX623" s="142"/>
      <c r="DD623" s="142"/>
      <c r="DJ623" s="142"/>
      <c r="DP623" s="142"/>
      <c r="DV623" s="142"/>
      <c r="EB623" s="142"/>
    </row>
    <row r="624">
      <c r="F624" s="142"/>
      <c r="L624" s="142"/>
      <c r="R624" s="142"/>
      <c r="X624" s="142"/>
      <c r="AD624" s="142"/>
      <c r="AJ624" s="142"/>
      <c r="AP624" s="142"/>
      <c r="AV624" s="142"/>
      <c r="BB624" s="142"/>
      <c r="BH624" s="142"/>
      <c r="BN624" s="142"/>
      <c r="BT624" s="142"/>
      <c r="BZ624" s="142"/>
      <c r="CF624" s="142"/>
      <c r="CL624" s="142"/>
      <c r="CR624" s="142"/>
      <c r="CX624" s="142"/>
      <c r="DD624" s="142"/>
      <c r="DJ624" s="142"/>
      <c r="DP624" s="142"/>
      <c r="DV624" s="142"/>
      <c r="EB624" s="142"/>
    </row>
    <row r="625">
      <c r="F625" s="142"/>
      <c r="L625" s="142"/>
      <c r="R625" s="142"/>
      <c r="X625" s="142"/>
      <c r="AD625" s="142"/>
      <c r="AJ625" s="142"/>
      <c r="AP625" s="142"/>
      <c r="AV625" s="142"/>
      <c r="BB625" s="142"/>
      <c r="BH625" s="142"/>
      <c r="BN625" s="142"/>
      <c r="BT625" s="142"/>
      <c r="BZ625" s="142"/>
      <c r="CF625" s="142"/>
      <c r="CL625" s="142"/>
      <c r="CR625" s="142"/>
      <c r="CX625" s="142"/>
      <c r="DD625" s="142"/>
      <c r="DJ625" s="142"/>
      <c r="DP625" s="142"/>
      <c r="DV625" s="142"/>
      <c r="EB625" s="142"/>
    </row>
    <row r="626">
      <c r="F626" s="142"/>
      <c r="L626" s="142"/>
      <c r="R626" s="142"/>
      <c r="X626" s="142"/>
      <c r="AD626" s="142"/>
      <c r="AJ626" s="142"/>
      <c r="AP626" s="142"/>
      <c r="AV626" s="142"/>
      <c r="BB626" s="142"/>
      <c r="BH626" s="142"/>
      <c r="BN626" s="142"/>
      <c r="BT626" s="142"/>
      <c r="BZ626" s="142"/>
      <c r="CF626" s="142"/>
      <c r="CL626" s="142"/>
      <c r="CR626" s="142"/>
      <c r="CX626" s="142"/>
      <c r="DD626" s="142"/>
      <c r="DJ626" s="142"/>
      <c r="DP626" s="142"/>
      <c r="DV626" s="142"/>
      <c r="EB626" s="142"/>
    </row>
    <row r="627">
      <c r="F627" s="142"/>
      <c r="L627" s="142"/>
      <c r="R627" s="142"/>
      <c r="X627" s="142"/>
      <c r="AD627" s="142"/>
      <c r="AJ627" s="142"/>
      <c r="AP627" s="142"/>
      <c r="AV627" s="142"/>
      <c r="BB627" s="142"/>
      <c r="BH627" s="142"/>
      <c r="BN627" s="142"/>
      <c r="BT627" s="142"/>
      <c r="BZ627" s="142"/>
      <c r="CF627" s="142"/>
      <c r="CL627" s="142"/>
      <c r="CR627" s="142"/>
      <c r="CX627" s="142"/>
      <c r="DD627" s="142"/>
      <c r="DJ627" s="142"/>
      <c r="DP627" s="142"/>
      <c r="DV627" s="142"/>
      <c r="EB627" s="142"/>
    </row>
    <row r="628">
      <c r="F628" s="142"/>
      <c r="L628" s="142"/>
      <c r="R628" s="142"/>
      <c r="X628" s="142"/>
      <c r="AD628" s="142"/>
      <c r="AJ628" s="142"/>
      <c r="AP628" s="142"/>
      <c r="AV628" s="142"/>
      <c r="BB628" s="142"/>
      <c r="BH628" s="142"/>
      <c r="BN628" s="142"/>
      <c r="BT628" s="142"/>
      <c r="BZ628" s="142"/>
      <c r="CF628" s="142"/>
      <c r="CL628" s="142"/>
      <c r="CR628" s="142"/>
      <c r="CX628" s="142"/>
      <c r="DD628" s="142"/>
      <c r="DJ628" s="142"/>
      <c r="DP628" s="142"/>
      <c r="DV628" s="142"/>
      <c r="EB628" s="142"/>
    </row>
    <row r="629">
      <c r="F629" s="142"/>
      <c r="L629" s="142"/>
      <c r="R629" s="142"/>
      <c r="X629" s="142"/>
      <c r="AD629" s="142"/>
      <c r="AJ629" s="142"/>
      <c r="AP629" s="142"/>
      <c r="AV629" s="142"/>
      <c r="BB629" s="142"/>
      <c r="BH629" s="142"/>
      <c r="BN629" s="142"/>
      <c r="BT629" s="142"/>
      <c r="BZ629" s="142"/>
      <c r="CF629" s="142"/>
      <c r="CL629" s="142"/>
      <c r="CR629" s="142"/>
      <c r="CX629" s="142"/>
      <c r="DD629" s="142"/>
      <c r="DJ629" s="142"/>
      <c r="DP629" s="142"/>
      <c r="DV629" s="142"/>
      <c r="EB629" s="142"/>
    </row>
    <row r="630">
      <c r="F630" s="142"/>
      <c r="L630" s="142"/>
      <c r="R630" s="142"/>
      <c r="X630" s="142"/>
      <c r="AD630" s="142"/>
      <c r="AJ630" s="142"/>
      <c r="AP630" s="142"/>
      <c r="AV630" s="142"/>
      <c r="BB630" s="142"/>
      <c r="BH630" s="142"/>
      <c r="BN630" s="142"/>
      <c r="BT630" s="142"/>
      <c r="BZ630" s="142"/>
      <c r="CF630" s="142"/>
      <c r="CL630" s="142"/>
      <c r="CR630" s="142"/>
      <c r="CX630" s="142"/>
      <c r="DD630" s="142"/>
      <c r="DJ630" s="142"/>
      <c r="DP630" s="142"/>
      <c r="DV630" s="142"/>
      <c r="EB630" s="142"/>
    </row>
    <row r="631">
      <c r="F631" s="142"/>
      <c r="L631" s="142"/>
      <c r="R631" s="142"/>
      <c r="X631" s="142"/>
      <c r="AD631" s="142"/>
      <c r="AJ631" s="142"/>
      <c r="AP631" s="142"/>
      <c r="AV631" s="142"/>
      <c r="BB631" s="142"/>
      <c r="BH631" s="142"/>
      <c r="BN631" s="142"/>
      <c r="BT631" s="142"/>
      <c r="BZ631" s="142"/>
      <c r="CF631" s="142"/>
      <c r="CL631" s="142"/>
      <c r="CR631" s="142"/>
      <c r="CX631" s="142"/>
      <c r="DD631" s="142"/>
      <c r="DJ631" s="142"/>
      <c r="DP631" s="142"/>
      <c r="DV631" s="142"/>
      <c r="EB631" s="142"/>
    </row>
    <row r="632">
      <c r="F632" s="142"/>
      <c r="L632" s="142"/>
      <c r="R632" s="142"/>
      <c r="X632" s="142"/>
      <c r="AD632" s="142"/>
      <c r="AJ632" s="142"/>
      <c r="AP632" s="142"/>
      <c r="AV632" s="142"/>
      <c r="BB632" s="142"/>
      <c r="BH632" s="142"/>
      <c r="BN632" s="142"/>
      <c r="BT632" s="142"/>
      <c r="BZ632" s="142"/>
      <c r="CF632" s="142"/>
      <c r="CL632" s="142"/>
      <c r="CR632" s="142"/>
      <c r="CX632" s="142"/>
      <c r="DD632" s="142"/>
      <c r="DJ632" s="142"/>
      <c r="DP632" s="142"/>
      <c r="DV632" s="142"/>
      <c r="EB632" s="142"/>
    </row>
    <row r="633">
      <c r="F633" s="142"/>
      <c r="L633" s="142"/>
      <c r="R633" s="142"/>
      <c r="X633" s="142"/>
      <c r="AD633" s="142"/>
      <c r="AJ633" s="142"/>
      <c r="AP633" s="142"/>
      <c r="AV633" s="142"/>
      <c r="BB633" s="142"/>
      <c r="BH633" s="142"/>
      <c r="BN633" s="142"/>
      <c r="BT633" s="142"/>
      <c r="BZ633" s="142"/>
      <c r="CF633" s="142"/>
      <c r="CL633" s="142"/>
      <c r="CR633" s="142"/>
      <c r="CX633" s="142"/>
      <c r="DD633" s="142"/>
      <c r="DJ633" s="142"/>
      <c r="DP633" s="142"/>
      <c r="DV633" s="142"/>
      <c r="EB633" s="142"/>
    </row>
    <row r="634">
      <c r="F634" s="142"/>
      <c r="L634" s="142"/>
      <c r="R634" s="142"/>
      <c r="X634" s="142"/>
      <c r="AD634" s="142"/>
      <c r="AJ634" s="142"/>
      <c r="AP634" s="142"/>
      <c r="AV634" s="142"/>
      <c r="BB634" s="142"/>
      <c r="BH634" s="142"/>
      <c r="BN634" s="142"/>
      <c r="BT634" s="142"/>
      <c r="BZ634" s="142"/>
      <c r="CF634" s="142"/>
      <c r="CL634" s="142"/>
      <c r="CR634" s="142"/>
      <c r="CX634" s="142"/>
      <c r="DD634" s="142"/>
      <c r="DJ634" s="142"/>
      <c r="DP634" s="142"/>
      <c r="DV634" s="142"/>
      <c r="EB634" s="142"/>
    </row>
    <row r="635">
      <c r="F635" s="142"/>
      <c r="L635" s="142"/>
      <c r="R635" s="142"/>
      <c r="X635" s="142"/>
      <c r="AD635" s="142"/>
      <c r="AJ635" s="142"/>
      <c r="AP635" s="142"/>
      <c r="AV635" s="142"/>
      <c r="BB635" s="142"/>
      <c r="BH635" s="142"/>
      <c r="BN635" s="142"/>
      <c r="BT635" s="142"/>
      <c r="BZ635" s="142"/>
      <c r="CF635" s="142"/>
      <c r="CL635" s="142"/>
      <c r="CR635" s="142"/>
      <c r="CX635" s="142"/>
      <c r="DD635" s="142"/>
      <c r="DJ635" s="142"/>
      <c r="DP635" s="142"/>
      <c r="DV635" s="142"/>
      <c r="EB635" s="142"/>
    </row>
    <row r="636">
      <c r="F636" s="142"/>
      <c r="L636" s="142"/>
      <c r="R636" s="142"/>
      <c r="X636" s="142"/>
      <c r="AD636" s="142"/>
      <c r="AJ636" s="142"/>
      <c r="AP636" s="142"/>
      <c r="AV636" s="142"/>
      <c r="BB636" s="142"/>
      <c r="BH636" s="142"/>
      <c r="BN636" s="142"/>
      <c r="BT636" s="142"/>
      <c r="BZ636" s="142"/>
      <c r="CF636" s="142"/>
      <c r="CL636" s="142"/>
      <c r="CR636" s="142"/>
      <c r="CX636" s="142"/>
      <c r="DD636" s="142"/>
      <c r="DJ636" s="142"/>
      <c r="DP636" s="142"/>
      <c r="DV636" s="142"/>
      <c r="EB636" s="142"/>
    </row>
    <row r="637">
      <c r="F637" s="142"/>
      <c r="L637" s="142"/>
      <c r="R637" s="142"/>
      <c r="X637" s="142"/>
      <c r="AD637" s="142"/>
      <c r="AJ637" s="142"/>
      <c r="AP637" s="142"/>
      <c r="AV637" s="142"/>
      <c r="BB637" s="142"/>
      <c r="BH637" s="142"/>
      <c r="BN637" s="142"/>
      <c r="BT637" s="142"/>
      <c r="BZ637" s="142"/>
      <c r="CF637" s="142"/>
      <c r="CL637" s="142"/>
      <c r="CR637" s="142"/>
      <c r="CX637" s="142"/>
      <c r="DD637" s="142"/>
      <c r="DJ637" s="142"/>
      <c r="DP637" s="142"/>
      <c r="DV637" s="142"/>
      <c r="EB637" s="142"/>
    </row>
    <row r="638">
      <c r="F638" s="142"/>
      <c r="L638" s="142"/>
      <c r="R638" s="142"/>
      <c r="X638" s="142"/>
      <c r="AD638" s="142"/>
      <c r="AJ638" s="142"/>
      <c r="AP638" s="142"/>
      <c r="AV638" s="142"/>
      <c r="BB638" s="142"/>
      <c r="BH638" s="142"/>
      <c r="BN638" s="142"/>
      <c r="BT638" s="142"/>
      <c r="BZ638" s="142"/>
      <c r="CF638" s="142"/>
      <c r="CL638" s="142"/>
      <c r="CR638" s="142"/>
      <c r="CX638" s="142"/>
      <c r="DD638" s="142"/>
      <c r="DJ638" s="142"/>
      <c r="DP638" s="142"/>
      <c r="DV638" s="142"/>
      <c r="EB638" s="142"/>
    </row>
    <row r="639">
      <c r="F639" s="142"/>
      <c r="L639" s="142"/>
      <c r="R639" s="142"/>
      <c r="X639" s="142"/>
      <c r="AD639" s="142"/>
      <c r="AJ639" s="142"/>
      <c r="AP639" s="142"/>
      <c r="AV639" s="142"/>
      <c r="BB639" s="142"/>
      <c r="BH639" s="142"/>
      <c r="BN639" s="142"/>
      <c r="BT639" s="142"/>
      <c r="BZ639" s="142"/>
      <c r="CF639" s="142"/>
      <c r="CL639" s="142"/>
      <c r="CR639" s="142"/>
      <c r="CX639" s="142"/>
      <c r="DD639" s="142"/>
      <c r="DJ639" s="142"/>
      <c r="DP639" s="142"/>
      <c r="DV639" s="142"/>
      <c r="EB639" s="142"/>
    </row>
    <row r="640">
      <c r="F640" s="142"/>
      <c r="L640" s="142"/>
      <c r="R640" s="142"/>
      <c r="X640" s="142"/>
      <c r="AD640" s="142"/>
      <c r="AJ640" s="142"/>
      <c r="AP640" s="142"/>
      <c r="AV640" s="142"/>
      <c r="BB640" s="142"/>
      <c r="BH640" s="142"/>
      <c r="BN640" s="142"/>
      <c r="BT640" s="142"/>
      <c r="BZ640" s="142"/>
      <c r="CF640" s="142"/>
      <c r="CL640" s="142"/>
      <c r="CR640" s="142"/>
      <c r="CX640" s="142"/>
      <c r="DD640" s="142"/>
      <c r="DJ640" s="142"/>
      <c r="DP640" s="142"/>
      <c r="DV640" s="142"/>
      <c r="EB640" s="142"/>
    </row>
    <row r="641">
      <c r="F641" s="142"/>
      <c r="L641" s="142"/>
      <c r="R641" s="142"/>
      <c r="X641" s="142"/>
      <c r="AD641" s="142"/>
      <c r="AJ641" s="142"/>
      <c r="AP641" s="142"/>
      <c r="AV641" s="142"/>
      <c r="BB641" s="142"/>
      <c r="BH641" s="142"/>
      <c r="BN641" s="142"/>
      <c r="BT641" s="142"/>
      <c r="BZ641" s="142"/>
      <c r="CF641" s="142"/>
      <c r="CL641" s="142"/>
      <c r="CR641" s="142"/>
      <c r="CX641" s="142"/>
      <c r="DD641" s="142"/>
      <c r="DJ641" s="142"/>
      <c r="DP641" s="142"/>
      <c r="DV641" s="142"/>
      <c r="EB641" s="142"/>
    </row>
    <row r="642">
      <c r="F642" s="142"/>
      <c r="L642" s="142"/>
      <c r="R642" s="142"/>
      <c r="X642" s="142"/>
      <c r="AD642" s="142"/>
      <c r="AJ642" s="142"/>
      <c r="AP642" s="142"/>
      <c r="AV642" s="142"/>
      <c r="BB642" s="142"/>
      <c r="BH642" s="142"/>
      <c r="BN642" s="142"/>
      <c r="BT642" s="142"/>
      <c r="BZ642" s="142"/>
      <c r="CF642" s="142"/>
      <c r="CL642" s="142"/>
      <c r="CR642" s="142"/>
      <c r="CX642" s="142"/>
      <c r="DD642" s="142"/>
      <c r="DJ642" s="142"/>
      <c r="DP642" s="142"/>
      <c r="DV642" s="142"/>
      <c r="EB642" s="142"/>
    </row>
    <row r="643">
      <c r="F643" s="142"/>
      <c r="L643" s="142"/>
      <c r="R643" s="142"/>
      <c r="X643" s="142"/>
      <c r="AD643" s="142"/>
      <c r="AJ643" s="142"/>
      <c r="AP643" s="142"/>
      <c r="AV643" s="142"/>
      <c r="BB643" s="142"/>
      <c r="BH643" s="142"/>
      <c r="BN643" s="142"/>
      <c r="BT643" s="142"/>
      <c r="BZ643" s="142"/>
      <c r="CF643" s="142"/>
      <c r="CL643" s="142"/>
      <c r="CR643" s="142"/>
      <c r="CX643" s="142"/>
      <c r="DD643" s="142"/>
      <c r="DJ643" s="142"/>
      <c r="DP643" s="142"/>
      <c r="DV643" s="142"/>
      <c r="EB643" s="142"/>
    </row>
    <row r="644">
      <c r="F644" s="142"/>
      <c r="L644" s="142"/>
      <c r="R644" s="142"/>
      <c r="X644" s="142"/>
      <c r="AD644" s="142"/>
      <c r="AJ644" s="142"/>
      <c r="AP644" s="142"/>
      <c r="AV644" s="142"/>
      <c r="BB644" s="142"/>
      <c r="BH644" s="142"/>
      <c r="BN644" s="142"/>
      <c r="BT644" s="142"/>
      <c r="BZ644" s="142"/>
      <c r="CF644" s="142"/>
      <c r="CL644" s="142"/>
      <c r="CR644" s="142"/>
      <c r="CX644" s="142"/>
      <c r="DD644" s="142"/>
      <c r="DJ644" s="142"/>
      <c r="DP644" s="142"/>
      <c r="DV644" s="142"/>
      <c r="EB644" s="142"/>
    </row>
    <row r="645">
      <c r="F645" s="142"/>
      <c r="L645" s="142"/>
      <c r="R645" s="142"/>
      <c r="X645" s="142"/>
      <c r="AD645" s="142"/>
      <c r="AJ645" s="142"/>
      <c r="AP645" s="142"/>
      <c r="AV645" s="142"/>
      <c r="BB645" s="142"/>
      <c r="BH645" s="142"/>
      <c r="BN645" s="142"/>
      <c r="BT645" s="142"/>
      <c r="BZ645" s="142"/>
      <c r="CF645" s="142"/>
      <c r="CL645" s="142"/>
      <c r="CR645" s="142"/>
      <c r="CX645" s="142"/>
      <c r="DD645" s="142"/>
      <c r="DJ645" s="142"/>
      <c r="DP645" s="142"/>
      <c r="DV645" s="142"/>
      <c r="EB645" s="142"/>
    </row>
    <row r="646">
      <c r="F646" s="142"/>
      <c r="L646" s="142"/>
      <c r="R646" s="142"/>
      <c r="X646" s="142"/>
      <c r="AD646" s="142"/>
      <c r="AJ646" s="142"/>
      <c r="AP646" s="142"/>
      <c r="AV646" s="142"/>
      <c r="BB646" s="142"/>
      <c r="BH646" s="142"/>
      <c r="BN646" s="142"/>
      <c r="BT646" s="142"/>
      <c r="BZ646" s="142"/>
      <c r="CF646" s="142"/>
      <c r="CL646" s="142"/>
      <c r="CR646" s="142"/>
      <c r="CX646" s="142"/>
      <c r="DD646" s="142"/>
      <c r="DJ646" s="142"/>
      <c r="DP646" s="142"/>
      <c r="DV646" s="142"/>
      <c r="EB646" s="142"/>
    </row>
    <row r="647">
      <c r="F647" s="142"/>
      <c r="L647" s="142"/>
      <c r="R647" s="142"/>
      <c r="X647" s="142"/>
      <c r="AD647" s="142"/>
      <c r="AJ647" s="142"/>
      <c r="AP647" s="142"/>
      <c r="AV647" s="142"/>
      <c r="BB647" s="142"/>
      <c r="BH647" s="142"/>
      <c r="BN647" s="142"/>
      <c r="BT647" s="142"/>
      <c r="BZ647" s="142"/>
      <c r="CF647" s="142"/>
      <c r="CL647" s="142"/>
      <c r="CR647" s="142"/>
      <c r="CX647" s="142"/>
      <c r="DD647" s="142"/>
      <c r="DJ647" s="142"/>
      <c r="DP647" s="142"/>
      <c r="DV647" s="142"/>
      <c r="EB647" s="142"/>
    </row>
    <row r="648">
      <c r="F648" s="142"/>
      <c r="L648" s="142"/>
      <c r="R648" s="142"/>
      <c r="X648" s="142"/>
      <c r="AD648" s="142"/>
      <c r="AJ648" s="142"/>
      <c r="AP648" s="142"/>
      <c r="AV648" s="142"/>
      <c r="BB648" s="142"/>
      <c r="BH648" s="142"/>
      <c r="BN648" s="142"/>
      <c r="BT648" s="142"/>
      <c r="BZ648" s="142"/>
      <c r="CF648" s="142"/>
      <c r="CL648" s="142"/>
      <c r="CR648" s="142"/>
      <c r="CX648" s="142"/>
      <c r="DD648" s="142"/>
      <c r="DJ648" s="142"/>
      <c r="DP648" s="142"/>
      <c r="DV648" s="142"/>
      <c r="EB648" s="142"/>
    </row>
    <row r="649">
      <c r="F649" s="142"/>
      <c r="L649" s="142"/>
      <c r="R649" s="142"/>
      <c r="X649" s="142"/>
      <c r="AD649" s="142"/>
      <c r="AJ649" s="142"/>
      <c r="AP649" s="142"/>
      <c r="AV649" s="142"/>
      <c r="BB649" s="142"/>
      <c r="BH649" s="142"/>
      <c r="BN649" s="142"/>
      <c r="BT649" s="142"/>
      <c r="BZ649" s="142"/>
      <c r="CF649" s="142"/>
      <c r="CL649" s="142"/>
      <c r="CR649" s="142"/>
      <c r="CX649" s="142"/>
      <c r="DD649" s="142"/>
      <c r="DJ649" s="142"/>
      <c r="DP649" s="142"/>
      <c r="DV649" s="142"/>
      <c r="EB649" s="142"/>
    </row>
    <row r="650">
      <c r="F650" s="142"/>
      <c r="L650" s="142"/>
      <c r="R650" s="142"/>
      <c r="X650" s="142"/>
      <c r="AD650" s="142"/>
      <c r="AJ650" s="142"/>
      <c r="AP650" s="142"/>
      <c r="AV650" s="142"/>
      <c r="BB650" s="142"/>
      <c r="BH650" s="142"/>
      <c r="BN650" s="142"/>
      <c r="BT650" s="142"/>
      <c r="BZ650" s="142"/>
      <c r="CF650" s="142"/>
      <c r="CL650" s="142"/>
      <c r="CR650" s="142"/>
      <c r="CX650" s="142"/>
      <c r="DD650" s="142"/>
      <c r="DJ650" s="142"/>
      <c r="DP650" s="142"/>
      <c r="DV650" s="142"/>
      <c r="EB650" s="142"/>
    </row>
    <row r="651">
      <c r="F651" s="142"/>
      <c r="L651" s="142"/>
      <c r="R651" s="142"/>
      <c r="X651" s="142"/>
      <c r="AD651" s="142"/>
      <c r="AJ651" s="142"/>
      <c r="AP651" s="142"/>
      <c r="AV651" s="142"/>
      <c r="BB651" s="142"/>
      <c r="BH651" s="142"/>
      <c r="BN651" s="142"/>
      <c r="BT651" s="142"/>
      <c r="BZ651" s="142"/>
      <c r="CF651" s="142"/>
      <c r="CL651" s="142"/>
      <c r="CR651" s="142"/>
      <c r="CX651" s="142"/>
      <c r="DD651" s="142"/>
      <c r="DJ651" s="142"/>
      <c r="DP651" s="142"/>
      <c r="DV651" s="142"/>
      <c r="EB651" s="142"/>
    </row>
    <row r="652">
      <c r="F652" s="142"/>
      <c r="L652" s="142"/>
      <c r="R652" s="142"/>
      <c r="X652" s="142"/>
      <c r="AD652" s="142"/>
      <c r="AJ652" s="142"/>
      <c r="AP652" s="142"/>
      <c r="AV652" s="142"/>
      <c r="BB652" s="142"/>
      <c r="BH652" s="142"/>
      <c r="BN652" s="142"/>
      <c r="BT652" s="142"/>
      <c r="BZ652" s="142"/>
      <c r="CF652" s="142"/>
      <c r="CL652" s="142"/>
      <c r="CR652" s="142"/>
      <c r="CX652" s="142"/>
      <c r="DD652" s="142"/>
      <c r="DJ652" s="142"/>
      <c r="DP652" s="142"/>
      <c r="DV652" s="142"/>
      <c r="EB652" s="142"/>
    </row>
    <row r="653">
      <c r="F653" s="142"/>
      <c r="L653" s="142"/>
      <c r="R653" s="142"/>
      <c r="X653" s="142"/>
      <c r="AD653" s="142"/>
      <c r="AJ653" s="142"/>
      <c r="AP653" s="142"/>
      <c r="AV653" s="142"/>
      <c r="BB653" s="142"/>
      <c r="BH653" s="142"/>
      <c r="BN653" s="142"/>
      <c r="BT653" s="142"/>
      <c r="BZ653" s="142"/>
      <c r="CF653" s="142"/>
      <c r="CL653" s="142"/>
      <c r="CR653" s="142"/>
      <c r="CX653" s="142"/>
      <c r="DD653" s="142"/>
      <c r="DJ653" s="142"/>
      <c r="DP653" s="142"/>
      <c r="DV653" s="142"/>
      <c r="EB653" s="142"/>
    </row>
    <row r="654">
      <c r="F654" s="142"/>
      <c r="L654" s="142"/>
      <c r="R654" s="142"/>
      <c r="X654" s="142"/>
      <c r="AD654" s="142"/>
      <c r="AJ654" s="142"/>
      <c r="AP654" s="142"/>
      <c r="AV654" s="142"/>
      <c r="BB654" s="142"/>
      <c r="BH654" s="142"/>
      <c r="BN654" s="142"/>
      <c r="BT654" s="142"/>
      <c r="BZ654" s="142"/>
      <c r="CF654" s="142"/>
      <c r="CL654" s="142"/>
      <c r="CR654" s="142"/>
      <c r="CX654" s="142"/>
      <c r="DD654" s="142"/>
      <c r="DJ654" s="142"/>
      <c r="DP654" s="142"/>
      <c r="DV654" s="142"/>
      <c r="EB654" s="142"/>
    </row>
    <row r="655">
      <c r="F655" s="142"/>
      <c r="L655" s="142"/>
      <c r="R655" s="142"/>
      <c r="X655" s="142"/>
      <c r="AD655" s="142"/>
      <c r="AJ655" s="142"/>
      <c r="AP655" s="142"/>
      <c r="AV655" s="142"/>
      <c r="BB655" s="142"/>
      <c r="BH655" s="142"/>
      <c r="BN655" s="142"/>
      <c r="BT655" s="142"/>
      <c r="BZ655" s="142"/>
      <c r="CF655" s="142"/>
      <c r="CL655" s="142"/>
      <c r="CR655" s="142"/>
      <c r="CX655" s="142"/>
      <c r="DD655" s="142"/>
      <c r="DJ655" s="142"/>
      <c r="DP655" s="142"/>
      <c r="DV655" s="142"/>
      <c r="EB655" s="142"/>
    </row>
    <row r="656">
      <c r="F656" s="142"/>
      <c r="L656" s="142"/>
      <c r="R656" s="142"/>
      <c r="X656" s="142"/>
      <c r="AD656" s="142"/>
      <c r="AJ656" s="142"/>
      <c r="AP656" s="142"/>
      <c r="AV656" s="142"/>
      <c r="BB656" s="142"/>
      <c r="BH656" s="142"/>
      <c r="BN656" s="142"/>
      <c r="BT656" s="142"/>
      <c r="BZ656" s="142"/>
      <c r="CF656" s="142"/>
      <c r="CL656" s="142"/>
      <c r="CR656" s="142"/>
      <c r="CX656" s="142"/>
      <c r="DD656" s="142"/>
      <c r="DJ656" s="142"/>
      <c r="DP656" s="142"/>
      <c r="DV656" s="142"/>
      <c r="EB656" s="142"/>
    </row>
    <row r="657">
      <c r="F657" s="142"/>
      <c r="L657" s="142"/>
      <c r="R657" s="142"/>
      <c r="X657" s="142"/>
      <c r="AD657" s="142"/>
      <c r="AJ657" s="142"/>
      <c r="AP657" s="142"/>
      <c r="AV657" s="142"/>
      <c r="BB657" s="142"/>
      <c r="BH657" s="142"/>
      <c r="BN657" s="142"/>
      <c r="BT657" s="142"/>
      <c r="BZ657" s="142"/>
      <c r="CF657" s="142"/>
      <c r="CL657" s="142"/>
      <c r="CR657" s="142"/>
      <c r="CX657" s="142"/>
      <c r="DD657" s="142"/>
      <c r="DJ657" s="142"/>
      <c r="DP657" s="142"/>
      <c r="DV657" s="142"/>
      <c r="EB657" s="142"/>
    </row>
    <row r="658">
      <c r="F658" s="142"/>
      <c r="L658" s="142"/>
      <c r="R658" s="142"/>
      <c r="X658" s="142"/>
      <c r="AD658" s="142"/>
      <c r="AJ658" s="142"/>
      <c r="AP658" s="142"/>
      <c r="AV658" s="142"/>
      <c r="BB658" s="142"/>
      <c r="BH658" s="142"/>
      <c r="BN658" s="142"/>
      <c r="BT658" s="142"/>
      <c r="BZ658" s="142"/>
      <c r="CF658" s="142"/>
      <c r="CL658" s="142"/>
      <c r="CR658" s="142"/>
      <c r="CX658" s="142"/>
      <c r="DD658" s="142"/>
      <c r="DJ658" s="142"/>
      <c r="DP658" s="142"/>
      <c r="DV658" s="142"/>
      <c r="EB658" s="142"/>
    </row>
    <row r="659">
      <c r="F659" s="142"/>
      <c r="L659" s="142"/>
      <c r="R659" s="142"/>
      <c r="X659" s="142"/>
      <c r="AD659" s="142"/>
      <c r="AJ659" s="142"/>
      <c r="AP659" s="142"/>
      <c r="AV659" s="142"/>
      <c r="BB659" s="142"/>
      <c r="BH659" s="142"/>
      <c r="BN659" s="142"/>
      <c r="BT659" s="142"/>
      <c r="BZ659" s="142"/>
      <c r="CF659" s="142"/>
      <c r="CL659" s="142"/>
      <c r="CR659" s="142"/>
      <c r="CX659" s="142"/>
      <c r="DD659" s="142"/>
      <c r="DJ659" s="142"/>
      <c r="DP659" s="142"/>
      <c r="DV659" s="142"/>
      <c r="EB659" s="142"/>
    </row>
    <row r="660">
      <c r="F660" s="142"/>
      <c r="L660" s="142"/>
      <c r="R660" s="142"/>
      <c r="X660" s="142"/>
      <c r="AD660" s="142"/>
      <c r="AJ660" s="142"/>
      <c r="AP660" s="142"/>
      <c r="AV660" s="142"/>
      <c r="BB660" s="142"/>
      <c r="BH660" s="142"/>
      <c r="BN660" s="142"/>
      <c r="BT660" s="142"/>
      <c r="BZ660" s="142"/>
      <c r="CF660" s="142"/>
      <c r="CL660" s="142"/>
      <c r="CR660" s="142"/>
      <c r="CX660" s="142"/>
      <c r="DD660" s="142"/>
      <c r="DJ660" s="142"/>
      <c r="DP660" s="142"/>
      <c r="DV660" s="142"/>
      <c r="EB660" s="142"/>
    </row>
    <row r="661">
      <c r="F661" s="142"/>
      <c r="L661" s="142"/>
      <c r="R661" s="142"/>
      <c r="X661" s="142"/>
      <c r="AD661" s="142"/>
      <c r="AJ661" s="142"/>
      <c r="AP661" s="142"/>
      <c r="AV661" s="142"/>
      <c r="BB661" s="142"/>
      <c r="BH661" s="142"/>
      <c r="BN661" s="142"/>
      <c r="BT661" s="142"/>
      <c r="BZ661" s="142"/>
      <c r="CF661" s="142"/>
      <c r="CL661" s="142"/>
      <c r="CR661" s="142"/>
      <c r="CX661" s="142"/>
      <c r="DD661" s="142"/>
      <c r="DJ661" s="142"/>
      <c r="DP661" s="142"/>
      <c r="DV661" s="142"/>
      <c r="EB661" s="142"/>
    </row>
    <row r="662">
      <c r="F662" s="142"/>
      <c r="L662" s="142"/>
      <c r="R662" s="142"/>
      <c r="X662" s="142"/>
      <c r="AD662" s="142"/>
      <c r="AJ662" s="142"/>
      <c r="AP662" s="142"/>
      <c r="AV662" s="142"/>
      <c r="BB662" s="142"/>
      <c r="BH662" s="142"/>
      <c r="BN662" s="142"/>
      <c r="BT662" s="142"/>
      <c r="BZ662" s="142"/>
      <c r="CF662" s="142"/>
      <c r="CL662" s="142"/>
      <c r="CR662" s="142"/>
      <c r="CX662" s="142"/>
      <c r="DD662" s="142"/>
      <c r="DJ662" s="142"/>
      <c r="DP662" s="142"/>
      <c r="DV662" s="142"/>
      <c r="EB662" s="142"/>
    </row>
    <row r="663">
      <c r="F663" s="142"/>
      <c r="L663" s="142"/>
      <c r="R663" s="142"/>
      <c r="X663" s="142"/>
      <c r="AD663" s="142"/>
      <c r="AJ663" s="142"/>
      <c r="AP663" s="142"/>
      <c r="AV663" s="142"/>
      <c r="BB663" s="142"/>
      <c r="BH663" s="142"/>
      <c r="BN663" s="142"/>
      <c r="BT663" s="142"/>
      <c r="BZ663" s="142"/>
      <c r="CF663" s="142"/>
      <c r="CL663" s="142"/>
      <c r="CR663" s="142"/>
      <c r="CX663" s="142"/>
      <c r="DD663" s="142"/>
      <c r="DJ663" s="142"/>
      <c r="DP663" s="142"/>
      <c r="DV663" s="142"/>
      <c r="EB663" s="142"/>
    </row>
    <row r="664">
      <c r="F664" s="142"/>
      <c r="L664" s="142"/>
      <c r="R664" s="142"/>
      <c r="X664" s="142"/>
      <c r="AD664" s="142"/>
      <c r="AJ664" s="142"/>
      <c r="AP664" s="142"/>
      <c r="AV664" s="142"/>
      <c r="BB664" s="142"/>
      <c r="BH664" s="142"/>
      <c r="BN664" s="142"/>
      <c r="BT664" s="142"/>
      <c r="BZ664" s="142"/>
      <c r="CF664" s="142"/>
      <c r="CL664" s="142"/>
      <c r="CR664" s="142"/>
      <c r="CX664" s="142"/>
      <c r="DD664" s="142"/>
      <c r="DJ664" s="142"/>
      <c r="DP664" s="142"/>
      <c r="DV664" s="142"/>
      <c r="EB664" s="142"/>
    </row>
    <row r="665">
      <c r="F665" s="142"/>
      <c r="L665" s="142"/>
      <c r="R665" s="142"/>
      <c r="X665" s="142"/>
      <c r="AD665" s="142"/>
      <c r="AJ665" s="142"/>
      <c r="AP665" s="142"/>
      <c r="AV665" s="142"/>
      <c r="BB665" s="142"/>
      <c r="BH665" s="142"/>
      <c r="BN665" s="142"/>
      <c r="BT665" s="142"/>
      <c r="BZ665" s="142"/>
      <c r="CF665" s="142"/>
      <c r="CL665" s="142"/>
      <c r="CR665" s="142"/>
      <c r="CX665" s="142"/>
      <c r="DD665" s="142"/>
      <c r="DJ665" s="142"/>
      <c r="DP665" s="142"/>
      <c r="DV665" s="142"/>
      <c r="EB665" s="142"/>
    </row>
    <row r="666">
      <c r="F666" s="142"/>
      <c r="L666" s="142"/>
      <c r="R666" s="142"/>
      <c r="X666" s="142"/>
      <c r="AD666" s="142"/>
      <c r="AJ666" s="142"/>
      <c r="AP666" s="142"/>
      <c r="AV666" s="142"/>
      <c r="BB666" s="142"/>
      <c r="BH666" s="142"/>
      <c r="BN666" s="142"/>
      <c r="BT666" s="142"/>
      <c r="BZ666" s="142"/>
      <c r="CF666" s="142"/>
      <c r="CL666" s="142"/>
      <c r="CR666" s="142"/>
      <c r="CX666" s="142"/>
      <c r="DD666" s="142"/>
      <c r="DJ666" s="142"/>
      <c r="DP666" s="142"/>
      <c r="DV666" s="142"/>
      <c r="EB666" s="142"/>
    </row>
    <row r="667">
      <c r="F667" s="142"/>
      <c r="L667" s="142"/>
      <c r="R667" s="142"/>
      <c r="X667" s="142"/>
      <c r="AD667" s="142"/>
      <c r="AJ667" s="142"/>
      <c r="AP667" s="142"/>
      <c r="AV667" s="142"/>
      <c r="BB667" s="142"/>
      <c r="BH667" s="142"/>
      <c r="BN667" s="142"/>
      <c r="BT667" s="142"/>
      <c r="BZ667" s="142"/>
      <c r="CF667" s="142"/>
      <c r="CL667" s="142"/>
      <c r="CR667" s="142"/>
      <c r="CX667" s="142"/>
      <c r="DD667" s="142"/>
      <c r="DJ667" s="142"/>
      <c r="DP667" s="142"/>
      <c r="DV667" s="142"/>
      <c r="EB667" s="142"/>
    </row>
    <row r="668">
      <c r="F668" s="142"/>
      <c r="L668" s="142"/>
      <c r="R668" s="142"/>
      <c r="X668" s="142"/>
      <c r="AD668" s="142"/>
      <c r="AJ668" s="142"/>
      <c r="AP668" s="142"/>
      <c r="AV668" s="142"/>
      <c r="BB668" s="142"/>
      <c r="BH668" s="142"/>
      <c r="BN668" s="142"/>
      <c r="BT668" s="142"/>
      <c r="BZ668" s="142"/>
      <c r="CF668" s="142"/>
      <c r="CL668" s="142"/>
      <c r="CR668" s="142"/>
      <c r="CX668" s="142"/>
      <c r="DD668" s="142"/>
      <c r="DJ668" s="142"/>
      <c r="DP668" s="142"/>
      <c r="DV668" s="142"/>
      <c r="EB668" s="142"/>
    </row>
    <row r="669">
      <c r="F669" s="142"/>
      <c r="L669" s="142"/>
      <c r="R669" s="142"/>
      <c r="X669" s="142"/>
      <c r="AD669" s="142"/>
      <c r="AJ669" s="142"/>
      <c r="AP669" s="142"/>
      <c r="AV669" s="142"/>
      <c r="BB669" s="142"/>
      <c r="BH669" s="142"/>
      <c r="BN669" s="142"/>
      <c r="BT669" s="142"/>
      <c r="BZ669" s="142"/>
      <c r="CF669" s="142"/>
      <c r="CL669" s="142"/>
      <c r="CR669" s="142"/>
      <c r="CX669" s="142"/>
      <c r="DD669" s="142"/>
      <c r="DJ669" s="142"/>
      <c r="DP669" s="142"/>
      <c r="DV669" s="142"/>
      <c r="EB669" s="142"/>
    </row>
    <row r="670">
      <c r="F670" s="142"/>
      <c r="L670" s="142"/>
      <c r="R670" s="142"/>
      <c r="X670" s="142"/>
      <c r="AD670" s="142"/>
      <c r="AJ670" s="142"/>
      <c r="AP670" s="142"/>
      <c r="AV670" s="142"/>
      <c r="BB670" s="142"/>
      <c r="BH670" s="142"/>
      <c r="BN670" s="142"/>
      <c r="BT670" s="142"/>
      <c r="BZ670" s="142"/>
      <c r="CF670" s="142"/>
      <c r="CL670" s="142"/>
      <c r="CR670" s="142"/>
      <c r="CX670" s="142"/>
      <c r="DD670" s="142"/>
      <c r="DJ670" s="142"/>
      <c r="DP670" s="142"/>
      <c r="DV670" s="142"/>
      <c r="EB670" s="142"/>
    </row>
    <row r="671">
      <c r="F671" s="142"/>
      <c r="L671" s="142"/>
      <c r="R671" s="142"/>
      <c r="X671" s="142"/>
      <c r="AD671" s="142"/>
      <c r="AJ671" s="142"/>
      <c r="AP671" s="142"/>
      <c r="AV671" s="142"/>
      <c r="BB671" s="142"/>
      <c r="BH671" s="142"/>
      <c r="BN671" s="142"/>
      <c r="BT671" s="142"/>
      <c r="BZ671" s="142"/>
      <c r="CF671" s="142"/>
      <c r="CL671" s="142"/>
      <c r="CR671" s="142"/>
      <c r="CX671" s="142"/>
      <c r="DD671" s="142"/>
      <c r="DJ671" s="142"/>
      <c r="DP671" s="142"/>
      <c r="DV671" s="142"/>
      <c r="EB671" s="142"/>
    </row>
    <row r="672">
      <c r="F672" s="142"/>
      <c r="L672" s="142"/>
      <c r="R672" s="142"/>
      <c r="X672" s="142"/>
      <c r="AD672" s="142"/>
      <c r="AJ672" s="142"/>
      <c r="AP672" s="142"/>
      <c r="AV672" s="142"/>
      <c r="BB672" s="142"/>
      <c r="BH672" s="142"/>
      <c r="BN672" s="142"/>
      <c r="BT672" s="142"/>
      <c r="BZ672" s="142"/>
      <c r="CF672" s="142"/>
      <c r="CL672" s="142"/>
      <c r="CR672" s="142"/>
      <c r="CX672" s="142"/>
      <c r="DD672" s="142"/>
      <c r="DJ672" s="142"/>
      <c r="DP672" s="142"/>
      <c r="DV672" s="142"/>
      <c r="EB672" s="142"/>
    </row>
    <row r="673">
      <c r="F673" s="142"/>
      <c r="L673" s="142"/>
      <c r="R673" s="142"/>
      <c r="X673" s="142"/>
      <c r="AD673" s="142"/>
      <c r="AJ673" s="142"/>
      <c r="AP673" s="142"/>
      <c r="AV673" s="142"/>
      <c r="BB673" s="142"/>
      <c r="BH673" s="142"/>
      <c r="BN673" s="142"/>
      <c r="BT673" s="142"/>
      <c r="BZ673" s="142"/>
      <c r="CF673" s="142"/>
      <c r="CL673" s="142"/>
      <c r="CR673" s="142"/>
      <c r="CX673" s="142"/>
      <c r="DD673" s="142"/>
      <c r="DJ673" s="142"/>
      <c r="DP673" s="142"/>
      <c r="DV673" s="142"/>
      <c r="EB673" s="142"/>
    </row>
    <row r="674">
      <c r="F674" s="142"/>
      <c r="L674" s="142"/>
      <c r="R674" s="142"/>
      <c r="X674" s="142"/>
      <c r="AD674" s="142"/>
      <c r="AJ674" s="142"/>
      <c r="AP674" s="142"/>
      <c r="AV674" s="142"/>
      <c r="BB674" s="142"/>
      <c r="BH674" s="142"/>
      <c r="BN674" s="142"/>
      <c r="BT674" s="142"/>
      <c r="BZ674" s="142"/>
      <c r="CF674" s="142"/>
      <c r="CL674" s="142"/>
      <c r="CR674" s="142"/>
      <c r="CX674" s="142"/>
      <c r="DD674" s="142"/>
      <c r="DJ674" s="142"/>
      <c r="DP674" s="142"/>
      <c r="DV674" s="142"/>
      <c r="EB674" s="142"/>
    </row>
    <row r="675">
      <c r="F675" s="142"/>
      <c r="L675" s="142"/>
      <c r="R675" s="142"/>
      <c r="X675" s="142"/>
      <c r="AD675" s="142"/>
      <c r="AJ675" s="142"/>
      <c r="AP675" s="142"/>
      <c r="AV675" s="142"/>
      <c r="BB675" s="142"/>
      <c r="BH675" s="142"/>
      <c r="BN675" s="142"/>
      <c r="BT675" s="142"/>
      <c r="BZ675" s="142"/>
      <c r="CF675" s="142"/>
      <c r="CL675" s="142"/>
      <c r="CR675" s="142"/>
      <c r="CX675" s="142"/>
      <c r="DD675" s="142"/>
      <c r="DJ675" s="142"/>
      <c r="DP675" s="142"/>
      <c r="DV675" s="142"/>
      <c r="EB675" s="142"/>
    </row>
    <row r="676">
      <c r="F676" s="142"/>
      <c r="L676" s="142"/>
      <c r="R676" s="142"/>
      <c r="X676" s="142"/>
      <c r="AD676" s="142"/>
      <c r="AJ676" s="142"/>
      <c r="AP676" s="142"/>
      <c r="AV676" s="142"/>
      <c r="BB676" s="142"/>
      <c r="BH676" s="142"/>
      <c r="BN676" s="142"/>
      <c r="BT676" s="142"/>
      <c r="BZ676" s="142"/>
      <c r="CF676" s="142"/>
      <c r="CL676" s="142"/>
      <c r="CR676" s="142"/>
      <c r="CX676" s="142"/>
      <c r="DD676" s="142"/>
      <c r="DJ676" s="142"/>
      <c r="DP676" s="142"/>
      <c r="DV676" s="142"/>
      <c r="EB676" s="142"/>
    </row>
    <row r="677">
      <c r="F677" s="142"/>
      <c r="L677" s="142"/>
      <c r="R677" s="142"/>
      <c r="X677" s="142"/>
      <c r="AD677" s="142"/>
      <c r="AJ677" s="142"/>
      <c r="AP677" s="142"/>
      <c r="AV677" s="142"/>
      <c r="BB677" s="142"/>
      <c r="BH677" s="142"/>
      <c r="BN677" s="142"/>
      <c r="BT677" s="142"/>
      <c r="BZ677" s="142"/>
      <c r="CF677" s="142"/>
      <c r="CL677" s="142"/>
      <c r="CR677" s="142"/>
      <c r="CX677" s="142"/>
      <c r="DD677" s="142"/>
      <c r="DJ677" s="142"/>
      <c r="DP677" s="142"/>
      <c r="DV677" s="142"/>
      <c r="EB677" s="142"/>
    </row>
    <row r="678">
      <c r="F678" s="142"/>
      <c r="L678" s="142"/>
      <c r="R678" s="142"/>
      <c r="X678" s="142"/>
      <c r="AD678" s="142"/>
      <c r="AJ678" s="142"/>
      <c r="AP678" s="142"/>
      <c r="AV678" s="142"/>
      <c r="BB678" s="142"/>
      <c r="BH678" s="142"/>
      <c r="BN678" s="142"/>
      <c r="BT678" s="142"/>
      <c r="BZ678" s="142"/>
      <c r="CF678" s="142"/>
      <c r="CL678" s="142"/>
      <c r="CR678" s="142"/>
      <c r="CX678" s="142"/>
      <c r="DD678" s="142"/>
      <c r="DJ678" s="142"/>
      <c r="DP678" s="142"/>
      <c r="DV678" s="142"/>
      <c r="EB678" s="142"/>
    </row>
    <row r="679">
      <c r="F679" s="142"/>
      <c r="L679" s="142"/>
      <c r="R679" s="142"/>
      <c r="X679" s="142"/>
      <c r="AD679" s="142"/>
      <c r="AJ679" s="142"/>
      <c r="AP679" s="142"/>
      <c r="AV679" s="142"/>
      <c r="BB679" s="142"/>
      <c r="BH679" s="142"/>
      <c r="BN679" s="142"/>
      <c r="BT679" s="142"/>
      <c r="BZ679" s="142"/>
      <c r="CF679" s="142"/>
      <c r="CL679" s="142"/>
      <c r="CR679" s="142"/>
      <c r="CX679" s="142"/>
      <c r="DD679" s="142"/>
      <c r="DJ679" s="142"/>
      <c r="DP679" s="142"/>
      <c r="DV679" s="142"/>
      <c r="EB679" s="142"/>
    </row>
    <row r="680">
      <c r="F680" s="142"/>
      <c r="L680" s="142"/>
      <c r="R680" s="142"/>
      <c r="X680" s="142"/>
      <c r="AD680" s="142"/>
      <c r="AJ680" s="142"/>
      <c r="AP680" s="142"/>
      <c r="AV680" s="142"/>
      <c r="BB680" s="142"/>
      <c r="BH680" s="142"/>
      <c r="BN680" s="142"/>
      <c r="BT680" s="142"/>
      <c r="BZ680" s="142"/>
      <c r="CF680" s="142"/>
      <c r="CL680" s="142"/>
      <c r="CR680" s="142"/>
      <c r="CX680" s="142"/>
      <c r="DD680" s="142"/>
      <c r="DJ680" s="142"/>
      <c r="DP680" s="142"/>
      <c r="DV680" s="142"/>
      <c r="EB680" s="142"/>
    </row>
    <row r="681">
      <c r="F681" s="142"/>
      <c r="L681" s="142"/>
      <c r="R681" s="142"/>
      <c r="X681" s="142"/>
      <c r="AD681" s="142"/>
      <c r="AJ681" s="142"/>
      <c r="AP681" s="142"/>
      <c r="AV681" s="142"/>
      <c r="BB681" s="142"/>
      <c r="BH681" s="142"/>
      <c r="BN681" s="142"/>
      <c r="BT681" s="142"/>
      <c r="BZ681" s="142"/>
      <c r="CF681" s="142"/>
      <c r="CL681" s="142"/>
      <c r="CR681" s="142"/>
      <c r="CX681" s="142"/>
      <c r="DD681" s="142"/>
      <c r="DJ681" s="142"/>
      <c r="DP681" s="142"/>
      <c r="DV681" s="142"/>
      <c r="EB681" s="142"/>
    </row>
    <row r="682">
      <c r="F682" s="142"/>
      <c r="L682" s="142"/>
      <c r="R682" s="142"/>
      <c r="X682" s="142"/>
      <c r="AD682" s="142"/>
      <c r="AJ682" s="142"/>
      <c r="AP682" s="142"/>
      <c r="AV682" s="142"/>
      <c r="BB682" s="142"/>
      <c r="BH682" s="142"/>
      <c r="BN682" s="142"/>
      <c r="BT682" s="142"/>
      <c r="BZ682" s="142"/>
      <c r="CF682" s="142"/>
      <c r="CL682" s="142"/>
      <c r="CR682" s="142"/>
      <c r="CX682" s="142"/>
      <c r="DD682" s="142"/>
      <c r="DJ682" s="142"/>
      <c r="DP682" s="142"/>
      <c r="DV682" s="142"/>
      <c r="EB682" s="142"/>
    </row>
    <row r="683">
      <c r="F683" s="142"/>
      <c r="L683" s="142"/>
      <c r="R683" s="142"/>
      <c r="X683" s="142"/>
      <c r="AD683" s="142"/>
      <c r="AJ683" s="142"/>
      <c r="AP683" s="142"/>
      <c r="AV683" s="142"/>
      <c r="BB683" s="142"/>
      <c r="BH683" s="142"/>
      <c r="BN683" s="142"/>
      <c r="BT683" s="142"/>
      <c r="BZ683" s="142"/>
      <c r="CF683" s="142"/>
      <c r="CL683" s="142"/>
      <c r="CR683" s="142"/>
      <c r="CX683" s="142"/>
      <c r="DD683" s="142"/>
      <c r="DJ683" s="142"/>
      <c r="DP683" s="142"/>
      <c r="DV683" s="142"/>
      <c r="EB683" s="142"/>
    </row>
    <row r="684">
      <c r="F684" s="142"/>
      <c r="L684" s="142"/>
      <c r="R684" s="142"/>
      <c r="X684" s="142"/>
      <c r="AD684" s="142"/>
      <c r="AJ684" s="142"/>
      <c r="AP684" s="142"/>
      <c r="AV684" s="142"/>
      <c r="BB684" s="142"/>
      <c r="BH684" s="142"/>
      <c r="BN684" s="142"/>
      <c r="BT684" s="142"/>
      <c r="BZ684" s="142"/>
      <c r="CF684" s="142"/>
      <c r="CL684" s="142"/>
      <c r="CR684" s="142"/>
      <c r="CX684" s="142"/>
      <c r="DD684" s="142"/>
      <c r="DJ684" s="142"/>
      <c r="DP684" s="142"/>
      <c r="DV684" s="142"/>
      <c r="EB684" s="142"/>
    </row>
    <row r="685">
      <c r="F685" s="142"/>
      <c r="L685" s="142"/>
      <c r="R685" s="142"/>
      <c r="X685" s="142"/>
      <c r="AD685" s="142"/>
      <c r="AJ685" s="142"/>
      <c r="AP685" s="142"/>
      <c r="AV685" s="142"/>
      <c r="BB685" s="142"/>
      <c r="BH685" s="142"/>
      <c r="BN685" s="142"/>
      <c r="BT685" s="142"/>
      <c r="BZ685" s="142"/>
      <c r="CF685" s="142"/>
      <c r="CL685" s="142"/>
      <c r="CR685" s="142"/>
      <c r="CX685" s="142"/>
      <c r="DD685" s="142"/>
      <c r="DJ685" s="142"/>
      <c r="DP685" s="142"/>
      <c r="DV685" s="142"/>
      <c r="EB685" s="142"/>
    </row>
    <row r="686">
      <c r="F686" s="142"/>
      <c r="L686" s="142"/>
      <c r="R686" s="142"/>
      <c r="X686" s="142"/>
      <c r="AD686" s="142"/>
      <c r="AJ686" s="142"/>
      <c r="AP686" s="142"/>
      <c r="AV686" s="142"/>
      <c r="BB686" s="142"/>
      <c r="BH686" s="142"/>
      <c r="BN686" s="142"/>
      <c r="BT686" s="142"/>
      <c r="BZ686" s="142"/>
      <c r="CF686" s="142"/>
      <c r="CL686" s="142"/>
      <c r="CR686" s="142"/>
      <c r="CX686" s="142"/>
      <c r="DD686" s="142"/>
      <c r="DJ686" s="142"/>
      <c r="DP686" s="142"/>
      <c r="DV686" s="142"/>
      <c r="EB686" s="142"/>
    </row>
    <row r="687">
      <c r="F687" s="142"/>
      <c r="L687" s="142"/>
      <c r="R687" s="142"/>
      <c r="X687" s="142"/>
      <c r="AD687" s="142"/>
      <c r="AJ687" s="142"/>
      <c r="AP687" s="142"/>
      <c r="AV687" s="142"/>
      <c r="BB687" s="142"/>
      <c r="BH687" s="142"/>
      <c r="BN687" s="142"/>
      <c r="BT687" s="142"/>
      <c r="BZ687" s="142"/>
      <c r="CF687" s="142"/>
      <c r="CL687" s="142"/>
      <c r="CR687" s="142"/>
      <c r="CX687" s="142"/>
      <c r="DD687" s="142"/>
      <c r="DJ687" s="142"/>
      <c r="DP687" s="142"/>
      <c r="DV687" s="142"/>
      <c r="EB687" s="142"/>
    </row>
    <row r="688">
      <c r="F688" s="142"/>
      <c r="L688" s="142"/>
      <c r="R688" s="142"/>
      <c r="X688" s="142"/>
      <c r="AD688" s="142"/>
      <c r="AJ688" s="142"/>
      <c r="AP688" s="142"/>
      <c r="AV688" s="142"/>
      <c r="BB688" s="142"/>
      <c r="BH688" s="142"/>
      <c r="BN688" s="142"/>
      <c r="BT688" s="142"/>
      <c r="BZ688" s="142"/>
      <c r="CF688" s="142"/>
      <c r="CL688" s="142"/>
      <c r="CR688" s="142"/>
      <c r="CX688" s="142"/>
      <c r="DD688" s="142"/>
      <c r="DJ688" s="142"/>
      <c r="DP688" s="142"/>
      <c r="DV688" s="142"/>
      <c r="EB688" s="142"/>
    </row>
    <row r="689">
      <c r="F689" s="142"/>
      <c r="L689" s="142"/>
      <c r="R689" s="142"/>
      <c r="X689" s="142"/>
      <c r="AD689" s="142"/>
      <c r="AJ689" s="142"/>
      <c r="AP689" s="142"/>
      <c r="AV689" s="142"/>
      <c r="BB689" s="142"/>
      <c r="BH689" s="142"/>
      <c r="BN689" s="142"/>
      <c r="BT689" s="142"/>
      <c r="BZ689" s="142"/>
      <c r="CF689" s="142"/>
      <c r="CL689" s="142"/>
      <c r="CR689" s="142"/>
      <c r="CX689" s="142"/>
      <c r="DD689" s="142"/>
      <c r="DJ689" s="142"/>
      <c r="DP689" s="142"/>
      <c r="DV689" s="142"/>
      <c r="EB689" s="142"/>
    </row>
    <row r="690">
      <c r="F690" s="142"/>
      <c r="L690" s="142"/>
      <c r="R690" s="142"/>
      <c r="X690" s="142"/>
      <c r="AD690" s="142"/>
      <c r="AJ690" s="142"/>
      <c r="AP690" s="142"/>
      <c r="AV690" s="142"/>
      <c r="BB690" s="142"/>
      <c r="BH690" s="142"/>
      <c r="BN690" s="142"/>
      <c r="BT690" s="142"/>
      <c r="BZ690" s="142"/>
      <c r="CF690" s="142"/>
      <c r="CL690" s="142"/>
      <c r="CR690" s="142"/>
      <c r="CX690" s="142"/>
      <c r="DD690" s="142"/>
      <c r="DJ690" s="142"/>
      <c r="DP690" s="142"/>
      <c r="DV690" s="142"/>
      <c r="EB690" s="142"/>
    </row>
    <row r="691">
      <c r="F691" s="142"/>
      <c r="L691" s="142"/>
      <c r="R691" s="142"/>
      <c r="X691" s="142"/>
      <c r="AD691" s="142"/>
      <c r="AJ691" s="142"/>
      <c r="AP691" s="142"/>
      <c r="AV691" s="142"/>
      <c r="BB691" s="142"/>
      <c r="BH691" s="142"/>
      <c r="BN691" s="142"/>
      <c r="BT691" s="142"/>
      <c r="BZ691" s="142"/>
      <c r="CF691" s="142"/>
      <c r="CL691" s="142"/>
      <c r="CR691" s="142"/>
      <c r="CX691" s="142"/>
      <c r="DD691" s="142"/>
      <c r="DJ691" s="142"/>
      <c r="DP691" s="142"/>
      <c r="DV691" s="142"/>
      <c r="EB691" s="142"/>
    </row>
    <row r="692">
      <c r="F692" s="142"/>
      <c r="L692" s="142"/>
      <c r="R692" s="142"/>
      <c r="X692" s="142"/>
      <c r="AD692" s="142"/>
      <c r="AJ692" s="142"/>
      <c r="AP692" s="142"/>
      <c r="AV692" s="142"/>
      <c r="BB692" s="142"/>
      <c r="BH692" s="142"/>
      <c r="BN692" s="142"/>
      <c r="BT692" s="142"/>
      <c r="BZ692" s="142"/>
      <c r="CF692" s="142"/>
      <c r="CL692" s="142"/>
      <c r="CR692" s="142"/>
      <c r="CX692" s="142"/>
      <c r="DD692" s="142"/>
      <c r="DJ692" s="142"/>
      <c r="DP692" s="142"/>
      <c r="DV692" s="142"/>
      <c r="EB692" s="142"/>
    </row>
    <row r="693">
      <c r="F693" s="142"/>
      <c r="L693" s="142"/>
      <c r="R693" s="142"/>
      <c r="X693" s="142"/>
      <c r="AD693" s="142"/>
      <c r="AJ693" s="142"/>
      <c r="AP693" s="142"/>
      <c r="AV693" s="142"/>
      <c r="BB693" s="142"/>
      <c r="BH693" s="142"/>
      <c r="BN693" s="142"/>
      <c r="BT693" s="142"/>
      <c r="BZ693" s="142"/>
      <c r="CF693" s="142"/>
      <c r="CL693" s="142"/>
      <c r="CR693" s="142"/>
      <c r="CX693" s="142"/>
      <c r="DD693" s="142"/>
      <c r="DJ693" s="142"/>
      <c r="DP693" s="142"/>
      <c r="DV693" s="142"/>
      <c r="EB693" s="142"/>
    </row>
    <row r="694">
      <c r="F694" s="142"/>
      <c r="L694" s="142"/>
      <c r="R694" s="142"/>
      <c r="X694" s="142"/>
      <c r="AD694" s="142"/>
      <c r="AJ694" s="142"/>
      <c r="AP694" s="142"/>
      <c r="AV694" s="142"/>
      <c r="BB694" s="142"/>
      <c r="BH694" s="142"/>
      <c r="BN694" s="142"/>
      <c r="BT694" s="142"/>
      <c r="BZ694" s="142"/>
      <c r="CF694" s="142"/>
      <c r="CL694" s="142"/>
      <c r="CR694" s="142"/>
      <c r="CX694" s="142"/>
      <c r="DD694" s="142"/>
      <c r="DJ694" s="142"/>
      <c r="DP694" s="142"/>
      <c r="DV694" s="142"/>
      <c r="EB694" s="142"/>
    </row>
    <row r="695">
      <c r="F695" s="142"/>
      <c r="L695" s="142"/>
      <c r="R695" s="142"/>
      <c r="X695" s="142"/>
      <c r="AD695" s="142"/>
      <c r="AJ695" s="142"/>
      <c r="AP695" s="142"/>
      <c r="AV695" s="142"/>
      <c r="BB695" s="142"/>
      <c r="BH695" s="142"/>
      <c r="BN695" s="142"/>
      <c r="BT695" s="142"/>
      <c r="BZ695" s="142"/>
      <c r="CF695" s="142"/>
      <c r="CL695" s="142"/>
      <c r="CR695" s="142"/>
      <c r="CX695" s="142"/>
      <c r="DD695" s="142"/>
      <c r="DJ695" s="142"/>
      <c r="DP695" s="142"/>
      <c r="DV695" s="142"/>
      <c r="EB695" s="142"/>
    </row>
    <row r="696">
      <c r="F696" s="142"/>
      <c r="L696" s="142"/>
      <c r="R696" s="142"/>
      <c r="X696" s="142"/>
      <c r="AD696" s="142"/>
      <c r="AJ696" s="142"/>
      <c r="AP696" s="142"/>
      <c r="AV696" s="142"/>
      <c r="BB696" s="142"/>
      <c r="BH696" s="142"/>
      <c r="BN696" s="142"/>
      <c r="BT696" s="142"/>
      <c r="BZ696" s="142"/>
      <c r="CF696" s="142"/>
      <c r="CL696" s="142"/>
      <c r="CR696" s="142"/>
      <c r="CX696" s="142"/>
      <c r="DD696" s="142"/>
      <c r="DJ696" s="142"/>
      <c r="DP696" s="142"/>
      <c r="DV696" s="142"/>
      <c r="EB696" s="142"/>
    </row>
    <row r="697">
      <c r="F697" s="142"/>
      <c r="L697" s="142"/>
      <c r="R697" s="142"/>
      <c r="X697" s="142"/>
      <c r="AD697" s="142"/>
      <c r="AJ697" s="142"/>
      <c r="AP697" s="142"/>
      <c r="AV697" s="142"/>
      <c r="BB697" s="142"/>
      <c r="BH697" s="142"/>
      <c r="BN697" s="142"/>
      <c r="BT697" s="142"/>
      <c r="BZ697" s="142"/>
      <c r="CF697" s="142"/>
      <c r="CL697" s="142"/>
      <c r="CR697" s="142"/>
      <c r="CX697" s="142"/>
      <c r="DD697" s="142"/>
      <c r="DJ697" s="142"/>
      <c r="DP697" s="142"/>
      <c r="DV697" s="142"/>
      <c r="EB697" s="142"/>
    </row>
    <row r="698">
      <c r="F698" s="142"/>
      <c r="L698" s="142"/>
      <c r="R698" s="142"/>
      <c r="X698" s="142"/>
      <c r="AD698" s="142"/>
      <c r="AJ698" s="142"/>
      <c r="AP698" s="142"/>
      <c r="AV698" s="142"/>
      <c r="BB698" s="142"/>
      <c r="BH698" s="142"/>
      <c r="BN698" s="142"/>
      <c r="BT698" s="142"/>
      <c r="BZ698" s="142"/>
      <c r="CF698" s="142"/>
      <c r="CL698" s="142"/>
      <c r="CR698" s="142"/>
      <c r="CX698" s="142"/>
      <c r="DD698" s="142"/>
      <c r="DJ698" s="142"/>
      <c r="DP698" s="142"/>
      <c r="DV698" s="142"/>
      <c r="EB698" s="142"/>
    </row>
    <row r="699">
      <c r="F699" s="142"/>
      <c r="L699" s="142"/>
      <c r="R699" s="142"/>
      <c r="X699" s="142"/>
      <c r="AD699" s="142"/>
      <c r="AJ699" s="142"/>
      <c r="AP699" s="142"/>
      <c r="AV699" s="142"/>
      <c r="BB699" s="142"/>
      <c r="BH699" s="142"/>
      <c r="BN699" s="142"/>
      <c r="BT699" s="142"/>
      <c r="BZ699" s="142"/>
      <c r="CF699" s="142"/>
      <c r="CL699" s="142"/>
      <c r="CR699" s="142"/>
      <c r="CX699" s="142"/>
      <c r="DD699" s="142"/>
      <c r="DJ699" s="142"/>
      <c r="DP699" s="142"/>
      <c r="DV699" s="142"/>
      <c r="EB699" s="142"/>
    </row>
    <row r="700">
      <c r="F700" s="142"/>
      <c r="L700" s="142"/>
      <c r="R700" s="142"/>
      <c r="X700" s="142"/>
      <c r="AD700" s="142"/>
      <c r="AJ700" s="142"/>
      <c r="AP700" s="142"/>
      <c r="AV700" s="142"/>
      <c r="BB700" s="142"/>
      <c r="BH700" s="142"/>
      <c r="BN700" s="142"/>
      <c r="BT700" s="142"/>
      <c r="BZ700" s="142"/>
      <c r="CF700" s="142"/>
      <c r="CL700" s="142"/>
      <c r="CR700" s="142"/>
      <c r="CX700" s="142"/>
      <c r="DD700" s="142"/>
      <c r="DJ700" s="142"/>
      <c r="DP700" s="142"/>
      <c r="DV700" s="142"/>
      <c r="EB700" s="142"/>
    </row>
    <row r="701">
      <c r="F701" s="142"/>
      <c r="L701" s="142"/>
      <c r="R701" s="142"/>
      <c r="X701" s="142"/>
      <c r="AD701" s="142"/>
      <c r="AJ701" s="142"/>
      <c r="AP701" s="142"/>
      <c r="AV701" s="142"/>
      <c r="BB701" s="142"/>
      <c r="BH701" s="142"/>
      <c r="BN701" s="142"/>
      <c r="BT701" s="142"/>
      <c r="BZ701" s="142"/>
      <c r="CF701" s="142"/>
      <c r="CL701" s="142"/>
      <c r="CR701" s="142"/>
      <c r="CX701" s="142"/>
      <c r="DD701" s="142"/>
      <c r="DJ701" s="142"/>
      <c r="DP701" s="142"/>
      <c r="DV701" s="142"/>
      <c r="EB701" s="142"/>
    </row>
    <row r="702">
      <c r="F702" s="142"/>
      <c r="L702" s="142"/>
      <c r="R702" s="142"/>
      <c r="X702" s="142"/>
      <c r="AD702" s="142"/>
      <c r="AJ702" s="142"/>
      <c r="AP702" s="142"/>
      <c r="AV702" s="142"/>
      <c r="BB702" s="142"/>
      <c r="BH702" s="142"/>
      <c r="BN702" s="142"/>
      <c r="BT702" s="142"/>
      <c r="BZ702" s="142"/>
      <c r="CF702" s="142"/>
      <c r="CL702" s="142"/>
      <c r="CR702" s="142"/>
      <c r="CX702" s="142"/>
      <c r="DD702" s="142"/>
      <c r="DJ702" s="142"/>
      <c r="DP702" s="142"/>
      <c r="DV702" s="142"/>
      <c r="EB702" s="142"/>
    </row>
    <row r="703">
      <c r="F703" s="142"/>
      <c r="L703" s="142"/>
      <c r="R703" s="142"/>
      <c r="X703" s="142"/>
      <c r="AD703" s="142"/>
      <c r="AJ703" s="142"/>
      <c r="AP703" s="142"/>
      <c r="AV703" s="142"/>
      <c r="BB703" s="142"/>
      <c r="BH703" s="142"/>
      <c r="BN703" s="142"/>
      <c r="BT703" s="142"/>
      <c r="BZ703" s="142"/>
      <c r="CF703" s="142"/>
      <c r="CL703" s="142"/>
      <c r="CR703" s="142"/>
      <c r="CX703" s="142"/>
      <c r="DD703" s="142"/>
      <c r="DJ703" s="142"/>
      <c r="DP703" s="142"/>
      <c r="DV703" s="142"/>
      <c r="EB703" s="142"/>
    </row>
    <row r="704">
      <c r="F704" s="142"/>
      <c r="L704" s="142"/>
      <c r="R704" s="142"/>
      <c r="X704" s="142"/>
      <c r="AD704" s="142"/>
      <c r="AJ704" s="142"/>
      <c r="AP704" s="142"/>
      <c r="AV704" s="142"/>
      <c r="BB704" s="142"/>
      <c r="BH704" s="142"/>
      <c r="BN704" s="142"/>
      <c r="BT704" s="142"/>
      <c r="BZ704" s="142"/>
      <c r="CF704" s="142"/>
      <c r="CL704" s="142"/>
      <c r="CR704" s="142"/>
      <c r="CX704" s="142"/>
      <c r="DD704" s="142"/>
      <c r="DJ704" s="142"/>
      <c r="DP704" s="142"/>
      <c r="DV704" s="142"/>
      <c r="EB704" s="142"/>
    </row>
    <row r="705">
      <c r="F705" s="142"/>
      <c r="L705" s="142"/>
      <c r="R705" s="142"/>
      <c r="X705" s="142"/>
      <c r="AD705" s="142"/>
      <c r="AJ705" s="142"/>
      <c r="AP705" s="142"/>
      <c r="AV705" s="142"/>
      <c r="BB705" s="142"/>
      <c r="BH705" s="142"/>
      <c r="BN705" s="142"/>
      <c r="BT705" s="142"/>
      <c r="BZ705" s="142"/>
      <c r="CF705" s="142"/>
      <c r="CL705" s="142"/>
      <c r="CR705" s="142"/>
      <c r="CX705" s="142"/>
      <c r="DD705" s="142"/>
      <c r="DJ705" s="142"/>
      <c r="DP705" s="142"/>
      <c r="DV705" s="142"/>
      <c r="EB705" s="142"/>
    </row>
    <row r="706">
      <c r="F706" s="142"/>
      <c r="L706" s="142"/>
      <c r="R706" s="142"/>
      <c r="X706" s="142"/>
      <c r="AD706" s="142"/>
      <c r="AJ706" s="142"/>
      <c r="AP706" s="142"/>
      <c r="AV706" s="142"/>
      <c r="BB706" s="142"/>
      <c r="BH706" s="142"/>
      <c r="BN706" s="142"/>
      <c r="BT706" s="142"/>
      <c r="BZ706" s="142"/>
      <c r="CF706" s="142"/>
      <c r="CL706" s="142"/>
      <c r="CR706" s="142"/>
      <c r="CX706" s="142"/>
      <c r="DD706" s="142"/>
      <c r="DJ706" s="142"/>
      <c r="DP706" s="142"/>
      <c r="DV706" s="142"/>
      <c r="EB706" s="142"/>
    </row>
    <row r="707">
      <c r="F707" s="142"/>
      <c r="L707" s="142"/>
      <c r="R707" s="142"/>
      <c r="X707" s="142"/>
      <c r="AD707" s="142"/>
      <c r="AJ707" s="142"/>
      <c r="AP707" s="142"/>
      <c r="AV707" s="142"/>
      <c r="BB707" s="142"/>
      <c r="BH707" s="142"/>
      <c r="BN707" s="142"/>
      <c r="BT707" s="142"/>
      <c r="BZ707" s="142"/>
      <c r="CF707" s="142"/>
      <c r="CL707" s="142"/>
      <c r="CR707" s="142"/>
      <c r="CX707" s="142"/>
      <c r="DD707" s="142"/>
      <c r="DJ707" s="142"/>
      <c r="DP707" s="142"/>
      <c r="DV707" s="142"/>
      <c r="EB707" s="142"/>
    </row>
    <row r="708">
      <c r="F708" s="142"/>
      <c r="L708" s="142"/>
      <c r="R708" s="142"/>
      <c r="X708" s="142"/>
      <c r="AD708" s="142"/>
      <c r="AJ708" s="142"/>
      <c r="AP708" s="142"/>
      <c r="AV708" s="142"/>
      <c r="BB708" s="142"/>
      <c r="BH708" s="142"/>
      <c r="BN708" s="142"/>
      <c r="BT708" s="142"/>
      <c r="BZ708" s="142"/>
      <c r="CF708" s="142"/>
      <c r="CL708" s="142"/>
      <c r="CR708" s="142"/>
      <c r="CX708" s="142"/>
      <c r="DD708" s="142"/>
      <c r="DJ708" s="142"/>
      <c r="DP708" s="142"/>
      <c r="DV708" s="142"/>
      <c r="EB708" s="142"/>
    </row>
    <row r="709">
      <c r="F709" s="142"/>
      <c r="L709" s="142"/>
      <c r="R709" s="142"/>
      <c r="X709" s="142"/>
      <c r="AD709" s="142"/>
      <c r="AJ709" s="142"/>
      <c r="AP709" s="142"/>
      <c r="AV709" s="142"/>
      <c r="BB709" s="142"/>
      <c r="BH709" s="142"/>
      <c r="BN709" s="142"/>
      <c r="BT709" s="142"/>
      <c r="BZ709" s="142"/>
      <c r="CF709" s="142"/>
      <c r="CL709" s="142"/>
      <c r="CR709" s="142"/>
      <c r="CX709" s="142"/>
      <c r="DD709" s="142"/>
      <c r="DJ709" s="142"/>
      <c r="DP709" s="142"/>
      <c r="DV709" s="142"/>
      <c r="EB709" s="142"/>
    </row>
    <row r="710">
      <c r="F710" s="142"/>
      <c r="L710" s="142"/>
      <c r="R710" s="142"/>
      <c r="X710" s="142"/>
      <c r="AD710" s="142"/>
      <c r="AJ710" s="142"/>
      <c r="AP710" s="142"/>
      <c r="AV710" s="142"/>
      <c r="BB710" s="142"/>
      <c r="BH710" s="142"/>
      <c r="BN710" s="142"/>
      <c r="BT710" s="142"/>
      <c r="BZ710" s="142"/>
      <c r="CF710" s="142"/>
      <c r="CL710" s="142"/>
      <c r="CR710" s="142"/>
      <c r="CX710" s="142"/>
      <c r="DD710" s="142"/>
      <c r="DJ710" s="142"/>
      <c r="DP710" s="142"/>
      <c r="DV710" s="142"/>
      <c r="EB710" s="142"/>
    </row>
    <row r="711">
      <c r="F711" s="142"/>
      <c r="L711" s="142"/>
      <c r="R711" s="142"/>
      <c r="X711" s="142"/>
      <c r="AD711" s="142"/>
      <c r="AJ711" s="142"/>
      <c r="AP711" s="142"/>
      <c r="AV711" s="142"/>
      <c r="BB711" s="142"/>
      <c r="BH711" s="142"/>
      <c r="BN711" s="142"/>
      <c r="BT711" s="142"/>
      <c r="BZ711" s="142"/>
      <c r="CF711" s="142"/>
      <c r="CL711" s="142"/>
      <c r="CR711" s="142"/>
      <c r="CX711" s="142"/>
      <c r="DD711" s="142"/>
      <c r="DJ711" s="142"/>
      <c r="DP711" s="142"/>
      <c r="DV711" s="142"/>
      <c r="EB711" s="142"/>
    </row>
    <row r="712">
      <c r="F712" s="142"/>
      <c r="L712" s="142"/>
      <c r="R712" s="142"/>
      <c r="X712" s="142"/>
      <c r="AD712" s="142"/>
      <c r="AJ712" s="142"/>
      <c r="AP712" s="142"/>
      <c r="AV712" s="142"/>
      <c r="BB712" s="142"/>
      <c r="BH712" s="142"/>
      <c r="BN712" s="142"/>
      <c r="BT712" s="142"/>
      <c r="BZ712" s="142"/>
      <c r="CF712" s="142"/>
      <c r="CL712" s="142"/>
      <c r="CR712" s="142"/>
      <c r="CX712" s="142"/>
      <c r="DD712" s="142"/>
      <c r="DJ712" s="142"/>
      <c r="DP712" s="142"/>
      <c r="DV712" s="142"/>
      <c r="EB712" s="142"/>
    </row>
    <row r="713">
      <c r="F713" s="142"/>
      <c r="L713" s="142"/>
      <c r="R713" s="142"/>
      <c r="X713" s="142"/>
      <c r="AD713" s="142"/>
      <c r="AJ713" s="142"/>
      <c r="AP713" s="142"/>
      <c r="AV713" s="142"/>
      <c r="BB713" s="142"/>
      <c r="BH713" s="142"/>
      <c r="BN713" s="142"/>
      <c r="BT713" s="142"/>
      <c r="BZ713" s="142"/>
      <c r="CF713" s="142"/>
      <c r="CL713" s="142"/>
      <c r="CR713" s="142"/>
      <c r="CX713" s="142"/>
      <c r="DD713" s="142"/>
      <c r="DJ713" s="142"/>
      <c r="DP713" s="142"/>
      <c r="DV713" s="142"/>
      <c r="EB713" s="142"/>
    </row>
    <row r="714">
      <c r="F714" s="142"/>
      <c r="L714" s="142"/>
      <c r="R714" s="142"/>
      <c r="X714" s="142"/>
      <c r="AD714" s="142"/>
      <c r="AJ714" s="142"/>
      <c r="AP714" s="142"/>
      <c r="AV714" s="142"/>
      <c r="BB714" s="142"/>
      <c r="BH714" s="142"/>
      <c r="BN714" s="142"/>
      <c r="BT714" s="142"/>
      <c r="BZ714" s="142"/>
      <c r="CF714" s="142"/>
      <c r="CL714" s="142"/>
      <c r="CR714" s="142"/>
      <c r="CX714" s="142"/>
      <c r="DD714" s="142"/>
      <c r="DJ714" s="142"/>
      <c r="DP714" s="142"/>
      <c r="DV714" s="142"/>
      <c r="EB714" s="142"/>
    </row>
    <row r="715">
      <c r="F715" s="142"/>
      <c r="L715" s="142"/>
      <c r="R715" s="142"/>
      <c r="X715" s="142"/>
      <c r="AD715" s="142"/>
      <c r="AJ715" s="142"/>
      <c r="AP715" s="142"/>
      <c r="AV715" s="142"/>
      <c r="BB715" s="142"/>
      <c r="BH715" s="142"/>
      <c r="BN715" s="142"/>
      <c r="BT715" s="142"/>
      <c r="BZ715" s="142"/>
      <c r="CF715" s="142"/>
      <c r="CL715" s="142"/>
      <c r="CR715" s="142"/>
      <c r="CX715" s="142"/>
      <c r="DD715" s="142"/>
      <c r="DJ715" s="142"/>
      <c r="DP715" s="142"/>
      <c r="DV715" s="142"/>
      <c r="EB715" s="142"/>
    </row>
    <row r="716">
      <c r="F716" s="142"/>
      <c r="L716" s="142"/>
      <c r="R716" s="142"/>
      <c r="X716" s="142"/>
      <c r="AD716" s="142"/>
      <c r="AJ716" s="142"/>
      <c r="AP716" s="142"/>
      <c r="AV716" s="142"/>
      <c r="BB716" s="142"/>
      <c r="BH716" s="142"/>
      <c r="BN716" s="142"/>
      <c r="BT716" s="142"/>
      <c r="BZ716" s="142"/>
      <c r="CF716" s="142"/>
      <c r="CL716" s="142"/>
      <c r="CR716" s="142"/>
      <c r="CX716" s="142"/>
      <c r="DD716" s="142"/>
      <c r="DJ716" s="142"/>
      <c r="DP716" s="142"/>
      <c r="DV716" s="142"/>
      <c r="EB716" s="142"/>
    </row>
    <row r="717">
      <c r="F717" s="142"/>
      <c r="L717" s="142"/>
      <c r="R717" s="142"/>
      <c r="X717" s="142"/>
      <c r="AD717" s="142"/>
      <c r="AJ717" s="142"/>
      <c r="AP717" s="142"/>
      <c r="AV717" s="142"/>
      <c r="BB717" s="142"/>
      <c r="BH717" s="142"/>
      <c r="BN717" s="142"/>
      <c r="BT717" s="142"/>
      <c r="BZ717" s="142"/>
      <c r="CF717" s="142"/>
      <c r="CL717" s="142"/>
      <c r="CR717" s="142"/>
      <c r="CX717" s="142"/>
      <c r="DD717" s="142"/>
      <c r="DJ717" s="142"/>
      <c r="DP717" s="142"/>
      <c r="DV717" s="142"/>
      <c r="EB717" s="142"/>
    </row>
    <row r="718">
      <c r="F718" s="142"/>
      <c r="L718" s="142"/>
      <c r="R718" s="142"/>
      <c r="X718" s="142"/>
      <c r="AD718" s="142"/>
      <c r="AJ718" s="142"/>
      <c r="AP718" s="142"/>
      <c r="AV718" s="142"/>
      <c r="BB718" s="142"/>
      <c r="BH718" s="142"/>
      <c r="BN718" s="142"/>
      <c r="BT718" s="142"/>
      <c r="BZ718" s="142"/>
      <c r="CF718" s="142"/>
      <c r="CL718" s="142"/>
      <c r="CR718" s="142"/>
      <c r="CX718" s="142"/>
      <c r="DD718" s="142"/>
      <c r="DJ718" s="142"/>
      <c r="DP718" s="142"/>
      <c r="DV718" s="142"/>
      <c r="EB718" s="142"/>
    </row>
    <row r="719">
      <c r="F719" s="142"/>
      <c r="L719" s="142"/>
      <c r="R719" s="142"/>
      <c r="X719" s="142"/>
      <c r="AD719" s="142"/>
      <c r="AJ719" s="142"/>
      <c r="AP719" s="142"/>
      <c r="AV719" s="142"/>
      <c r="BB719" s="142"/>
      <c r="BH719" s="142"/>
      <c r="BN719" s="142"/>
      <c r="BT719" s="142"/>
      <c r="BZ719" s="142"/>
      <c r="CF719" s="142"/>
      <c r="CL719" s="142"/>
      <c r="CR719" s="142"/>
      <c r="CX719" s="142"/>
      <c r="DD719" s="142"/>
      <c r="DJ719" s="142"/>
      <c r="DP719" s="142"/>
      <c r="DV719" s="142"/>
      <c r="EB719" s="142"/>
    </row>
    <row r="720">
      <c r="F720" s="142"/>
      <c r="L720" s="142"/>
      <c r="R720" s="142"/>
      <c r="X720" s="142"/>
      <c r="AD720" s="142"/>
      <c r="AJ720" s="142"/>
      <c r="AP720" s="142"/>
      <c r="AV720" s="142"/>
      <c r="BB720" s="142"/>
      <c r="BH720" s="142"/>
      <c r="BN720" s="142"/>
      <c r="BT720" s="142"/>
      <c r="BZ720" s="142"/>
      <c r="CF720" s="142"/>
      <c r="CL720" s="142"/>
      <c r="CR720" s="142"/>
      <c r="CX720" s="142"/>
      <c r="DD720" s="142"/>
      <c r="DJ720" s="142"/>
      <c r="DP720" s="142"/>
      <c r="DV720" s="142"/>
      <c r="EB720" s="142"/>
    </row>
    <row r="721">
      <c r="F721" s="142"/>
      <c r="L721" s="142"/>
      <c r="R721" s="142"/>
      <c r="X721" s="142"/>
      <c r="AD721" s="142"/>
      <c r="AJ721" s="142"/>
      <c r="AP721" s="142"/>
      <c r="AV721" s="142"/>
      <c r="BB721" s="142"/>
      <c r="BH721" s="142"/>
      <c r="BN721" s="142"/>
      <c r="BT721" s="142"/>
      <c r="BZ721" s="142"/>
      <c r="CF721" s="142"/>
      <c r="CL721" s="142"/>
      <c r="CR721" s="142"/>
      <c r="CX721" s="142"/>
      <c r="DD721" s="142"/>
      <c r="DJ721" s="142"/>
      <c r="DP721" s="142"/>
      <c r="DV721" s="142"/>
      <c r="EB721" s="142"/>
    </row>
    <row r="722">
      <c r="F722" s="142"/>
      <c r="L722" s="142"/>
      <c r="R722" s="142"/>
      <c r="X722" s="142"/>
      <c r="AD722" s="142"/>
      <c r="AJ722" s="142"/>
      <c r="AP722" s="142"/>
      <c r="AV722" s="142"/>
      <c r="BB722" s="142"/>
      <c r="BH722" s="142"/>
      <c r="BN722" s="142"/>
      <c r="BT722" s="142"/>
      <c r="BZ722" s="142"/>
      <c r="CF722" s="142"/>
      <c r="CL722" s="142"/>
      <c r="CR722" s="142"/>
      <c r="CX722" s="142"/>
      <c r="DD722" s="142"/>
      <c r="DJ722" s="142"/>
      <c r="DP722" s="142"/>
      <c r="DV722" s="142"/>
      <c r="EB722" s="142"/>
    </row>
    <row r="723">
      <c r="F723" s="142"/>
      <c r="L723" s="142"/>
      <c r="R723" s="142"/>
      <c r="X723" s="142"/>
      <c r="AD723" s="142"/>
      <c r="AJ723" s="142"/>
      <c r="AP723" s="142"/>
      <c r="AV723" s="142"/>
      <c r="BB723" s="142"/>
      <c r="BH723" s="142"/>
      <c r="BN723" s="142"/>
      <c r="BT723" s="142"/>
      <c r="BZ723" s="142"/>
      <c r="CF723" s="142"/>
      <c r="CL723" s="142"/>
      <c r="CR723" s="142"/>
      <c r="CX723" s="142"/>
      <c r="DD723" s="142"/>
      <c r="DJ723" s="142"/>
      <c r="DP723" s="142"/>
      <c r="DV723" s="142"/>
      <c r="EB723" s="142"/>
    </row>
    <row r="724">
      <c r="F724" s="142"/>
      <c r="L724" s="142"/>
      <c r="R724" s="142"/>
      <c r="X724" s="142"/>
      <c r="AD724" s="142"/>
      <c r="AJ724" s="142"/>
      <c r="AP724" s="142"/>
      <c r="AV724" s="142"/>
      <c r="BB724" s="142"/>
      <c r="BH724" s="142"/>
      <c r="BN724" s="142"/>
      <c r="BT724" s="142"/>
      <c r="BZ724" s="142"/>
      <c r="CF724" s="142"/>
      <c r="CL724" s="142"/>
      <c r="CR724" s="142"/>
      <c r="CX724" s="142"/>
      <c r="DD724" s="142"/>
      <c r="DJ724" s="142"/>
      <c r="DP724" s="142"/>
      <c r="DV724" s="142"/>
      <c r="EB724" s="142"/>
    </row>
    <row r="725">
      <c r="F725" s="142"/>
      <c r="L725" s="142"/>
      <c r="R725" s="142"/>
      <c r="X725" s="142"/>
      <c r="AD725" s="142"/>
      <c r="AJ725" s="142"/>
      <c r="AP725" s="142"/>
      <c r="AV725" s="142"/>
      <c r="BB725" s="142"/>
      <c r="BH725" s="142"/>
      <c r="BN725" s="142"/>
      <c r="BT725" s="142"/>
      <c r="BZ725" s="142"/>
      <c r="CF725" s="142"/>
      <c r="CL725" s="142"/>
      <c r="CR725" s="142"/>
      <c r="CX725" s="142"/>
      <c r="DD725" s="142"/>
      <c r="DJ725" s="142"/>
      <c r="DP725" s="142"/>
      <c r="DV725" s="142"/>
      <c r="EB725" s="142"/>
    </row>
    <row r="726">
      <c r="F726" s="142"/>
      <c r="L726" s="142"/>
      <c r="R726" s="142"/>
      <c r="X726" s="142"/>
      <c r="AD726" s="142"/>
      <c r="AJ726" s="142"/>
      <c r="AP726" s="142"/>
      <c r="AV726" s="142"/>
      <c r="BB726" s="142"/>
      <c r="BH726" s="142"/>
      <c r="BN726" s="142"/>
      <c r="BT726" s="142"/>
      <c r="BZ726" s="142"/>
      <c r="CF726" s="142"/>
      <c r="CL726" s="142"/>
      <c r="CR726" s="142"/>
      <c r="CX726" s="142"/>
      <c r="DD726" s="142"/>
      <c r="DJ726" s="142"/>
      <c r="DP726" s="142"/>
      <c r="DV726" s="142"/>
      <c r="EB726" s="142"/>
    </row>
    <row r="727">
      <c r="F727" s="142"/>
      <c r="L727" s="142"/>
      <c r="R727" s="142"/>
      <c r="X727" s="142"/>
      <c r="AD727" s="142"/>
      <c r="AJ727" s="142"/>
      <c r="AP727" s="142"/>
      <c r="AV727" s="142"/>
      <c r="BB727" s="142"/>
      <c r="BH727" s="142"/>
      <c r="BN727" s="142"/>
      <c r="BT727" s="142"/>
      <c r="BZ727" s="142"/>
      <c r="CF727" s="142"/>
      <c r="CL727" s="142"/>
      <c r="CR727" s="142"/>
      <c r="CX727" s="142"/>
      <c r="DD727" s="142"/>
      <c r="DJ727" s="142"/>
      <c r="DP727" s="142"/>
      <c r="DV727" s="142"/>
      <c r="EB727" s="142"/>
    </row>
    <row r="728">
      <c r="F728" s="142"/>
      <c r="L728" s="142"/>
      <c r="R728" s="142"/>
      <c r="X728" s="142"/>
      <c r="AD728" s="142"/>
      <c r="AJ728" s="142"/>
      <c r="AP728" s="142"/>
      <c r="AV728" s="142"/>
      <c r="BB728" s="142"/>
      <c r="BH728" s="142"/>
      <c r="BN728" s="142"/>
      <c r="BT728" s="142"/>
      <c r="BZ728" s="142"/>
      <c r="CF728" s="142"/>
      <c r="CL728" s="142"/>
      <c r="CR728" s="142"/>
      <c r="CX728" s="142"/>
      <c r="DD728" s="142"/>
      <c r="DJ728" s="142"/>
      <c r="DP728" s="142"/>
      <c r="DV728" s="142"/>
      <c r="EB728" s="142"/>
    </row>
    <row r="729">
      <c r="F729" s="142"/>
      <c r="L729" s="142"/>
      <c r="R729" s="142"/>
      <c r="X729" s="142"/>
      <c r="AD729" s="142"/>
      <c r="AJ729" s="142"/>
      <c r="AP729" s="142"/>
      <c r="AV729" s="142"/>
      <c r="BB729" s="142"/>
      <c r="BH729" s="142"/>
      <c r="BN729" s="142"/>
      <c r="BT729" s="142"/>
      <c r="BZ729" s="142"/>
      <c r="CF729" s="142"/>
      <c r="CL729" s="142"/>
      <c r="CR729" s="142"/>
      <c r="CX729" s="142"/>
      <c r="DD729" s="142"/>
      <c r="DJ729" s="142"/>
      <c r="DP729" s="142"/>
      <c r="DV729" s="142"/>
      <c r="EB729" s="142"/>
    </row>
    <row r="730">
      <c r="F730" s="142"/>
      <c r="L730" s="142"/>
      <c r="R730" s="142"/>
      <c r="X730" s="142"/>
      <c r="AD730" s="142"/>
      <c r="AJ730" s="142"/>
      <c r="AP730" s="142"/>
      <c r="AV730" s="142"/>
      <c r="BB730" s="142"/>
      <c r="BH730" s="142"/>
      <c r="BN730" s="142"/>
      <c r="BT730" s="142"/>
      <c r="BZ730" s="142"/>
      <c r="CF730" s="142"/>
      <c r="CL730" s="142"/>
      <c r="CR730" s="142"/>
      <c r="CX730" s="142"/>
      <c r="DD730" s="142"/>
      <c r="DJ730" s="142"/>
      <c r="DP730" s="142"/>
      <c r="DV730" s="142"/>
      <c r="EB730" s="142"/>
    </row>
    <row r="731">
      <c r="F731" s="142"/>
      <c r="L731" s="142"/>
      <c r="R731" s="142"/>
      <c r="X731" s="142"/>
      <c r="AD731" s="142"/>
      <c r="AJ731" s="142"/>
      <c r="AP731" s="142"/>
      <c r="AV731" s="142"/>
      <c r="BB731" s="142"/>
      <c r="BH731" s="142"/>
      <c r="BN731" s="142"/>
      <c r="BT731" s="142"/>
      <c r="BZ731" s="142"/>
      <c r="CF731" s="142"/>
      <c r="CL731" s="142"/>
      <c r="CR731" s="142"/>
      <c r="CX731" s="142"/>
      <c r="DD731" s="142"/>
      <c r="DJ731" s="142"/>
      <c r="DP731" s="142"/>
      <c r="DV731" s="142"/>
      <c r="EB731" s="142"/>
    </row>
    <row r="732">
      <c r="F732" s="142"/>
      <c r="L732" s="142"/>
      <c r="R732" s="142"/>
      <c r="X732" s="142"/>
      <c r="AD732" s="142"/>
      <c r="AJ732" s="142"/>
      <c r="AP732" s="142"/>
      <c r="AV732" s="142"/>
      <c r="BB732" s="142"/>
      <c r="BH732" s="142"/>
      <c r="BN732" s="142"/>
      <c r="BT732" s="142"/>
      <c r="BZ732" s="142"/>
      <c r="CF732" s="142"/>
      <c r="CL732" s="142"/>
      <c r="CR732" s="142"/>
      <c r="CX732" s="142"/>
      <c r="DD732" s="142"/>
      <c r="DJ732" s="142"/>
      <c r="DP732" s="142"/>
      <c r="DV732" s="142"/>
      <c r="EB732" s="142"/>
    </row>
    <row r="733">
      <c r="F733" s="142"/>
      <c r="L733" s="142"/>
      <c r="R733" s="142"/>
      <c r="X733" s="142"/>
      <c r="AD733" s="142"/>
      <c r="AJ733" s="142"/>
      <c r="AP733" s="142"/>
      <c r="AV733" s="142"/>
      <c r="BB733" s="142"/>
      <c r="BH733" s="142"/>
      <c r="BN733" s="142"/>
      <c r="BT733" s="142"/>
      <c r="BZ733" s="142"/>
      <c r="CF733" s="142"/>
      <c r="CL733" s="142"/>
      <c r="CR733" s="142"/>
      <c r="CX733" s="142"/>
      <c r="DD733" s="142"/>
      <c r="DJ733" s="142"/>
      <c r="DP733" s="142"/>
      <c r="DV733" s="142"/>
      <c r="EB733" s="142"/>
    </row>
    <row r="734">
      <c r="F734" s="142"/>
      <c r="L734" s="142"/>
      <c r="R734" s="142"/>
      <c r="X734" s="142"/>
      <c r="AD734" s="142"/>
      <c r="AJ734" s="142"/>
      <c r="AP734" s="142"/>
      <c r="AV734" s="142"/>
      <c r="BB734" s="142"/>
      <c r="BH734" s="142"/>
      <c r="BN734" s="142"/>
      <c r="BT734" s="142"/>
      <c r="BZ734" s="142"/>
      <c r="CF734" s="142"/>
      <c r="CL734" s="142"/>
      <c r="CR734" s="142"/>
      <c r="CX734" s="142"/>
      <c r="DD734" s="142"/>
      <c r="DJ734" s="142"/>
      <c r="DP734" s="142"/>
      <c r="DV734" s="142"/>
      <c r="EB734" s="142"/>
    </row>
    <row r="735">
      <c r="F735" s="142"/>
      <c r="L735" s="142"/>
      <c r="R735" s="142"/>
      <c r="X735" s="142"/>
      <c r="AD735" s="142"/>
      <c r="AJ735" s="142"/>
      <c r="AP735" s="142"/>
      <c r="AV735" s="142"/>
      <c r="BB735" s="142"/>
      <c r="BH735" s="142"/>
      <c r="BN735" s="142"/>
      <c r="BT735" s="142"/>
      <c r="BZ735" s="142"/>
      <c r="CF735" s="142"/>
      <c r="CL735" s="142"/>
      <c r="CR735" s="142"/>
      <c r="CX735" s="142"/>
      <c r="DD735" s="142"/>
      <c r="DJ735" s="142"/>
      <c r="DP735" s="142"/>
      <c r="DV735" s="142"/>
      <c r="EB735" s="142"/>
    </row>
    <row r="736">
      <c r="F736" s="142"/>
      <c r="L736" s="142"/>
      <c r="R736" s="142"/>
      <c r="X736" s="142"/>
      <c r="AD736" s="142"/>
      <c r="AJ736" s="142"/>
      <c r="AP736" s="142"/>
      <c r="AV736" s="142"/>
      <c r="BB736" s="142"/>
      <c r="BH736" s="142"/>
      <c r="BN736" s="142"/>
      <c r="BT736" s="142"/>
      <c r="BZ736" s="142"/>
      <c r="CF736" s="142"/>
      <c r="CL736" s="142"/>
      <c r="CR736" s="142"/>
      <c r="CX736" s="142"/>
      <c r="DD736" s="142"/>
      <c r="DJ736" s="142"/>
      <c r="DP736" s="142"/>
      <c r="DV736" s="142"/>
      <c r="EB736" s="142"/>
    </row>
    <row r="737">
      <c r="F737" s="142"/>
      <c r="L737" s="142"/>
      <c r="R737" s="142"/>
      <c r="X737" s="142"/>
      <c r="AD737" s="142"/>
      <c r="AJ737" s="142"/>
      <c r="AP737" s="142"/>
      <c r="AV737" s="142"/>
      <c r="BB737" s="142"/>
      <c r="BH737" s="142"/>
      <c r="BN737" s="142"/>
      <c r="BT737" s="142"/>
      <c r="BZ737" s="142"/>
      <c r="CF737" s="142"/>
      <c r="CL737" s="142"/>
      <c r="CR737" s="142"/>
      <c r="CX737" s="142"/>
      <c r="DD737" s="142"/>
      <c r="DJ737" s="142"/>
      <c r="DP737" s="142"/>
      <c r="DV737" s="142"/>
      <c r="EB737" s="142"/>
    </row>
    <row r="738">
      <c r="F738" s="142"/>
      <c r="L738" s="142"/>
      <c r="R738" s="142"/>
      <c r="X738" s="142"/>
      <c r="AD738" s="142"/>
      <c r="AJ738" s="142"/>
      <c r="AP738" s="142"/>
      <c r="AV738" s="142"/>
      <c r="BB738" s="142"/>
      <c r="BH738" s="142"/>
      <c r="BN738" s="142"/>
      <c r="BT738" s="142"/>
      <c r="BZ738" s="142"/>
      <c r="CF738" s="142"/>
      <c r="CL738" s="142"/>
      <c r="CR738" s="142"/>
      <c r="CX738" s="142"/>
      <c r="DD738" s="142"/>
      <c r="DJ738" s="142"/>
      <c r="DP738" s="142"/>
      <c r="DV738" s="142"/>
      <c r="EB738" s="142"/>
    </row>
    <row r="739">
      <c r="F739" s="142"/>
      <c r="L739" s="142"/>
      <c r="R739" s="142"/>
      <c r="X739" s="142"/>
      <c r="AD739" s="142"/>
      <c r="AJ739" s="142"/>
      <c r="AP739" s="142"/>
      <c r="AV739" s="142"/>
      <c r="BB739" s="142"/>
      <c r="BH739" s="142"/>
      <c r="BN739" s="142"/>
      <c r="BT739" s="142"/>
      <c r="BZ739" s="142"/>
      <c r="CF739" s="142"/>
      <c r="CL739" s="142"/>
      <c r="CR739" s="142"/>
      <c r="CX739" s="142"/>
      <c r="DD739" s="142"/>
      <c r="DJ739" s="142"/>
      <c r="DP739" s="142"/>
      <c r="DV739" s="142"/>
      <c r="EB739" s="142"/>
    </row>
    <row r="740">
      <c r="F740" s="142"/>
      <c r="L740" s="142"/>
      <c r="R740" s="142"/>
      <c r="X740" s="142"/>
      <c r="AD740" s="142"/>
      <c r="AJ740" s="142"/>
      <c r="AP740" s="142"/>
      <c r="AV740" s="142"/>
      <c r="BB740" s="142"/>
      <c r="BH740" s="142"/>
      <c r="BN740" s="142"/>
      <c r="BT740" s="142"/>
      <c r="BZ740" s="142"/>
      <c r="CF740" s="142"/>
      <c r="CL740" s="142"/>
      <c r="CR740" s="142"/>
      <c r="CX740" s="142"/>
      <c r="DD740" s="142"/>
      <c r="DJ740" s="142"/>
      <c r="DP740" s="142"/>
      <c r="DV740" s="142"/>
      <c r="EB740" s="142"/>
    </row>
    <row r="741">
      <c r="F741" s="142"/>
      <c r="L741" s="142"/>
      <c r="R741" s="142"/>
      <c r="X741" s="142"/>
      <c r="AD741" s="142"/>
      <c r="AJ741" s="142"/>
      <c r="AP741" s="142"/>
      <c r="AV741" s="142"/>
      <c r="BB741" s="142"/>
      <c r="BH741" s="142"/>
      <c r="BN741" s="142"/>
      <c r="BT741" s="142"/>
      <c r="BZ741" s="142"/>
      <c r="CF741" s="142"/>
      <c r="CL741" s="142"/>
      <c r="CR741" s="142"/>
      <c r="CX741" s="142"/>
      <c r="DD741" s="142"/>
      <c r="DJ741" s="142"/>
      <c r="DP741" s="142"/>
      <c r="DV741" s="142"/>
      <c r="EB741" s="142"/>
    </row>
    <row r="742">
      <c r="F742" s="142"/>
      <c r="L742" s="142"/>
      <c r="R742" s="142"/>
      <c r="X742" s="142"/>
      <c r="AD742" s="142"/>
      <c r="AJ742" s="142"/>
      <c r="AP742" s="142"/>
      <c r="AV742" s="142"/>
      <c r="BB742" s="142"/>
      <c r="BH742" s="142"/>
      <c r="BN742" s="142"/>
      <c r="BT742" s="142"/>
      <c r="BZ742" s="142"/>
      <c r="CF742" s="142"/>
      <c r="CL742" s="142"/>
      <c r="CR742" s="142"/>
      <c r="CX742" s="142"/>
      <c r="DD742" s="142"/>
      <c r="DJ742" s="142"/>
      <c r="DP742" s="142"/>
      <c r="DV742" s="142"/>
      <c r="EB742" s="142"/>
    </row>
    <row r="743">
      <c r="F743" s="142"/>
      <c r="L743" s="142"/>
      <c r="R743" s="142"/>
      <c r="X743" s="142"/>
      <c r="AD743" s="142"/>
      <c r="AJ743" s="142"/>
      <c r="AP743" s="142"/>
      <c r="AV743" s="142"/>
      <c r="BB743" s="142"/>
      <c r="BH743" s="142"/>
      <c r="BN743" s="142"/>
      <c r="BT743" s="142"/>
      <c r="BZ743" s="142"/>
      <c r="CF743" s="142"/>
      <c r="CL743" s="142"/>
      <c r="CR743" s="142"/>
      <c r="CX743" s="142"/>
      <c r="DD743" s="142"/>
      <c r="DJ743" s="142"/>
      <c r="DP743" s="142"/>
      <c r="DV743" s="142"/>
      <c r="EB743" s="142"/>
    </row>
    <row r="744">
      <c r="F744" s="142"/>
      <c r="L744" s="142"/>
      <c r="R744" s="142"/>
      <c r="X744" s="142"/>
      <c r="AD744" s="142"/>
      <c r="AJ744" s="142"/>
      <c r="AP744" s="142"/>
      <c r="AV744" s="142"/>
      <c r="BB744" s="142"/>
      <c r="BH744" s="142"/>
      <c r="BN744" s="142"/>
      <c r="BT744" s="142"/>
      <c r="BZ744" s="142"/>
      <c r="CF744" s="142"/>
      <c r="CL744" s="142"/>
      <c r="CR744" s="142"/>
      <c r="CX744" s="142"/>
      <c r="DD744" s="142"/>
      <c r="DJ744" s="142"/>
      <c r="DP744" s="142"/>
      <c r="DV744" s="142"/>
      <c r="EB744" s="142"/>
    </row>
    <row r="745">
      <c r="F745" s="142"/>
      <c r="L745" s="142"/>
      <c r="R745" s="142"/>
      <c r="X745" s="142"/>
      <c r="AD745" s="142"/>
      <c r="AJ745" s="142"/>
      <c r="AP745" s="142"/>
      <c r="AV745" s="142"/>
      <c r="BB745" s="142"/>
      <c r="BH745" s="142"/>
      <c r="BN745" s="142"/>
      <c r="BT745" s="142"/>
      <c r="BZ745" s="142"/>
      <c r="CF745" s="142"/>
      <c r="CL745" s="142"/>
      <c r="CR745" s="142"/>
      <c r="CX745" s="142"/>
      <c r="DD745" s="142"/>
      <c r="DJ745" s="142"/>
      <c r="DP745" s="142"/>
      <c r="DV745" s="142"/>
      <c r="EB745" s="142"/>
    </row>
    <row r="746">
      <c r="F746" s="142"/>
      <c r="L746" s="142"/>
      <c r="R746" s="142"/>
      <c r="X746" s="142"/>
      <c r="AD746" s="142"/>
      <c r="AJ746" s="142"/>
      <c r="AP746" s="142"/>
      <c r="AV746" s="142"/>
      <c r="BB746" s="142"/>
      <c r="BH746" s="142"/>
      <c r="BN746" s="142"/>
      <c r="BT746" s="142"/>
      <c r="BZ746" s="142"/>
      <c r="CF746" s="142"/>
      <c r="CL746" s="142"/>
      <c r="CR746" s="142"/>
      <c r="CX746" s="142"/>
      <c r="DD746" s="142"/>
      <c r="DJ746" s="142"/>
      <c r="DP746" s="142"/>
      <c r="DV746" s="142"/>
      <c r="EB746" s="142"/>
    </row>
    <row r="747">
      <c r="F747" s="142"/>
      <c r="L747" s="142"/>
      <c r="R747" s="142"/>
      <c r="X747" s="142"/>
      <c r="AD747" s="142"/>
      <c r="AJ747" s="142"/>
      <c r="AP747" s="142"/>
      <c r="AV747" s="142"/>
      <c r="BB747" s="142"/>
      <c r="BH747" s="142"/>
      <c r="BN747" s="142"/>
      <c r="BT747" s="142"/>
      <c r="BZ747" s="142"/>
      <c r="CF747" s="142"/>
      <c r="CL747" s="142"/>
      <c r="CR747" s="142"/>
      <c r="CX747" s="142"/>
      <c r="DD747" s="142"/>
      <c r="DJ747" s="142"/>
      <c r="DP747" s="142"/>
      <c r="DV747" s="142"/>
      <c r="EB747" s="142"/>
    </row>
    <row r="748">
      <c r="F748" s="142"/>
      <c r="L748" s="142"/>
      <c r="R748" s="142"/>
      <c r="X748" s="142"/>
      <c r="AD748" s="142"/>
      <c r="AJ748" s="142"/>
      <c r="AP748" s="142"/>
      <c r="AV748" s="142"/>
      <c r="BB748" s="142"/>
      <c r="BH748" s="142"/>
      <c r="BN748" s="142"/>
      <c r="BT748" s="142"/>
      <c r="BZ748" s="142"/>
      <c r="CF748" s="142"/>
      <c r="CL748" s="142"/>
      <c r="CR748" s="142"/>
      <c r="CX748" s="142"/>
      <c r="DD748" s="142"/>
      <c r="DJ748" s="142"/>
      <c r="DP748" s="142"/>
      <c r="DV748" s="142"/>
      <c r="EB748" s="142"/>
    </row>
    <row r="749">
      <c r="F749" s="142"/>
      <c r="L749" s="142"/>
      <c r="R749" s="142"/>
      <c r="X749" s="142"/>
      <c r="AD749" s="142"/>
      <c r="AJ749" s="142"/>
      <c r="AP749" s="142"/>
      <c r="AV749" s="142"/>
      <c r="BB749" s="142"/>
      <c r="BH749" s="142"/>
      <c r="BN749" s="142"/>
      <c r="BT749" s="142"/>
      <c r="BZ749" s="142"/>
      <c r="CF749" s="142"/>
      <c r="CL749" s="142"/>
      <c r="CR749" s="142"/>
      <c r="CX749" s="142"/>
      <c r="DD749" s="142"/>
      <c r="DJ749" s="142"/>
      <c r="DP749" s="142"/>
      <c r="DV749" s="142"/>
      <c r="EB749" s="142"/>
    </row>
    <row r="750">
      <c r="F750" s="142"/>
      <c r="L750" s="142"/>
      <c r="R750" s="142"/>
      <c r="X750" s="142"/>
      <c r="AD750" s="142"/>
      <c r="AJ750" s="142"/>
      <c r="AP750" s="142"/>
      <c r="AV750" s="142"/>
      <c r="BB750" s="142"/>
      <c r="BH750" s="142"/>
      <c r="BN750" s="142"/>
      <c r="BT750" s="142"/>
      <c r="BZ750" s="142"/>
      <c r="CF750" s="142"/>
      <c r="CL750" s="142"/>
      <c r="CR750" s="142"/>
      <c r="CX750" s="142"/>
      <c r="DD750" s="142"/>
      <c r="DJ750" s="142"/>
      <c r="DP750" s="142"/>
      <c r="DV750" s="142"/>
      <c r="EB750" s="142"/>
    </row>
    <row r="751">
      <c r="F751" s="142"/>
      <c r="L751" s="142"/>
      <c r="R751" s="142"/>
      <c r="X751" s="142"/>
      <c r="AD751" s="142"/>
      <c r="AJ751" s="142"/>
      <c r="AP751" s="142"/>
      <c r="AV751" s="142"/>
      <c r="BB751" s="142"/>
      <c r="BH751" s="142"/>
      <c r="BN751" s="142"/>
      <c r="BT751" s="142"/>
      <c r="BZ751" s="142"/>
      <c r="CF751" s="142"/>
      <c r="CL751" s="142"/>
      <c r="CR751" s="142"/>
      <c r="CX751" s="142"/>
      <c r="DD751" s="142"/>
      <c r="DJ751" s="142"/>
      <c r="DP751" s="142"/>
      <c r="DV751" s="142"/>
      <c r="EB751" s="142"/>
    </row>
    <row r="752">
      <c r="F752" s="142"/>
      <c r="L752" s="142"/>
      <c r="R752" s="142"/>
      <c r="X752" s="142"/>
      <c r="AD752" s="142"/>
      <c r="AJ752" s="142"/>
      <c r="AP752" s="142"/>
      <c r="AV752" s="142"/>
      <c r="BB752" s="142"/>
      <c r="BH752" s="142"/>
      <c r="BN752" s="142"/>
      <c r="BT752" s="142"/>
      <c r="BZ752" s="142"/>
      <c r="CF752" s="142"/>
      <c r="CL752" s="142"/>
      <c r="CR752" s="142"/>
      <c r="CX752" s="142"/>
      <c r="DD752" s="142"/>
      <c r="DJ752" s="142"/>
      <c r="DP752" s="142"/>
      <c r="DV752" s="142"/>
      <c r="EB752" s="142"/>
    </row>
    <row r="753">
      <c r="F753" s="142"/>
      <c r="L753" s="142"/>
      <c r="R753" s="142"/>
      <c r="X753" s="142"/>
      <c r="AD753" s="142"/>
      <c r="AJ753" s="142"/>
      <c r="AP753" s="142"/>
      <c r="AV753" s="142"/>
      <c r="BB753" s="142"/>
      <c r="BH753" s="142"/>
      <c r="BN753" s="142"/>
      <c r="BT753" s="142"/>
      <c r="BZ753" s="142"/>
      <c r="CF753" s="142"/>
      <c r="CL753" s="142"/>
      <c r="CR753" s="142"/>
      <c r="CX753" s="142"/>
      <c r="DD753" s="142"/>
      <c r="DJ753" s="142"/>
      <c r="DP753" s="142"/>
      <c r="DV753" s="142"/>
      <c r="EB753" s="142"/>
    </row>
    <row r="754">
      <c r="F754" s="142"/>
      <c r="L754" s="142"/>
      <c r="R754" s="142"/>
      <c r="X754" s="142"/>
      <c r="AD754" s="142"/>
      <c r="AJ754" s="142"/>
      <c r="AP754" s="142"/>
      <c r="AV754" s="142"/>
      <c r="BB754" s="142"/>
      <c r="BH754" s="142"/>
      <c r="BN754" s="142"/>
      <c r="BT754" s="142"/>
      <c r="BZ754" s="142"/>
      <c r="CF754" s="142"/>
      <c r="CL754" s="142"/>
      <c r="CR754" s="142"/>
      <c r="CX754" s="142"/>
      <c r="DD754" s="142"/>
      <c r="DJ754" s="142"/>
      <c r="DP754" s="142"/>
      <c r="DV754" s="142"/>
      <c r="EB754" s="142"/>
    </row>
    <row r="755">
      <c r="F755" s="142"/>
      <c r="L755" s="142"/>
      <c r="R755" s="142"/>
      <c r="X755" s="142"/>
      <c r="AD755" s="142"/>
      <c r="AJ755" s="142"/>
      <c r="AP755" s="142"/>
      <c r="AV755" s="142"/>
      <c r="BB755" s="142"/>
      <c r="BH755" s="142"/>
      <c r="BN755" s="142"/>
      <c r="BT755" s="142"/>
      <c r="BZ755" s="142"/>
      <c r="CF755" s="142"/>
      <c r="CL755" s="142"/>
      <c r="CR755" s="142"/>
      <c r="CX755" s="142"/>
      <c r="DD755" s="142"/>
      <c r="DJ755" s="142"/>
      <c r="DP755" s="142"/>
      <c r="DV755" s="142"/>
      <c r="EB755" s="142"/>
    </row>
    <row r="756">
      <c r="F756" s="142"/>
      <c r="L756" s="142"/>
      <c r="R756" s="142"/>
      <c r="X756" s="142"/>
      <c r="AD756" s="142"/>
      <c r="AJ756" s="142"/>
      <c r="AP756" s="142"/>
      <c r="AV756" s="142"/>
      <c r="BB756" s="142"/>
      <c r="BH756" s="142"/>
      <c r="BN756" s="142"/>
      <c r="BT756" s="142"/>
      <c r="BZ756" s="142"/>
      <c r="CF756" s="142"/>
      <c r="CL756" s="142"/>
      <c r="CR756" s="142"/>
      <c r="CX756" s="142"/>
      <c r="DD756" s="142"/>
      <c r="DJ756" s="142"/>
      <c r="DP756" s="142"/>
      <c r="DV756" s="142"/>
      <c r="EB756" s="142"/>
    </row>
    <row r="757">
      <c r="F757" s="142"/>
      <c r="L757" s="142"/>
      <c r="R757" s="142"/>
      <c r="X757" s="142"/>
      <c r="AD757" s="142"/>
      <c r="AJ757" s="142"/>
      <c r="AP757" s="142"/>
      <c r="AV757" s="142"/>
      <c r="BB757" s="142"/>
      <c r="BH757" s="142"/>
      <c r="BN757" s="142"/>
      <c r="BT757" s="142"/>
      <c r="BZ757" s="142"/>
      <c r="CF757" s="142"/>
      <c r="CL757" s="142"/>
      <c r="CR757" s="142"/>
      <c r="CX757" s="142"/>
      <c r="DD757" s="142"/>
      <c r="DJ757" s="142"/>
      <c r="DP757" s="142"/>
      <c r="DV757" s="142"/>
      <c r="EB757" s="142"/>
    </row>
    <row r="758">
      <c r="F758" s="142"/>
      <c r="L758" s="142"/>
      <c r="R758" s="142"/>
      <c r="X758" s="142"/>
      <c r="AD758" s="142"/>
      <c r="AJ758" s="142"/>
      <c r="AP758" s="142"/>
      <c r="AV758" s="142"/>
      <c r="BB758" s="142"/>
      <c r="BH758" s="142"/>
      <c r="BN758" s="142"/>
      <c r="BT758" s="142"/>
      <c r="BZ758" s="142"/>
      <c r="CF758" s="142"/>
      <c r="CL758" s="142"/>
      <c r="CR758" s="142"/>
      <c r="CX758" s="142"/>
      <c r="DD758" s="142"/>
      <c r="DJ758" s="142"/>
      <c r="DP758" s="142"/>
      <c r="DV758" s="142"/>
      <c r="EB758" s="142"/>
    </row>
    <row r="759">
      <c r="F759" s="142"/>
      <c r="L759" s="142"/>
      <c r="R759" s="142"/>
      <c r="X759" s="142"/>
      <c r="AD759" s="142"/>
      <c r="AJ759" s="142"/>
      <c r="AP759" s="142"/>
      <c r="AV759" s="142"/>
      <c r="BB759" s="142"/>
      <c r="BH759" s="142"/>
      <c r="BN759" s="142"/>
      <c r="BT759" s="142"/>
      <c r="BZ759" s="142"/>
      <c r="CF759" s="142"/>
      <c r="CL759" s="142"/>
      <c r="CR759" s="142"/>
      <c r="CX759" s="142"/>
      <c r="DD759" s="142"/>
      <c r="DJ759" s="142"/>
      <c r="DP759" s="142"/>
      <c r="DV759" s="142"/>
      <c r="EB759" s="142"/>
    </row>
    <row r="760">
      <c r="F760" s="142"/>
      <c r="L760" s="142"/>
      <c r="R760" s="142"/>
      <c r="X760" s="142"/>
      <c r="AD760" s="142"/>
      <c r="AJ760" s="142"/>
      <c r="AP760" s="142"/>
      <c r="AV760" s="142"/>
      <c r="BB760" s="142"/>
      <c r="BH760" s="142"/>
      <c r="BN760" s="142"/>
      <c r="BT760" s="142"/>
      <c r="BZ760" s="142"/>
      <c r="CF760" s="142"/>
      <c r="CL760" s="142"/>
      <c r="CR760" s="142"/>
      <c r="CX760" s="142"/>
      <c r="DD760" s="142"/>
      <c r="DJ760" s="142"/>
      <c r="DP760" s="142"/>
      <c r="DV760" s="142"/>
      <c r="EB760" s="142"/>
    </row>
    <row r="761">
      <c r="F761" s="142"/>
      <c r="L761" s="142"/>
      <c r="R761" s="142"/>
      <c r="X761" s="142"/>
      <c r="AD761" s="142"/>
      <c r="AJ761" s="142"/>
      <c r="AP761" s="142"/>
      <c r="AV761" s="142"/>
      <c r="BB761" s="142"/>
      <c r="BH761" s="142"/>
      <c r="BN761" s="142"/>
      <c r="BT761" s="142"/>
      <c r="BZ761" s="142"/>
      <c r="CF761" s="142"/>
      <c r="CL761" s="142"/>
      <c r="CR761" s="142"/>
      <c r="CX761" s="142"/>
      <c r="DD761" s="142"/>
      <c r="DJ761" s="142"/>
      <c r="DP761" s="142"/>
      <c r="DV761" s="142"/>
      <c r="EB761" s="142"/>
    </row>
    <row r="762">
      <c r="F762" s="142"/>
      <c r="L762" s="142"/>
      <c r="R762" s="142"/>
      <c r="X762" s="142"/>
      <c r="AD762" s="142"/>
      <c r="AJ762" s="142"/>
      <c r="AP762" s="142"/>
      <c r="AV762" s="142"/>
      <c r="BB762" s="142"/>
      <c r="BH762" s="142"/>
      <c r="BN762" s="142"/>
      <c r="BT762" s="142"/>
      <c r="BZ762" s="142"/>
      <c r="CF762" s="142"/>
      <c r="CL762" s="142"/>
      <c r="CR762" s="142"/>
      <c r="CX762" s="142"/>
      <c r="DD762" s="142"/>
      <c r="DJ762" s="142"/>
      <c r="DP762" s="142"/>
      <c r="DV762" s="142"/>
      <c r="EB762" s="142"/>
    </row>
    <row r="763">
      <c r="F763" s="142"/>
      <c r="L763" s="142"/>
      <c r="R763" s="142"/>
      <c r="X763" s="142"/>
      <c r="AD763" s="142"/>
      <c r="AJ763" s="142"/>
      <c r="AP763" s="142"/>
      <c r="AV763" s="142"/>
      <c r="BB763" s="142"/>
      <c r="BH763" s="142"/>
      <c r="BN763" s="142"/>
      <c r="BT763" s="142"/>
      <c r="BZ763" s="142"/>
      <c r="CF763" s="142"/>
      <c r="CL763" s="142"/>
      <c r="CR763" s="142"/>
      <c r="CX763" s="142"/>
      <c r="DD763" s="142"/>
      <c r="DJ763" s="142"/>
      <c r="DP763" s="142"/>
      <c r="DV763" s="142"/>
      <c r="EB763" s="142"/>
    </row>
    <row r="764">
      <c r="F764" s="142"/>
      <c r="L764" s="142"/>
      <c r="R764" s="142"/>
      <c r="X764" s="142"/>
      <c r="AD764" s="142"/>
      <c r="AJ764" s="142"/>
      <c r="AP764" s="142"/>
      <c r="AV764" s="142"/>
      <c r="BB764" s="142"/>
      <c r="BH764" s="142"/>
      <c r="BN764" s="142"/>
      <c r="BT764" s="142"/>
      <c r="BZ764" s="142"/>
      <c r="CF764" s="142"/>
      <c r="CL764" s="142"/>
      <c r="CR764" s="142"/>
      <c r="CX764" s="142"/>
      <c r="DD764" s="142"/>
      <c r="DJ764" s="142"/>
      <c r="DP764" s="142"/>
      <c r="DV764" s="142"/>
      <c r="EB764" s="142"/>
    </row>
    <row r="765">
      <c r="F765" s="142"/>
      <c r="L765" s="142"/>
      <c r="R765" s="142"/>
      <c r="X765" s="142"/>
      <c r="AD765" s="142"/>
      <c r="AJ765" s="142"/>
      <c r="AP765" s="142"/>
      <c r="AV765" s="142"/>
      <c r="BB765" s="142"/>
      <c r="BH765" s="142"/>
      <c r="BN765" s="142"/>
      <c r="BT765" s="142"/>
      <c r="BZ765" s="142"/>
      <c r="CF765" s="142"/>
      <c r="CL765" s="142"/>
      <c r="CR765" s="142"/>
      <c r="CX765" s="142"/>
      <c r="DD765" s="142"/>
      <c r="DJ765" s="142"/>
      <c r="DP765" s="142"/>
      <c r="DV765" s="142"/>
      <c r="EB765" s="142"/>
    </row>
    <row r="766">
      <c r="F766" s="142"/>
      <c r="L766" s="142"/>
      <c r="R766" s="142"/>
      <c r="X766" s="142"/>
      <c r="AD766" s="142"/>
      <c r="AJ766" s="142"/>
      <c r="AP766" s="142"/>
      <c r="AV766" s="142"/>
      <c r="BB766" s="142"/>
      <c r="BH766" s="142"/>
      <c r="BN766" s="142"/>
      <c r="BT766" s="142"/>
      <c r="BZ766" s="142"/>
      <c r="CF766" s="142"/>
      <c r="CL766" s="142"/>
      <c r="CR766" s="142"/>
      <c r="CX766" s="142"/>
      <c r="DD766" s="142"/>
      <c r="DJ766" s="142"/>
      <c r="DP766" s="142"/>
      <c r="DV766" s="142"/>
      <c r="EB766" s="142"/>
    </row>
    <row r="767">
      <c r="F767" s="142"/>
      <c r="L767" s="142"/>
      <c r="R767" s="142"/>
      <c r="X767" s="142"/>
      <c r="AD767" s="142"/>
      <c r="AJ767" s="142"/>
      <c r="AP767" s="142"/>
      <c r="AV767" s="142"/>
      <c r="BB767" s="142"/>
      <c r="BH767" s="142"/>
      <c r="BN767" s="142"/>
      <c r="BT767" s="142"/>
      <c r="BZ767" s="142"/>
      <c r="CF767" s="142"/>
      <c r="CL767" s="142"/>
      <c r="CR767" s="142"/>
      <c r="CX767" s="142"/>
      <c r="DD767" s="142"/>
      <c r="DJ767" s="142"/>
      <c r="DP767" s="142"/>
      <c r="DV767" s="142"/>
      <c r="EB767" s="142"/>
    </row>
    <row r="768">
      <c r="F768" s="142"/>
      <c r="L768" s="142"/>
      <c r="R768" s="142"/>
      <c r="X768" s="142"/>
      <c r="AD768" s="142"/>
      <c r="AJ768" s="142"/>
      <c r="AP768" s="142"/>
      <c r="AV768" s="142"/>
      <c r="BB768" s="142"/>
      <c r="BH768" s="142"/>
      <c r="BN768" s="142"/>
      <c r="BT768" s="142"/>
      <c r="BZ768" s="142"/>
      <c r="CF768" s="142"/>
      <c r="CL768" s="142"/>
      <c r="CR768" s="142"/>
      <c r="CX768" s="142"/>
      <c r="DD768" s="142"/>
      <c r="DJ768" s="142"/>
      <c r="DP768" s="142"/>
      <c r="DV768" s="142"/>
      <c r="EB768" s="142"/>
    </row>
    <row r="769">
      <c r="F769" s="142"/>
      <c r="L769" s="142"/>
      <c r="R769" s="142"/>
      <c r="X769" s="142"/>
      <c r="AD769" s="142"/>
      <c r="AJ769" s="142"/>
      <c r="AP769" s="142"/>
      <c r="AV769" s="142"/>
      <c r="BB769" s="142"/>
      <c r="BH769" s="142"/>
      <c r="BN769" s="142"/>
      <c r="BT769" s="142"/>
      <c r="BZ769" s="142"/>
      <c r="CF769" s="142"/>
      <c r="CL769" s="142"/>
      <c r="CR769" s="142"/>
      <c r="CX769" s="142"/>
      <c r="DD769" s="142"/>
      <c r="DJ769" s="142"/>
      <c r="DP769" s="142"/>
      <c r="DV769" s="142"/>
      <c r="EB769" s="142"/>
    </row>
    <row r="770">
      <c r="F770" s="142"/>
      <c r="L770" s="142"/>
      <c r="R770" s="142"/>
      <c r="X770" s="142"/>
      <c r="AD770" s="142"/>
      <c r="AJ770" s="142"/>
      <c r="AP770" s="142"/>
      <c r="AV770" s="142"/>
      <c r="BB770" s="142"/>
      <c r="BH770" s="142"/>
      <c r="BN770" s="142"/>
      <c r="BT770" s="142"/>
      <c r="BZ770" s="142"/>
      <c r="CF770" s="142"/>
      <c r="CL770" s="142"/>
      <c r="CR770" s="142"/>
      <c r="CX770" s="142"/>
      <c r="DD770" s="142"/>
      <c r="DJ770" s="142"/>
      <c r="DP770" s="142"/>
      <c r="DV770" s="142"/>
      <c r="EB770" s="142"/>
    </row>
    <row r="771">
      <c r="F771" s="142"/>
      <c r="L771" s="142"/>
      <c r="R771" s="142"/>
      <c r="X771" s="142"/>
      <c r="AD771" s="142"/>
      <c r="AJ771" s="142"/>
      <c r="AP771" s="142"/>
      <c r="AV771" s="142"/>
      <c r="BB771" s="142"/>
      <c r="BH771" s="142"/>
      <c r="BN771" s="142"/>
      <c r="BT771" s="142"/>
      <c r="BZ771" s="142"/>
      <c r="CF771" s="142"/>
      <c r="CL771" s="142"/>
      <c r="CR771" s="142"/>
      <c r="CX771" s="142"/>
      <c r="DD771" s="142"/>
      <c r="DJ771" s="142"/>
      <c r="DP771" s="142"/>
      <c r="DV771" s="142"/>
      <c r="EB771" s="142"/>
    </row>
    <row r="772">
      <c r="F772" s="142"/>
      <c r="L772" s="142"/>
      <c r="R772" s="142"/>
      <c r="X772" s="142"/>
      <c r="AD772" s="142"/>
      <c r="AJ772" s="142"/>
      <c r="AP772" s="142"/>
      <c r="AV772" s="142"/>
      <c r="BB772" s="142"/>
      <c r="BH772" s="142"/>
      <c r="BN772" s="142"/>
      <c r="BT772" s="142"/>
      <c r="BZ772" s="142"/>
      <c r="CF772" s="142"/>
      <c r="CL772" s="142"/>
      <c r="CR772" s="142"/>
      <c r="CX772" s="142"/>
      <c r="DD772" s="142"/>
      <c r="DJ772" s="142"/>
      <c r="DP772" s="142"/>
      <c r="DV772" s="142"/>
      <c r="EB772" s="142"/>
    </row>
    <row r="773">
      <c r="F773" s="142"/>
      <c r="L773" s="142"/>
      <c r="R773" s="142"/>
      <c r="X773" s="142"/>
      <c r="AD773" s="142"/>
      <c r="AJ773" s="142"/>
      <c r="AP773" s="142"/>
      <c r="AV773" s="142"/>
      <c r="BB773" s="142"/>
      <c r="BH773" s="142"/>
      <c r="BN773" s="142"/>
      <c r="BT773" s="142"/>
      <c r="BZ773" s="142"/>
      <c r="CF773" s="142"/>
      <c r="CL773" s="142"/>
      <c r="CR773" s="142"/>
      <c r="CX773" s="142"/>
      <c r="DD773" s="142"/>
      <c r="DJ773" s="142"/>
      <c r="DP773" s="142"/>
      <c r="DV773" s="142"/>
      <c r="EB773" s="142"/>
    </row>
    <row r="774">
      <c r="F774" s="142"/>
      <c r="L774" s="142"/>
      <c r="R774" s="142"/>
      <c r="X774" s="142"/>
      <c r="AD774" s="142"/>
      <c r="AJ774" s="142"/>
      <c r="AP774" s="142"/>
      <c r="AV774" s="142"/>
      <c r="BB774" s="142"/>
      <c r="BH774" s="142"/>
      <c r="BN774" s="142"/>
      <c r="BT774" s="142"/>
      <c r="BZ774" s="142"/>
      <c r="CF774" s="142"/>
      <c r="CL774" s="142"/>
      <c r="CR774" s="142"/>
      <c r="CX774" s="142"/>
      <c r="DD774" s="142"/>
      <c r="DJ774" s="142"/>
      <c r="DP774" s="142"/>
      <c r="DV774" s="142"/>
      <c r="EB774" s="142"/>
    </row>
    <row r="775">
      <c r="F775" s="142"/>
      <c r="L775" s="142"/>
      <c r="R775" s="142"/>
      <c r="X775" s="142"/>
      <c r="AD775" s="142"/>
      <c r="AJ775" s="142"/>
      <c r="AP775" s="142"/>
      <c r="AV775" s="142"/>
      <c r="BB775" s="142"/>
      <c r="BH775" s="142"/>
      <c r="BN775" s="142"/>
      <c r="BT775" s="142"/>
      <c r="BZ775" s="142"/>
      <c r="CF775" s="142"/>
      <c r="CL775" s="142"/>
      <c r="CR775" s="142"/>
      <c r="CX775" s="142"/>
      <c r="DD775" s="142"/>
      <c r="DJ775" s="142"/>
      <c r="DP775" s="142"/>
      <c r="DV775" s="142"/>
      <c r="EB775" s="142"/>
    </row>
    <row r="776">
      <c r="F776" s="142"/>
      <c r="L776" s="142"/>
      <c r="R776" s="142"/>
      <c r="X776" s="142"/>
      <c r="AD776" s="142"/>
      <c r="AJ776" s="142"/>
      <c r="AP776" s="142"/>
      <c r="AV776" s="142"/>
      <c r="BB776" s="142"/>
      <c r="BH776" s="142"/>
      <c r="BN776" s="142"/>
      <c r="BT776" s="142"/>
      <c r="BZ776" s="142"/>
      <c r="CF776" s="142"/>
      <c r="CL776" s="142"/>
      <c r="CR776" s="142"/>
      <c r="CX776" s="142"/>
      <c r="DD776" s="142"/>
      <c r="DJ776" s="142"/>
      <c r="DP776" s="142"/>
      <c r="DV776" s="142"/>
      <c r="EB776" s="142"/>
    </row>
    <row r="777">
      <c r="F777" s="142"/>
      <c r="L777" s="142"/>
      <c r="R777" s="142"/>
      <c r="X777" s="142"/>
      <c r="AD777" s="142"/>
      <c r="AJ777" s="142"/>
      <c r="AP777" s="142"/>
      <c r="AV777" s="142"/>
      <c r="BB777" s="142"/>
      <c r="BH777" s="142"/>
      <c r="BN777" s="142"/>
      <c r="BT777" s="142"/>
      <c r="BZ777" s="142"/>
      <c r="CF777" s="142"/>
      <c r="CL777" s="142"/>
      <c r="CR777" s="142"/>
      <c r="CX777" s="142"/>
      <c r="DD777" s="142"/>
      <c r="DJ777" s="142"/>
      <c r="DP777" s="142"/>
      <c r="DV777" s="142"/>
      <c r="EB777" s="142"/>
    </row>
    <row r="778">
      <c r="F778" s="142"/>
      <c r="L778" s="142"/>
      <c r="R778" s="142"/>
      <c r="X778" s="142"/>
      <c r="AD778" s="142"/>
      <c r="AJ778" s="142"/>
      <c r="AP778" s="142"/>
      <c r="AV778" s="142"/>
      <c r="BB778" s="142"/>
      <c r="BH778" s="142"/>
      <c r="BN778" s="142"/>
      <c r="BT778" s="142"/>
      <c r="BZ778" s="142"/>
      <c r="CF778" s="142"/>
      <c r="CL778" s="142"/>
      <c r="CR778" s="142"/>
      <c r="CX778" s="142"/>
      <c r="DD778" s="142"/>
      <c r="DJ778" s="142"/>
      <c r="DP778" s="142"/>
      <c r="DV778" s="142"/>
      <c r="EB778" s="142"/>
    </row>
    <row r="779">
      <c r="F779" s="142"/>
      <c r="L779" s="142"/>
      <c r="R779" s="142"/>
      <c r="X779" s="142"/>
      <c r="AD779" s="142"/>
      <c r="AJ779" s="142"/>
      <c r="AP779" s="142"/>
      <c r="AV779" s="142"/>
      <c r="BB779" s="142"/>
      <c r="BH779" s="142"/>
      <c r="BN779" s="142"/>
      <c r="BT779" s="142"/>
      <c r="BZ779" s="142"/>
      <c r="CF779" s="142"/>
      <c r="CL779" s="142"/>
      <c r="CR779" s="142"/>
      <c r="CX779" s="142"/>
      <c r="DD779" s="142"/>
      <c r="DJ779" s="142"/>
      <c r="DP779" s="142"/>
      <c r="DV779" s="142"/>
      <c r="EB779" s="142"/>
    </row>
    <row r="780">
      <c r="F780" s="142"/>
      <c r="L780" s="142"/>
      <c r="R780" s="142"/>
      <c r="X780" s="142"/>
      <c r="AD780" s="142"/>
      <c r="AJ780" s="142"/>
      <c r="AP780" s="142"/>
      <c r="AV780" s="142"/>
      <c r="BB780" s="142"/>
      <c r="BH780" s="142"/>
      <c r="BN780" s="142"/>
      <c r="BT780" s="142"/>
      <c r="BZ780" s="142"/>
      <c r="CF780" s="142"/>
      <c r="CL780" s="142"/>
      <c r="CR780" s="142"/>
      <c r="CX780" s="142"/>
      <c r="DD780" s="142"/>
      <c r="DJ780" s="142"/>
      <c r="DP780" s="142"/>
      <c r="DV780" s="142"/>
      <c r="EB780" s="142"/>
    </row>
    <row r="781">
      <c r="F781" s="142"/>
      <c r="L781" s="142"/>
      <c r="R781" s="142"/>
      <c r="X781" s="142"/>
      <c r="AD781" s="142"/>
      <c r="AJ781" s="142"/>
      <c r="AP781" s="142"/>
      <c r="AV781" s="142"/>
      <c r="BB781" s="142"/>
      <c r="BH781" s="142"/>
      <c r="BN781" s="142"/>
      <c r="BT781" s="142"/>
      <c r="BZ781" s="142"/>
      <c r="CF781" s="142"/>
      <c r="CL781" s="142"/>
      <c r="CR781" s="142"/>
      <c r="CX781" s="142"/>
      <c r="DD781" s="142"/>
      <c r="DJ781" s="142"/>
      <c r="DP781" s="142"/>
      <c r="DV781" s="142"/>
      <c r="EB781" s="142"/>
    </row>
    <row r="782">
      <c r="F782" s="142"/>
      <c r="L782" s="142"/>
      <c r="R782" s="142"/>
      <c r="X782" s="142"/>
      <c r="AD782" s="142"/>
      <c r="AJ782" s="142"/>
      <c r="AP782" s="142"/>
      <c r="AV782" s="142"/>
      <c r="BB782" s="142"/>
      <c r="BH782" s="142"/>
      <c r="BN782" s="142"/>
      <c r="BT782" s="142"/>
      <c r="BZ782" s="142"/>
      <c r="CF782" s="142"/>
      <c r="CL782" s="142"/>
      <c r="CR782" s="142"/>
      <c r="CX782" s="142"/>
      <c r="DD782" s="142"/>
      <c r="DJ782" s="142"/>
      <c r="DP782" s="142"/>
      <c r="DV782" s="142"/>
      <c r="EB782" s="142"/>
    </row>
    <row r="783">
      <c r="F783" s="142"/>
      <c r="L783" s="142"/>
      <c r="R783" s="142"/>
      <c r="X783" s="142"/>
      <c r="AD783" s="142"/>
      <c r="AJ783" s="142"/>
      <c r="AP783" s="142"/>
      <c r="AV783" s="142"/>
      <c r="BB783" s="142"/>
      <c r="BH783" s="142"/>
      <c r="BN783" s="142"/>
      <c r="BT783" s="142"/>
      <c r="BZ783" s="142"/>
      <c r="CF783" s="142"/>
      <c r="CL783" s="142"/>
      <c r="CR783" s="142"/>
      <c r="CX783" s="142"/>
      <c r="DD783" s="142"/>
      <c r="DJ783" s="142"/>
      <c r="DP783" s="142"/>
      <c r="DV783" s="142"/>
      <c r="EB783" s="142"/>
    </row>
    <row r="784">
      <c r="F784" s="142"/>
      <c r="L784" s="142"/>
      <c r="R784" s="142"/>
      <c r="X784" s="142"/>
      <c r="AD784" s="142"/>
      <c r="AJ784" s="142"/>
      <c r="AP784" s="142"/>
      <c r="AV784" s="142"/>
      <c r="BB784" s="142"/>
      <c r="BH784" s="142"/>
      <c r="BN784" s="142"/>
      <c r="BT784" s="142"/>
      <c r="BZ784" s="142"/>
      <c r="CF784" s="142"/>
      <c r="CL784" s="142"/>
      <c r="CR784" s="142"/>
      <c r="CX784" s="142"/>
      <c r="DD784" s="142"/>
      <c r="DJ784" s="142"/>
      <c r="DP784" s="142"/>
      <c r="DV784" s="142"/>
      <c r="EB784" s="142"/>
    </row>
    <row r="785">
      <c r="F785" s="142"/>
      <c r="L785" s="142"/>
      <c r="R785" s="142"/>
      <c r="X785" s="142"/>
      <c r="AD785" s="142"/>
      <c r="AJ785" s="142"/>
      <c r="AP785" s="142"/>
      <c r="AV785" s="142"/>
      <c r="BB785" s="142"/>
      <c r="BH785" s="142"/>
      <c r="BN785" s="142"/>
      <c r="BT785" s="142"/>
      <c r="BZ785" s="142"/>
      <c r="CF785" s="142"/>
      <c r="CL785" s="142"/>
      <c r="CR785" s="142"/>
      <c r="CX785" s="142"/>
      <c r="DD785" s="142"/>
      <c r="DJ785" s="142"/>
      <c r="DP785" s="142"/>
      <c r="DV785" s="142"/>
      <c r="EB785" s="142"/>
    </row>
    <row r="786">
      <c r="F786" s="142"/>
      <c r="L786" s="142"/>
      <c r="R786" s="142"/>
      <c r="X786" s="142"/>
      <c r="AD786" s="142"/>
      <c r="AJ786" s="142"/>
      <c r="AP786" s="142"/>
      <c r="AV786" s="142"/>
      <c r="BB786" s="142"/>
      <c r="BH786" s="142"/>
      <c r="BN786" s="142"/>
      <c r="BT786" s="142"/>
      <c r="BZ786" s="142"/>
      <c r="CF786" s="142"/>
      <c r="CL786" s="142"/>
      <c r="CR786" s="142"/>
      <c r="CX786" s="142"/>
      <c r="DD786" s="142"/>
      <c r="DJ786" s="142"/>
      <c r="DP786" s="142"/>
      <c r="DV786" s="142"/>
      <c r="EB786" s="142"/>
    </row>
    <row r="787">
      <c r="F787" s="142"/>
      <c r="L787" s="142"/>
      <c r="R787" s="142"/>
      <c r="X787" s="142"/>
      <c r="AD787" s="142"/>
      <c r="AJ787" s="142"/>
      <c r="AP787" s="142"/>
      <c r="AV787" s="142"/>
      <c r="BB787" s="142"/>
      <c r="BH787" s="142"/>
      <c r="BN787" s="142"/>
      <c r="BT787" s="142"/>
      <c r="BZ787" s="142"/>
      <c r="CF787" s="142"/>
      <c r="CL787" s="142"/>
      <c r="CR787" s="142"/>
      <c r="CX787" s="142"/>
      <c r="DD787" s="142"/>
      <c r="DJ787" s="142"/>
      <c r="DP787" s="142"/>
      <c r="DV787" s="142"/>
      <c r="EB787" s="142"/>
    </row>
    <row r="788">
      <c r="F788" s="142"/>
      <c r="L788" s="142"/>
      <c r="R788" s="142"/>
      <c r="X788" s="142"/>
      <c r="AD788" s="142"/>
      <c r="AJ788" s="142"/>
      <c r="AP788" s="142"/>
      <c r="AV788" s="142"/>
      <c r="BB788" s="142"/>
      <c r="BH788" s="142"/>
      <c r="BN788" s="142"/>
      <c r="BT788" s="142"/>
      <c r="BZ788" s="142"/>
      <c r="CF788" s="142"/>
      <c r="CL788" s="142"/>
      <c r="CR788" s="142"/>
      <c r="CX788" s="142"/>
      <c r="DD788" s="142"/>
      <c r="DJ788" s="142"/>
      <c r="DP788" s="142"/>
      <c r="DV788" s="142"/>
      <c r="EB788" s="142"/>
    </row>
    <row r="789">
      <c r="F789" s="142"/>
      <c r="L789" s="142"/>
      <c r="R789" s="142"/>
      <c r="X789" s="142"/>
      <c r="AD789" s="142"/>
      <c r="AJ789" s="142"/>
      <c r="AP789" s="142"/>
      <c r="AV789" s="142"/>
      <c r="BB789" s="142"/>
      <c r="BH789" s="142"/>
      <c r="BN789" s="142"/>
      <c r="BT789" s="142"/>
      <c r="BZ789" s="142"/>
      <c r="CF789" s="142"/>
      <c r="CL789" s="142"/>
      <c r="CR789" s="142"/>
      <c r="CX789" s="142"/>
      <c r="DD789" s="142"/>
      <c r="DJ789" s="142"/>
      <c r="DP789" s="142"/>
      <c r="DV789" s="142"/>
      <c r="EB789" s="142"/>
    </row>
    <row r="790">
      <c r="F790" s="142"/>
      <c r="L790" s="142"/>
      <c r="R790" s="142"/>
      <c r="X790" s="142"/>
      <c r="AD790" s="142"/>
      <c r="AJ790" s="142"/>
      <c r="AP790" s="142"/>
      <c r="AV790" s="142"/>
      <c r="BB790" s="142"/>
      <c r="BH790" s="142"/>
      <c r="BN790" s="142"/>
      <c r="BT790" s="142"/>
      <c r="BZ790" s="142"/>
      <c r="CF790" s="142"/>
      <c r="CL790" s="142"/>
      <c r="CR790" s="142"/>
      <c r="CX790" s="142"/>
      <c r="DD790" s="142"/>
      <c r="DJ790" s="142"/>
      <c r="DP790" s="142"/>
      <c r="DV790" s="142"/>
      <c r="EB790" s="142"/>
    </row>
    <row r="791">
      <c r="F791" s="142"/>
      <c r="L791" s="142"/>
      <c r="R791" s="142"/>
      <c r="X791" s="142"/>
      <c r="AD791" s="142"/>
      <c r="AJ791" s="142"/>
      <c r="AP791" s="142"/>
      <c r="AV791" s="142"/>
      <c r="BB791" s="142"/>
      <c r="BH791" s="142"/>
      <c r="BN791" s="142"/>
      <c r="BT791" s="142"/>
      <c r="BZ791" s="142"/>
      <c r="CF791" s="142"/>
      <c r="CL791" s="142"/>
      <c r="CR791" s="142"/>
      <c r="CX791" s="142"/>
      <c r="DD791" s="142"/>
      <c r="DJ791" s="142"/>
      <c r="DP791" s="142"/>
      <c r="DV791" s="142"/>
      <c r="EB791" s="142"/>
    </row>
    <row r="792">
      <c r="F792" s="142"/>
      <c r="L792" s="142"/>
      <c r="R792" s="142"/>
      <c r="X792" s="142"/>
      <c r="AD792" s="142"/>
      <c r="AJ792" s="142"/>
      <c r="AP792" s="142"/>
      <c r="AV792" s="142"/>
      <c r="BB792" s="142"/>
      <c r="BH792" s="142"/>
      <c r="BN792" s="142"/>
      <c r="BT792" s="142"/>
      <c r="BZ792" s="142"/>
      <c r="CF792" s="142"/>
      <c r="CL792" s="142"/>
      <c r="CR792" s="142"/>
      <c r="CX792" s="142"/>
      <c r="DD792" s="142"/>
      <c r="DJ792" s="142"/>
      <c r="DP792" s="142"/>
      <c r="DV792" s="142"/>
      <c r="EB792" s="142"/>
    </row>
    <row r="793">
      <c r="F793" s="142"/>
      <c r="L793" s="142"/>
      <c r="R793" s="142"/>
      <c r="X793" s="142"/>
      <c r="AD793" s="142"/>
      <c r="AJ793" s="142"/>
      <c r="AP793" s="142"/>
      <c r="AV793" s="142"/>
      <c r="BB793" s="142"/>
      <c r="BH793" s="142"/>
      <c r="BN793" s="142"/>
      <c r="BT793" s="142"/>
      <c r="BZ793" s="142"/>
      <c r="CF793" s="142"/>
      <c r="CL793" s="142"/>
      <c r="CR793" s="142"/>
      <c r="CX793" s="142"/>
      <c r="DD793" s="142"/>
      <c r="DJ793" s="142"/>
      <c r="DP793" s="142"/>
      <c r="DV793" s="142"/>
      <c r="EB793" s="142"/>
    </row>
    <row r="794">
      <c r="F794" s="142"/>
      <c r="L794" s="142"/>
      <c r="R794" s="142"/>
      <c r="X794" s="142"/>
      <c r="AD794" s="142"/>
      <c r="AJ794" s="142"/>
      <c r="AP794" s="142"/>
      <c r="AV794" s="142"/>
      <c r="BB794" s="142"/>
      <c r="BH794" s="142"/>
      <c r="BN794" s="142"/>
      <c r="BT794" s="142"/>
      <c r="BZ794" s="142"/>
      <c r="CF794" s="142"/>
      <c r="CL794" s="142"/>
      <c r="CR794" s="142"/>
      <c r="CX794" s="142"/>
      <c r="DD794" s="142"/>
      <c r="DJ794" s="142"/>
      <c r="DP794" s="142"/>
      <c r="DV794" s="142"/>
      <c r="EB794" s="142"/>
    </row>
    <row r="795">
      <c r="F795" s="142"/>
      <c r="L795" s="142"/>
      <c r="R795" s="142"/>
      <c r="X795" s="142"/>
      <c r="AD795" s="142"/>
      <c r="AJ795" s="142"/>
      <c r="AP795" s="142"/>
      <c r="AV795" s="142"/>
      <c r="BB795" s="142"/>
      <c r="BH795" s="142"/>
      <c r="BN795" s="142"/>
      <c r="BT795" s="142"/>
      <c r="BZ795" s="142"/>
      <c r="CF795" s="142"/>
      <c r="CL795" s="142"/>
      <c r="CR795" s="142"/>
      <c r="CX795" s="142"/>
      <c r="DD795" s="142"/>
      <c r="DJ795" s="142"/>
      <c r="DP795" s="142"/>
      <c r="DV795" s="142"/>
      <c r="EB795" s="142"/>
    </row>
    <row r="796">
      <c r="F796" s="142"/>
      <c r="L796" s="142"/>
      <c r="R796" s="142"/>
      <c r="X796" s="142"/>
      <c r="AD796" s="142"/>
      <c r="AJ796" s="142"/>
      <c r="AP796" s="142"/>
      <c r="AV796" s="142"/>
      <c r="BB796" s="142"/>
      <c r="BH796" s="142"/>
      <c r="BN796" s="142"/>
      <c r="BT796" s="142"/>
      <c r="BZ796" s="142"/>
      <c r="CF796" s="142"/>
      <c r="CL796" s="142"/>
      <c r="CR796" s="142"/>
      <c r="CX796" s="142"/>
      <c r="DD796" s="142"/>
      <c r="DJ796" s="142"/>
      <c r="DP796" s="142"/>
      <c r="DV796" s="142"/>
      <c r="EB796" s="142"/>
    </row>
    <row r="797">
      <c r="F797" s="142"/>
      <c r="L797" s="142"/>
      <c r="R797" s="142"/>
      <c r="X797" s="142"/>
      <c r="AD797" s="142"/>
      <c r="AJ797" s="142"/>
      <c r="AP797" s="142"/>
      <c r="AV797" s="142"/>
      <c r="BB797" s="142"/>
      <c r="BH797" s="142"/>
      <c r="BN797" s="142"/>
      <c r="BT797" s="142"/>
      <c r="BZ797" s="142"/>
      <c r="CF797" s="142"/>
      <c r="CL797" s="142"/>
      <c r="CR797" s="142"/>
      <c r="CX797" s="142"/>
      <c r="DD797" s="142"/>
      <c r="DJ797" s="142"/>
      <c r="DP797" s="142"/>
      <c r="DV797" s="142"/>
      <c r="EB797" s="142"/>
    </row>
    <row r="798">
      <c r="F798" s="142"/>
      <c r="L798" s="142"/>
      <c r="R798" s="142"/>
      <c r="X798" s="142"/>
      <c r="AD798" s="142"/>
      <c r="AJ798" s="142"/>
      <c r="AP798" s="142"/>
      <c r="AV798" s="142"/>
      <c r="BB798" s="142"/>
      <c r="BH798" s="142"/>
      <c r="BN798" s="142"/>
      <c r="BT798" s="142"/>
      <c r="BZ798" s="142"/>
      <c r="CF798" s="142"/>
      <c r="CL798" s="142"/>
      <c r="CR798" s="142"/>
      <c r="CX798" s="142"/>
      <c r="DD798" s="142"/>
      <c r="DJ798" s="142"/>
      <c r="DP798" s="142"/>
      <c r="DV798" s="142"/>
      <c r="EB798" s="142"/>
    </row>
    <row r="799">
      <c r="F799" s="142"/>
      <c r="L799" s="142"/>
      <c r="R799" s="142"/>
      <c r="X799" s="142"/>
      <c r="AD799" s="142"/>
      <c r="AJ799" s="142"/>
      <c r="AP799" s="142"/>
      <c r="AV799" s="142"/>
      <c r="BB799" s="142"/>
      <c r="BH799" s="142"/>
      <c r="BN799" s="142"/>
      <c r="BT799" s="142"/>
      <c r="BZ799" s="142"/>
      <c r="CF799" s="142"/>
      <c r="CL799" s="142"/>
      <c r="CR799" s="142"/>
      <c r="CX799" s="142"/>
      <c r="DD799" s="142"/>
      <c r="DJ799" s="142"/>
      <c r="DP799" s="142"/>
      <c r="DV799" s="142"/>
      <c r="EB799" s="142"/>
    </row>
    <row r="800">
      <c r="F800" s="142"/>
      <c r="L800" s="142"/>
      <c r="R800" s="142"/>
      <c r="X800" s="142"/>
      <c r="AD800" s="142"/>
      <c r="AJ800" s="142"/>
      <c r="AP800" s="142"/>
      <c r="AV800" s="142"/>
      <c r="BB800" s="142"/>
      <c r="BH800" s="142"/>
      <c r="BN800" s="142"/>
      <c r="BT800" s="142"/>
      <c r="BZ800" s="142"/>
      <c r="CF800" s="142"/>
      <c r="CL800" s="142"/>
      <c r="CR800" s="142"/>
      <c r="CX800" s="142"/>
      <c r="DD800" s="142"/>
      <c r="DJ800" s="142"/>
      <c r="DP800" s="142"/>
      <c r="DV800" s="142"/>
      <c r="EB800" s="142"/>
    </row>
    <row r="801">
      <c r="F801" s="142"/>
      <c r="L801" s="142"/>
      <c r="R801" s="142"/>
      <c r="X801" s="142"/>
      <c r="AD801" s="142"/>
      <c r="AJ801" s="142"/>
      <c r="AP801" s="142"/>
      <c r="AV801" s="142"/>
      <c r="BB801" s="142"/>
      <c r="BH801" s="142"/>
      <c r="BN801" s="142"/>
      <c r="BT801" s="142"/>
      <c r="BZ801" s="142"/>
      <c r="CF801" s="142"/>
      <c r="CL801" s="142"/>
      <c r="CR801" s="142"/>
      <c r="CX801" s="142"/>
      <c r="DD801" s="142"/>
      <c r="DJ801" s="142"/>
      <c r="DP801" s="142"/>
      <c r="DV801" s="142"/>
      <c r="EB801" s="142"/>
    </row>
    <row r="802">
      <c r="F802" s="142"/>
      <c r="L802" s="142"/>
      <c r="R802" s="142"/>
      <c r="X802" s="142"/>
      <c r="AD802" s="142"/>
      <c r="AJ802" s="142"/>
      <c r="AP802" s="142"/>
      <c r="AV802" s="142"/>
      <c r="BB802" s="142"/>
      <c r="BH802" s="142"/>
      <c r="BN802" s="142"/>
      <c r="BT802" s="142"/>
      <c r="BZ802" s="142"/>
      <c r="CF802" s="142"/>
      <c r="CL802" s="142"/>
      <c r="CR802" s="142"/>
      <c r="CX802" s="142"/>
      <c r="DD802" s="142"/>
      <c r="DJ802" s="142"/>
      <c r="DP802" s="142"/>
      <c r="DV802" s="142"/>
      <c r="EB802" s="142"/>
    </row>
    <row r="803">
      <c r="F803" s="142"/>
      <c r="L803" s="142"/>
      <c r="R803" s="142"/>
      <c r="X803" s="142"/>
      <c r="AD803" s="142"/>
      <c r="AJ803" s="142"/>
      <c r="AP803" s="142"/>
      <c r="AV803" s="142"/>
      <c r="BB803" s="142"/>
      <c r="BH803" s="142"/>
      <c r="BN803" s="142"/>
      <c r="BT803" s="142"/>
      <c r="BZ803" s="142"/>
      <c r="CF803" s="142"/>
      <c r="CL803" s="142"/>
      <c r="CR803" s="142"/>
      <c r="CX803" s="142"/>
      <c r="DD803" s="142"/>
      <c r="DJ803" s="142"/>
      <c r="DP803" s="142"/>
      <c r="DV803" s="142"/>
      <c r="EB803" s="142"/>
    </row>
    <row r="804">
      <c r="F804" s="142"/>
      <c r="L804" s="142"/>
      <c r="R804" s="142"/>
      <c r="X804" s="142"/>
      <c r="AD804" s="142"/>
      <c r="AJ804" s="142"/>
      <c r="AP804" s="142"/>
      <c r="AV804" s="142"/>
      <c r="BB804" s="142"/>
      <c r="BH804" s="142"/>
      <c r="BN804" s="142"/>
      <c r="BT804" s="142"/>
      <c r="BZ804" s="142"/>
      <c r="CF804" s="142"/>
      <c r="CL804" s="142"/>
      <c r="CR804" s="142"/>
      <c r="CX804" s="142"/>
      <c r="DD804" s="142"/>
      <c r="DJ804" s="142"/>
      <c r="DP804" s="142"/>
      <c r="DV804" s="142"/>
      <c r="EB804" s="142"/>
    </row>
    <row r="805">
      <c r="F805" s="142"/>
      <c r="L805" s="142"/>
      <c r="R805" s="142"/>
      <c r="X805" s="142"/>
      <c r="AD805" s="142"/>
      <c r="AJ805" s="142"/>
      <c r="AP805" s="142"/>
      <c r="AV805" s="142"/>
      <c r="BB805" s="142"/>
      <c r="BH805" s="142"/>
      <c r="BN805" s="142"/>
      <c r="BT805" s="142"/>
      <c r="BZ805" s="142"/>
      <c r="CF805" s="142"/>
      <c r="CL805" s="142"/>
      <c r="CR805" s="142"/>
      <c r="CX805" s="142"/>
      <c r="DD805" s="142"/>
      <c r="DJ805" s="142"/>
      <c r="DP805" s="142"/>
      <c r="DV805" s="142"/>
      <c r="EB805" s="142"/>
    </row>
    <row r="806">
      <c r="F806" s="142"/>
      <c r="L806" s="142"/>
      <c r="R806" s="142"/>
      <c r="X806" s="142"/>
      <c r="AD806" s="142"/>
      <c r="AJ806" s="142"/>
      <c r="AP806" s="142"/>
      <c r="AV806" s="142"/>
      <c r="BB806" s="142"/>
      <c r="BH806" s="142"/>
      <c r="BN806" s="142"/>
      <c r="BT806" s="142"/>
      <c r="BZ806" s="142"/>
      <c r="CF806" s="142"/>
      <c r="CL806" s="142"/>
      <c r="CR806" s="142"/>
      <c r="CX806" s="142"/>
      <c r="DD806" s="142"/>
      <c r="DJ806" s="142"/>
      <c r="DP806" s="142"/>
      <c r="DV806" s="142"/>
      <c r="EB806" s="142"/>
    </row>
    <row r="807">
      <c r="F807" s="142"/>
      <c r="L807" s="142"/>
      <c r="R807" s="142"/>
      <c r="X807" s="142"/>
      <c r="AD807" s="142"/>
      <c r="AJ807" s="142"/>
      <c r="AP807" s="142"/>
      <c r="AV807" s="142"/>
      <c r="BB807" s="142"/>
      <c r="BH807" s="142"/>
      <c r="BN807" s="142"/>
      <c r="BT807" s="142"/>
      <c r="BZ807" s="142"/>
      <c r="CF807" s="142"/>
      <c r="CL807" s="142"/>
      <c r="CR807" s="142"/>
      <c r="CX807" s="142"/>
      <c r="DD807" s="142"/>
      <c r="DJ807" s="142"/>
      <c r="DP807" s="142"/>
      <c r="DV807" s="142"/>
      <c r="EB807" s="142"/>
    </row>
    <row r="808">
      <c r="F808" s="142"/>
      <c r="L808" s="142"/>
      <c r="R808" s="142"/>
      <c r="X808" s="142"/>
      <c r="AD808" s="142"/>
      <c r="AJ808" s="142"/>
      <c r="AP808" s="142"/>
      <c r="AV808" s="142"/>
      <c r="BB808" s="142"/>
      <c r="BH808" s="142"/>
      <c r="BN808" s="142"/>
      <c r="BT808" s="142"/>
      <c r="BZ808" s="142"/>
      <c r="CF808" s="142"/>
      <c r="CL808" s="142"/>
      <c r="CR808" s="142"/>
      <c r="CX808" s="142"/>
      <c r="DD808" s="142"/>
      <c r="DJ808" s="142"/>
      <c r="DP808" s="142"/>
      <c r="DV808" s="142"/>
      <c r="EB808" s="142"/>
    </row>
    <row r="809">
      <c r="F809" s="142"/>
      <c r="L809" s="142"/>
      <c r="R809" s="142"/>
      <c r="X809" s="142"/>
      <c r="AD809" s="142"/>
      <c r="AJ809" s="142"/>
      <c r="AP809" s="142"/>
      <c r="AV809" s="142"/>
      <c r="BB809" s="142"/>
      <c r="BH809" s="142"/>
      <c r="BN809" s="142"/>
      <c r="BT809" s="142"/>
      <c r="BZ809" s="142"/>
      <c r="CF809" s="142"/>
      <c r="CL809" s="142"/>
      <c r="CR809" s="142"/>
      <c r="CX809" s="142"/>
      <c r="DD809" s="142"/>
      <c r="DJ809" s="142"/>
      <c r="DP809" s="142"/>
      <c r="DV809" s="142"/>
      <c r="EB809" s="142"/>
    </row>
    <row r="810">
      <c r="F810" s="142"/>
      <c r="L810" s="142"/>
      <c r="R810" s="142"/>
      <c r="X810" s="142"/>
      <c r="AD810" s="142"/>
      <c r="AJ810" s="142"/>
      <c r="AP810" s="142"/>
      <c r="AV810" s="142"/>
      <c r="BB810" s="142"/>
      <c r="BH810" s="142"/>
      <c r="BN810" s="142"/>
      <c r="BT810" s="142"/>
      <c r="BZ810" s="142"/>
      <c r="CF810" s="142"/>
      <c r="CL810" s="142"/>
      <c r="CR810" s="142"/>
      <c r="CX810" s="142"/>
      <c r="DD810" s="142"/>
      <c r="DJ810" s="142"/>
      <c r="DP810" s="142"/>
      <c r="DV810" s="142"/>
      <c r="EB810" s="142"/>
    </row>
    <row r="811">
      <c r="F811" s="142"/>
      <c r="L811" s="142"/>
      <c r="R811" s="142"/>
      <c r="X811" s="142"/>
      <c r="AD811" s="142"/>
      <c r="AJ811" s="142"/>
      <c r="AP811" s="142"/>
      <c r="AV811" s="142"/>
      <c r="BB811" s="142"/>
      <c r="BH811" s="142"/>
      <c r="BN811" s="142"/>
      <c r="BT811" s="142"/>
      <c r="BZ811" s="142"/>
      <c r="CF811" s="142"/>
      <c r="CL811" s="142"/>
      <c r="CR811" s="142"/>
      <c r="CX811" s="142"/>
      <c r="DD811" s="142"/>
      <c r="DJ811" s="142"/>
      <c r="DP811" s="142"/>
      <c r="DV811" s="142"/>
      <c r="EB811" s="142"/>
    </row>
    <row r="812">
      <c r="F812" s="142"/>
      <c r="L812" s="142"/>
      <c r="R812" s="142"/>
      <c r="X812" s="142"/>
      <c r="AD812" s="142"/>
      <c r="AJ812" s="142"/>
      <c r="AP812" s="142"/>
      <c r="AV812" s="142"/>
      <c r="BB812" s="142"/>
      <c r="BH812" s="142"/>
      <c r="BN812" s="142"/>
      <c r="BT812" s="142"/>
      <c r="BZ812" s="142"/>
      <c r="CF812" s="142"/>
      <c r="CL812" s="142"/>
      <c r="CR812" s="142"/>
      <c r="CX812" s="142"/>
      <c r="DD812" s="142"/>
      <c r="DJ812" s="142"/>
      <c r="DP812" s="142"/>
      <c r="DV812" s="142"/>
      <c r="EB812" s="142"/>
    </row>
    <row r="813">
      <c r="F813" s="142"/>
      <c r="L813" s="142"/>
      <c r="R813" s="142"/>
      <c r="X813" s="142"/>
      <c r="AD813" s="142"/>
      <c r="AJ813" s="142"/>
      <c r="AP813" s="142"/>
      <c r="AV813" s="142"/>
      <c r="BB813" s="142"/>
      <c r="BH813" s="142"/>
      <c r="BN813" s="142"/>
      <c r="BT813" s="142"/>
      <c r="BZ813" s="142"/>
      <c r="CF813" s="142"/>
      <c r="CL813" s="142"/>
      <c r="CR813" s="142"/>
      <c r="CX813" s="142"/>
      <c r="DD813" s="142"/>
      <c r="DJ813" s="142"/>
      <c r="DP813" s="142"/>
      <c r="DV813" s="142"/>
      <c r="EB813" s="142"/>
    </row>
    <row r="814">
      <c r="F814" s="142"/>
      <c r="L814" s="142"/>
      <c r="R814" s="142"/>
      <c r="X814" s="142"/>
      <c r="AD814" s="142"/>
      <c r="AJ814" s="142"/>
      <c r="AP814" s="142"/>
      <c r="AV814" s="142"/>
      <c r="BB814" s="142"/>
      <c r="BH814" s="142"/>
      <c r="BN814" s="142"/>
      <c r="BT814" s="142"/>
      <c r="BZ814" s="142"/>
      <c r="CF814" s="142"/>
      <c r="CL814" s="142"/>
      <c r="CR814" s="142"/>
      <c r="CX814" s="142"/>
      <c r="DD814" s="142"/>
      <c r="DJ814" s="142"/>
      <c r="DP814" s="142"/>
      <c r="DV814" s="142"/>
      <c r="EB814" s="142"/>
    </row>
    <row r="815">
      <c r="F815" s="142"/>
      <c r="L815" s="142"/>
      <c r="R815" s="142"/>
      <c r="X815" s="142"/>
      <c r="AD815" s="142"/>
      <c r="AJ815" s="142"/>
      <c r="AP815" s="142"/>
      <c r="AV815" s="142"/>
      <c r="BB815" s="142"/>
      <c r="BH815" s="142"/>
      <c r="BN815" s="142"/>
      <c r="BT815" s="142"/>
      <c r="BZ815" s="142"/>
      <c r="CF815" s="142"/>
      <c r="CL815" s="142"/>
      <c r="CR815" s="142"/>
      <c r="CX815" s="142"/>
      <c r="DD815" s="142"/>
      <c r="DJ815" s="142"/>
      <c r="DP815" s="142"/>
      <c r="DV815" s="142"/>
      <c r="EB815" s="142"/>
    </row>
    <row r="816">
      <c r="F816" s="142"/>
      <c r="L816" s="142"/>
      <c r="R816" s="142"/>
      <c r="X816" s="142"/>
      <c r="AD816" s="142"/>
      <c r="AJ816" s="142"/>
      <c r="AP816" s="142"/>
      <c r="AV816" s="142"/>
      <c r="BB816" s="142"/>
      <c r="BH816" s="142"/>
      <c r="BN816" s="142"/>
      <c r="BT816" s="142"/>
      <c r="BZ816" s="142"/>
      <c r="CF816" s="142"/>
      <c r="CL816" s="142"/>
      <c r="CR816" s="142"/>
      <c r="CX816" s="142"/>
      <c r="DD816" s="142"/>
      <c r="DJ816" s="142"/>
      <c r="DP816" s="142"/>
      <c r="DV816" s="142"/>
      <c r="EB816" s="142"/>
    </row>
    <row r="817">
      <c r="F817" s="142"/>
      <c r="L817" s="142"/>
      <c r="R817" s="142"/>
      <c r="X817" s="142"/>
      <c r="AD817" s="142"/>
      <c r="AJ817" s="142"/>
      <c r="AP817" s="142"/>
      <c r="AV817" s="142"/>
      <c r="BB817" s="142"/>
      <c r="BH817" s="142"/>
      <c r="BN817" s="142"/>
      <c r="BT817" s="142"/>
      <c r="BZ817" s="142"/>
      <c r="CF817" s="142"/>
      <c r="CL817" s="142"/>
      <c r="CR817" s="142"/>
      <c r="CX817" s="142"/>
      <c r="DD817" s="142"/>
      <c r="DJ817" s="142"/>
      <c r="DP817" s="142"/>
      <c r="DV817" s="142"/>
      <c r="EB817" s="142"/>
    </row>
    <row r="818">
      <c r="F818" s="142"/>
      <c r="L818" s="142"/>
      <c r="R818" s="142"/>
      <c r="X818" s="142"/>
      <c r="AD818" s="142"/>
      <c r="AJ818" s="142"/>
      <c r="AP818" s="142"/>
      <c r="AV818" s="142"/>
      <c r="BB818" s="142"/>
      <c r="BH818" s="142"/>
      <c r="BN818" s="142"/>
      <c r="BT818" s="142"/>
      <c r="BZ818" s="142"/>
      <c r="CF818" s="142"/>
      <c r="CL818" s="142"/>
      <c r="CR818" s="142"/>
      <c r="CX818" s="142"/>
      <c r="DD818" s="142"/>
      <c r="DJ818" s="142"/>
      <c r="DP818" s="142"/>
      <c r="DV818" s="142"/>
      <c r="EB818" s="142"/>
    </row>
    <row r="819">
      <c r="F819" s="142"/>
      <c r="L819" s="142"/>
      <c r="R819" s="142"/>
      <c r="X819" s="142"/>
      <c r="AD819" s="142"/>
      <c r="AJ819" s="142"/>
      <c r="AP819" s="142"/>
      <c r="AV819" s="142"/>
      <c r="BB819" s="142"/>
      <c r="BH819" s="142"/>
      <c r="BN819" s="142"/>
      <c r="BT819" s="142"/>
      <c r="BZ819" s="142"/>
      <c r="CF819" s="142"/>
      <c r="CL819" s="142"/>
      <c r="CR819" s="142"/>
      <c r="CX819" s="142"/>
      <c r="DD819" s="142"/>
      <c r="DJ819" s="142"/>
      <c r="DP819" s="142"/>
      <c r="DV819" s="142"/>
      <c r="EB819" s="142"/>
    </row>
    <row r="820">
      <c r="F820" s="142"/>
      <c r="L820" s="142"/>
      <c r="R820" s="142"/>
      <c r="X820" s="142"/>
      <c r="AD820" s="142"/>
      <c r="AJ820" s="142"/>
      <c r="AP820" s="142"/>
      <c r="AV820" s="142"/>
      <c r="BB820" s="142"/>
      <c r="BH820" s="142"/>
      <c r="BN820" s="142"/>
      <c r="BT820" s="142"/>
      <c r="BZ820" s="142"/>
      <c r="CF820" s="142"/>
      <c r="CL820" s="142"/>
      <c r="CR820" s="142"/>
      <c r="CX820" s="142"/>
      <c r="DD820" s="142"/>
      <c r="DJ820" s="142"/>
      <c r="DP820" s="142"/>
      <c r="DV820" s="142"/>
      <c r="EB820" s="142"/>
    </row>
    <row r="821">
      <c r="F821" s="142"/>
      <c r="L821" s="142"/>
      <c r="R821" s="142"/>
      <c r="X821" s="142"/>
      <c r="AD821" s="142"/>
      <c r="AJ821" s="142"/>
      <c r="AP821" s="142"/>
      <c r="AV821" s="142"/>
      <c r="BB821" s="142"/>
      <c r="BH821" s="142"/>
      <c r="BN821" s="142"/>
      <c r="BT821" s="142"/>
      <c r="BZ821" s="142"/>
      <c r="CF821" s="142"/>
      <c r="CL821" s="142"/>
      <c r="CR821" s="142"/>
      <c r="CX821" s="142"/>
      <c r="DD821" s="142"/>
      <c r="DJ821" s="142"/>
      <c r="DP821" s="142"/>
      <c r="DV821" s="142"/>
      <c r="EB821" s="142"/>
    </row>
    <row r="822">
      <c r="F822" s="142"/>
      <c r="L822" s="142"/>
      <c r="R822" s="142"/>
      <c r="X822" s="142"/>
      <c r="AD822" s="142"/>
      <c r="AJ822" s="142"/>
      <c r="AP822" s="142"/>
      <c r="AV822" s="142"/>
      <c r="BB822" s="142"/>
      <c r="BH822" s="142"/>
      <c r="BN822" s="142"/>
      <c r="BT822" s="142"/>
      <c r="BZ822" s="142"/>
      <c r="CF822" s="142"/>
      <c r="CL822" s="142"/>
      <c r="CR822" s="142"/>
      <c r="CX822" s="142"/>
      <c r="DD822" s="142"/>
      <c r="DJ822" s="142"/>
      <c r="DP822" s="142"/>
      <c r="DV822" s="142"/>
      <c r="EB822" s="142"/>
    </row>
    <row r="823">
      <c r="F823" s="142"/>
      <c r="L823" s="142"/>
      <c r="R823" s="142"/>
      <c r="X823" s="142"/>
      <c r="AD823" s="142"/>
      <c r="AJ823" s="142"/>
      <c r="AP823" s="142"/>
      <c r="AV823" s="142"/>
      <c r="BB823" s="142"/>
      <c r="BH823" s="142"/>
      <c r="BN823" s="142"/>
      <c r="BT823" s="142"/>
      <c r="BZ823" s="142"/>
      <c r="CF823" s="142"/>
      <c r="CL823" s="142"/>
      <c r="CR823" s="142"/>
      <c r="CX823" s="142"/>
      <c r="DD823" s="142"/>
      <c r="DJ823" s="142"/>
      <c r="DP823" s="142"/>
      <c r="DV823" s="142"/>
      <c r="EB823" s="142"/>
    </row>
    <row r="824">
      <c r="F824" s="142"/>
      <c r="L824" s="142"/>
      <c r="R824" s="142"/>
      <c r="X824" s="142"/>
      <c r="AD824" s="142"/>
      <c r="AJ824" s="142"/>
      <c r="AP824" s="142"/>
      <c r="AV824" s="142"/>
      <c r="BB824" s="142"/>
      <c r="BH824" s="142"/>
      <c r="BN824" s="142"/>
      <c r="BT824" s="142"/>
      <c r="BZ824" s="142"/>
      <c r="CF824" s="142"/>
      <c r="CL824" s="142"/>
      <c r="CR824" s="142"/>
      <c r="CX824" s="142"/>
      <c r="DD824" s="142"/>
      <c r="DJ824" s="142"/>
      <c r="DP824" s="142"/>
      <c r="DV824" s="142"/>
      <c r="EB824" s="142"/>
    </row>
    <row r="825">
      <c r="F825" s="142"/>
      <c r="L825" s="142"/>
      <c r="R825" s="142"/>
      <c r="X825" s="142"/>
      <c r="AD825" s="142"/>
      <c r="AJ825" s="142"/>
      <c r="AP825" s="142"/>
      <c r="AV825" s="142"/>
      <c r="BB825" s="142"/>
      <c r="BH825" s="142"/>
      <c r="BN825" s="142"/>
      <c r="BT825" s="142"/>
      <c r="BZ825" s="142"/>
      <c r="CF825" s="142"/>
      <c r="CL825" s="142"/>
      <c r="CR825" s="142"/>
      <c r="CX825" s="142"/>
      <c r="DD825" s="142"/>
      <c r="DJ825" s="142"/>
      <c r="DP825" s="142"/>
      <c r="DV825" s="142"/>
      <c r="EB825" s="142"/>
    </row>
    <row r="826">
      <c r="F826" s="142"/>
      <c r="L826" s="142"/>
      <c r="R826" s="142"/>
      <c r="X826" s="142"/>
      <c r="AD826" s="142"/>
      <c r="AJ826" s="142"/>
      <c r="AP826" s="142"/>
      <c r="AV826" s="142"/>
      <c r="BB826" s="142"/>
      <c r="BH826" s="142"/>
      <c r="BN826" s="142"/>
      <c r="BT826" s="142"/>
      <c r="BZ826" s="142"/>
      <c r="CF826" s="142"/>
      <c r="CL826" s="142"/>
      <c r="CR826" s="142"/>
      <c r="CX826" s="142"/>
      <c r="DD826" s="142"/>
      <c r="DJ826" s="142"/>
      <c r="DP826" s="142"/>
      <c r="DV826" s="142"/>
      <c r="EB826" s="142"/>
    </row>
    <row r="827">
      <c r="F827" s="142"/>
      <c r="L827" s="142"/>
      <c r="R827" s="142"/>
      <c r="X827" s="142"/>
      <c r="AD827" s="142"/>
      <c r="AJ827" s="142"/>
      <c r="AP827" s="142"/>
      <c r="AV827" s="142"/>
      <c r="BB827" s="142"/>
      <c r="BH827" s="142"/>
      <c r="BN827" s="142"/>
      <c r="BT827" s="142"/>
      <c r="BZ827" s="142"/>
      <c r="CF827" s="142"/>
      <c r="CL827" s="142"/>
      <c r="CR827" s="142"/>
      <c r="CX827" s="142"/>
      <c r="DD827" s="142"/>
      <c r="DJ827" s="142"/>
      <c r="DP827" s="142"/>
      <c r="DV827" s="142"/>
      <c r="EB827" s="142"/>
    </row>
    <row r="828">
      <c r="F828" s="142"/>
      <c r="L828" s="142"/>
      <c r="R828" s="142"/>
      <c r="X828" s="142"/>
      <c r="AD828" s="142"/>
      <c r="AJ828" s="142"/>
      <c r="AP828" s="142"/>
      <c r="AV828" s="142"/>
      <c r="BB828" s="142"/>
      <c r="BH828" s="142"/>
      <c r="BN828" s="142"/>
      <c r="BT828" s="142"/>
      <c r="BZ828" s="142"/>
      <c r="CF828" s="142"/>
      <c r="CL828" s="142"/>
      <c r="CR828" s="142"/>
      <c r="CX828" s="142"/>
      <c r="DD828" s="142"/>
      <c r="DJ828" s="142"/>
      <c r="DP828" s="142"/>
      <c r="DV828" s="142"/>
      <c r="EB828" s="142"/>
    </row>
    <row r="829">
      <c r="F829" s="142"/>
      <c r="L829" s="142"/>
      <c r="R829" s="142"/>
      <c r="X829" s="142"/>
      <c r="AD829" s="142"/>
      <c r="AJ829" s="142"/>
      <c r="AP829" s="142"/>
      <c r="AV829" s="142"/>
      <c r="BB829" s="142"/>
      <c r="BH829" s="142"/>
      <c r="BN829" s="142"/>
      <c r="BT829" s="142"/>
      <c r="BZ829" s="142"/>
      <c r="CF829" s="142"/>
      <c r="CL829" s="142"/>
      <c r="CR829" s="142"/>
      <c r="CX829" s="142"/>
      <c r="DD829" s="142"/>
      <c r="DJ829" s="142"/>
      <c r="DP829" s="142"/>
      <c r="DV829" s="142"/>
      <c r="EB829" s="142"/>
    </row>
    <row r="830">
      <c r="F830" s="142"/>
      <c r="L830" s="142"/>
      <c r="R830" s="142"/>
      <c r="X830" s="142"/>
      <c r="AD830" s="142"/>
      <c r="AJ830" s="142"/>
      <c r="AP830" s="142"/>
      <c r="AV830" s="142"/>
      <c r="BB830" s="142"/>
      <c r="BH830" s="142"/>
      <c r="BN830" s="142"/>
      <c r="BT830" s="142"/>
      <c r="BZ830" s="142"/>
      <c r="CF830" s="142"/>
      <c r="CL830" s="142"/>
      <c r="CR830" s="142"/>
      <c r="CX830" s="142"/>
      <c r="DD830" s="142"/>
      <c r="DJ830" s="142"/>
      <c r="DP830" s="142"/>
      <c r="DV830" s="142"/>
      <c r="EB830" s="142"/>
    </row>
    <row r="831">
      <c r="F831" s="142"/>
      <c r="L831" s="142"/>
      <c r="R831" s="142"/>
      <c r="X831" s="142"/>
      <c r="AD831" s="142"/>
      <c r="AJ831" s="142"/>
      <c r="AP831" s="142"/>
      <c r="AV831" s="142"/>
      <c r="BB831" s="142"/>
      <c r="BH831" s="142"/>
      <c r="BN831" s="142"/>
      <c r="BT831" s="142"/>
      <c r="BZ831" s="142"/>
      <c r="CF831" s="142"/>
      <c r="CL831" s="142"/>
      <c r="CR831" s="142"/>
      <c r="CX831" s="142"/>
      <c r="DD831" s="142"/>
      <c r="DJ831" s="142"/>
      <c r="DP831" s="142"/>
      <c r="DV831" s="142"/>
      <c r="EB831" s="142"/>
    </row>
    <row r="832">
      <c r="F832" s="142"/>
      <c r="L832" s="142"/>
      <c r="R832" s="142"/>
      <c r="X832" s="142"/>
      <c r="AD832" s="142"/>
      <c r="AJ832" s="142"/>
      <c r="AP832" s="142"/>
      <c r="AV832" s="142"/>
      <c r="BB832" s="142"/>
      <c r="BH832" s="142"/>
      <c r="BN832" s="142"/>
      <c r="BT832" s="142"/>
      <c r="BZ832" s="142"/>
      <c r="CF832" s="142"/>
      <c r="CL832" s="142"/>
      <c r="CR832" s="142"/>
      <c r="CX832" s="142"/>
      <c r="DD832" s="142"/>
      <c r="DJ832" s="142"/>
      <c r="DP832" s="142"/>
      <c r="DV832" s="142"/>
      <c r="EB832" s="142"/>
    </row>
    <row r="833">
      <c r="F833" s="142"/>
      <c r="L833" s="142"/>
      <c r="R833" s="142"/>
      <c r="X833" s="142"/>
      <c r="AD833" s="142"/>
      <c r="AJ833" s="142"/>
      <c r="AP833" s="142"/>
      <c r="AV833" s="142"/>
      <c r="BB833" s="142"/>
      <c r="BH833" s="142"/>
      <c r="BN833" s="142"/>
      <c r="BT833" s="142"/>
      <c r="BZ833" s="142"/>
      <c r="CF833" s="142"/>
      <c r="CL833" s="142"/>
      <c r="CR833" s="142"/>
      <c r="CX833" s="142"/>
      <c r="DD833" s="142"/>
      <c r="DJ833" s="142"/>
      <c r="DP833" s="142"/>
      <c r="DV833" s="142"/>
      <c r="EB833" s="142"/>
    </row>
    <row r="834">
      <c r="F834" s="142"/>
      <c r="L834" s="142"/>
      <c r="R834" s="142"/>
      <c r="X834" s="142"/>
      <c r="AD834" s="142"/>
      <c r="AJ834" s="142"/>
      <c r="AP834" s="142"/>
      <c r="AV834" s="142"/>
      <c r="BB834" s="142"/>
      <c r="BH834" s="142"/>
      <c r="BN834" s="142"/>
      <c r="BT834" s="142"/>
      <c r="BZ834" s="142"/>
      <c r="CF834" s="142"/>
      <c r="CL834" s="142"/>
      <c r="CR834" s="142"/>
      <c r="CX834" s="142"/>
      <c r="DD834" s="142"/>
      <c r="DJ834" s="142"/>
      <c r="DP834" s="142"/>
      <c r="DV834" s="142"/>
      <c r="EB834" s="142"/>
    </row>
    <row r="835">
      <c r="F835" s="142"/>
      <c r="L835" s="142"/>
      <c r="R835" s="142"/>
      <c r="X835" s="142"/>
      <c r="AD835" s="142"/>
      <c r="AJ835" s="142"/>
      <c r="AP835" s="142"/>
      <c r="AV835" s="142"/>
      <c r="BB835" s="142"/>
      <c r="BH835" s="142"/>
      <c r="BN835" s="142"/>
      <c r="BT835" s="142"/>
      <c r="BZ835" s="142"/>
      <c r="CF835" s="142"/>
      <c r="CL835" s="142"/>
      <c r="CR835" s="142"/>
      <c r="CX835" s="142"/>
      <c r="DD835" s="142"/>
      <c r="DJ835" s="142"/>
      <c r="DP835" s="142"/>
      <c r="DV835" s="142"/>
      <c r="EB835" s="142"/>
    </row>
    <row r="836">
      <c r="F836" s="142"/>
      <c r="L836" s="142"/>
      <c r="R836" s="142"/>
      <c r="X836" s="142"/>
      <c r="AD836" s="142"/>
      <c r="AJ836" s="142"/>
      <c r="AP836" s="142"/>
      <c r="AV836" s="142"/>
      <c r="BB836" s="142"/>
      <c r="BH836" s="142"/>
      <c r="BN836" s="142"/>
      <c r="BT836" s="142"/>
      <c r="BZ836" s="142"/>
      <c r="CF836" s="142"/>
      <c r="CL836" s="142"/>
      <c r="CR836" s="142"/>
      <c r="CX836" s="142"/>
      <c r="DD836" s="142"/>
      <c r="DJ836" s="142"/>
      <c r="DP836" s="142"/>
      <c r="DV836" s="142"/>
      <c r="EB836" s="142"/>
    </row>
    <row r="837">
      <c r="F837" s="142"/>
      <c r="L837" s="142"/>
      <c r="R837" s="142"/>
      <c r="X837" s="142"/>
      <c r="AD837" s="142"/>
      <c r="AJ837" s="142"/>
      <c r="AP837" s="142"/>
      <c r="AV837" s="142"/>
      <c r="BB837" s="142"/>
      <c r="BH837" s="142"/>
      <c r="BN837" s="142"/>
      <c r="BT837" s="142"/>
      <c r="BZ837" s="142"/>
      <c r="CF837" s="142"/>
      <c r="CL837" s="142"/>
      <c r="CR837" s="142"/>
      <c r="CX837" s="142"/>
      <c r="DD837" s="142"/>
      <c r="DJ837" s="142"/>
      <c r="DP837" s="142"/>
      <c r="DV837" s="142"/>
      <c r="EB837" s="142"/>
    </row>
    <row r="838">
      <c r="F838" s="142"/>
      <c r="L838" s="142"/>
      <c r="R838" s="142"/>
      <c r="X838" s="142"/>
      <c r="AD838" s="142"/>
      <c r="AJ838" s="142"/>
      <c r="AP838" s="142"/>
      <c r="AV838" s="142"/>
      <c r="BB838" s="142"/>
      <c r="BH838" s="142"/>
      <c r="BN838" s="142"/>
      <c r="BT838" s="142"/>
      <c r="BZ838" s="142"/>
      <c r="CF838" s="142"/>
      <c r="CL838" s="142"/>
      <c r="CR838" s="142"/>
      <c r="CX838" s="142"/>
      <c r="DD838" s="142"/>
      <c r="DJ838" s="142"/>
      <c r="DP838" s="142"/>
      <c r="DV838" s="142"/>
      <c r="EB838" s="142"/>
    </row>
    <row r="839">
      <c r="F839" s="142"/>
      <c r="L839" s="142"/>
      <c r="R839" s="142"/>
      <c r="X839" s="142"/>
      <c r="AD839" s="142"/>
      <c r="AJ839" s="142"/>
      <c r="AP839" s="142"/>
      <c r="AV839" s="142"/>
      <c r="BB839" s="142"/>
      <c r="BH839" s="142"/>
      <c r="BN839" s="142"/>
      <c r="BT839" s="142"/>
      <c r="BZ839" s="142"/>
      <c r="CF839" s="142"/>
      <c r="CL839" s="142"/>
      <c r="CR839" s="142"/>
      <c r="CX839" s="142"/>
      <c r="DD839" s="142"/>
      <c r="DJ839" s="142"/>
      <c r="DP839" s="142"/>
      <c r="DV839" s="142"/>
      <c r="EB839" s="142"/>
    </row>
    <row r="840">
      <c r="F840" s="142"/>
      <c r="L840" s="142"/>
      <c r="R840" s="142"/>
      <c r="X840" s="142"/>
      <c r="AD840" s="142"/>
      <c r="AJ840" s="142"/>
      <c r="AP840" s="142"/>
      <c r="AV840" s="142"/>
      <c r="BB840" s="142"/>
      <c r="BH840" s="142"/>
      <c r="BN840" s="142"/>
      <c r="BT840" s="142"/>
      <c r="BZ840" s="142"/>
      <c r="CF840" s="142"/>
      <c r="CL840" s="142"/>
      <c r="CR840" s="142"/>
      <c r="CX840" s="142"/>
      <c r="DD840" s="142"/>
      <c r="DJ840" s="142"/>
      <c r="DP840" s="142"/>
      <c r="DV840" s="142"/>
      <c r="EB840" s="142"/>
    </row>
    <row r="841">
      <c r="F841" s="142"/>
      <c r="L841" s="142"/>
      <c r="R841" s="142"/>
      <c r="X841" s="142"/>
      <c r="AD841" s="142"/>
      <c r="AJ841" s="142"/>
      <c r="AP841" s="142"/>
      <c r="AV841" s="142"/>
      <c r="BB841" s="142"/>
      <c r="BH841" s="142"/>
      <c r="BN841" s="142"/>
      <c r="BT841" s="142"/>
      <c r="BZ841" s="142"/>
      <c r="CF841" s="142"/>
      <c r="CL841" s="142"/>
      <c r="CR841" s="142"/>
      <c r="CX841" s="142"/>
      <c r="DD841" s="142"/>
      <c r="DJ841" s="142"/>
      <c r="DP841" s="142"/>
      <c r="DV841" s="142"/>
      <c r="EB841" s="142"/>
    </row>
    <row r="842">
      <c r="F842" s="142"/>
      <c r="L842" s="142"/>
      <c r="R842" s="142"/>
      <c r="X842" s="142"/>
      <c r="AD842" s="142"/>
      <c r="AJ842" s="142"/>
      <c r="AP842" s="142"/>
      <c r="AV842" s="142"/>
      <c r="BB842" s="142"/>
      <c r="BH842" s="142"/>
      <c r="BN842" s="142"/>
      <c r="BT842" s="142"/>
      <c r="BZ842" s="142"/>
      <c r="CF842" s="142"/>
      <c r="CL842" s="142"/>
      <c r="CR842" s="142"/>
      <c r="CX842" s="142"/>
      <c r="DD842" s="142"/>
      <c r="DJ842" s="142"/>
      <c r="DP842" s="142"/>
      <c r="DV842" s="142"/>
      <c r="EB842" s="142"/>
    </row>
    <row r="843">
      <c r="F843" s="142"/>
      <c r="L843" s="142"/>
      <c r="R843" s="142"/>
      <c r="X843" s="142"/>
      <c r="AD843" s="142"/>
      <c r="AJ843" s="142"/>
      <c r="AP843" s="142"/>
      <c r="AV843" s="142"/>
      <c r="BB843" s="142"/>
      <c r="BH843" s="142"/>
      <c r="BN843" s="142"/>
      <c r="BT843" s="142"/>
      <c r="BZ843" s="142"/>
      <c r="CF843" s="142"/>
      <c r="CL843" s="142"/>
      <c r="CR843" s="142"/>
      <c r="CX843" s="142"/>
      <c r="DD843" s="142"/>
      <c r="DJ843" s="142"/>
      <c r="DP843" s="142"/>
      <c r="DV843" s="142"/>
      <c r="EB843" s="142"/>
    </row>
    <row r="844">
      <c r="F844" s="142"/>
      <c r="L844" s="142"/>
      <c r="R844" s="142"/>
      <c r="X844" s="142"/>
      <c r="AD844" s="142"/>
      <c r="AJ844" s="142"/>
      <c r="AP844" s="142"/>
      <c r="AV844" s="142"/>
      <c r="BB844" s="142"/>
      <c r="BH844" s="142"/>
      <c r="BN844" s="142"/>
      <c r="BT844" s="142"/>
      <c r="BZ844" s="142"/>
      <c r="CF844" s="142"/>
      <c r="CL844" s="142"/>
      <c r="CR844" s="142"/>
      <c r="CX844" s="142"/>
      <c r="DD844" s="142"/>
      <c r="DJ844" s="142"/>
      <c r="DP844" s="142"/>
      <c r="DV844" s="142"/>
      <c r="EB844" s="142"/>
    </row>
    <row r="845">
      <c r="F845" s="142"/>
      <c r="L845" s="142"/>
      <c r="R845" s="142"/>
      <c r="X845" s="142"/>
      <c r="AD845" s="142"/>
      <c r="AJ845" s="142"/>
      <c r="AP845" s="142"/>
      <c r="AV845" s="142"/>
      <c r="BB845" s="142"/>
      <c r="BH845" s="142"/>
      <c r="BN845" s="142"/>
      <c r="BT845" s="142"/>
      <c r="BZ845" s="142"/>
      <c r="CF845" s="142"/>
      <c r="CL845" s="142"/>
      <c r="CR845" s="142"/>
      <c r="CX845" s="142"/>
      <c r="DD845" s="142"/>
      <c r="DJ845" s="142"/>
      <c r="DP845" s="142"/>
      <c r="DV845" s="142"/>
      <c r="EB845" s="142"/>
    </row>
    <row r="846">
      <c r="F846" s="142"/>
      <c r="L846" s="142"/>
      <c r="R846" s="142"/>
      <c r="X846" s="142"/>
      <c r="AD846" s="142"/>
      <c r="AJ846" s="142"/>
      <c r="AP846" s="142"/>
      <c r="AV846" s="142"/>
      <c r="BB846" s="142"/>
      <c r="BH846" s="142"/>
      <c r="BN846" s="142"/>
      <c r="BT846" s="142"/>
      <c r="BZ846" s="142"/>
      <c r="CF846" s="142"/>
      <c r="CL846" s="142"/>
      <c r="CR846" s="142"/>
      <c r="CX846" s="142"/>
      <c r="DD846" s="142"/>
      <c r="DJ846" s="142"/>
      <c r="DP846" s="142"/>
      <c r="DV846" s="142"/>
      <c r="EB846" s="142"/>
    </row>
    <row r="847">
      <c r="F847" s="142"/>
      <c r="L847" s="142"/>
      <c r="R847" s="142"/>
      <c r="X847" s="142"/>
      <c r="AD847" s="142"/>
      <c r="AJ847" s="142"/>
      <c r="AP847" s="142"/>
      <c r="AV847" s="142"/>
      <c r="BB847" s="142"/>
      <c r="BH847" s="142"/>
      <c r="BN847" s="142"/>
      <c r="BT847" s="142"/>
      <c r="BZ847" s="142"/>
      <c r="CF847" s="142"/>
      <c r="CL847" s="142"/>
      <c r="CR847" s="142"/>
      <c r="CX847" s="142"/>
      <c r="DD847" s="142"/>
      <c r="DJ847" s="142"/>
      <c r="DP847" s="142"/>
      <c r="DV847" s="142"/>
      <c r="EB847" s="142"/>
    </row>
    <row r="848">
      <c r="F848" s="142"/>
      <c r="L848" s="142"/>
      <c r="R848" s="142"/>
      <c r="X848" s="142"/>
      <c r="AD848" s="142"/>
      <c r="AJ848" s="142"/>
      <c r="AP848" s="142"/>
      <c r="AV848" s="142"/>
      <c r="BB848" s="142"/>
      <c r="BH848" s="142"/>
      <c r="BN848" s="142"/>
      <c r="BT848" s="142"/>
      <c r="BZ848" s="142"/>
      <c r="CF848" s="142"/>
      <c r="CL848" s="142"/>
      <c r="CR848" s="142"/>
      <c r="CX848" s="142"/>
      <c r="DD848" s="142"/>
      <c r="DJ848" s="142"/>
      <c r="DP848" s="142"/>
      <c r="DV848" s="142"/>
      <c r="EB848" s="142"/>
    </row>
    <row r="849">
      <c r="F849" s="142"/>
      <c r="L849" s="142"/>
      <c r="R849" s="142"/>
      <c r="X849" s="142"/>
      <c r="AD849" s="142"/>
      <c r="AJ849" s="142"/>
      <c r="AP849" s="142"/>
      <c r="AV849" s="142"/>
      <c r="BB849" s="142"/>
      <c r="BH849" s="142"/>
      <c r="BN849" s="142"/>
      <c r="BT849" s="142"/>
      <c r="BZ849" s="142"/>
      <c r="CF849" s="142"/>
      <c r="CL849" s="142"/>
      <c r="CR849" s="142"/>
      <c r="CX849" s="142"/>
      <c r="DD849" s="142"/>
      <c r="DJ849" s="142"/>
      <c r="DP849" s="142"/>
      <c r="DV849" s="142"/>
      <c r="EB849" s="142"/>
    </row>
    <row r="850">
      <c r="F850" s="142"/>
      <c r="L850" s="142"/>
      <c r="R850" s="142"/>
      <c r="X850" s="142"/>
      <c r="AD850" s="142"/>
      <c r="AJ850" s="142"/>
      <c r="AP850" s="142"/>
      <c r="AV850" s="142"/>
      <c r="BB850" s="142"/>
      <c r="BH850" s="142"/>
      <c r="BN850" s="142"/>
      <c r="BT850" s="142"/>
      <c r="BZ850" s="142"/>
      <c r="CF850" s="142"/>
      <c r="CL850" s="142"/>
      <c r="CR850" s="142"/>
      <c r="CX850" s="142"/>
      <c r="DD850" s="142"/>
      <c r="DJ850" s="142"/>
      <c r="DP850" s="142"/>
      <c r="DV850" s="142"/>
      <c r="EB850" s="142"/>
    </row>
    <row r="851">
      <c r="F851" s="142"/>
      <c r="L851" s="142"/>
      <c r="R851" s="142"/>
      <c r="X851" s="142"/>
      <c r="AD851" s="142"/>
      <c r="AJ851" s="142"/>
      <c r="AP851" s="142"/>
      <c r="AV851" s="142"/>
      <c r="BB851" s="142"/>
      <c r="BH851" s="142"/>
      <c r="BN851" s="142"/>
      <c r="BT851" s="142"/>
      <c r="BZ851" s="142"/>
      <c r="CF851" s="142"/>
      <c r="CL851" s="142"/>
      <c r="CR851" s="142"/>
      <c r="CX851" s="142"/>
      <c r="DD851" s="142"/>
      <c r="DJ851" s="142"/>
      <c r="DP851" s="142"/>
      <c r="DV851" s="142"/>
      <c r="EB851" s="142"/>
    </row>
    <row r="852">
      <c r="F852" s="142"/>
      <c r="L852" s="142"/>
      <c r="R852" s="142"/>
      <c r="X852" s="142"/>
      <c r="AD852" s="142"/>
      <c r="AJ852" s="142"/>
      <c r="AP852" s="142"/>
      <c r="AV852" s="142"/>
      <c r="BB852" s="142"/>
      <c r="BH852" s="142"/>
      <c r="BN852" s="142"/>
      <c r="BT852" s="142"/>
      <c r="BZ852" s="142"/>
      <c r="CF852" s="142"/>
      <c r="CL852" s="142"/>
      <c r="CR852" s="142"/>
      <c r="CX852" s="142"/>
      <c r="DD852" s="142"/>
      <c r="DJ852" s="142"/>
      <c r="DP852" s="142"/>
      <c r="DV852" s="142"/>
      <c r="EB852" s="142"/>
    </row>
    <row r="853">
      <c r="F853" s="142"/>
      <c r="L853" s="142"/>
      <c r="R853" s="142"/>
      <c r="X853" s="142"/>
      <c r="AD853" s="142"/>
      <c r="AJ853" s="142"/>
      <c r="AP853" s="142"/>
      <c r="AV853" s="142"/>
      <c r="BB853" s="142"/>
      <c r="BH853" s="142"/>
      <c r="BN853" s="142"/>
      <c r="BT853" s="142"/>
      <c r="BZ853" s="142"/>
      <c r="CF853" s="142"/>
      <c r="CL853" s="142"/>
      <c r="CR853" s="142"/>
      <c r="CX853" s="142"/>
      <c r="DD853" s="142"/>
      <c r="DJ853" s="142"/>
      <c r="DP853" s="142"/>
      <c r="DV853" s="142"/>
      <c r="EB853" s="142"/>
    </row>
    <row r="854">
      <c r="F854" s="142"/>
      <c r="L854" s="142"/>
      <c r="R854" s="142"/>
      <c r="X854" s="142"/>
      <c r="AD854" s="142"/>
      <c r="AJ854" s="142"/>
      <c r="AP854" s="142"/>
      <c r="AV854" s="142"/>
      <c r="BB854" s="142"/>
      <c r="BH854" s="142"/>
      <c r="BN854" s="142"/>
      <c r="BT854" s="142"/>
      <c r="BZ854" s="142"/>
      <c r="CF854" s="142"/>
      <c r="CL854" s="142"/>
      <c r="CR854" s="142"/>
      <c r="CX854" s="142"/>
      <c r="DD854" s="142"/>
      <c r="DJ854" s="142"/>
      <c r="DP854" s="142"/>
      <c r="DV854" s="142"/>
      <c r="EB854" s="142"/>
    </row>
    <row r="855">
      <c r="F855" s="142"/>
      <c r="L855" s="142"/>
      <c r="R855" s="142"/>
      <c r="X855" s="142"/>
      <c r="AD855" s="142"/>
      <c r="AJ855" s="142"/>
      <c r="AP855" s="142"/>
      <c r="AV855" s="142"/>
      <c r="BB855" s="142"/>
      <c r="BH855" s="142"/>
      <c r="BN855" s="142"/>
      <c r="BT855" s="142"/>
      <c r="BZ855" s="142"/>
      <c r="CF855" s="142"/>
      <c r="CL855" s="142"/>
      <c r="CR855" s="142"/>
      <c r="CX855" s="142"/>
      <c r="DD855" s="142"/>
      <c r="DJ855" s="142"/>
      <c r="DP855" s="142"/>
      <c r="DV855" s="142"/>
      <c r="EB855" s="142"/>
    </row>
    <row r="856">
      <c r="F856" s="142"/>
      <c r="L856" s="142"/>
      <c r="R856" s="142"/>
      <c r="X856" s="142"/>
      <c r="AD856" s="142"/>
      <c r="AJ856" s="142"/>
      <c r="AP856" s="142"/>
      <c r="AV856" s="142"/>
      <c r="BB856" s="142"/>
      <c r="BH856" s="142"/>
      <c r="BN856" s="142"/>
      <c r="BT856" s="142"/>
      <c r="BZ856" s="142"/>
      <c r="CF856" s="142"/>
      <c r="CL856" s="142"/>
      <c r="CR856" s="142"/>
      <c r="CX856" s="142"/>
      <c r="DD856" s="142"/>
      <c r="DJ856" s="142"/>
      <c r="DP856" s="142"/>
      <c r="DV856" s="142"/>
      <c r="EB856" s="142"/>
    </row>
    <row r="857">
      <c r="F857" s="142"/>
      <c r="L857" s="142"/>
      <c r="R857" s="142"/>
      <c r="X857" s="142"/>
      <c r="AD857" s="142"/>
      <c r="AJ857" s="142"/>
      <c r="AP857" s="142"/>
      <c r="AV857" s="142"/>
      <c r="BB857" s="142"/>
      <c r="BH857" s="142"/>
      <c r="BN857" s="142"/>
      <c r="BT857" s="142"/>
      <c r="BZ857" s="142"/>
      <c r="CF857" s="142"/>
      <c r="CL857" s="142"/>
      <c r="CR857" s="142"/>
      <c r="CX857" s="142"/>
      <c r="DD857" s="142"/>
      <c r="DJ857" s="142"/>
      <c r="DP857" s="142"/>
      <c r="DV857" s="142"/>
      <c r="EB857" s="142"/>
    </row>
    <row r="858">
      <c r="F858" s="142"/>
      <c r="L858" s="142"/>
      <c r="R858" s="142"/>
      <c r="X858" s="142"/>
      <c r="AD858" s="142"/>
      <c r="AJ858" s="142"/>
      <c r="AP858" s="142"/>
      <c r="AV858" s="142"/>
      <c r="BB858" s="142"/>
      <c r="BH858" s="142"/>
      <c r="BN858" s="142"/>
      <c r="BT858" s="142"/>
      <c r="BZ858" s="142"/>
      <c r="CF858" s="142"/>
      <c r="CL858" s="142"/>
      <c r="CR858" s="142"/>
      <c r="CX858" s="142"/>
      <c r="DD858" s="142"/>
      <c r="DJ858" s="142"/>
      <c r="DP858" s="142"/>
      <c r="DV858" s="142"/>
      <c r="EB858" s="142"/>
    </row>
    <row r="859">
      <c r="F859" s="142"/>
      <c r="L859" s="142"/>
      <c r="R859" s="142"/>
      <c r="X859" s="142"/>
      <c r="AD859" s="142"/>
      <c r="AJ859" s="142"/>
      <c r="AP859" s="142"/>
      <c r="AV859" s="142"/>
      <c r="BB859" s="142"/>
      <c r="BH859" s="142"/>
      <c r="BN859" s="142"/>
      <c r="BT859" s="142"/>
      <c r="BZ859" s="142"/>
      <c r="CF859" s="142"/>
      <c r="CL859" s="142"/>
      <c r="CR859" s="142"/>
      <c r="CX859" s="142"/>
      <c r="DD859" s="142"/>
      <c r="DJ859" s="142"/>
      <c r="DP859" s="142"/>
      <c r="DV859" s="142"/>
      <c r="EB859" s="142"/>
    </row>
    <row r="860">
      <c r="F860" s="142"/>
      <c r="L860" s="142"/>
      <c r="R860" s="142"/>
      <c r="X860" s="142"/>
      <c r="AD860" s="142"/>
      <c r="AJ860" s="142"/>
      <c r="AP860" s="142"/>
      <c r="AV860" s="142"/>
      <c r="BB860" s="142"/>
      <c r="BH860" s="142"/>
      <c r="BN860" s="142"/>
      <c r="BT860" s="142"/>
      <c r="BZ860" s="142"/>
      <c r="CF860" s="142"/>
      <c r="CL860" s="142"/>
      <c r="CR860" s="142"/>
      <c r="CX860" s="142"/>
      <c r="DD860" s="142"/>
      <c r="DJ860" s="142"/>
      <c r="DP860" s="142"/>
      <c r="DV860" s="142"/>
      <c r="EB860" s="142"/>
    </row>
    <row r="861">
      <c r="F861" s="142"/>
      <c r="L861" s="142"/>
      <c r="R861" s="142"/>
      <c r="X861" s="142"/>
      <c r="AD861" s="142"/>
      <c r="AJ861" s="142"/>
      <c r="AP861" s="142"/>
      <c r="AV861" s="142"/>
      <c r="BB861" s="142"/>
      <c r="BH861" s="142"/>
      <c r="BN861" s="142"/>
      <c r="BT861" s="142"/>
      <c r="BZ861" s="142"/>
      <c r="CF861" s="142"/>
      <c r="CL861" s="142"/>
      <c r="CR861" s="142"/>
      <c r="CX861" s="142"/>
      <c r="DD861" s="142"/>
      <c r="DJ861" s="142"/>
      <c r="DP861" s="142"/>
      <c r="DV861" s="142"/>
      <c r="EB861" s="142"/>
    </row>
    <row r="862">
      <c r="F862" s="142"/>
      <c r="L862" s="142"/>
      <c r="R862" s="142"/>
      <c r="X862" s="142"/>
      <c r="AD862" s="142"/>
      <c r="AJ862" s="142"/>
      <c r="AP862" s="142"/>
      <c r="AV862" s="142"/>
      <c r="BB862" s="142"/>
      <c r="BH862" s="142"/>
      <c r="BN862" s="142"/>
      <c r="BT862" s="142"/>
      <c r="BZ862" s="142"/>
      <c r="CF862" s="142"/>
      <c r="CL862" s="142"/>
      <c r="CR862" s="142"/>
      <c r="CX862" s="142"/>
      <c r="DD862" s="142"/>
      <c r="DJ862" s="142"/>
      <c r="DP862" s="142"/>
      <c r="DV862" s="142"/>
      <c r="EB862" s="142"/>
    </row>
    <row r="863">
      <c r="F863" s="142"/>
      <c r="L863" s="142"/>
      <c r="R863" s="142"/>
      <c r="X863" s="142"/>
      <c r="AD863" s="142"/>
      <c r="AJ863" s="142"/>
      <c r="AP863" s="142"/>
      <c r="AV863" s="142"/>
      <c r="BB863" s="142"/>
      <c r="BH863" s="142"/>
      <c r="BN863" s="142"/>
      <c r="BT863" s="142"/>
      <c r="BZ863" s="142"/>
      <c r="CF863" s="142"/>
      <c r="CL863" s="142"/>
      <c r="CR863" s="142"/>
      <c r="CX863" s="142"/>
      <c r="DD863" s="142"/>
      <c r="DJ863" s="142"/>
      <c r="DP863" s="142"/>
      <c r="DV863" s="142"/>
      <c r="EB863" s="142"/>
    </row>
    <row r="864">
      <c r="F864" s="142"/>
      <c r="L864" s="142"/>
      <c r="R864" s="142"/>
      <c r="X864" s="142"/>
      <c r="AD864" s="142"/>
      <c r="AJ864" s="142"/>
      <c r="AP864" s="142"/>
      <c r="AV864" s="142"/>
      <c r="BB864" s="142"/>
      <c r="BH864" s="142"/>
      <c r="BN864" s="142"/>
      <c r="BT864" s="142"/>
      <c r="BZ864" s="142"/>
      <c r="CF864" s="142"/>
      <c r="CL864" s="142"/>
      <c r="CR864" s="142"/>
      <c r="CX864" s="142"/>
      <c r="DD864" s="142"/>
      <c r="DJ864" s="142"/>
      <c r="DP864" s="142"/>
      <c r="DV864" s="142"/>
      <c r="EB864" s="142"/>
    </row>
    <row r="865">
      <c r="F865" s="142"/>
      <c r="L865" s="142"/>
      <c r="R865" s="142"/>
      <c r="X865" s="142"/>
      <c r="AD865" s="142"/>
      <c r="AJ865" s="142"/>
      <c r="AP865" s="142"/>
      <c r="AV865" s="142"/>
      <c r="BB865" s="142"/>
      <c r="BH865" s="142"/>
      <c r="BN865" s="142"/>
      <c r="BT865" s="142"/>
      <c r="BZ865" s="142"/>
      <c r="CF865" s="142"/>
      <c r="CL865" s="142"/>
      <c r="CR865" s="142"/>
      <c r="CX865" s="142"/>
      <c r="DD865" s="142"/>
      <c r="DJ865" s="142"/>
      <c r="DP865" s="142"/>
      <c r="DV865" s="142"/>
      <c r="EB865" s="142"/>
    </row>
    <row r="866">
      <c r="F866" s="142"/>
      <c r="L866" s="142"/>
      <c r="R866" s="142"/>
      <c r="X866" s="142"/>
      <c r="AD866" s="142"/>
      <c r="AJ866" s="142"/>
      <c r="AP866" s="142"/>
      <c r="AV866" s="142"/>
      <c r="BB866" s="142"/>
      <c r="BH866" s="142"/>
      <c r="BN866" s="142"/>
      <c r="BT866" s="142"/>
      <c r="BZ866" s="142"/>
      <c r="CF866" s="142"/>
      <c r="CL866" s="142"/>
      <c r="CR866" s="142"/>
      <c r="CX866" s="142"/>
      <c r="DD866" s="142"/>
      <c r="DJ866" s="142"/>
      <c r="DP866" s="142"/>
      <c r="DV866" s="142"/>
      <c r="EB866" s="142"/>
    </row>
    <row r="867">
      <c r="F867" s="142"/>
      <c r="L867" s="142"/>
      <c r="R867" s="142"/>
      <c r="X867" s="142"/>
      <c r="AD867" s="142"/>
      <c r="AJ867" s="142"/>
      <c r="AP867" s="142"/>
      <c r="AV867" s="142"/>
      <c r="BB867" s="142"/>
      <c r="BH867" s="142"/>
      <c r="BN867" s="142"/>
      <c r="BT867" s="142"/>
      <c r="BZ867" s="142"/>
      <c r="CF867" s="142"/>
      <c r="CL867" s="142"/>
      <c r="CR867" s="142"/>
      <c r="CX867" s="142"/>
      <c r="DD867" s="142"/>
      <c r="DJ867" s="142"/>
      <c r="DP867" s="142"/>
      <c r="DV867" s="142"/>
      <c r="EB867" s="142"/>
    </row>
    <row r="868">
      <c r="F868" s="142"/>
      <c r="L868" s="142"/>
      <c r="R868" s="142"/>
      <c r="X868" s="142"/>
      <c r="AD868" s="142"/>
      <c r="AJ868" s="142"/>
      <c r="AP868" s="142"/>
      <c r="AV868" s="142"/>
      <c r="BB868" s="142"/>
      <c r="BH868" s="142"/>
      <c r="BN868" s="142"/>
      <c r="BT868" s="142"/>
      <c r="BZ868" s="142"/>
      <c r="CF868" s="142"/>
      <c r="CL868" s="142"/>
      <c r="CR868" s="142"/>
      <c r="CX868" s="142"/>
      <c r="DD868" s="142"/>
      <c r="DJ868" s="142"/>
      <c r="DP868" s="142"/>
      <c r="DV868" s="142"/>
      <c r="EB868" s="142"/>
    </row>
    <row r="869">
      <c r="F869" s="142"/>
      <c r="L869" s="142"/>
      <c r="R869" s="142"/>
      <c r="X869" s="142"/>
      <c r="AD869" s="142"/>
      <c r="AJ869" s="142"/>
      <c r="AP869" s="142"/>
      <c r="AV869" s="142"/>
      <c r="BB869" s="142"/>
      <c r="BH869" s="142"/>
      <c r="BN869" s="142"/>
      <c r="BT869" s="142"/>
      <c r="BZ869" s="142"/>
      <c r="CF869" s="142"/>
      <c r="CL869" s="142"/>
      <c r="CR869" s="142"/>
      <c r="CX869" s="142"/>
      <c r="DD869" s="142"/>
      <c r="DJ869" s="142"/>
      <c r="DP869" s="142"/>
      <c r="DV869" s="142"/>
      <c r="EB869" s="142"/>
    </row>
    <row r="870">
      <c r="F870" s="142"/>
      <c r="L870" s="142"/>
      <c r="R870" s="142"/>
      <c r="X870" s="142"/>
      <c r="AD870" s="142"/>
      <c r="AJ870" s="142"/>
      <c r="AP870" s="142"/>
      <c r="AV870" s="142"/>
      <c r="BB870" s="142"/>
      <c r="BH870" s="142"/>
      <c r="BN870" s="142"/>
      <c r="BT870" s="142"/>
      <c r="BZ870" s="142"/>
      <c r="CF870" s="142"/>
      <c r="CL870" s="142"/>
      <c r="CR870" s="142"/>
      <c r="CX870" s="142"/>
      <c r="DD870" s="142"/>
      <c r="DJ870" s="142"/>
      <c r="DP870" s="142"/>
      <c r="DV870" s="142"/>
      <c r="EB870" s="142"/>
    </row>
    <row r="871">
      <c r="F871" s="142"/>
      <c r="L871" s="142"/>
      <c r="R871" s="142"/>
      <c r="X871" s="142"/>
      <c r="AD871" s="142"/>
      <c r="AJ871" s="142"/>
      <c r="AP871" s="142"/>
      <c r="AV871" s="142"/>
      <c r="BB871" s="142"/>
      <c r="BH871" s="142"/>
      <c r="BN871" s="142"/>
      <c r="BT871" s="142"/>
      <c r="BZ871" s="142"/>
      <c r="CF871" s="142"/>
      <c r="CL871" s="142"/>
      <c r="CR871" s="142"/>
      <c r="CX871" s="142"/>
      <c r="DD871" s="142"/>
      <c r="DJ871" s="142"/>
      <c r="DP871" s="142"/>
      <c r="DV871" s="142"/>
      <c r="EB871" s="142"/>
    </row>
    <row r="872">
      <c r="F872" s="142"/>
      <c r="L872" s="142"/>
      <c r="R872" s="142"/>
      <c r="X872" s="142"/>
      <c r="AD872" s="142"/>
      <c r="AJ872" s="142"/>
      <c r="AP872" s="142"/>
      <c r="AV872" s="142"/>
      <c r="BB872" s="142"/>
      <c r="BH872" s="142"/>
      <c r="BN872" s="142"/>
      <c r="BT872" s="142"/>
      <c r="BZ872" s="142"/>
      <c r="CF872" s="142"/>
      <c r="CL872" s="142"/>
      <c r="CR872" s="142"/>
      <c r="CX872" s="142"/>
      <c r="DD872" s="142"/>
      <c r="DJ872" s="142"/>
      <c r="DP872" s="142"/>
      <c r="DV872" s="142"/>
      <c r="EB872" s="142"/>
    </row>
    <row r="873">
      <c r="F873" s="142"/>
      <c r="L873" s="142"/>
      <c r="R873" s="142"/>
      <c r="X873" s="142"/>
      <c r="AD873" s="142"/>
      <c r="AJ873" s="142"/>
      <c r="AP873" s="142"/>
      <c r="AV873" s="142"/>
      <c r="BB873" s="142"/>
      <c r="BH873" s="142"/>
      <c r="BN873" s="142"/>
      <c r="BT873" s="142"/>
      <c r="BZ873" s="142"/>
      <c r="CF873" s="142"/>
      <c r="CL873" s="142"/>
      <c r="CR873" s="142"/>
      <c r="CX873" s="142"/>
      <c r="DD873" s="142"/>
      <c r="DJ873" s="142"/>
      <c r="DP873" s="142"/>
      <c r="DV873" s="142"/>
      <c r="EB873" s="142"/>
    </row>
    <row r="874">
      <c r="F874" s="142"/>
      <c r="L874" s="142"/>
      <c r="R874" s="142"/>
      <c r="X874" s="142"/>
      <c r="AD874" s="142"/>
      <c r="AJ874" s="142"/>
      <c r="AP874" s="142"/>
      <c r="AV874" s="142"/>
      <c r="BB874" s="142"/>
      <c r="BH874" s="142"/>
      <c r="BN874" s="142"/>
      <c r="BT874" s="142"/>
      <c r="BZ874" s="142"/>
      <c r="CF874" s="142"/>
      <c r="CL874" s="142"/>
      <c r="CR874" s="142"/>
      <c r="CX874" s="142"/>
      <c r="DD874" s="142"/>
      <c r="DJ874" s="142"/>
      <c r="DP874" s="142"/>
      <c r="DV874" s="142"/>
      <c r="EB874" s="142"/>
    </row>
    <row r="875">
      <c r="F875" s="142"/>
      <c r="L875" s="142"/>
      <c r="R875" s="142"/>
      <c r="X875" s="142"/>
      <c r="AD875" s="142"/>
      <c r="AJ875" s="142"/>
      <c r="AP875" s="142"/>
      <c r="AV875" s="142"/>
      <c r="BB875" s="142"/>
      <c r="BH875" s="142"/>
      <c r="BN875" s="142"/>
      <c r="BT875" s="142"/>
      <c r="BZ875" s="142"/>
      <c r="CF875" s="142"/>
      <c r="CL875" s="142"/>
      <c r="CR875" s="142"/>
      <c r="CX875" s="142"/>
      <c r="DD875" s="142"/>
      <c r="DJ875" s="142"/>
      <c r="DP875" s="142"/>
      <c r="DV875" s="142"/>
      <c r="EB875" s="142"/>
    </row>
    <row r="876">
      <c r="F876" s="142"/>
      <c r="L876" s="142"/>
      <c r="R876" s="142"/>
      <c r="X876" s="142"/>
      <c r="AD876" s="142"/>
      <c r="AJ876" s="142"/>
      <c r="AP876" s="142"/>
      <c r="AV876" s="142"/>
      <c r="BB876" s="142"/>
      <c r="BH876" s="142"/>
      <c r="BN876" s="142"/>
      <c r="BT876" s="142"/>
      <c r="BZ876" s="142"/>
      <c r="CF876" s="142"/>
      <c r="CL876" s="142"/>
      <c r="CR876" s="142"/>
      <c r="CX876" s="142"/>
      <c r="DD876" s="142"/>
      <c r="DJ876" s="142"/>
      <c r="DP876" s="142"/>
      <c r="DV876" s="142"/>
      <c r="EB876" s="142"/>
    </row>
    <row r="877">
      <c r="F877" s="142"/>
      <c r="L877" s="142"/>
      <c r="R877" s="142"/>
      <c r="X877" s="142"/>
      <c r="AD877" s="142"/>
      <c r="AJ877" s="142"/>
      <c r="AP877" s="142"/>
      <c r="AV877" s="142"/>
      <c r="BB877" s="142"/>
      <c r="BH877" s="142"/>
      <c r="BN877" s="142"/>
      <c r="BT877" s="142"/>
      <c r="BZ877" s="142"/>
      <c r="CF877" s="142"/>
      <c r="CL877" s="142"/>
      <c r="CR877" s="142"/>
      <c r="CX877" s="142"/>
      <c r="DD877" s="142"/>
      <c r="DJ877" s="142"/>
      <c r="DP877" s="142"/>
      <c r="DV877" s="142"/>
      <c r="EB877" s="142"/>
    </row>
    <row r="878">
      <c r="F878" s="142"/>
      <c r="L878" s="142"/>
      <c r="R878" s="142"/>
      <c r="X878" s="142"/>
      <c r="AD878" s="142"/>
      <c r="AJ878" s="142"/>
      <c r="AP878" s="142"/>
      <c r="AV878" s="142"/>
      <c r="BB878" s="142"/>
      <c r="BH878" s="142"/>
      <c r="BN878" s="142"/>
      <c r="BT878" s="142"/>
      <c r="BZ878" s="142"/>
      <c r="CF878" s="142"/>
      <c r="CL878" s="142"/>
      <c r="CR878" s="142"/>
      <c r="CX878" s="142"/>
      <c r="DD878" s="142"/>
      <c r="DJ878" s="142"/>
      <c r="DP878" s="142"/>
      <c r="DV878" s="142"/>
      <c r="EB878" s="142"/>
    </row>
    <row r="879">
      <c r="F879" s="142"/>
      <c r="L879" s="142"/>
      <c r="R879" s="142"/>
      <c r="X879" s="142"/>
      <c r="AD879" s="142"/>
      <c r="AJ879" s="142"/>
      <c r="AP879" s="142"/>
      <c r="AV879" s="142"/>
      <c r="BB879" s="142"/>
      <c r="BH879" s="142"/>
      <c r="BN879" s="142"/>
      <c r="BT879" s="142"/>
      <c r="BZ879" s="142"/>
      <c r="CF879" s="142"/>
      <c r="CL879" s="142"/>
      <c r="CR879" s="142"/>
      <c r="CX879" s="142"/>
      <c r="DD879" s="142"/>
      <c r="DJ879" s="142"/>
      <c r="DP879" s="142"/>
      <c r="DV879" s="142"/>
      <c r="EB879" s="142"/>
    </row>
    <row r="880">
      <c r="F880" s="142"/>
      <c r="L880" s="142"/>
      <c r="R880" s="142"/>
      <c r="X880" s="142"/>
      <c r="AD880" s="142"/>
      <c r="AJ880" s="142"/>
      <c r="AP880" s="142"/>
      <c r="AV880" s="142"/>
      <c r="BB880" s="142"/>
      <c r="BH880" s="142"/>
      <c r="BN880" s="142"/>
      <c r="BT880" s="142"/>
      <c r="BZ880" s="142"/>
      <c r="CF880" s="142"/>
      <c r="CL880" s="142"/>
      <c r="CR880" s="142"/>
      <c r="CX880" s="142"/>
      <c r="DD880" s="142"/>
      <c r="DJ880" s="142"/>
      <c r="DP880" s="142"/>
      <c r="DV880" s="142"/>
      <c r="EB880" s="142"/>
    </row>
    <row r="881">
      <c r="F881" s="142"/>
      <c r="L881" s="142"/>
      <c r="R881" s="142"/>
      <c r="X881" s="142"/>
      <c r="AD881" s="142"/>
      <c r="AJ881" s="142"/>
      <c r="AP881" s="142"/>
      <c r="AV881" s="142"/>
      <c r="BB881" s="142"/>
      <c r="BH881" s="142"/>
      <c r="BN881" s="142"/>
      <c r="BT881" s="142"/>
      <c r="BZ881" s="142"/>
      <c r="CF881" s="142"/>
      <c r="CL881" s="142"/>
      <c r="CR881" s="142"/>
      <c r="CX881" s="142"/>
      <c r="DD881" s="142"/>
      <c r="DJ881" s="142"/>
      <c r="DP881" s="142"/>
      <c r="DV881" s="142"/>
      <c r="EB881" s="142"/>
    </row>
    <row r="882">
      <c r="F882" s="142"/>
      <c r="L882" s="142"/>
      <c r="R882" s="142"/>
      <c r="X882" s="142"/>
      <c r="AD882" s="142"/>
      <c r="AJ882" s="142"/>
      <c r="AP882" s="142"/>
      <c r="AV882" s="142"/>
      <c r="BB882" s="142"/>
      <c r="BH882" s="142"/>
      <c r="BN882" s="142"/>
      <c r="BT882" s="142"/>
      <c r="BZ882" s="142"/>
      <c r="CF882" s="142"/>
      <c r="CL882" s="142"/>
      <c r="CR882" s="142"/>
      <c r="CX882" s="142"/>
      <c r="DD882" s="142"/>
      <c r="DJ882" s="142"/>
      <c r="DP882" s="142"/>
      <c r="DV882" s="142"/>
      <c r="EB882" s="142"/>
    </row>
    <row r="883">
      <c r="F883" s="142"/>
      <c r="L883" s="142"/>
      <c r="R883" s="142"/>
      <c r="X883" s="142"/>
      <c r="AD883" s="142"/>
      <c r="AJ883" s="142"/>
      <c r="AP883" s="142"/>
      <c r="AV883" s="142"/>
      <c r="BB883" s="142"/>
      <c r="BH883" s="142"/>
      <c r="BN883" s="142"/>
      <c r="BT883" s="142"/>
      <c r="BZ883" s="142"/>
      <c r="CF883" s="142"/>
      <c r="CL883" s="142"/>
      <c r="CR883" s="142"/>
      <c r="CX883" s="142"/>
      <c r="DD883" s="142"/>
      <c r="DJ883" s="142"/>
      <c r="DP883" s="142"/>
      <c r="DV883" s="142"/>
      <c r="EB883" s="142"/>
    </row>
    <row r="884">
      <c r="F884" s="142"/>
      <c r="L884" s="142"/>
      <c r="R884" s="142"/>
      <c r="X884" s="142"/>
      <c r="AD884" s="142"/>
      <c r="AJ884" s="142"/>
      <c r="AP884" s="142"/>
      <c r="AV884" s="142"/>
      <c r="BB884" s="142"/>
      <c r="BH884" s="142"/>
      <c r="BN884" s="142"/>
      <c r="BT884" s="142"/>
      <c r="BZ884" s="142"/>
      <c r="CF884" s="142"/>
      <c r="CL884" s="142"/>
      <c r="CR884" s="142"/>
      <c r="CX884" s="142"/>
      <c r="DD884" s="142"/>
      <c r="DJ884" s="142"/>
      <c r="DP884" s="142"/>
      <c r="DV884" s="142"/>
      <c r="EB884" s="142"/>
    </row>
    <row r="885">
      <c r="F885" s="142"/>
      <c r="L885" s="142"/>
      <c r="R885" s="142"/>
      <c r="X885" s="142"/>
      <c r="AD885" s="142"/>
      <c r="AJ885" s="142"/>
      <c r="AP885" s="142"/>
      <c r="AV885" s="142"/>
      <c r="BB885" s="142"/>
      <c r="BH885" s="142"/>
      <c r="BN885" s="142"/>
      <c r="BT885" s="142"/>
      <c r="BZ885" s="142"/>
      <c r="CF885" s="142"/>
      <c r="CL885" s="142"/>
      <c r="CR885" s="142"/>
      <c r="CX885" s="142"/>
      <c r="DD885" s="142"/>
      <c r="DJ885" s="142"/>
      <c r="DP885" s="142"/>
      <c r="DV885" s="142"/>
      <c r="EB885" s="142"/>
    </row>
    <row r="886">
      <c r="F886" s="142"/>
      <c r="L886" s="142"/>
      <c r="R886" s="142"/>
      <c r="X886" s="142"/>
      <c r="AD886" s="142"/>
      <c r="AJ886" s="142"/>
      <c r="AP886" s="142"/>
      <c r="AV886" s="142"/>
      <c r="BB886" s="142"/>
      <c r="BH886" s="142"/>
      <c r="BN886" s="142"/>
      <c r="BT886" s="142"/>
      <c r="BZ886" s="142"/>
      <c r="CF886" s="142"/>
      <c r="CL886" s="142"/>
      <c r="CR886" s="142"/>
      <c r="CX886" s="142"/>
      <c r="DD886" s="142"/>
      <c r="DJ886" s="142"/>
      <c r="DP886" s="142"/>
      <c r="DV886" s="142"/>
      <c r="EB886" s="142"/>
    </row>
    <row r="887">
      <c r="F887" s="142"/>
      <c r="L887" s="142"/>
      <c r="R887" s="142"/>
      <c r="X887" s="142"/>
      <c r="AD887" s="142"/>
      <c r="AJ887" s="142"/>
      <c r="AP887" s="142"/>
      <c r="AV887" s="142"/>
      <c r="BB887" s="142"/>
      <c r="BH887" s="142"/>
      <c r="BN887" s="142"/>
      <c r="BT887" s="142"/>
      <c r="BZ887" s="142"/>
      <c r="CF887" s="142"/>
      <c r="CL887" s="142"/>
      <c r="CR887" s="142"/>
      <c r="CX887" s="142"/>
      <c r="DD887" s="142"/>
      <c r="DJ887" s="142"/>
      <c r="DP887" s="142"/>
      <c r="DV887" s="142"/>
      <c r="EB887" s="142"/>
    </row>
    <row r="888">
      <c r="F888" s="142"/>
      <c r="L888" s="142"/>
      <c r="R888" s="142"/>
      <c r="X888" s="142"/>
      <c r="AD888" s="142"/>
      <c r="AJ888" s="142"/>
      <c r="AP888" s="142"/>
      <c r="AV888" s="142"/>
      <c r="BB888" s="142"/>
      <c r="BH888" s="142"/>
      <c r="BN888" s="142"/>
      <c r="BT888" s="142"/>
      <c r="BZ888" s="142"/>
      <c r="CF888" s="142"/>
      <c r="CL888" s="142"/>
      <c r="CR888" s="142"/>
      <c r="CX888" s="142"/>
      <c r="DD888" s="142"/>
      <c r="DJ888" s="142"/>
      <c r="DP888" s="142"/>
      <c r="DV888" s="142"/>
      <c r="EB888" s="142"/>
    </row>
    <row r="889">
      <c r="F889" s="142"/>
      <c r="L889" s="142"/>
      <c r="R889" s="142"/>
      <c r="X889" s="142"/>
      <c r="AD889" s="142"/>
      <c r="AJ889" s="142"/>
      <c r="AP889" s="142"/>
      <c r="AV889" s="142"/>
      <c r="BB889" s="142"/>
      <c r="BH889" s="142"/>
      <c r="BN889" s="142"/>
      <c r="BT889" s="142"/>
      <c r="BZ889" s="142"/>
      <c r="CF889" s="142"/>
      <c r="CL889" s="142"/>
      <c r="CR889" s="142"/>
      <c r="CX889" s="142"/>
      <c r="DD889" s="142"/>
      <c r="DJ889" s="142"/>
      <c r="DP889" s="142"/>
      <c r="DV889" s="142"/>
      <c r="EB889" s="142"/>
    </row>
    <row r="890">
      <c r="F890" s="142"/>
      <c r="L890" s="142"/>
      <c r="R890" s="142"/>
      <c r="X890" s="142"/>
      <c r="AD890" s="142"/>
      <c r="AJ890" s="142"/>
      <c r="AP890" s="142"/>
      <c r="AV890" s="142"/>
      <c r="BB890" s="142"/>
      <c r="BH890" s="142"/>
      <c r="BN890" s="142"/>
      <c r="BT890" s="142"/>
      <c r="BZ890" s="142"/>
      <c r="CF890" s="142"/>
      <c r="CL890" s="142"/>
      <c r="CR890" s="142"/>
      <c r="CX890" s="142"/>
      <c r="DD890" s="142"/>
      <c r="DJ890" s="142"/>
      <c r="DP890" s="142"/>
      <c r="DV890" s="142"/>
      <c r="EB890" s="142"/>
    </row>
    <row r="891">
      <c r="F891" s="142"/>
      <c r="L891" s="142"/>
      <c r="R891" s="142"/>
      <c r="X891" s="142"/>
      <c r="AD891" s="142"/>
      <c r="AJ891" s="142"/>
      <c r="AP891" s="142"/>
      <c r="AV891" s="142"/>
      <c r="BB891" s="142"/>
      <c r="BH891" s="142"/>
      <c r="BN891" s="142"/>
      <c r="BT891" s="142"/>
      <c r="BZ891" s="142"/>
      <c r="CF891" s="142"/>
      <c r="CL891" s="142"/>
      <c r="CR891" s="142"/>
      <c r="CX891" s="142"/>
      <c r="DD891" s="142"/>
      <c r="DJ891" s="142"/>
      <c r="DP891" s="142"/>
      <c r="DV891" s="142"/>
      <c r="EB891" s="142"/>
    </row>
    <row r="892">
      <c r="F892" s="142"/>
      <c r="L892" s="142"/>
      <c r="R892" s="142"/>
      <c r="X892" s="142"/>
      <c r="AD892" s="142"/>
      <c r="AJ892" s="142"/>
      <c r="AP892" s="142"/>
      <c r="AV892" s="142"/>
      <c r="BB892" s="142"/>
      <c r="BH892" s="142"/>
      <c r="BN892" s="142"/>
      <c r="BT892" s="142"/>
      <c r="BZ892" s="142"/>
      <c r="CF892" s="142"/>
      <c r="CL892" s="142"/>
      <c r="CR892" s="142"/>
      <c r="CX892" s="142"/>
      <c r="DD892" s="142"/>
      <c r="DJ892" s="142"/>
      <c r="DP892" s="142"/>
      <c r="DV892" s="142"/>
      <c r="EB892" s="142"/>
    </row>
    <row r="893">
      <c r="F893" s="142"/>
      <c r="L893" s="142"/>
      <c r="R893" s="142"/>
      <c r="X893" s="142"/>
      <c r="AD893" s="142"/>
      <c r="AJ893" s="142"/>
      <c r="AP893" s="142"/>
      <c r="AV893" s="142"/>
      <c r="BB893" s="142"/>
      <c r="BH893" s="142"/>
      <c r="BN893" s="142"/>
      <c r="BT893" s="142"/>
      <c r="BZ893" s="142"/>
      <c r="CF893" s="142"/>
      <c r="CL893" s="142"/>
      <c r="CR893" s="142"/>
      <c r="CX893" s="142"/>
      <c r="DD893" s="142"/>
      <c r="DJ893" s="142"/>
      <c r="DP893" s="142"/>
      <c r="DV893" s="142"/>
      <c r="EB893" s="142"/>
    </row>
    <row r="894">
      <c r="F894" s="142"/>
      <c r="L894" s="142"/>
      <c r="R894" s="142"/>
      <c r="X894" s="142"/>
      <c r="AD894" s="142"/>
      <c r="AJ894" s="142"/>
      <c r="AP894" s="142"/>
      <c r="AV894" s="142"/>
      <c r="BB894" s="142"/>
      <c r="BH894" s="142"/>
      <c r="BN894" s="142"/>
      <c r="BT894" s="142"/>
      <c r="BZ894" s="142"/>
      <c r="CF894" s="142"/>
      <c r="CL894" s="142"/>
      <c r="CR894" s="142"/>
      <c r="CX894" s="142"/>
      <c r="DD894" s="142"/>
      <c r="DJ894" s="142"/>
      <c r="DP894" s="142"/>
      <c r="DV894" s="142"/>
      <c r="EB894" s="142"/>
    </row>
    <row r="895">
      <c r="F895" s="142"/>
      <c r="L895" s="142"/>
      <c r="R895" s="142"/>
      <c r="X895" s="142"/>
      <c r="AD895" s="142"/>
      <c r="AJ895" s="142"/>
      <c r="AP895" s="142"/>
      <c r="AV895" s="142"/>
      <c r="BB895" s="142"/>
      <c r="BH895" s="142"/>
      <c r="BN895" s="142"/>
      <c r="BT895" s="142"/>
      <c r="BZ895" s="142"/>
      <c r="CF895" s="142"/>
      <c r="CL895" s="142"/>
      <c r="CR895" s="142"/>
      <c r="CX895" s="142"/>
      <c r="DD895" s="142"/>
      <c r="DJ895" s="142"/>
      <c r="DP895" s="142"/>
      <c r="DV895" s="142"/>
      <c r="EB895" s="142"/>
    </row>
    <row r="896">
      <c r="F896" s="142"/>
      <c r="L896" s="142"/>
      <c r="R896" s="142"/>
      <c r="X896" s="142"/>
      <c r="AD896" s="142"/>
      <c r="AJ896" s="142"/>
      <c r="AP896" s="142"/>
      <c r="AV896" s="142"/>
      <c r="BB896" s="142"/>
      <c r="BH896" s="142"/>
      <c r="BN896" s="142"/>
      <c r="BT896" s="142"/>
      <c r="BZ896" s="142"/>
      <c r="CF896" s="142"/>
      <c r="CL896" s="142"/>
      <c r="CR896" s="142"/>
      <c r="CX896" s="142"/>
      <c r="DD896" s="142"/>
      <c r="DJ896" s="142"/>
      <c r="DP896" s="142"/>
      <c r="DV896" s="142"/>
      <c r="EB896" s="142"/>
    </row>
    <row r="897">
      <c r="F897" s="142"/>
      <c r="L897" s="142"/>
      <c r="R897" s="142"/>
      <c r="X897" s="142"/>
      <c r="AD897" s="142"/>
      <c r="AJ897" s="142"/>
      <c r="AP897" s="142"/>
      <c r="AV897" s="142"/>
      <c r="BB897" s="142"/>
      <c r="BH897" s="142"/>
      <c r="BN897" s="142"/>
      <c r="BT897" s="142"/>
      <c r="BZ897" s="142"/>
      <c r="CF897" s="142"/>
      <c r="CL897" s="142"/>
      <c r="CR897" s="142"/>
      <c r="CX897" s="142"/>
      <c r="DD897" s="142"/>
      <c r="DJ897" s="142"/>
      <c r="DP897" s="142"/>
      <c r="DV897" s="142"/>
      <c r="EB897" s="142"/>
    </row>
    <row r="898">
      <c r="F898" s="142"/>
      <c r="L898" s="142"/>
      <c r="R898" s="142"/>
      <c r="X898" s="142"/>
      <c r="AD898" s="142"/>
      <c r="AJ898" s="142"/>
      <c r="AP898" s="142"/>
      <c r="AV898" s="142"/>
      <c r="BB898" s="142"/>
      <c r="BH898" s="142"/>
      <c r="BN898" s="142"/>
      <c r="BT898" s="142"/>
      <c r="BZ898" s="142"/>
      <c r="CF898" s="142"/>
      <c r="CL898" s="142"/>
      <c r="CR898" s="142"/>
      <c r="CX898" s="142"/>
      <c r="DD898" s="142"/>
      <c r="DJ898" s="142"/>
      <c r="DP898" s="142"/>
      <c r="DV898" s="142"/>
      <c r="EB898" s="142"/>
    </row>
    <row r="899">
      <c r="F899" s="142"/>
      <c r="L899" s="142"/>
      <c r="R899" s="142"/>
      <c r="X899" s="142"/>
      <c r="AD899" s="142"/>
      <c r="AJ899" s="142"/>
      <c r="AP899" s="142"/>
      <c r="AV899" s="142"/>
      <c r="BB899" s="142"/>
      <c r="BH899" s="142"/>
      <c r="BN899" s="142"/>
      <c r="BT899" s="142"/>
      <c r="BZ899" s="142"/>
      <c r="CF899" s="142"/>
      <c r="CL899" s="142"/>
      <c r="CR899" s="142"/>
      <c r="CX899" s="142"/>
      <c r="DD899" s="142"/>
      <c r="DJ899" s="142"/>
      <c r="DP899" s="142"/>
      <c r="DV899" s="142"/>
      <c r="EB899" s="142"/>
    </row>
    <row r="900">
      <c r="F900" s="142"/>
      <c r="L900" s="142"/>
      <c r="R900" s="142"/>
      <c r="X900" s="142"/>
      <c r="AD900" s="142"/>
      <c r="AJ900" s="142"/>
      <c r="AP900" s="142"/>
      <c r="AV900" s="142"/>
      <c r="BB900" s="142"/>
      <c r="BH900" s="142"/>
      <c r="BN900" s="142"/>
      <c r="BT900" s="142"/>
      <c r="BZ900" s="142"/>
      <c r="CF900" s="142"/>
      <c r="CL900" s="142"/>
      <c r="CR900" s="142"/>
      <c r="CX900" s="142"/>
      <c r="DD900" s="142"/>
      <c r="DJ900" s="142"/>
      <c r="DP900" s="142"/>
      <c r="DV900" s="142"/>
      <c r="EB900" s="142"/>
    </row>
    <row r="901">
      <c r="F901" s="142"/>
      <c r="L901" s="142"/>
      <c r="R901" s="142"/>
      <c r="X901" s="142"/>
      <c r="AD901" s="142"/>
      <c r="AJ901" s="142"/>
      <c r="AP901" s="142"/>
      <c r="AV901" s="142"/>
      <c r="BB901" s="142"/>
      <c r="BH901" s="142"/>
      <c r="BN901" s="142"/>
      <c r="BT901" s="142"/>
      <c r="BZ901" s="142"/>
      <c r="CF901" s="142"/>
      <c r="CL901" s="142"/>
      <c r="CR901" s="142"/>
      <c r="CX901" s="142"/>
      <c r="DD901" s="142"/>
      <c r="DJ901" s="142"/>
      <c r="DP901" s="142"/>
      <c r="DV901" s="142"/>
      <c r="EB901" s="142"/>
    </row>
    <row r="902">
      <c r="F902" s="142"/>
      <c r="L902" s="142"/>
      <c r="R902" s="142"/>
      <c r="X902" s="142"/>
      <c r="AD902" s="142"/>
      <c r="AJ902" s="142"/>
      <c r="AP902" s="142"/>
      <c r="AV902" s="142"/>
      <c r="BB902" s="142"/>
      <c r="BH902" s="142"/>
      <c r="BN902" s="142"/>
      <c r="BT902" s="142"/>
      <c r="BZ902" s="142"/>
      <c r="CF902" s="142"/>
      <c r="CL902" s="142"/>
      <c r="CR902" s="142"/>
      <c r="CX902" s="142"/>
      <c r="DD902" s="142"/>
      <c r="DJ902" s="142"/>
      <c r="DP902" s="142"/>
      <c r="DV902" s="142"/>
      <c r="EB902" s="142"/>
    </row>
    <row r="903">
      <c r="F903" s="142"/>
      <c r="L903" s="142"/>
      <c r="R903" s="142"/>
      <c r="X903" s="142"/>
      <c r="AD903" s="142"/>
      <c r="AJ903" s="142"/>
      <c r="AP903" s="142"/>
      <c r="AV903" s="142"/>
      <c r="BB903" s="142"/>
      <c r="BH903" s="142"/>
      <c r="BN903" s="142"/>
      <c r="BT903" s="142"/>
      <c r="BZ903" s="142"/>
      <c r="CF903" s="142"/>
      <c r="CL903" s="142"/>
      <c r="CR903" s="142"/>
      <c r="CX903" s="142"/>
      <c r="DD903" s="142"/>
      <c r="DJ903" s="142"/>
      <c r="DP903" s="142"/>
      <c r="DV903" s="142"/>
      <c r="EB903" s="142"/>
    </row>
    <row r="904">
      <c r="F904" s="142"/>
      <c r="L904" s="142"/>
      <c r="R904" s="142"/>
      <c r="X904" s="142"/>
      <c r="AD904" s="142"/>
      <c r="AJ904" s="142"/>
      <c r="AP904" s="142"/>
      <c r="AV904" s="142"/>
      <c r="BB904" s="142"/>
      <c r="BH904" s="142"/>
      <c r="BN904" s="142"/>
      <c r="BT904" s="142"/>
      <c r="BZ904" s="142"/>
      <c r="CF904" s="142"/>
      <c r="CL904" s="142"/>
      <c r="CR904" s="142"/>
      <c r="CX904" s="142"/>
      <c r="DD904" s="142"/>
      <c r="DJ904" s="142"/>
      <c r="DP904" s="142"/>
      <c r="DV904" s="142"/>
      <c r="EB904" s="142"/>
    </row>
    <row r="905">
      <c r="F905" s="142"/>
      <c r="L905" s="142"/>
      <c r="R905" s="142"/>
      <c r="X905" s="142"/>
      <c r="AD905" s="142"/>
      <c r="AJ905" s="142"/>
      <c r="AP905" s="142"/>
      <c r="AV905" s="142"/>
      <c r="BB905" s="142"/>
      <c r="BH905" s="142"/>
      <c r="BN905" s="142"/>
      <c r="BT905" s="142"/>
      <c r="BZ905" s="142"/>
      <c r="CF905" s="142"/>
      <c r="CL905" s="142"/>
      <c r="CR905" s="142"/>
      <c r="CX905" s="142"/>
      <c r="DD905" s="142"/>
      <c r="DJ905" s="142"/>
      <c r="DP905" s="142"/>
      <c r="DV905" s="142"/>
      <c r="EB905" s="142"/>
    </row>
    <row r="906">
      <c r="F906" s="142"/>
      <c r="L906" s="142"/>
      <c r="R906" s="142"/>
      <c r="X906" s="142"/>
      <c r="AD906" s="142"/>
      <c r="AJ906" s="142"/>
      <c r="AP906" s="142"/>
      <c r="AV906" s="142"/>
      <c r="BB906" s="142"/>
      <c r="BH906" s="142"/>
      <c r="BN906" s="142"/>
      <c r="BT906" s="142"/>
      <c r="BZ906" s="142"/>
      <c r="CF906" s="142"/>
      <c r="CL906" s="142"/>
      <c r="CR906" s="142"/>
      <c r="CX906" s="142"/>
      <c r="DD906" s="142"/>
      <c r="DJ906" s="142"/>
      <c r="DP906" s="142"/>
      <c r="DV906" s="142"/>
      <c r="EB906" s="142"/>
    </row>
    <row r="907">
      <c r="F907" s="142"/>
      <c r="L907" s="142"/>
      <c r="R907" s="142"/>
      <c r="X907" s="142"/>
      <c r="AD907" s="142"/>
      <c r="AJ907" s="142"/>
      <c r="AP907" s="142"/>
      <c r="AV907" s="142"/>
      <c r="BB907" s="142"/>
      <c r="BH907" s="142"/>
      <c r="BN907" s="142"/>
      <c r="BT907" s="142"/>
      <c r="BZ907" s="142"/>
      <c r="CF907" s="142"/>
      <c r="CL907" s="142"/>
      <c r="CR907" s="142"/>
      <c r="CX907" s="142"/>
      <c r="DD907" s="142"/>
      <c r="DJ907" s="142"/>
      <c r="DP907" s="142"/>
      <c r="DV907" s="142"/>
      <c r="EB907" s="142"/>
    </row>
    <row r="908">
      <c r="F908" s="142"/>
      <c r="L908" s="142"/>
      <c r="R908" s="142"/>
      <c r="X908" s="142"/>
      <c r="AD908" s="142"/>
      <c r="AJ908" s="142"/>
      <c r="AP908" s="142"/>
      <c r="AV908" s="142"/>
      <c r="BB908" s="142"/>
      <c r="BH908" s="142"/>
      <c r="BN908" s="142"/>
      <c r="BT908" s="142"/>
      <c r="BZ908" s="142"/>
      <c r="CF908" s="142"/>
      <c r="CL908" s="142"/>
      <c r="CR908" s="142"/>
      <c r="CX908" s="142"/>
      <c r="DD908" s="142"/>
      <c r="DJ908" s="142"/>
      <c r="DP908" s="142"/>
      <c r="DV908" s="142"/>
      <c r="EB908" s="142"/>
    </row>
    <row r="909">
      <c r="F909" s="142"/>
      <c r="L909" s="142"/>
      <c r="R909" s="142"/>
      <c r="X909" s="142"/>
      <c r="AD909" s="142"/>
      <c r="AJ909" s="142"/>
      <c r="AP909" s="142"/>
      <c r="AV909" s="142"/>
      <c r="BB909" s="142"/>
      <c r="BH909" s="142"/>
      <c r="BN909" s="142"/>
      <c r="BT909" s="142"/>
      <c r="BZ909" s="142"/>
      <c r="CF909" s="142"/>
      <c r="CL909" s="142"/>
      <c r="CR909" s="142"/>
      <c r="CX909" s="142"/>
      <c r="DD909" s="142"/>
      <c r="DJ909" s="142"/>
      <c r="DP909" s="142"/>
      <c r="DV909" s="142"/>
      <c r="EB909" s="142"/>
    </row>
    <row r="910">
      <c r="F910" s="142"/>
      <c r="L910" s="142"/>
      <c r="R910" s="142"/>
      <c r="X910" s="142"/>
      <c r="AD910" s="142"/>
      <c r="AJ910" s="142"/>
      <c r="AP910" s="142"/>
      <c r="AV910" s="142"/>
      <c r="BB910" s="142"/>
      <c r="BH910" s="142"/>
      <c r="BN910" s="142"/>
      <c r="BT910" s="142"/>
      <c r="BZ910" s="142"/>
      <c r="CF910" s="142"/>
      <c r="CL910" s="142"/>
      <c r="CR910" s="142"/>
      <c r="CX910" s="142"/>
      <c r="DD910" s="142"/>
      <c r="DJ910" s="142"/>
      <c r="DP910" s="142"/>
      <c r="DV910" s="142"/>
      <c r="EB910" s="142"/>
    </row>
    <row r="911">
      <c r="F911" s="142"/>
      <c r="L911" s="142"/>
      <c r="R911" s="142"/>
      <c r="X911" s="142"/>
      <c r="AD911" s="142"/>
      <c r="AJ911" s="142"/>
      <c r="AP911" s="142"/>
      <c r="AV911" s="142"/>
      <c r="BB911" s="142"/>
      <c r="BH911" s="142"/>
      <c r="BN911" s="142"/>
      <c r="BT911" s="142"/>
      <c r="BZ911" s="142"/>
      <c r="CF911" s="142"/>
      <c r="CL911" s="142"/>
      <c r="CR911" s="142"/>
      <c r="CX911" s="142"/>
      <c r="DD911" s="142"/>
      <c r="DJ911" s="142"/>
      <c r="DP911" s="142"/>
      <c r="DV911" s="142"/>
      <c r="EB911" s="142"/>
    </row>
    <row r="912">
      <c r="F912" s="142"/>
      <c r="L912" s="142"/>
      <c r="R912" s="142"/>
      <c r="X912" s="142"/>
      <c r="AD912" s="142"/>
      <c r="AJ912" s="142"/>
      <c r="AP912" s="142"/>
      <c r="AV912" s="142"/>
      <c r="BB912" s="142"/>
      <c r="BH912" s="142"/>
      <c r="BN912" s="142"/>
      <c r="BT912" s="142"/>
      <c r="BZ912" s="142"/>
      <c r="CF912" s="142"/>
      <c r="CL912" s="142"/>
      <c r="CR912" s="142"/>
      <c r="CX912" s="142"/>
      <c r="DD912" s="142"/>
      <c r="DJ912" s="142"/>
      <c r="DP912" s="142"/>
      <c r="DV912" s="142"/>
      <c r="EB912" s="142"/>
    </row>
    <row r="913">
      <c r="F913" s="142"/>
      <c r="L913" s="142"/>
      <c r="R913" s="142"/>
      <c r="X913" s="142"/>
      <c r="AD913" s="142"/>
      <c r="AJ913" s="142"/>
      <c r="AP913" s="142"/>
      <c r="AV913" s="142"/>
      <c r="BB913" s="142"/>
      <c r="BH913" s="142"/>
      <c r="BN913" s="142"/>
      <c r="BT913" s="142"/>
      <c r="BZ913" s="142"/>
      <c r="CF913" s="142"/>
      <c r="CL913" s="142"/>
      <c r="CR913" s="142"/>
      <c r="CX913" s="142"/>
      <c r="DD913" s="142"/>
      <c r="DJ913" s="142"/>
      <c r="DP913" s="142"/>
      <c r="DV913" s="142"/>
      <c r="EB913" s="142"/>
    </row>
    <row r="914">
      <c r="F914" s="142"/>
      <c r="L914" s="142"/>
      <c r="R914" s="142"/>
      <c r="X914" s="142"/>
      <c r="AD914" s="142"/>
      <c r="AJ914" s="142"/>
      <c r="AP914" s="142"/>
      <c r="AV914" s="142"/>
      <c r="BB914" s="142"/>
      <c r="BH914" s="142"/>
      <c r="BN914" s="142"/>
      <c r="BT914" s="142"/>
      <c r="BZ914" s="142"/>
      <c r="CF914" s="142"/>
      <c r="CL914" s="142"/>
      <c r="CR914" s="142"/>
      <c r="CX914" s="142"/>
      <c r="DD914" s="142"/>
      <c r="DJ914" s="142"/>
      <c r="DP914" s="142"/>
      <c r="DV914" s="142"/>
      <c r="EB914" s="142"/>
    </row>
    <row r="915">
      <c r="F915" s="142"/>
      <c r="L915" s="142"/>
      <c r="R915" s="142"/>
      <c r="X915" s="142"/>
      <c r="AD915" s="142"/>
      <c r="AJ915" s="142"/>
      <c r="AP915" s="142"/>
      <c r="AV915" s="142"/>
      <c r="BB915" s="142"/>
      <c r="BH915" s="142"/>
      <c r="BN915" s="142"/>
      <c r="BT915" s="142"/>
      <c r="BZ915" s="142"/>
      <c r="CF915" s="142"/>
      <c r="CL915" s="142"/>
      <c r="CR915" s="142"/>
      <c r="CX915" s="142"/>
      <c r="DD915" s="142"/>
      <c r="DJ915" s="142"/>
      <c r="DP915" s="142"/>
      <c r="DV915" s="142"/>
      <c r="EB915" s="142"/>
    </row>
    <row r="916">
      <c r="F916" s="142"/>
      <c r="L916" s="142"/>
      <c r="R916" s="142"/>
      <c r="X916" s="142"/>
      <c r="AD916" s="142"/>
      <c r="AJ916" s="142"/>
      <c r="AP916" s="142"/>
      <c r="AV916" s="142"/>
      <c r="BB916" s="142"/>
      <c r="BH916" s="142"/>
      <c r="BN916" s="142"/>
      <c r="BT916" s="142"/>
      <c r="BZ916" s="142"/>
      <c r="CF916" s="142"/>
      <c r="CL916" s="142"/>
      <c r="CR916" s="142"/>
      <c r="CX916" s="142"/>
      <c r="DD916" s="142"/>
      <c r="DJ916" s="142"/>
      <c r="DP916" s="142"/>
      <c r="DV916" s="142"/>
      <c r="EB916" s="142"/>
    </row>
    <row r="917">
      <c r="F917" s="142"/>
      <c r="L917" s="142"/>
      <c r="R917" s="142"/>
      <c r="X917" s="142"/>
      <c r="AD917" s="142"/>
      <c r="AJ917" s="142"/>
      <c r="AP917" s="142"/>
      <c r="AV917" s="142"/>
      <c r="BB917" s="142"/>
      <c r="BH917" s="142"/>
      <c r="BN917" s="142"/>
      <c r="BT917" s="142"/>
      <c r="BZ917" s="142"/>
      <c r="CF917" s="142"/>
      <c r="CL917" s="142"/>
      <c r="CR917" s="142"/>
      <c r="CX917" s="142"/>
      <c r="DD917" s="142"/>
      <c r="DJ917" s="142"/>
      <c r="DP917" s="142"/>
      <c r="DV917" s="142"/>
      <c r="EB917" s="142"/>
    </row>
    <row r="918">
      <c r="F918" s="142"/>
      <c r="L918" s="142"/>
      <c r="R918" s="142"/>
      <c r="X918" s="142"/>
      <c r="AD918" s="142"/>
      <c r="AJ918" s="142"/>
      <c r="AP918" s="142"/>
      <c r="AV918" s="142"/>
      <c r="BB918" s="142"/>
      <c r="BH918" s="142"/>
      <c r="BN918" s="142"/>
      <c r="BT918" s="142"/>
      <c r="BZ918" s="142"/>
      <c r="CF918" s="142"/>
      <c r="CL918" s="142"/>
      <c r="CR918" s="142"/>
      <c r="CX918" s="142"/>
      <c r="DD918" s="142"/>
      <c r="DJ918" s="142"/>
      <c r="DP918" s="142"/>
      <c r="DV918" s="142"/>
      <c r="EB918" s="142"/>
    </row>
    <row r="919">
      <c r="F919" s="142"/>
      <c r="L919" s="142"/>
      <c r="R919" s="142"/>
      <c r="X919" s="142"/>
      <c r="AD919" s="142"/>
      <c r="AJ919" s="142"/>
      <c r="AP919" s="142"/>
      <c r="AV919" s="142"/>
      <c r="BB919" s="142"/>
      <c r="BH919" s="142"/>
      <c r="BN919" s="142"/>
      <c r="BT919" s="142"/>
      <c r="BZ919" s="142"/>
      <c r="CF919" s="142"/>
      <c r="CL919" s="142"/>
      <c r="CR919" s="142"/>
      <c r="CX919" s="142"/>
      <c r="DD919" s="142"/>
      <c r="DJ919" s="142"/>
      <c r="DP919" s="142"/>
      <c r="DV919" s="142"/>
      <c r="EB919" s="142"/>
    </row>
    <row r="920">
      <c r="F920" s="142"/>
      <c r="L920" s="142"/>
      <c r="R920" s="142"/>
      <c r="X920" s="142"/>
      <c r="AD920" s="142"/>
      <c r="AJ920" s="142"/>
      <c r="AP920" s="142"/>
      <c r="AV920" s="142"/>
      <c r="BB920" s="142"/>
      <c r="BH920" s="142"/>
      <c r="BN920" s="142"/>
      <c r="BT920" s="142"/>
      <c r="BZ920" s="142"/>
      <c r="CF920" s="142"/>
      <c r="CL920" s="142"/>
      <c r="CR920" s="142"/>
      <c r="CX920" s="142"/>
      <c r="DD920" s="142"/>
      <c r="DJ920" s="142"/>
      <c r="DP920" s="142"/>
      <c r="DV920" s="142"/>
      <c r="EB920" s="142"/>
    </row>
    <row r="921">
      <c r="F921" s="142"/>
      <c r="L921" s="142"/>
      <c r="R921" s="142"/>
      <c r="X921" s="142"/>
      <c r="AD921" s="142"/>
      <c r="AJ921" s="142"/>
      <c r="AP921" s="142"/>
      <c r="AV921" s="142"/>
      <c r="BB921" s="142"/>
      <c r="BH921" s="142"/>
      <c r="BN921" s="142"/>
      <c r="BT921" s="142"/>
      <c r="BZ921" s="142"/>
      <c r="CF921" s="142"/>
      <c r="CL921" s="142"/>
      <c r="CR921" s="142"/>
      <c r="CX921" s="142"/>
      <c r="DD921" s="142"/>
      <c r="DJ921" s="142"/>
      <c r="DP921" s="142"/>
      <c r="DV921" s="142"/>
      <c r="EB921" s="142"/>
    </row>
    <row r="922">
      <c r="F922" s="142"/>
      <c r="L922" s="142"/>
      <c r="R922" s="142"/>
      <c r="X922" s="142"/>
      <c r="AD922" s="142"/>
      <c r="AJ922" s="142"/>
      <c r="AP922" s="142"/>
      <c r="AV922" s="142"/>
      <c r="BB922" s="142"/>
      <c r="BH922" s="142"/>
      <c r="BN922" s="142"/>
      <c r="BT922" s="142"/>
      <c r="BZ922" s="142"/>
      <c r="CF922" s="142"/>
      <c r="CL922" s="142"/>
      <c r="CR922" s="142"/>
      <c r="CX922" s="142"/>
      <c r="DD922" s="142"/>
      <c r="DJ922" s="142"/>
      <c r="DP922" s="142"/>
      <c r="DV922" s="142"/>
      <c r="EB922" s="142"/>
    </row>
    <row r="923">
      <c r="F923" s="142"/>
      <c r="L923" s="142"/>
      <c r="R923" s="142"/>
      <c r="X923" s="142"/>
      <c r="AD923" s="142"/>
      <c r="AJ923" s="142"/>
      <c r="AP923" s="142"/>
      <c r="AV923" s="142"/>
      <c r="BB923" s="142"/>
      <c r="BH923" s="142"/>
      <c r="BN923" s="142"/>
      <c r="BT923" s="142"/>
      <c r="BZ923" s="142"/>
      <c r="CF923" s="142"/>
      <c r="CL923" s="142"/>
      <c r="CR923" s="142"/>
      <c r="CX923" s="142"/>
      <c r="DD923" s="142"/>
      <c r="DJ923" s="142"/>
      <c r="DP923" s="142"/>
      <c r="DV923" s="142"/>
      <c r="EB923" s="142"/>
    </row>
    <row r="924">
      <c r="F924" s="142"/>
      <c r="L924" s="142"/>
      <c r="R924" s="142"/>
      <c r="X924" s="142"/>
      <c r="AD924" s="142"/>
      <c r="AJ924" s="142"/>
      <c r="AP924" s="142"/>
      <c r="AV924" s="142"/>
      <c r="BB924" s="142"/>
      <c r="BH924" s="142"/>
      <c r="BN924" s="142"/>
      <c r="BT924" s="142"/>
      <c r="BZ924" s="142"/>
      <c r="CF924" s="142"/>
      <c r="CL924" s="142"/>
      <c r="CR924" s="142"/>
      <c r="CX924" s="142"/>
      <c r="DD924" s="142"/>
      <c r="DJ924" s="142"/>
      <c r="DP924" s="142"/>
      <c r="DV924" s="142"/>
      <c r="EB924" s="142"/>
    </row>
    <row r="925">
      <c r="F925" s="142"/>
      <c r="L925" s="142"/>
      <c r="R925" s="142"/>
      <c r="X925" s="142"/>
      <c r="AD925" s="142"/>
      <c r="AJ925" s="142"/>
      <c r="AP925" s="142"/>
      <c r="AV925" s="142"/>
      <c r="BB925" s="142"/>
      <c r="BH925" s="142"/>
      <c r="BN925" s="142"/>
      <c r="BT925" s="142"/>
      <c r="BZ925" s="142"/>
      <c r="CF925" s="142"/>
      <c r="CL925" s="142"/>
      <c r="CR925" s="142"/>
      <c r="CX925" s="142"/>
      <c r="DD925" s="142"/>
      <c r="DJ925" s="142"/>
      <c r="DP925" s="142"/>
      <c r="DV925" s="142"/>
      <c r="EB925" s="142"/>
    </row>
    <row r="926">
      <c r="F926" s="142"/>
      <c r="L926" s="142"/>
      <c r="R926" s="142"/>
      <c r="X926" s="142"/>
      <c r="AD926" s="142"/>
      <c r="AJ926" s="142"/>
      <c r="AP926" s="142"/>
      <c r="AV926" s="142"/>
      <c r="BB926" s="142"/>
      <c r="BH926" s="142"/>
      <c r="BN926" s="142"/>
      <c r="BT926" s="142"/>
      <c r="BZ926" s="142"/>
      <c r="CF926" s="142"/>
      <c r="CL926" s="142"/>
      <c r="CR926" s="142"/>
      <c r="CX926" s="142"/>
      <c r="DD926" s="142"/>
      <c r="DJ926" s="142"/>
      <c r="DP926" s="142"/>
      <c r="DV926" s="142"/>
      <c r="EB926" s="142"/>
    </row>
    <row r="927">
      <c r="F927" s="142"/>
      <c r="L927" s="142"/>
      <c r="R927" s="142"/>
      <c r="X927" s="142"/>
      <c r="AD927" s="142"/>
      <c r="AJ927" s="142"/>
      <c r="AP927" s="142"/>
      <c r="AV927" s="142"/>
      <c r="BB927" s="142"/>
      <c r="BH927" s="142"/>
      <c r="BN927" s="142"/>
      <c r="BT927" s="142"/>
      <c r="BZ927" s="142"/>
      <c r="CF927" s="142"/>
      <c r="CL927" s="142"/>
      <c r="CR927" s="142"/>
      <c r="CX927" s="142"/>
      <c r="DD927" s="142"/>
      <c r="DJ927" s="142"/>
      <c r="DP927" s="142"/>
      <c r="DV927" s="142"/>
      <c r="EB927" s="142"/>
    </row>
    <row r="928">
      <c r="F928" s="142"/>
      <c r="L928" s="142"/>
      <c r="R928" s="142"/>
      <c r="X928" s="142"/>
      <c r="AD928" s="142"/>
      <c r="AJ928" s="142"/>
      <c r="AP928" s="142"/>
      <c r="AV928" s="142"/>
      <c r="BB928" s="142"/>
      <c r="BH928" s="142"/>
      <c r="BN928" s="142"/>
      <c r="BT928" s="142"/>
      <c r="BZ928" s="142"/>
      <c r="CF928" s="142"/>
      <c r="CL928" s="142"/>
      <c r="CR928" s="142"/>
      <c r="CX928" s="142"/>
      <c r="DD928" s="142"/>
      <c r="DJ928" s="142"/>
      <c r="DP928" s="142"/>
      <c r="DV928" s="142"/>
      <c r="EB928" s="142"/>
    </row>
    <row r="929">
      <c r="F929" s="142"/>
      <c r="L929" s="142"/>
      <c r="R929" s="142"/>
      <c r="X929" s="142"/>
      <c r="AD929" s="142"/>
      <c r="AJ929" s="142"/>
      <c r="AP929" s="142"/>
      <c r="AV929" s="142"/>
      <c r="BB929" s="142"/>
      <c r="BH929" s="142"/>
      <c r="BN929" s="142"/>
      <c r="BT929" s="142"/>
      <c r="BZ929" s="142"/>
      <c r="CF929" s="142"/>
      <c r="CL929" s="142"/>
      <c r="CR929" s="142"/>
      <c r="CX929" s="142"/>
      <c r="DD929" s="142"/>
      <c r="DJ929" s="142"/>
      <c r="DP929" s="142"/>
      <c r="DV929" s="142"/>
      <c r="EB929" s="142"/>
    </row>
    <row r="930">
      <c r="F930" s="142"/>
      <c r="L930" s="142"/>
      <c r="R930" s="142"/>
      <c r="X930" s="142"/>
      <c r="AD930" s="142"/>
      <c r="AJ930" s="142"/>
      <c r="AP930" s="142"/>
      <c r="AV930" s="142"/>
      <c r="BB930" s="142"/>
      <c r="BH930" s="142"/>
      <c r="BN930" s="142"/>
      <c r="BT930" s="142"/>
      <c r="BZ930" s="142"/>
      <c r="CF930" s="142"/>
      <c r="CL930" s="142"/>
      <c r="CR930" s="142"/>
      <c r="CX930" s="142"/>
      <c r="DD930" s="142"/>
      <c r="DJ930" s="142"/>
      <c r="DP930" s="142"/>
      <c r="DV930" s="142"/>
      <c r="EB930" s="142"/>
    </row>
    <row r="931">
      <c r="F931" s="142"/>
      <c r="L931" s="142"/>
      <c r="R931" s="142"/>
      <c r="X931" s="142"/>
      <c r="AD931" s="142"/>
      <c r="AJ931" s="142"/>
      <c r="AP931" s="142"/>
      <c r="AV931" s="142"/>
      <c r="BB931" s="142"/>
      <c r="BH931" s="142"/>
      <c r="BN931" s="142"/>
      <c r="BT931" s="142"/>
      <c r="BZ931" s="142"/>
      <c r="CF931" s="142"/>
      <c r="CL931" s="142"/>
      <c r="CR931" s="142"/>
      <c r="CX931" s="142"/>
      <c r="DD931" s="142"/>
      <c r="DJ931" s="142"/>
      <c r="DP931" s="142"/>
      <c r="DV931" s="142"/>
      <c r="EB931" s="142"/>
    </row>
    <row r="932">
      <c r="F932" s="142"/>
      <c r="L932" s="142"/>
      <c r="R932" s="142"/>
      <c r="X932" s="142"/>
      <c r="AD932" s="142"/>
      <c r="AJ932" s="142"/>
      <c r="AP932" s="142"/>
      <c r="AV932" s="142"/>
      <c r="BB932" s="142"/>
      <c r="BH932" s="142"/>
      <c r="BN932" s="142"/>
      <c r="BT932" s="142"/>
      <c r="BZ932" s="142"/>
      <c r="CF932" s="142"/>
      <c r="CL932" s="142"/>
      <c r="CR932" s="142"/>
      <c r="CX932" s="142"/>
      <c r="DD932" s="142"/>
      <c r="DJ932" s="142"/>
      <c r="DP932" s="142"/>
      <c r="DV932" s="142"/>
      <c r="EB932" s="142"/>
    </row>
    <row r="933">
      <c r="F933" s="142"/>
      <c r="L933" s="142"/>
      <c r="R933" s="142"/>
      <c r="X933" s="142"/>
      <c r="AD933" s="142"/>
      <c r="AJ933" s="142"/>
      <c r="AP933" s="142"/>
      <c r="AV933" s="142"/>
      <c r="BB933" s="142"/>
      <c r="BH933" s="142"/>
      <c r="BN933" s="142"/>
      <c r="BT933" s="142"/>
      <c r="BZ933" s="142"/>
      <c r="CF933" s="142"/>
      <c r="CL933" s="142"/>
      <c r="CR933" s="142"/>
      <c r="CX933" s="142"/>
      <c r="DD933" s="142"/>
      <c r="DJ933" s="142"/>
      <c r="DP933" s="142"/>
      <c r="DV933" s="142"/>
      <c r="EB933" s="142"/>
    </row>
    <row r="934">
      <c r="F934" s="142"/>
      <c r="L934" s="142"/>
      <c r="R934" s="142"/>
      <c r="X934" s="142"/>
      <c r="AD934" s="142"/>
      <c r="AJ934" s="142"/>
      <c r="AP934" s="142"/>
      <c r="AV934" s="142"/>
      <c r="BB934" s="142"/>
      <c r="BH934" s="142"/>
      <c r="BN934" s="142"/>
      <c r="BT934" s="142"/>
      <c r="BZ934" s="142"/>
      <c r="CF934" s="142"/>
      <c r="CL934" s="142"/>
      <c r="CR934" s="142"/>
      <c r="CX934" s="142"/>
      <c r="DD934" s="142"/>
      <c r="DJ934" s="142"/>
      <c r="DP934" s="142"/>
      <c r="DV934" s="142"/>
      <c r="EB934" s="142"/>
    </row>
    <row r="935">
      <c r="F935" s="142"/>
      <c r="L935" s="142"/>
      <c r="R935" s="142"/>
      <c r="X935" s="142"/>
      <c r="AD935" s="142"/>
      <c r="AJ935" s="142"/>
      <c r="AP935" s="142"/>
      <c r="AV935" s="142"/>
      <c r="BB935" s="142"/>
      <c r="BH935" s="142"/>
      <c r="BN935" s="142"/>
      <c r="BT935" s="142"/>
      <c r="BZ935" s="142"/>
      <c r="CF935" s="142"/>
      <c r="CL935" s="142"/>
      <c r="CR935" s="142"/>
      <c r="CX935" s="142"/>
      <c r="DD935" s="142"/>
      <c r="DJ935" s="142"/>
      <c r="DP935" s="142"/>
      <c r="DV935" s="142"/>
      <c r="EB935" s="142"/>
    </row>
    <row r="936">
      <c r="F936" s="142"/>
      <c r="L936" s="142"/>
      <c r="R936" s="142"/>
      <c r="X936" s="142"/>
      <c r="AD936" s="142"/>
      <c r="AJ936" s="142"/>
      <c r="AP936" s="142"/>
      <c r="AV936" s="142"/>
      <c r="BB936" s="142"/>
      <c r="BH936" s="142"/>
      <c r="BN936" s="142"/>
      <c r="BT936" s="142"/>
      <c r="BZ936" s="142"/>
      <c r="CF936" s="142"/>
      <c r="CL936" s="142"/>
      <c r="CR936" s="142"/>
      <c r="CX936" s="142"/>
      <c r="DD936" s="142"/>
      <c r="DJ936" s="142"/>
      <c r="DP936" s="142"/>
      <c r="DV936" s="142"/>
      <c r="EB936" s="142"/>
    </row>
    <row r="937">
      <c r="F937" s="142"/>
      <c r="L937" s="142"/>
      <c r="R937" s="142"/>
      <c r="X937" s="142"/>
      <c r="AD937" s="142"/>
      <c r="AJ937" s="142"/>
      <c r="AP937" s="142"/>
      <c r="AV937" s="142"/>
      <c r="BB937" s="142"/>
      <c r="BH937" s="142"/>
      <c r="BN937" s="142"/>
      <c r="BT937" s="142"/>
      <c r="BZ937" s="142"/>
      <c r="CF937" s="142"/>
      <c r="CL937" s="142"/>
      <c r="CR937" s="142"/>
      <c r="CX937" s="142"/>
      <c r="DD937" s="142"/>
      <c r="DJ937" s="142"/>
      <c r="DP937" s="142"/>
      <c r="DV937" s="142"/>
      <c r="EB937" s="142"/>
    </row>
    <row r="938">
      <c r="F938" s="142"/>
      <c r="L938" s="142"/>
      <c r="R938" s="142"/>
      <c r="X938" s="142"/>
      <c r="AD938" s="142"/>
      <c r="AJ938" s="142"/>
      <c r="AP938" s="142"/>
      <c r="AV938" s="142"/>
      <c r="BB938" s="142"/>
      <c r="BH938" s="142"/>
      <c r="BN938" s="142"/>
      <c r="BT938" s="142"/>
      <c r="BZ938" s="142"/>
      <c r="CF938" s="142"/>
      <c r="CL938" s="142"/>
      <c r="CR938" s="142"/>
      <c r="CX938" s="142"/>
      <c r="DD938" s="142"/>
      <c r="DJ938" s="142"/>
      <c r="DP938" s="142"/>
      <c r="DV938" s="142"/>
      <c r="EB938" s="142"/>
    </row>
    <row r="939">
      <c r="F939" s="142"/>
      <c r="L939" s="142"/>
      <c r="R939" s="142"/>
      <c r="X939" s="142"/>
      <c r="AD939" s="142"/>
      <c r="AJ939" s="142"/>
      <c r="AP939" s="142"/>
      <c r="AV939" s="142"/>
      <c r="BB939" s="142"/>
      <c r="BH939" s="142"/>
      <c r="BN939" s="142"/>
      <c r="BT939" s="142"/>
      <c r="BZ939" s="142"/>
      <c r="CF939" s="142"/>
      <c r="CL939" s="142"/>
      <c r="CR939" s="142"/>
      <c r="CX939" s="142"/>
      <c r="DD939" s="142"/>
      <c r="DJ939" s="142"/>
      <c r="DP939" s="142"/>
      <c r="DV939" s="142"/>
      <c r="EB939" s="142"/>
    </row>
    <row r="940">
      <c r="F940" s="142"/>
      <c r="L940" s="142"/>
      <c r="R940" s="142"/>
      <c r="X940" s="142"/>
      <c r="AD940" s="142"/>
      <c r="AJ940" s="142"/>
      <c r="AP940" s="142"/>
      <c r="AV940" s="142"/>
      <c r="BB940" s="142"/>
      <c r="BH940" s="142"/>
      <c r="BN940" s="142"/>
      <c r="BT940" s="142"/>
      <c r="BZ940" s="142"/>
      <c r="CF940" s="142"/>
      <c r="CL940" s="142"/>
      <c r="CR940" s="142"/>
      <c r="CX940" s="142"/>
      <c r="DD940" s="142"/>
      <c r="DJ940" s="142"/>
      <c r="DP940" s="142"/>
      <c r="DV940" s="142"/>
      <c r="EB940" s="142"/>
    </row>
    <row r="941">
      <c r="F941" s="142"/>
      <c r="L941" s="142"/>
      <c r="R941" s="142"/>
      <c r="X941" s="142"/>
      <c r="AD941" s="142"/>
      <c r="AJ941" s="142"/>
      <c r="AP941" s="142"/>
      <c r="AV941" s="142"/>
      <c r="BB941" s="142"/>
      <c r="BH941" s="142"/>
      <c r="BN941" s="142"/>
      <c r="BT941" s="142"/>
      <c r="BZ941" s="142"/>
      <c r="CF941" s="142"/>
      <c r="CL941" s="142"/>
      <c r="CR941" s="142"/>
      <c r="CX941" s="142"/>
      <c r="DD941" s="142"/>
      <c r="DJ941" s="142"/>
      <c r="DP941" s="142"/>
      <c r="DV941" s="142"/>
      <c r="EB941" s="142"/>
    </row>
    <row r="942">
      <c r="F942" s="142"/>
      <c r="L942" s="142"/>
      <c r="R942" s="142"/>
      <c r="X942" s="142"/>
      <c r="AD942" s="142"/>
      <c r="AJ942" s="142"/>
      <c r="AP942" s="142"/>
      <c r="AV942" s="142"/>
      <c r="BB942" s="142"/>
      <c r="BH942" s="142"/>
      <c r="BN942" s="142"/>
      <c r="BT942" s="142"/>
      <c r="BZ942" s="142"/>
      <c r="CF942" s="142"/>
      <c r="CL942" s="142"/>
      <c r="CR942" s="142"/>
      <c r="CX942" s="142"/>
      <c r="DD942" s="142"/>
      <c r="DJ942" s="142"/>
      <c r="DP942" s="142"/>
      <c r="DV942" s="142"/>
      <c r="EB942" s="142"/>
    </row>
    <row r="943">
      <c r="F943" s="142"/>
      <c r="L943" s="142"/>
      <c r="R943" s="142"/>
      <c r="X943" s="142"/>
      <c r="AD943" s="142"/>
      <c r="AJ943" s="142"/>
      <c r="AP943" s="142"/>
      <c r="AV943" s="142"/>
      <c r="BB943" s="142"/>
      <c r="BH943" s="142"/>
      <c r="BN943" s="142"/>
      <c r="BT943" s="142"/>
      <c r="BZ943" s="142"/>
      <c r="CF943" s="142"/>
      <c r="CL943" s="142"/>
      <c r="CR943" s="142"/>
      <c r="CX943" s="142"/>
      <c r="DD943" s="142"/>
      <c r="DJ943" s="142"/>
      <c r="DP943" s="142"/>
      <c r="DV943" s="142"/>
      <c r="EB943" s="142"/>
    </row>
    <row r="944">
      <c r="F944" s="142"/>
      <c r="L944" s="142"/>
      <c r="R944" s="142"/>
      <c r="X944" s="142"/>
      <c r="AD944" s="142"/>
      <c r="AJ944" s="142"/>
      <c r="AP944" s="142"/>
      <c r="AV944" s="142"/>
      <c r="BB944" s="142"/>
      <c r="BH944" s="142"/>
      <c r="BN944" s="142"/>
      <c r="BT944" s="142"/>
      <c r="BZ944" s="142"/>
      <c r="CF944" s="142"/>
      <c r="CL944" s="142"/>
      <c r="CR944" s="142"/>
      <c r="CX944" s="142"/>
      <c r="DD944" s="142"/>
      <c r="DJ944" s="142"/>
      <c r="DP944" s="142"/>
      <c r="DV944" s="142"/>
      <c r="EB944" s="142"/>
    </row>
    <row r="945">
      <c r="F945" s="142"/>
      <c r="L945" s="142"/>
      <c r="R945" s="142"/>
      <c r="X945" s="142"/>
      <c r="AD945" s="142"/>
      <c r="AJ945" s="142"/>
      <c r="AP945" s="142"/>
      <c r="AV945" s="142"/>
      <c r="BB945" s="142"/>
      <c r="BH945" s="142"/>
      <c r="BN945" s="142"/>
      <c r="BT945" s="142"/>
      <c r="BZ945" s="142"/>
      <c r="CF945" s="142"/>
      <c r="CL945" s="142"/>
      <c r="CR945" s="142"/>
      <c r="CX945" s="142"/>
      <c r="DD945" s="142"/>
      <c r="DJ945" s="142"/>
      <c r="DP945" s="142"/>
      <c r="DV945" s="142"/>
      <c r="EB945" s="142"/>
    </row>
    <row r="946">
      <c r="F946" s="142"/>
      <c r="L946" s="142"/>
      <c r="R946" s="142"/>
      <c r="X946" s="142"/>
      <c r="AD946" s="142"/>
      <c r="AJ946" s="142"/>
      <c r="AP946" s="142"/>
      <c r="AV946" s="142"/>
      <c r="BB946" s="142"/>
      <c r="BH946" s="142"/>
      <c r="BN946" s="142"/>
      <c r="BT946" s="142"/>
      <c r="BZ946" s="142"/>
      <c r="CF946" s="142"/>
      <c r="CL946" s="142"/>
      <c r="CR946" s="142"/>
      <c r="CX946" s="142"/>
      <c r="DD946" s="142"/>
      <c r="DJ946" s="142"/>
      <c r="DP946" s="142"/>
      <c r="DV946" s="142"/>
      <c r="EB946" s="142"/>
    </row>
    <row r="947">
      <c r="F947" s="142"/>
      <c r="L947" s="142"/>
      <c r="R947" s="142"/>
      <c r="X947" s="142"/>
      <c r="AD947" s="142"/>
      <c r="AJ947" s="142"/>
      <c r="AP947" s="142"/>
      <c r="AV947" s="142"/>
      <c r="BB947" s="142"/>
      <c r="BH947" s="142"/>
      <c r="BN947" s="142"/>
      <c r="BT947" s="142"/>
      <c r="BZ947" s="142"/>
      <c r="CF947" s="142"/>
      <c r="CL947" s="142"/>
      <c r="CR947" s="142"/>
      <c r="CX947" s="142"/>
      <c r="DD947" s="142"/>
      <c r="DJ947" s="142"/>
      <c r="DP947" s="142"/>
      <c r="DV947" s="142"/>
      <c r="EB947" s="142"/>
    </row>
    <row r="948">
      <c r="F948" s="142"/>
      <c r="L948" s="142"/>
      <c r="R948" s="142"/>
      <c r="X948" s="142"/>
      <c r="AD948" s="142"/>
      <c r="AJ948" s="142"/>
      <c r="AP948" s="142"/>
      <c r="AV948" s="142"/>
      <c r="BB948" s="142"/>
      <c r="BH948" s="142"/>
      <c r="BN948" s="142"/>
      <c r="BT948" s="142"/>
      <c r="BZ948" s="142"/>
      <c r="CF948" s="142"/>
      <c r="CL948" s="142"/>
      <c r="CR948" s="142"/>
      <c r="CX948" s="142"/>
      <c r="DD948" s="142"/>
      <c r="DJ948" s="142"/>
      <c r="DP948" s="142"/>
      <c r="DV948" s="142"/>
      <c r="EB948" s="142"/>
    </row>
    <row r="949">
      <c r="F949" s="142"/>
      <c r="L949" s="142"/>
      <c r="R949" s="142"/>
      <c r="X949" s="142"/>
      <c r="AD949" s="142"/>
      <c r="AJ949" s="142"/>
      <c r="AP949" s="142"/>
      <c r="AV949" s="142"/>
      <c r="BB949" s="142"/>
      <c r="BH949" s="142"/>
      <c r="BN949" s="142"/>
      <c r="BT949" s="142"/>
      <c r="BZ949" s="142"/>
      <c r="CF949" s="142"/>
      <c r="CL949" s="142"/>
      <c r="CR949" s="142"/>
      <c r="CX949" s="142"/>
      <c r="DD949" s="142"/>
      <c r="DJ949" s="142"/>
      <c r="DP949" s="142"/>
      <c r="DV949" s="142"/>
      <c r="EB949" s="142"/>
    </row>
    <row r="950">
      <c r="F950" s="142"/>
      <c r="L950" s="142"/>
      <c r="R950" s="142"/>
      <c r="X950" s="142"/>
      <c r="AD950" s="142"/>
      <c r="AJ950" s="142"/>
      <c r="AP950" s="142"/>
      <c r="AV950" s="142"/>
      <c r="BB950" s="142"/>
      <c r="BH950" s="142"/>
      <c r="BN950" s="142"/>
      <c r="BT950" s="142"/>
      <c r="BZ950" s="142"/>
      <c r="CF950" s="142"/>
      <c r="CL950" s="142"/>
      <c r="CR950" s="142"/>
      <c r="CX950" s="142"/>
      <c r="DD950" s="142"/>
      <c r="DJ950" s="142"/>
      <c r="DP950" s="142"/>
      <c r="DV950" s="142"/>
      <c r="EB950" s="142"/>
    </row>
    <row r="951">
      <c r="F951" s="142"/>
      <c r="L951" s="142"/>
      <c r="R951" s="142"/>
      <c r="X951" s="142"/>
      <c r="AD951" s="142"/>
      <c r="AJ951" s="142"/>
      <c r="AP951" s="142"/>
      <c r="AV951" s="142"/>
      <c r="BB951" s="142"/>
      <c r="BH951" s="142"/>
      <c r="BN951" s="142"/>
      <c r="BT951" s="142"/>
      <c r="BZ951" s="142"/>
      <c r="CF951" s="142"/>
      <c r="CL951" s="142"/>
      <c r="CR951" s="142"/>
      <c r="CX951" s="142"/>
      <c r="DD951" s="142"/>
      <c r="DJ951" s="142"/>
      <c r="DP951" s="142"/>
      <c r="DV951" s="142"/>
      <c r="EB951" s="142"/>
    </row>
    <row r="952">
      <c r="F952" s="142"/>
      <c r="L952" s="142"/>
      <c r="R952" s="142"/>
      <c r="X952" s="142"/>
      <c r="AD952" s="142"/>
      <c r="AJ952" s="142"/>
      <c r="AP952" s="142"/>
      <c r="AV952" s="142"/>
      <c r="BB952" s="142"/>
      <c r="BH952" s="142"/>
      <c r="BN952" s="142"/>
      <c r="BT952" s="142"/>
      <c r="BZ952" s="142"/>
      <c r="CF952" s="142"/>
      <c r="CL952" s="142"/>
      <c r="CR952" s="142"/>
      <c r="CX952" s="142"/>
      <c r="DD952" s="142"/>
      <c r="DJ952" s="142"/>
      <c r="DP952" s="142"/>
      <c r="DV952" s="142"/>
      <c r="EB952" s="142"/>
    </row>
    <row r="953">
      <c r="F953" s="142"/>
      <c r="L953" s="142"/>
      <c r="R953" s="142"/>
      <c r="X953" s="142"/>
      <c r="AD953" s="142"/>
      <c r="AJ953" s="142"/>
      <c r="AP953" s="142"/>
      <c r="AV953" s="142"/>
      <c r="BB953" s="142"/>
      <c r="BH953" s="142"/>
      <c r="BN953" s="142"/>
      <c r="BT953" s="142"/>
      <c r="BZ953" s="142"/>
      <c r="CF953" s="142"/>
      <c r="CL953" s="142"/>
      <c r="CR953" s="142"/>
      <c r="CX953" s="142"/>
      <c r="DD953" s="142"/>
      <c r="DJ953" s="142"/>
      <c r="DP953" s="142"/>
      <c r="DV953" s="142"/>
      <c r="EB953" s="142"/>
    </row>
    <row r="954">
      <c r="F954" s="142"/>
      <c r="L954" s="142"/>
      <c r="R954" s="142"/>
      <c r="X954" s="142"/>
      <c r="AD954" s="142"/>
      <c r="AJ954" s="142"/>
      <c r="AP954" s="142"/>
      <c r="AV954" s="142"/>
      <c r="BB954" s="142"/>
      <c r="BH954" s="142"/>
      <c r="BN954" s="142"/>
      <c r="BT954" s="142"/>
      <c r="BZ954" s="142"/>
      <c r="CF954" s="142"/>
      <c r="CL954" s="142"/>
      <c r="CR954" s="142"/>
      <c r="CX954" s="142"/>
      <c r="DD954" s="142"/>
      <c r="DJ954" s="142"/>
      <c r="DP954" s="142"/>
      <c r="DV954" s="142"/>
      <c r="EB954" s="142"/>
    </row>
    <row r="955">
      <c r="F955" s="142"/>
      <c r="L955" s="142"/>
      <c r="R955" s="142"/>
      <c r="X955" s="142"/>
      <c r="AD955" s="142"/>
      <c r="AJ955" s="142"/>
      <c r="AP955" s="142"/>
      <c r="AV955" s="142"/>
      <c r="BB955" s="142"/>
      <c r="BH955" s="142"/>
      <c r="BN955" s="142"/>
      <c r="BT955" s="142"/>
      <c r="BZ955" s="142"/>
      <c r="CF955" s="142"/>
      <c r="CL955" s="142"/>
      <c r="CR955" s="142"/>
      <c r="CX955" s="142"/>
      <c r="DD955" s="142"/>
      <c r="DJ955" s="142"/>
      <c r="DP955" s="142"/>
      <c r="DV955" s="142"/>
      <c r="EB955" s="142"/>
    </row>
    <row r="956">
      <c r="F956" s="142"/>
      <c r="L956" s="142"/>
      <c r="R956" s="142"/>
      <c r="X956" s="142"/>
      <c r="AD956" s="142"/>
      <c r="AJ956" s="142"/>
      <c r="AP956" s="142"/>
      <c r="AV956" s="142"/>
      <c r="BB956" s="142"/>
      <c r="BH956" s="142"/>
      <c r="BN956" s="142"/>
      <c r="BT956" s="142"/>
      <c r="BZ956" s="142"/>
      <c r="CF956" s="142"/>
      <c r="CL956" s="142"/>
      <c r="CR956" s="142"/>
      <c r="CX956" s="142"/>
      <c r="DD956" s="142"/>
      <c r="DJ956" s="142"/>
      <c r="DP956" s="142"/>
      <c r="DV956" s="142"/>
      <c r="EB956" s="142"/>
    </row>
    <row r="957">
      <c r="F957" s="142"/>
      <c r="L957" s="142"/>
      <c r="R957" s="142"/>
      <c r="X957" s="142"/>
      <c r="AD957" s="142"/>
      <c r="AJ957" s="142"/>
      <c r="AP957" s="142"/>
      <c r="AV957" s="142"/>
      <c r="BB957" s="142"/>
      <c r="BH957" s="142"/>
      <c r="BN957" s="142"/>
      <c r="BT957" s="142"/>
      <c r="BZ957" s="142"/>
      <c r="CF957" s="142"/>
      <c r="CL957" s="142"/>
      <c r="CR957" s="142"/>
      <c r="CX957" s="142"/>
      <c r="DD957" s="142"/>
      <c r="DJ957" s="142"/>
      <c r="DP957" s="142"/>
      <c r="DV957" s="142"/>
      <c r="EB957" s="142"/>
    </row>
    <row r="958">
      <c r="F958" s="142"/>
      <c r="L958" s="142"/>
      <c r="R958" s="142"/>
      <c r="X958" s="142"/>
      <c r="AD958" s="142"/>
      <c r="AJ958" s="142"/>
      <c r="AP958" s="142"/>
      <c r="AV958" s="142"/>
      <c r="BB958" s="142"/>
      <c r="BH958" s="142"/>
      <c r="BN958" s="142"/>
      <c r="BT958" s="142"/>
      <c r="BZ958" s="142"/>
      <c r="CF958" s="142"/>
      <c r="CL958" s="142"/>
      <c r="CR958" s="142"/>
      <c r="CX958" s="142"/>
      <c r="DD958" s="142"/>
      <c r="DJ958" s="142"/>
      <c r="DP958" s="142"/>
      <c r="DV958" s="142"/>
      <c r="EB958" s="142"/>
    </row>
    <row r="959">
      <c r="F959" s="142"/>
      <c r="L959" s="142"/>
      <c r="R959" s="142"/>
      <c r="X959" s="142"/>
      <c r="AD959" s="142"/>
      <c r="AJ959" s="142"/>
      <c r="AP959" s="142"/>
      <c r="AV959" s="142"/>
      <c r="BB959" s="142"/>
      <c r="BH959" s="142"/>
      <c r="BN959" s="142"/>
      <c r="BT959" s="142"/>
      <c r="BZ959" s="142"/>
      <c r="CF959" s="142"/>
      <c r="CL959" s="142"/>
      <c r="CR959" s="142"/>
      <c r="CX959" s="142"/>
      <c r="DD959" s="142"/>
      <c r="DJ959" s="142"/>
      <c r="DP959" s="142"/>
      <c r="DV959" s="142"/>
      <c r="EB959" s="142"/>
    </row>
    <row r="960">
      <c r="F960" s="142"/>
      <c r="L960" s="142"/>
      <c r="R960" s="142"/>
      <c r="X960" s="142"/>
      <c r="AD960" s="142"/>
      <c r="AJ960" s="142"/>
      <c r="AP960" s="142"/>
      <c r="AV960" s="142"/>
      <c r="BB960" s="142"/>
      <c r="BH960" s="142"/>
      <c r="BN960" s="142"/>
      <c r="BT960" s="142"/>
      <c r="BZ960" s="142"/>
      <c r="CF960" s="142"/>
      <c r="CL960" s="142"/>
      <c r="CR960" s="142"/>
      <c r="CX960" s="142"/>
      <c r="DD960" s="142"/>
      <c r="DJ960" s="142"/>
      <c r="DP960" s="142"/>
      <c r="DV960" s="142"/>
      <c r="EB960" s="142"/>
    </row>
    <row r="961">
      <c r="F961" s="142"/>
      <c r="L961" s="142"/>
      <c r="R961" s="142"/>
      <c r="X961" s="142"/>
      <c r="AD961" s="142"/>
      <c r="AJ961" s="142"/>
      <c r="AP961" s="142"/>
      <c r="AV961" s="142"/>
      <c r="BB961" s="142"/>
      <c r="BH961" s="142"/>
      <c r="BN961" s="142"/>
      <c r="BT961" s="142"/>
      <c r="BZ961" s="142"/>
      <c r="CF961" s="142"/>
      <c r="CL961" s="142"/>
      <c r="CR961" s="142"/>
      <c r="CX961" s="142"/>
      <c r="DD961" s="142"/>
      <c r="DJ961" s="142"/>
      <c r="DP961" s="142"/>
      <c r="DV961" s="142"/>
      <c r="EB961" s="142"/>
    </row>
    <row r="962">
      <c r="F962" s="142"/>
      <c r="L962" s="142"/>
      <c r="R962" s="142"/>
      <c r="X962" s="142"/>
      <c r="AD962" s="142"/>
      <c r="AJ962" s="142"/>
      <c r="AP962" s="142"/>
      <c r="AV962" s="142"/>
      <c r="BB962" s="142"/>
      <c r="BH962" s="142"/>
      <c r="BN962" s="142"/>
      <c r="BT962" s="142"/>
      <c r="BZ962" s="142"/>
      <c r="CF962" s="142"/>
      <c r="CL962" s="142"/>
      <c r="CR962" s="142"/>
      <c r="CX962" s="142"/>
      <c r="DD962" s="142"/>
      <c r="DJ962" s="142"/>
      <c r="DP962" s="142"/>
      <c r="DV962" s="142"/>
      <c r="EB962" s="142"/>
    </row>
    <row r="963">
      <c r="F963" s="142"/>
      <c r="L963" s="142"/>
      <c r="R963" s="142"/>
      <c r="X963" s="142"/>
      <c r="AD963" s="142"/>
      <c r="AJ963" s="142"/>
      <c r="AP963" s="142"/>
      <c r="AV963" s="142"/>
      <c r="BB963" s="142"/>
      <c r="BH963" s="142"/>
      <c r="BN963" s="142"/>
      <c r="BT963" s="142"/>
      <c r="BZ963" s="142"/>
      <c r="CF963" s="142"/>
      <c r="CL963" s="142"/>
      <c r="CR963" s="142"/>
      <c r="CX963" s="142"/>
      <c r="DD963" s="142"/>
      <c r="DJ963" s="142"/>
      <c r="DP963" s="142"/>
      <c r="DV963" s="142"/>
      <c r="EB963" s="142"/>
    </row>
    <row r="964">
      <c r="F964" s="142"/>
      <c r="L964" s="142"/>
      <c r="R964" s="142"/>
      <c r="X964" s="142"/>
      <c r="AD964" s="142"/>
      <c r="AJ964" s="142"/>
      <c r="AP964" s="142"/>
      <c r="AV964" s="142"/>
      <c r="BB964" s="142"/>
      <c r="BH964" s="142"/>
      <c r="BN964" s="142"/>
      <c r="BT964" s="142"/>
      <c r="BZ964" s="142"/>
      <c r="CF964" s="142"/>
      <c r="CL964" s="142"/>
      <c r="CR964" s="142"/>
      <c r="CX964" s="142"/>
      <c r="DD964" s="142"/>
      <c r="DJ964" s="142"/>
      <c r="DP964" s="142"/>
      <c r="DV964" s="142"/>
      <c r="EB964" s="142"/>
    </row>
    <row r="965">
      <c r="F965" s="142"/>
      <c r="L965" s="142"/>
      <c r="R965" s="142"/>
      <c r="X965" s="142"/>
      <c r="AD965" s="142"/>
      <c r="AJ965" s="142"/>
      <c r="AP965" s="142"/>
      <c r="AV965" s="142"/>
      <c r="BB965" s="142"/>
      <c r="BH965" s="142"/>
      <c r="BN965" s="142"/>
      <c r="BT965" s="142"/>
      <c r="BZ965" s="142"/>
      <c r="CF965" s="142"/>
      <c r="CL965" s="142"/>
      <c r="CR965" s="142"/>
      <c r="CX965" s="142"/>
      <c r="DD965" s="142"/>
      <c r="DJ965" s="142"/>
      <c r="DP965" s="142"/>
      <c r="DV965" s="142"/>
      <c r="EB965" s="142"/>
    </row>
    <row r="966">
      <c r="F966" s="142"/>
      <c r="L966" s="142"/>
      <c r="R966" s="142"/>
      <c r="X966" s="142"/>
      <c r="AD966" s="142"/>
      <c r="AJ966" s="142"/>
      <c r="AP966" s="142"/>
      <c r="AV966" s="142"/>
      <c r="BB966" s="142"/>
      <c r="BH966" s="142"/>
      <c r="BN966" s="142"/>
      <c r="BT966" s="142"/>
      <c r="BZ966" s="142"/>
      <c r="CF966" s="142"/>
      <c r="CL966" s="142"/>
      <c r="CR966" s="142"/>
      <c r="CX966" s="142"/>
      <c r="DD966" s="142"/>
      <c r="DJ966" s="142"/>
      <c r="DP966" s="142"/>
      <c r="DV966" s="142"/>
      <c r="EB966" s="142"/>
    </row>
    <row r="967">
      <c r="F967" s="142"/>
      <c r="L967" s="142"/>
      <c r="R967" s="142"/>
      <c r="X967" s="142"/>
      <c r="AD967" s="142"/>
      <c r="AJ967" s="142"/>
      <c r="AP967" s="142"/>
      <c r="AV967" s="142"/>
      <c r="BB967" s="142"/>
      <c r="BH967" s="142"/>
      <c r="BN967" s="142"/>
      <c r="BT967" s="142"/>
      <c r="BZ967" s="142"/>
      <c r="CF967" s="142"/>
      <c r="CL967" s="142"/>
      <c r="CR967" s="142"/>
      <c r="CX967" s="142"/>
      <c r="DD967" s="142"/>
      <c r="DJ967" s="142"/>
      <c r="DP967" s="142"/>
      <c r="DV967" s="142"/>
      <c r="EB967" s="142"/>
    </row>
    <row r="968">
      <c r="F968" s="142"/>
      <c r="L968" s="142"/>
      <c r="R968" s="142"/>
      <c r="X968" s="142"/>
      <c r="AD968" s="142"/>
      <c r="AJ968" s="142"/>
      <c r="AP968" s="142"/>
      <c r="AV968" s="142"/>
      <c r="BB968" s="142"/>
      <c r="BH968" s="142"/>
      <c r="BN968" s="142"/>
      <c r="BT968" s="142"/>
      <c r="BZ968" s="142"/>
      <c r="CF968" s="142"/>
      <c r="CL968" s="142"/>
      <c r="CR968" s="142"/>
      <c r="CX968" s="142"/>
      <c r="DD968" s="142"/>
      <c r="DJ968" s="142"/>
      <c r="DP968" s="142"/>
      <c r="DV968" s="142"/>
      <c r="EB968" s="142"/>
    </row>
    <row r="969">
      <c r="F969" s="142"/>
      <c r="L969" s="142"/>
      <c r="R969" s="142"/>
      <c r="X969" s="142"/>
      <c r="AD969" s="142"/>
      <c r="AJ969" s="142"/>
      <c r="AP969" s="142"/>
      <c r="AV969" s="142"/>
      <c r="BB969" s="142"/>
      <c r="BH969" s="142"/>
      <c r="BN969" s="142"/>
      <c r="BT969" s="142"/>
      <c r="BZ969" s="142"/>
      <c r="CF969" s="142"/>
      <c r="CL969" s="142"/>
      <c r="CR969" s="142"/>
      <c r="CX969" s="142"/>
      <c r="DD969" s="142"/>
      <c r="DJ969" s="142"/>
      <c r="DP969" s="142"/>
      <c r="DV969" s="142"/>
      <c r="EB969" s="142"/>
    </row>
    <row r="970">
      <c r="F970" s="142"/>
      <c r="L970" s="142"/>
      <c r="R970" s="142"/>
      <c r="X970" s="142"/>
      <c r="AD970" s="142"/>
      <c r="AJ970" s="142"/>
      <c r="AP970" s="142"/>
      <c r="AV970" s="142"/>
      <c r="BB970" s="142"/>
      <c r="BH970" s="142"/>
      <c r="BN970" s="142"/>
      <c r="BT970" s="142"/>
      <c r="BZ970" s="142"/>
      <c r="CF970" s="142"/>
      <c r="CL970" s="142"/>
      <c r="CR970" s="142"/>
      <c r="CX970" s="142"/>
      <c r="DD970" s="142"/>
      <c r="DJ970" s="142"/>
      <c r="DP970" s="142"/>
      <c r="DV970" s="142"/>
      <c r="EB970" s="142"/>
    </row>
    <row r="971">
      <c r="F971" s="142"/>
      <c r="L971" s="142"/>
      <c r="R971" s="142"/>
      <c r="X971" s="142"/>
      <c r="AD971" s="142"/>
      <c r="AJ971" s="142"/>
      <c r="AP971" s="142"/>
      <c r="AV971" s="142"/>
      <c r="BB971" s="142"/>
      <c r="BH971" s="142"/>
      <c r="BN971" s="142"/>
      <c r="BT971" s="142"/>
      <c r="BZ971" s="142"/>
      <c r="CF971" s="142"/>
      <c r="CL971" s="142"/>
      <c r="CR971" s="142"/>
      <c r="CX971" s="142"/>
      <c r="DD971" s="142"/>
      <c r="DJ971" s="142"/>
      <c r="DP971" s="142"/>
      <c r="DV971" s="142"/>
      <c r="EB971" s="142"/>
    </row>
    <row r="972">
      <c r="F972" s="142"/>
      <c r="L972" s="142"/>
      <c r="R972" s="142"/>
      <c r="X972" s="142"/>
      <c r="AD972" s="142"/>
      <c r="AJ972" s="142"/>
      <c r="AP972" s="142"/>
      <c r="AV972" s="142"/>
      <c r="BB972" s="142"/>
      <c r="BH972" s="142"/>
      <c r="BN972" s="142"/>
      <c r="BT972" s="142"/>
      <c r="BZ972" s="142"/>
      <c r="CF972" s="142"/>
      <c r="CL972" s="142"/>
      <c r="CR972" s="142"/>
      <c r="CX972" s="142"/>
      <c r="DD972" s="142"/>
      <c r="DJ972" s="142"/>
      <c r="DP972" s="142"/>
      <c r="DV972" s="142"/>
      <c r="EB972" s="142"/>
    </row>
    <row r="973">
      <c r="F973" s="142"/>
      <c r="L973" s="142"/>
      <c r="R973" s="142"/>
      <c r="X973" s="142"/>
      <c r="AD973" s="142"/>
      <c r="AJ973" s="142"/>
      <c r="AP973" s="142"/>
      <c r="AV973" s="142"/>
      <c r="BB973" s="142"/>
      <c r="BH973" s="142"/>
      <c r="BN973" s="142"/>
      <c r="BT973" s="142"/>
      <c r="BZ973" s="142"/>
      <c r="CF973" s="142"/>
      <c r="CL973" s="142"/>
      <c r="CR973" s="142"/>
      <c r="CX973" s="142"/>
      <c r="DD973" s="142"/>
      <c r="DJ973" s="142"/>
      <c r="DP973" s="142"/>
      <c r="DV973" s="142"/>
      <c r="EB973" s="142"/>
    </row>
    <row r="974">
      <c r="F974" s="142"/>
      <c r="L974" s="142"/>
      <c r="R974" s="142"/>
      <c r="X974" s="142"/>
      <c r="AD974" s="142"/>
      <c r="AJ974" s="142"/>
      <c r="AP974" s="142"/>
      <c r="AV974" s="142"/>
      <c r="BB974" s="142"/>
      <c r="BH974" s="142"/>
      <c r="BN974" s="142"/>
      <c r="BT974" s="142"/>
      <c r="BZ974" s="142"/>
      <c r="CF974" s="142"/>
      <c r="CL974" s="142"/>
      <c r="CR974" s="142"/>
      <c r="CX974" s="142"/>
      <c r="DD974" s="142"/>
      <c r="DJ974" s="142"/>
      <c r="DP974" s="142"/>
      <c r="DV974" s="142"/>
      <c r="EB974" s="142"/>
    </row>
    <row r="975">
      <c r="F975" s="142"/>
      <c r="L975" s="142"/>
      <c r="R975" s="142"/>
      <c r="X975" s="142"/>
      <c r="AD975" s="142"/>
      <c r="AJ975" s="142"/>
      <c r="AP975" s="142"/>
      <c r="AV975" s="142"/>
      <c r="BB975" s="142"/>
      <c r="BH975" s="142"/>
      <c r="BN975" s="142"/>
      <c r="BT975" s="142"/>
      <c r="BZ975" s="142"/>
      <c r="CF975" s="142"/>
      <c r="CL975" s="142"/>
      <c r="CR975" s="142"/>
      <c r="CX975" s="142"/>
      <c r="DD975" s="142"/>
      <c r="DJ975" s="142"/>
      <c r="DP975" s="142"/>
      <c r="DV975" s="142"/>
      <c r="EB975" s="142"/>
    </row>
    <row r="976">
      <c r="F976" s="142"/>
      <c r="L976" s="142"/>
      <c r="R976" s="142"/>
      <c r="X976" s="142"/>
      <c r="AD976" s="142"/>
      <c r="AJ976" s="142"/>
      <c r="AP976" s="142"/>
      <c r="AV976" s="142"/>
      <c r="BB976" s="142"/>
      <c r="BH976" s="142"/>
      <c r="BN976" s="142"/>
      <c r="BT976" s="142"/>
      <c r="BZ976" s="142"/>
      <c r="CF976" s="142"/>
      <c r="CL976" s="142"/>
      <c r="CR976" s="142"/>
      <c r="CX976" s="142"/>
      <c r="DD976" s="142"/>
      <c r="DJ976" s="142"/>
      <c r="DP976" s="142"/>
      <c r="DV976" s="142"/>
      <c r="EB976" s="142"/>
    </row>
    <row r="977">
      <c r="F977" s="142"/>
      <c r="L977" s="142"/>
      <c r="R977" s="142"/>
      <c r="X977" s="142"/>
      <c r="AD977" s="142"/>
      <c r="AJ977" s="142"/>
      <c r="AP977" s="142"/>
      <c r="AV977" s="142"/>
      <c r="BB977" s="142"/>
      <c r="BH977" s="142"/>
      <c r="BN977" s="142"/>
      <c r="BT977" s="142"/>
      <c r="BZ977" s="142"/>
      <c r="CF977" s="142"/>
      <c r="CL977" s="142"/>
      <c r="CR977" s="142"/>
      <c r="CX977" s="142"/>
      <c r="DD977" s="142"/>
      <c r="DJ977" s="142"/>
      <c r="DP977" s="142"/>
      <c r="DV977" s="142"/>
      <c r="EB977" s="142"/>
    </row>
    <row r="978">
      <c r="F978" s="142"/>
      <c r="L978" s="142"/>
      <c r="R978" s="142"/>
      <c r="X978" s="142"/>
      <c r="AD978" s="142"/>
      <c r="AJ978" s="142"/>
      <c r="AP978" s="142"/>
      <c r="AV978" s="142"/>
      <c r="BB978" s="142"/>
      <c r="BH978" s="142"/>
      <c r="BN978" s="142"/>
      <c r="BT978" s="142"/>
      <c r="BZ978" s="142"/>
      <c r="CF978" s="142"/>
      <c r="CL978" s="142"/>
      <c r="CR978" s="142"/>
      <c r="CX978" s="142"/>
      <c r="DD978" s="142"/>
      <c r="DJ978" s="142"/>
      <c r="DP978" s="142"/>
      <c r="DV978" s="142"/>
      <c r="EB978" s="142"/>
    </row>
    <row r="979">
      <c r="F979" s="142"/>
      <c r="L979" s="142"/>
      <c r="R979" s="142"/>
      <c r="X979" s="142"/>
      <c r="AD979" s="142"/>
      <c r="AJ979" s="142"/>
      <c r="AP979" s="142"/>
      <c r="AV979" s="142"/>
      <c r="BB979" s="142"/>
      <c r="BH979" s="142"/>
      <c r="BN979" s="142"/>
      <c r="BT979" s="142"/>
      <c r="BZ979" s="142"/>
      <c r="CF979" s="142"/>
      <c r="CL979" s="142"/>
      <c r="CR979" s="142"/>
      <c r="CX979" s="142"/>
      <c r="DD979" s="142"/>
      <c r="DJ979" s="142"/>
      <c r="DP979" s="142"/>
      <c r="DV979" s="142"/>
      <c r="EB979" s="142"/>
    </row>
    <row r="980">
      <c r="F980" s="142"/>
      <c r="L980" s="142"/>
      <c r="R980" s="142"/>
      <c r="X980" s="142"/>
      <c r="AD980" s="142"/>
      <c r="AJ980" s="142"/>
      <c r="AP980" s="142"/>
      <c r="AV980" s="142"/>
      <c r="BB980" s="142"/>
      <c r="BH980" s="142"/>
      <c r="BN980" s="142"/>
      <c r="BT980" s="142"/>
      <c r="BZ980" s="142"/>
      <c r="CF980" s="142"/>
      <c r="CL980" s="142"/>
      <c r="CR980" s="142"/>
      <c r="CX980" s="142"/>
      <c r="DD980" s="142"/>
      <c r="DJ980" s="142"/>
      <c r="DP980" s="142"/>
      <c r="DV980" s="142"/>
      <c r="EB980" s="142"/>
    </row>
    <row r="981">
      <c r="F981" s="142"/>
      <c r="L981" s="142"/>
      <c r="R981" s="142"/>
      <c r="X981" s="142"/>
      <c r="AD981" s="142"/>
      <c r="AJ981" s="142"/>
      <c r="AP981" s="142"/>
      <c r="AV981" s="142"/>
      <c r="BB981" s="142"/>
      <c r="BH981" s="142"/>
      <c r="BN981" s="142"/>
      <c r="BT981" s="142"/>
      <c r="BZ981" s="142"/>
      <c r="CF981" s="142"/>
      <c r="CL981" s="142"/>
      <c r="CR981" s="142"/>
      <c r="CX981" s="142"/>
      <c r="DD981" s="142"/>
      <c r="DJ981" s="142"/>
      <c r="DP981" s="142"/>
      <c r="DV981" s="142"/>
      <c r="EB981" s="142"/>
    </row>
    <row r="982">
      <c r="F982" s="142"/>
      <c r="L982" s="142"/>
      <c r="R982" s="142"/>
      <c r="X982" s="142"/>
      <c r="AD982" s="142"/>
      <c r="AJ982" s="142"/>
      <c r="AP982" s="142"/>
      <c r="AV982" s="142"/>
      <c r="BB982" s="142"/>
      <c r="BH982" s="142"/>
      <c r="BN982" s="142"/>
      <c r="BT982" s="142"/>
      <c r="BZ982" s="142"/>
      <c r="CF982" s="142"/>
      <c r="CL982" s="142"/>
      <c r="CR982" s="142"/>
      <c r="CX982" s="142"/>
      <c r="DD982" s="142"/>
      <c r="DJ982" s="142"/>
      <c r="DP982" s="142"/>
      <c r="DV982" s="142"/>
      <c r="EB982" s="142"/>
    </row>
    <row r="983">
      <c r="F983" s="142"/>
      <c r="L983" s="142"/>
      <c r="R983" s="142"/>
      <c r="X983" s="142"/>
      <c r="AD983" s="142"/>
      <c r="AJ983" s="142"/>
      <c r="AP983" s="142"/>
      <c r="AV983" s="142"/>
      <c r="BB983" s="142"/>
      <c r="BH983" s="142"/>
      <c r="BN983" s="142"/>
      <c r="BT983" s="142"/>
      <c r="BZ983" s="142"/>
      <c r="CF983" s="142"/>
      <c r="CL983" s="142"/>
      <c r="CR983" s="142"/>
      <c r="CX983" s="142"/>
      <c r="DD983" s="142"/>
      <c r="DJ983" s="142"/>
      <c r="DP983" s="142"/>
      <c r="DV983" s="142"/>
      <c r="EB983" s="142"/>
    </row>
    <row r="984">
      <c r="F984" s="142"/>
      <c r="L984" s="142"/>
      <c r="R984" s="142"/>
      <c r="X984" s="142"/>
      <c r="AD984" s="142"/>
      <c r="AJ984" s="142"/>
      <c r="AP984" s="142"/>
      <c r="AV984" s="142"/>
      <c r="BB984" s="142"/>
      <c r="BH984" s="142"/>
      <c r="BN984" s="142"/>
      <c r="BT984" s="142"/>
      <c r="BZ984" s="142"/>
      <c r="CF984" s="142"/>
      <c r="CL984" s="142"/>
      <c r="CR984" s="142"/>
      <c r="CX984" s="142"/>
      <c r="DD984" s="142"/>
      <c r="DJ984" s="142"/>
      <c r="DP984" s="142"/>
      <c r="DV984" s="142"/>
      <c r="EB984" s="142"/>
    </row>
    <row r="985">
      <c r="F985" s="142"/>
      <c r="L985" s="142"/>
      <c r="R985" s="142"/>
      <c r="X985" s="142"/>
      <c r="AD985" s="142"/>
      <c r="AJ985" s="142"/>
      <c r="AP985" s="142"/>
      <c r="AV985" s="142"/>
      <c r="BB985" s="142"/>
      <c r="BH985" s="142"/>
      <c r="BN985" s="142"/>
      <c r="BT985" s="142"/>
      <c r="BZ985" s="142"/>
      <c r="CF985" s="142"/>
      <c r="CL985" s="142"/>
      <c r="CR985" s="142"/>
      <c r="CX985" s="142"/>
      <c r="DD985" s="142"/>
      <c r="DJ985" s="142"/>
      <c r="DP985" s="142"/>
      <c r="DV985" s="142"/>
      <c r="EB985" s="142"/>
    </row>
    <row r="986">
      <c r="F986" s="142"/>
      <c r="L986" s="142"/>
      <c r="R986" s="142"/>
      <c r="X986" s="142"/>
      <c r="AD986" s="142"/>
      <c r="AJ986" s="142"/>
      <c r="AP986" s="142"/>
      <c r="AV986" s="142"/>
      <c r="BB986" s="142"/>
      <c r="BH986" s="142"/>
      <c r="BN986" s="142"/>
      <c r="BT986" s="142"/>
      <c r="BZ986" s="142"/>
      <c r="CF986" s="142"/>
      <c r="CL986" s="142"/>
      <c r="CR986" s="142"/>
      <c r="CX986" s="142"/>
      <c r="DD986" s="142"/>
      <c r="DJ986" s="142"/>
      <c r="DP986" s="142"/>
      <c r="DV986" s="142"/>
      <c r="EB986" s="142"/>
    </row>
    <row r="987">
      <c r="F987" s="142"/>
      <c r="L987" s="142"/>
      <c r="R987" s="142"/>
      <c r="X987" s="142"/>
      <c r="AD987" s="142"/>
      <c r="AJ987" s="142"/>
      <c r="AP987" s="142"/>
      <c r="AV987" s="142"/>
      <c r="BB987" s="142"/>
      <c r="BH987" s="142"/>
      <c r="BN987" s="142"/>
      <c r="BT987" s="142"/>
      <c r="BZ987" s="142"/>
      <c r="CF987" s="142"/>
      <c r="CL987" s="142"/>
      <c r="CR987" s="142"/>
      <c r="CX987" s="142"/>
      <c r="DD987" s="142"/>
      <c r="DJ987" s="142"/>
      <c r="DP987" s="142"/>
      <c r="DV987" s="142"/>
      <c r="EB987" s="142"/>
    </row>
    <row r="988">
      <c r="F988" s="142"/>
      <c r="L988" s="142"/>
      <c r="R988" s="142"/>
      <c r="X988" s="142"/>
      <c r="AD988" s="142"/>
      <c r="AJ988" s="142"/>
      <c r="AP988" s="142"/>
      <c r="AV988" s="142"/>
      <c r="BB988" s="142"/>
      <c r="BH988" s="142"/>
      <c r="BN988" s="142"/>
      <c r="BT988" s="142"/>
      <c r="BZ988" s="142"/>
      <c r="CF988" s="142"/>
      <c r="CL988" s="142"/>
      <c r="CR988" s="142"/>
      <c r="CX988" s="142"/>
      <c r="DD988" s="142"/>
      <c r="DJ988" s="142"/>
      <c r="DP988" s="142"/>
      <c r="DV988" s="142"/>
      <c r="EB988" s="142"/>
    </row>
    <row r="989">
      <c r="F989" s="142"/>
      <c r="L989" s="142"/>
      <c r="R989" s="142"/>
      <c r="X989" s="142"/>
      <c r="AD989" s="142"/>
      <c r="AJ989" s="142"/>
      <c r="AP989" s="142"/>
      <c r="AV989" s="142"/>
      <c r="BB989" s="142"/>
      <c r="BH989" s="142"/>
      <c r="BN989" s="142"/>
      <c r="BT989" s="142"/>
      <c r="BZ989" s="142"/>
      <c r="CF989" s="142"/>
      <c r="CL989" s="142"/>
      <c r="CR989" s="142"/>
      <c r="CX989" s="142"/>
      <c r="DD989" s="142"/>
      <c r="DJ989" s="142"/>
      <c r="DP989" s="142"/>
      <c r="DV989" s="142"/>
      <c r="EB989" s="142"/>
    </row>
    <row r="990">
      <c r="F990" s="142"/>
      <c r="L990" s="142"/>
      <c r="R990" s="142"/>
      <c r="X990" s="142"/>
      <c r="AD990" s="142"/>
      <c r="AJ990" s="142"/>
      <c r="AP990" s="142"/>
      <c r="AV990" s="142"/>
      <c r="BB990" s="142"/>
      <c r="BH990" s="142"/>
      <c r="BN990" s="142"/>
      <c r="BT990" s="142"/>
      <c r="BZ990" s="142"/>
      <c r="CF990" s="142"/>
      <c r="CL990" s="142"/>
      <c r="CR990" s="142"/>
      <c r="CX990" s="142"/>
      <c r="DD990" s="142"/>
      <c r="DJ990" s="142"/>
      <c r="DP990" s="142"/>
      <c r="DV990" s="142"/>
      <c r="EB990" s="142"/>
    </row>
    <row r="991">
      <c r="F991" s="142"/>
      <c r="L991" s="142"/>
      <c r="R991" s="142"/>
      <c r="X991" s="142"/>
      <c r="AD991" s="142"/>
      <c r="AJ991" s="142"/>
      <c r="AP991" s="142"/>
      <c r="AV991" s="142"/>
      <c r="BB991" s="142"/>
      <c r="BH991" s="142"/>
      <c r="BN991" s="142"/>
      <c r="BT991" s="142"/>
      <c r="BZ991" s="142"/>
      <c r="CF991" s="142"/>
      <c r="CL991" s="142"/>
      <c r="CR991" s="142"/>
      <c r="CX991" s="142"/>
      <c r="DD991" s="142"/>
      <c r="DJ991" s="142"/>
      <c r="DP991" s="142"/>
      <c r="DV991" s="142"/>
      <c r="EB991" s="142"/>
    </row>
    <row r="992">
      <c r="F992" s="142"/>
      <c r="L992" s="142"/>
      <c r="R992" s="142"/>
      <c r="X992" s="142"/>
      <c r="AD992" s="142"/>
      <c r="AJ992" s="142"/>
      <c r="AP992" s="142"/>
      <c r="AV992" s="142"/>
      <c r="BB992" s="142"/>
      <c r="BH992" s="142"/>
      <c r="BN992" s="142"/>
      <c r="BT992" s="142"/>
      <c r="BZ992" s="142"/>
      <c r="CF992" s="142"/>
      <c r="CL992" s="142"/>
      <c r="CR992" s="142"/>
      <c r="CX992" s="142"/>
      <c r="DD992" s="142"/>
      <c r="DJ992" s="142"/>
      <c r="DP992" s="142"/>
      <c r="DV992" s="142"/>
      <c r="EB992" s="142"/>
    </row>
    <row r="993">
      <c r="F993" s="142"/>
      <c r="L993" s="142"/>
      <c r="R993" s="142"/>
      <c r="X993" s="142"/>
      <c r="AD993" s="142"/>
      <c r="AJ993" s="142"/>
      <c r="AP993" s="142"/>
      <c r="AV993" s="142"/>
      <c r="BB993" s="142"/>
      <c r="BH993" s="142"/>
      <c r="BN993" s="142"/>
      <c r="BT993" s="142"/>
      <c r="BZ993" s="142"/>
      <c r="CF993" s="142"/>
      <c r="CL993" s="142"/>
      <c r="CR993" s="142"/>
      <c r="CX993" s="142"/>
      <c r="DD993" s="142"/>
      <c r="DJ993" s="142"/>
      <c r="DP993" s="142"/>
      <c r="DV993" s="142"/>
      <c r="EB993" s="142"/>
    </row>
    <row r="994">
      <c r="F994" s="142"/>
      <c r="L994" s="142"/>
      <c r="R994" s="142"/>
      <c r="X994" s="142"/>
      <c r="AD994" s="142"/>
      <c r="AJ994" s="142"/>
      <c r="AP994" s="142"/>
      <c r="AV994" s="142"/>
      <c r="BB994" s="142"/>
      <c r="BH994" s="142"/>
      <c r="BN994" s="142"/>
      <c r="BT994" s="142"/>
      <c r="BZ994" s="142"/>
      <c r="CF994" s="142"/>
      <c r="CL994" s="142"/>
      <c r="CR994" s="142"/>
      <c r="CX994" s="142"/>
      <c r="DD994" s="142"/>
      <c r="DJ994" s="142"/>
      <c r="DP994" s="142"/>
      <c r="DV994" s="142"/>
      <c r="EB994" s="142"/>
    </row>
    <row r="995">
      <c r="F995" s="142"/>
      <c r="L995" s="142"/>
      <c r="R995" s="142"/>
      <c r="X995" s="142"/>
      <c r="AD995" s="142"/>
      <c r="AJ995" s="142"/>
      <c r="AP995" s="142"/>
      <c r="AV995" s="142"/>
      <c r="BB995" s="142"/>
      <c r="BH995" s="142"/>
      <c r="BN995" s="142"/>
      <c r="BT995" s="142"/>
      <c r="BZ995" s="142"/>
      <c r="CF995" s="142"/>
      <c r="CL995" s="142"/>
      <c r="CR995" s="142"/>
      <c r="CX995" s="142"/>
      <c r="DD995" s="142"/>
      <c r="DJ995" s="142"/>
      <c r="DP995" s="142"/>
      <c r="DV995" s="142"/>
      <c r="EB995" s="142"/>
    </row>
    <row r="996">
      <c r="F996" s="142"/>
      <c r="L996" s="142"/>
      <c r="R996" s="142"/>
      <c r="X996" s="142"/>
      <c r="AD996" s="142"/>
      <c r="AJ996" s="142"/>
      <c r="AP996" s="142"/>
      <c r="AV996" s="142"/>
      <c r="BB996" s="142"/>
      <c r="BH996" s="142"/>
      <c r="BN996" s="142"/>
      <c r="BT996" s="142"/>
      <c r="BZ996" s="142"/>
      <c r="CF996" s="142"/>
      <c r="CL996" s="142"/>
      <c r="CR996" s="142"/>
      <c r="CX996" s="142"/>
      <c r="DD996" s="142"/>
      <c r="DJ996" s="142"/>
      <c r="DP996" s="142"/>
      <c r="DV996" s="142"/>
      <c r="EB996" s="142"/>
    </row>
    <row r="997">
      <c r="F997" s="142"/>
      <c r="L997" s="142"/>
      <c r="R997" s="142"/>
      <c r="X997" s="142"/>
      <c r="AD997" s="142"/>
      <c r="AJ997" s="142"/>
      <c r="AP997" s="142"/>
      <c r="AV997" s="142"/>
      <c r="BB997" s="142"/>
      <c r="BH997" s="142"/>
      <c r="BN997" s="142"/>
      <c r="BT997" s="142"/>
      <c r="BZ997" s="142"/>
      <c r="CF997" s="142"/>
      <c r="CL997" s="142"/>
      <c r="CR997" s="142"/>
      <c r="CX997" s="142"/>
      <c r="DD997" s="142"/>
      <c r="DJ997" s="142"/>
      <c r="DP997" s="142"/>
      <c r="DV997" s="142"/>
      <c r="EB997" s="142"/>
    </row>
    <row r="998">
      <c r="F998" s="142"/>
      <c r="L998" s="142"/>
      <c r="R998" s="142"/>
      <c r="X998" s="142"/>
      <c r="AD998" s="142"/>
      <c r="AJ998" s="142"/>
      <c r="AP998" s="142"/>
      <c r="AV998" s="142"/>
      <c r="BB998" s="142"/>
      <c r="BH998" s="142"/>
      <c r="BN998" s="142"/>
      <c r="BT998" s="142"/>
      <c r="BZ998" s="142"/>
      <c r="CF998" s="142"/>
      <c r="CL998" s="142"/>
      <c r="CR998" s="142"/>
      <c r="CX998" s="142"/>
      <c r="DD998" s="142"/>
      <c r="DJ998" s="142"/>
      <c r="DP998" s="142"/>
      <c r="DV998" s="142"/>
      <c r="EB998" s="142"/>
    </row>
    <row r="999">
      <c r="F999" s="142"/>
      <c r="L999" s="142"/>
      <c r="R999" s="142"/>
      <c r="X999" s="142"/>
      <c r="AD999" s="142"/>
      <c r="AJ999" s="142"/>
      <c r="AP999" s="142"/>
      <c r="AV999" s="142"/>
      <c r="BB999" s="142"/>
      <c r="BH999" s="142"/>
      <c r="BN999" s="142"/>
      <c r="BT999" s="142"/>
      <c r="BZ999" s="142"/>
      <c r="CF999" s="142"/>
      <c r="CL999" s="142"/>
      <c r="CR999" s="142"/>
      <c r="CX999" s="142"/>
      <c r="DD999" s="142"/>
      <c r="DJ999" s="142"/>
      <c r="DP999" s="142"/>
      <c r="DV999" s="142"/>
      <c r="EB999" s="142"/>
    </row>
    <row r="1000">
      <c r="F1000" s="142"/>
      <c r="L1000" s="142"/>
      <c r="R1000" s="142"/>
      <c r="X1000" s="142"/>
      <c r="AD1000" s="142"/>
      <c r="AJ1000" s="142"/>
      <c r="AP1000" s="142"/>
      <c r="AV1000" s="142"/>
      <c r="BB1000" s="142"/>
      <c r="BH1000" s="142"/>
      <c r="BN1000" s="142"/>
      <c r="BT1000" s="142"/>
      <c r="BZ1000" s="142"/>
      <c r="CF1000" s="142"/>
      <c r="CL1000" s="142"/>
      <c r="CR1000" s="142"/>
      <c r="CX1000" s="142"/>
      <c r="DD1000" s="142"/>
      <c r="DJ1000" s="142"/>
      <c r="DP1000" s="142"/>
      <c r="DV1000" s="142"/>
      <c r="EB1000" s="1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</cols>
  <sheetData>
    <row r="1">
      <c r="A1" s="168" t="str">
        <f>IFERROR(__xludf.DUMMYFUNCTION("IMPORTRANGE(""https://docs.google.com/spreadsheets/d/1Gna-QPqm5nMkASafIfGgLUIyj2TONZSOf-NI_7eoyt8/edit?gid=0#gid=0"",""CON/ORG CANNING!A1:CN4"")"),"#REF!")</f>
        <v>#REF!</v>
      </c>
      <c r="B1" s="168"/>
      <c r="C1" s="168"/>
      <c r="D1" s="168"/>
      <c r="E1" s="168"/>
      <c r="F1" s="169"/>
      <c r="G1" s="168"/>
      <c r="H1" s="168"/>
      <c r="I1" s="168"/>
      <c r="J1" s="168"/>
      <c r="K1" s="168"/>
      <c r="L1" s="169"/>
      <c r="M1" s="168"/>
      <c r="N1" s="168"/>
      <c r="O1" s="168"/>
      <c r="P1" s="168"/>
      <c r="Q1" s="168"/>
      <c r="R1" s="169"/>
      <c r="S1" s="168"/>
      <c r="T1" s="168"/>
      <c r="U1" s="168"/>
      <c r="V1" s="168"/>
      <c r="W1" s="168"/>
      <c r="X1" s="169"/>
      <c r="Y1" s="168"/>
      <c r="Z1" s="168"/>
      <c r="AA1" s="168"/>
      <c r="AB1" s="168"/>
      <c r="AC1" s="168"/>
      <c r="AD1" s="169"/>
      <c r="AE1" s="168"/>
      <c r="AF1" s="168"/>
      <c r="AG1" s="168"/>
      <c r="AH1" s="168"/>
      <c r="AI1" s="168"/>
      <c r="AJ1" s="169"/>
      <c r="AK1" s="168"/>
      <c r="AL1" s="168"/>
      <c r="AM1" s="168"/>
      <c r="AN1" s="168"/>
      <c r="AO1" s="168"/>
      <c r="AP1" s="169"/>
      <c r="AQ1" s="168"/>
      <c r="AR1" s="168"/>
      <c r="AS1" s="168"/>
      <c r="AT1" s="168"/>
      <c r="AU1" s="168"/>
      <c r="AV1" s="169"/>
      <c r="AW1" s="168"/>
      <c r="AX1" s="168"/>
      <c r="AY1" s="168"/>
      <c r="AZ1" s="168"/>
      <c r="BA1" s="168"/>
      <c r="BB1" s="169"/>
      <c r="BC1" s="168"/>
      <c r="BD1" s="168"/>
      <c r="BE1" s="168"/>
      <c r="BF1" s="168"/>
      <c r="BG1" s="168"/>
      <c r="BH1" s="169"/>
      <c r="BI1" s="168"/>
      <c r="BJ1" s="168"/>
      <c r="BK1" s="168"/>
      <c r="BL1" s="168"/>
      <c r="BM1" s="168"/>
      <c r="BN1" s="169"/>
      <c r="BO1" s="168"/>
      <c r="BP1" s="168"/>
      <c r="BQ1" s="168"/>
      <c r="BR1" s="168"/>
      <c r="BS1" s="168"/>
      <c r="BT1" s="169"/>
      <c r="BU1" s="168"/>
      <c r="BV1" s="168"/>
      <c r="BW1" s="168"/>
      <c r="BX1" s="168"/>
      <c r="BY1" s="168"/>
      <c r="BZ1" s="169"/>
      <c r="CA1" s="168"/>
      <c r="CB1" s="168"/>
      <c r="CC1" s="168"/>
      <c r="CD1" s="168"/>
      <c r="CE1" s="168"/>
      <c r="CF1" s="169"/>
      <c r="CG1" s="168"/>
      <c r="CH1" s="168"/>
      <c r="CI1" s="168"/>
      <c r="CJ1" s="168"/>
      <c r="CK1" s="168"/>
      <c r="CL1" s="169"/>
      <c r="CM1" s="168"/>
      <c r="CN1" s="168"/>
      <c r="CO1" s="168"/>
      <c r="CP1" s="168"/>
      <c r="CQ1" s="168"/>
      <c r="CR1" s="168"/>
      <c r="CS1" s="168"/>
      <c r="CT1" s="168"/>
      <c r="CU1" s="168"/>
      <c r="CV1" s="168"/>
      <c r="CW1" s="168"/>
      <c r="CX1" s="168"/>
      <c r="CY1" s="168"/>
      <c r="CZ1" s="168"/>
      <c r="DA1" s="168"/>
      <c r="DB1" s="168"/>
      <c r="DC1" s="168"/>
      <c r="DD1" s="168"/>
      <c r="DE1" s="168"/>
      <c r="DF1" s="168"/>
      <c r="DG1" s="168"/>
      <c r="DH1" s="168"/>
      <c r="DI1" s="168"/>
      <c r="DJ1" s="168"/>
      <c r="DK1" s="168"/>
      <c r="DL1" s="168"/>
      <c r="DM1" s="168"/>
      <c r="DN1" s="168"/>
      <c r="DO1" s="168"/>
      <c r="DP1" s="168"/>
      <c r="DQ1" s="168"/>
      <c r="DR1" s="168"/>
      <c r="DS1" s="168"/>
      <c r="DT1" s="168"/>
      <c r="DU1" s="168"/>
      <c r="DV1" s="168"/>
      <c r="DW1" s="168"/>
      <c r="DX1" s="168"/>
      <c r="DY1" s="168"/>
      <c r="DZ1" s="168"/>
      <c r="EA1" s="168"/>
      <c r="EB1" s="168"/>
      <c r="EC1" s="168"/>
      <c r="ED1" s="168"/>
      <c r="EE1" s="168"/>
      <c r="EF1" s="168"/>
      <c r="EG1" s="168"/>
      <c r="EH1" s="168"/>
      <c r="EI1" s="168"/>
      <c r="EJ1" s="168"/>
      <c r="EK1" s="168"/>
      <c r="EL1" s="168"/>
      <c r="EM1" s="168"/>
      <c r="EN1" s="168"/>
    </row>
    <row r="2">
      <c r="A2" s="170"/>
      <c r="B2" s="170"/>
      <c r="C2" s="170"/>
      <c r="D2" s="170"/>
      <c r="E2" s="170"/>
      <c r="F2" s="171"/>
      <c r="G2" s="170"/>
      <c r="H2" s="170"/>
      <c r="I2" s="170"/>
      <c r="J2" s="170"/>
      <c r="K2" s="170"/>
      <c r="L2" s="171"/>
      <c r="M2" s="170"/>
      <c r="N2" s="170"/>
      <c r="O2" s="170"/>
      <c r="P2" s="170"/>
      <c r="Q2" s="170"/>
      <c r="R2" s="171"/>
      <c r="S2" s="170"/>
      <c r="T2" s="170"/>
      <c r="U2" s="170"/>
      <c r="V2" s="170"/>
      <c r="W2" s="170"/>
      <c r="X2" s="171"/>
      <c r="Y2" s="170"/>
      <c r="Z2" s="170"/>
      <c r="AA2" s="170"/>
      <c r="AB2" s="170"/>
      <c r="AC2" s="170"/>
      <c r="AD2" s="171"/>
      <c r="AE2" s="170"/>
      <c r="AF2" s="170"/>
      <c r="AG2" s="170"/>
      <c r="AH2" s="170"/>
      <c r="AI2" s="170"/>
      <c r="AJ2" s="171"/>
      <c r="AK2" s="170"/>
      <c r="AL2" s="170"/>
      <c r="AM2" s="170"/>
      <c r="AN2" s="170"/>
      <c r="AO2" s="170"/>
      <c r="AP2" s="171"/>
      <c r="AQ2" s="170"/>
      <c r="AR2" s="170"/>
      <c r="AS2" s="170"/>
      <c r="AT2" s="170"/>
      <c r="AU2" s="170"/>
      <c r="AV2" s="171"/>
      <c r="AW2" s="170"/>
      <c r="AX2" s="170"/>
      <c r="AY2" s="170"/>
      <c r="AZ2" s="170"/>
      <c r="BA2" s="170"/>
      <c r="BB2" s="171"/>
      <c r="BC2" s="170"/>
      <c r="BD2" s="170"/>
      <c r="BE2" s="170"/>
      <c r="BF2" s="170"/>
      <c r="BG2" s="170"/>
      <c r="BH2" s="171"/>
      <c r="BI2" s="170"/>
      <c r="BJ2" s="170"/>
      <c r="BK2" s="170"/>
      <c r="BL2" s="170"/>
      <c r="BM2" s="170"/>
      <c r="BN2" s="171"/>
      <c r="BO2" s="170"/>
      <c r="BP2" s="170"/>
      <c r="BQ2" s="170"/>
      <c r="BR2" s="170"/>
      <c r="BS2" s="170"/>
      <c r="BT2" s="171"/>
      <c r="BU2" s="170"/>
      <c r="BV2" s="170"/>
      <c r="BW2" s="170"/>
      <c r="BX2" s="170"/>
      <c r="BY2" s="170"/>
      <c r="BZ2" s="171"/>
      <c r="CA2" s="170"/>
      <c r="CB2" s="170"/>
      <c r="CC2" s="170"/>
      <c r="CD2" s="170"/>
      <c r="CE2" s="170"/>
      <c r="CF2" s="171"/>
      <c r="CG2" s="170"/>
      <c r="CH2" s="170"/>
      <c r="CI2" s="170"/>
      <c r="CJ2" s="170"/>
      <c r="CK2" s="170"/>
      <c r="CL2" s="171"/>
      <c r="CM2" s="170"/>
      <c r="CN2" s="170"/>
      <c r="CO2" s="170"/>
      <c r="CP2" s="170"/>
      <c r="CQ2" s="170"/>
      <c r="CR2" s="170"/>
      <c r="CS2" s="170"/>
      <c r="CT2" s="170"/>
      <c r="CU2" s="170"/>
      <c r="CV2" s="170"/>
      <c r="CW2" s="170"/>
      <c r="CX2" s="170"/>
      <c r="CY2" s="170"/>
      <c r="CZ2" s="170"/>
      <c r="DA2" s="170"/>
      <c r="DB2" s="170"/>
      <c r="DC2" s="170"/>
      <c r="DD2" s="170"/>
      <c r="DE2" s="170"/>
      <c r="DF2" s="170"/>
      <c r="DG2" s="170"/>
      <c r="DH2" s="170"/>
      <c r="DI2" s="170"/>
      <c r="DJ2" s="170"/>
      <c r="DK2" s="170"/>
      <c r="DL2" s="170"/>
      <c r="DM2" s="170"/>
      <c r="DN2" s="170"/>
      <c r="DO2" s="170"/>
      <c r="DP2" s="170"/>
      <c r="DQ2" s="170"/>
      <c r="DR2" s="170"/>
      <c r="DS2" s="170"/>
      <c r="DT2" s="170"/>
      <c r="DU2" s="170"/>
      <c r="DV2" s="170"/>
      <c r="DW2" s="170"/>
      <c r="DX2" s="170"/>
      <c r="DY2" s="170"/>
      <c r="DZ2" s="170"/>
      <c r="EA2" s="170"/>
      <c r="EB2" s="170"/>
      <c r="EC2" s="170"/>
      <c r="ED2" s="170"/>
      <c r="EE2" s="170"/>
      <c r="EF2" s="170"/>
      <c r="EG2" s="170"/>
      <c r="EH2" s="170"/>
      <c r="EI2" s="170"/>
      <c r="EJ2" s="170"/>
      <c r="EK2" s="170"/>
      <c r="EL2" s="170"/>
      <c r="EM2" s="170"/>
      <c r="EN2" s="170"/>
    </row>
    <row r="3">
      <c r="A3" s="137"/>
      <c r="B3" s="137"/>
      <c r="C3" s="137"/>
      <c r="D3" s="137"/>
      <c r="E3" s="137"/>
      <c r="F3" s="138"/>
      <c r="G3" s="137"/>
      <c r="H3" s="137"/>
      <c r="I3" s="137"/>
      <c r="J3" s="137"/>
      <c r="K3" s="137"/>
      <c r="L3" s="138"/>
      <c r="M3" s="137"/>
      <c r="N3" s="137"/>
      <c r="O3" s="137"/>
      <c r="P3" s="137"/>
      <c r="Q3" s="137"/>
      <c r="R3" s="138"/>
      <c r="S3" s="137"/>
      <c r="T3" s="137"/>
      <c r="U3" s="137"/>
      <c r="V3" s="137"/>
      <c r="W3" s="137"/>
      <c r="X3" s="138"/>
      <c r="Y3" s="137"/>
      <c r="Z3" s="137"/>
      <c r="AA3" s="137"/>
      <c r="AB3" s="137"/>
      <c r="AC3" s="137"/>
      <c r="AD3" s="138"/>
      <c r="AE3" s="137"/>
      <c r="AF3" s="137"/>
      <c r="AG3" s="137"/>
      <c r="AH3" s="137"/>
      <c r="AI3" s="137"/>
      <c r="AJ3" s="138"/>
      <c r="AK3" s="137"/>
      <c r="AL3" s="137"/>
      <c r="AM3" s="137"/>
      <c r="AN3" s="137"/>
      <c r="AO3" s="137"/>
      <c r="AP3" s="138"/>
      <c r="AQ3" s="137"/>
      <c r="AR3" s="137"/>
      <c r="AS3" s="137"/>
      <c r="AT3" s="137"/>
      <c r="AU3" s="137"/>
      <c r="AV3" s="138"/>
      <c r="AW3" s="137"/>
      <c r="AX3" s="137"/>
      <c r="AY3" s="137"/>
      <c r="AZ3" s="137"/>
      <c r="BA3" s="137"/>
      <c r="BB3" s="138"/>
      <c r="BC3" s="137"/>
      <c r="BD3" s="137"/>
      <c r="BE3" s="137"/>
      <c r="BF3" s="137"/>
      <c r="BG3" s="137"/>
      <c r="BH3" s="138"/>
      <c r="BI3" s="137"/>
      <c r="BJ3" s="137"/>
      <c r="BK3" s="137"/>
      <c r="BL3" s="137"/>
      <c r="BM3" s="137"/>
      <c r="BN3" s="138"/>
      <c r="BO3" s="137"/>
      <c r="BP3" s="137"/>
      <c r="BQ3" s="137"/>
      <c r="BR3" s="137"/>
      <c r="BS3" s="137"/>
      <c r="BT3" s="138"/>
      <c r="BU3" s="137"/>
      <c r="BV3" s="137"/>
      <c r="BW3" s="137"/>
      <c r="BX3" s="137"/>
      <c r="BY3" s="137"/>
      <c r="BZ3" s="138"/>
      <c r="CA3" s="137"/>
      <c r="CB3" s="137"/>
      <c r="CC3" s="137"/>
      <c r="CD3" s="137"/>
      <c r="CE3" s="137"/>
      <c r="CF3" s="138"/>
      <c r="CG3" s="137"/>
      <c r="CH3" s="137"/>
      <c r="CI3" s="137"/>
      <c r="CJ3" s="137"/>
      <c r="CK3" s="137"/>
      <c r="CL3" s="138"/>
      <c r="CM3" s="137"/>
      <c r="CN3" s="137"/>
      <c r="CO3" s="137"/>
      <c r="CP3" s="137"/>
      <c r="CQ3" s="137"/>
      <c r="CR3" s="137"/>
      <c r="CS3" s="137"/>
      <c r="CT3" s="137"/>
      <c r="CU3" s="137"/>
      <c r="CV3" s="137"/>
      <c r="CW3" s="137"/>
      <c r="CX3" s="137"/>
      <c r="CY3" s="137"/>
      <c r="CZ3" s="137"/>
      <c r="DA3" s="137"/>
      <c r="DB3" s="137"/>
      <c r="DC3" s="137"/>
      <c r="DD3" s="137"/>
      <c r="DE3" s="137"/>
      <c r="DF3" s="137"/>
      <c r="DG3" s="137"/>
      <c r="DH3" s="137"/>
      <c r="DI3" s="137"/>
      <c r="DJ3" s="137"/>
      <c r="DK3" s="137"/>
      <c r="DL3" s="137"/>
      <c r="DM3" s="137"/>
      <c r="DN3" s="137"/>
      <c r="DO3" s="137"/>
      <c r="DP3" s="137"/>
      <c r="DQ3" s="137"/>
      <c r="DR3" s="137"/>
      <c r="DS3" s="137"/>
      <c r="DT3" s="137"/>
      <c r="DU3" s="137"/>
      <c r="DV3" s="137"/>
      <c r="DW3" s="137"/>
      <c r="DX3" s="137"/>
      <c r="DY3" s="137"/>
      <c r="DZ3" s="137"/>
      <c r="EA3" s="137"/>
      <c r="EB3" s="137"/>
      <c r="EC3" s="137"/>
      <c r="ED3" s="137"/>
      <c r="EE3" s="137"/>
      <c r="EF3" s="137"/>
      <c r="EG3" s="137"/>
      <c r="EH3" s="137"/>
      <c r="EI3" s="137"/>
      <c r="EJ3" s="137"/>
      <c r="EK3" s="137"/>
      <c r="EL3" s="137"/>
      <c r="EM3" s="137"/>
      <c r="EN3" s="137"/>
    </row>
    <row r="4">
      <c r="A4" s="162"/>
      <c r="B4" s="162"/>
      <c r="C4" s="162"/>
      <c r="D4" s="162"/>
      <c r="E4" s="162"/>
      <c r="F4" s="163"/>
      <c r="G4" s="162"/>
      <c r="H4" s="162"/>
      <c r="I4" s="162"/>
      <c r="J4" s="162"/>
      <c r="K4" s="162"/>
      <c r="L4" s="163"/>
      <c r="M4" s="162"/>
      <c r="N4" s="162"/>
      <c r="O4" s="162"/>
      <c r="P4" s="162"/>
      <c r="Q4" s="162"/>
      <c r="R4" s="163"/>
      <c r="S4" s="162"/>
      <c r="T4" s="162"/>
      <c r="U4" s="162"/>
      <c r="V4" s="162"/>
      <c r="W4" s="162"/>
      <c r="X4" s="163"/>
      <c r="Y4" s="162"/>
      <c r="Z4" s="162"/>
      <c r="AA4" s="162"/>
      <c r="AB4" s="162"/>
      <c r="AC4" s="162"/>
      <c r="AD4" s="163"/>
      <c r="AE4" s="162"/>
      <c r="AF4" s="162"/>
      <c r="AG4" s="162"/>
      <c r="AH4" s="162"/>
      <c r="AI4" s="162"/>
      <c r="AJ4" s="163"/>
      <c r="AK4" s="162"/>
      <c r="AL4" s="162"/>
      <c r="AM4" s="162"/>
      <c r="AN4" s="162"/>
      <c r="AO4" s="162"/>
      <c r="AP4" s="163"/>
      <c r="AQ4" s="162"/>
      <c r="AR4" s="162"/>
      <c r="AS4" s="162"/>
      <c r="AT4" s="162"/>
      <c r="AU4" s="162"/>
      <c r="AV4" s="163"/>
      <c r="AW4" s="162"/>
      <c r="AX4" s="162"/>
      <c r="AY4" s="162"/>
      <c r="AZ4" s="162"/>
      <c r="BA4" s="162"/>
      <c r="BB4" s="163"/>
      <c r="BC4" s="162"/>
      <c r="BD4" s="162"/>
      <c r="BE4" s="162"/>
      <c r="BF4" s="162"/>
      <c r="BG4" s="162"/>
      <c r="BH4" s="163"/>
      <c r="BI4" s="162"/>
      <c r="BJ4" s="162"/>
      <c r="BK4" s="162"/>
      <c r="BL4" s="162"/>
      <c r="BM4" s="162"/>
      <c r="BN4" s="163"/>
      <c r="BO4" s="162"/>
      <c r="BP4" s="162"/>
      <c r="BQ4" s="162"/>
      <c r="BR4" s="162"/>
      <c r="BS4" s="162"/>
      <c r="BT4" s="163"/>
      <c r="BU4" s="162"/>
      <c r="BV4" s="162"/>
      <c r="BW4" s="162"/>
      <c r="BX4" s="162"/>
      <c r="BY4" s="162"/>
      <c r="BZ4" s="163"/>
      <c r="CA4" s="162"/>
      <c r="CB4" s="162"/>
      <c r="CC4" s="162"/>
      <c r="CD4" s="162"/>
      <c r="CE4" s="162"/>
      <c r="CF4" s="163"/>
      <c r="CG4" s="162"/>
      <c r="CH4" s="162"/>
      <c r="CI4" s="162"/>
      <c r="CJ4" s="162"/>
      <c r="CK4" s="162"/>
      <c r="CL4" s="163"/>
      <c r="CM4" s="162"/>
      <c r="CN4" s="162"/>
      <c r="CO4" s="162"/>
      <c r="CP4" s="162"/>
      <c r="CQ4" s="162"/>
      <c r="CR4" s="162"/>
      <c r="CS4" s="162"/>
      <c r="CT4" s="162"/>
      <c r="CU4" s="162"/>
      <c r="CV4" s="162"/>
      <c r="CW4" s="162"/>
      <c r="CX4" s="162"/>
      <c r="CY4" s="162"/>
      <c r="CZ4" s="162"/>
      <c r="DA4" s="162"/>
      <c r="DB4" s="162"/>
      <c r="DC4" s="162"/>
      <c r="DD4" s="162"/>
      <c r="DE4" s="162"/>
      <c r="DF4" s="162"/>
      <c r="DG4" s="162"/>
      <c r="DH4" s="162"/>
      <c r="DI4" s="162"/>
      <c r="DJ4" s="162"/>
      <c r="DK4" s="162"/>
      <c r="DL4" s="162"/>
      <c r="DM4" s="162"/>
      <c r="DN4" s="162"/>
      <c r="DO4" s="162"/>
      <c r="DP4" s="162"/>
      <c r="DQ4" s="162"/>
      <c r="DR4" s="162"/>
      <c r="DS4" s="162"/>
      <c r="DT4" s="162"/>
      <c r="DU4" s="162"/>
      <c r="DV4" s="162"/>
      <c r="DW4" s="162"/>
      <c r="DX4" s="162"/>
      <c r="DY4" s="162"/>
      <c r="DZ4" s="162"/>
      <c r="EA4" s="162"/>
      <c r="EB4" s="162"/>
      <c r="EC4" s="162"/>
      <c r="ED4" s="162"/>
      <c r="EE4" s="162"/>
      <c r="EF4" s="162"/>
      <c r="EG4" s="162"/>
      <c r="EH4" s="162"/>
      <c r="EI4" s="162"/>
      <c r="EJ4" s="162"/>
      <c r="EK4" s="162"/>
      <c r="EL4" s="162"/>
      <c r="EM4" s="162"/>
      <c r="EN4" s="162"/>
    </row>
    <row r="5">
      <c r="F5" s="142"/>
      <c r="L5" s="142"/>
      <c r="R5" s="142"/>
      <c r="X5" s="142"/>
      <c r="AD5" s="142"/>
      <c r="AJ5" s="142"/>
      <c r="AP5" s="142"/>
      <c r="AV5" s="142"/>
      <c r="BB5" s="142"/>
      <c r="BH5" s="142"/>
      <c r="BN5" s="142"/>
      <c r="BT5" s="142"/>
      <c r="BZ5" s="142"/>
      <c r="CF5" s="142"/>
      <c r="CL5" s="142"/>
    </row>
    <row r="6">
      <c r="F6" s="142"/>
      <c r="L6" s="142"/>
      <c r="R6" s="142"/>
      <c r="X6" s="142"/>
      <c r="AD6" s="142"/>
      <c r="AJ6" s="142"/>
      <c r="AP6" s="142"/>
      <c r="AV6" s="142"/>
      <c r="BB6" s="142"/>
      <c r="BH6" s="142"/>
      <c r="BN6" s="142"/>
      <c r="BT6" s="142"/>
      <c r="BZ6" s="142"/>
      <c r="CF6" s="142"/>
      <c r="CL6" s="142"/>
    </row>
    <row r="7">
      <c r="F7" s="142"/>
      <c r="L7" s="142"/>
      <c r="R7" s="142"/>
      <c r="X7" s="142"/>
      <c r="AD7" s="142"/>
      <c r="AJ7" s="142"/>
      <c r="AP7" s="142"/>
      <c r="AV7" s="142"/>
      <c r="BB7" s="142"/>
      <c r="BH7" s="142"/>
      <c r="BN7" s="142"/>
      <c r="BT7" s="142"/>
      <c r="BZ7" s="142"/>
      <c r="CF7" s="142"/>
      <c r="CL7" s="142"/>
    </row>
    <row r="8">
      <c r="A8" s="143" t="str">
        <f>IFERROR(__xludf.DUMMYFUNCTION("IMPORTRANGE(""https://docs.google.com/spreadsheets/d/1Gna-QPqm5nMkASafIfGgLUIyj2TONZSOf-NI_7eoyt8/edit?gid=0#gid=0"",""CON/ORG CANNING!A8:CN45"")"),"#REF!")</f>
        <v>#REF!</v>
      </c>
      <c r="B8" s="143"/>
      <c r="C8" s="143"/>
      <c r="D8" s="143"/>
      <c r="E8" s="143"/>
      <c r="F8" s="144"/>
      <c r="G8" s="143"/>
      <c r="H8" s="143"/>
      <c r="I8" s="143"/>
      <c r="J8" s="143"/>
      <c r="K8" s="143"/>
      <c r="L8" s="144"/>
      <c r="M8" s="143"/>
      <c r="N8" s="143"/>
      <c r="O8" s="143"/>
      <c r="P8" s="143"/>
      <c r="Q8" s="143"/>
      <c r="R8" s="144"/>
      <c r="S8" s="143"/>
      <c r="T8" s="143"/>
      <c r="U8" s="143"/>
      <c r="V8" s="143"/>
      <c r="W8" s="143"/>
      <c r="X8" s="144"/>
      <c r="Y8" s="143"/>
      <c r="Z8" s="143"/>
      <c r="AA8" s="143"/>
      <c r="AB8" s="143"/>
      <c r="AC8" s="143"/>
      <c r="AD8" s="144"/>
      <c r="AE8" s="143"/>
      <c r="AF8" s="143"/>
      <c r="AG8" s="143"/>
      <c r="AH8" s="143"/>
      <c r="AI8" s="143"/>
      <c r="AJ8" s="144"/>
      <c r="AK8" s="143"/>
      <c r="AL8" s="143"/>
      <c r="AM8" s="143"/>
      <c r="AN8" s="143"/>
      <c r="AO8" s="143"/>
      <c r="AP8" s="144"/>
      <c r="AQ8" s="143"/>
      <c r="AR8" s="143"/>
      <c r="AS8" s="143"/>
      <c r="AT8" s="143"/>
      <c r="AU8" s="143"/>
      <c r="AV8" s="144"/>
      <c r="AW8" s="143"/>
      <c r="AX8" s="143"/>
      <c r="AY8" s="143"/>
      <c r="AZ8" s="143"/>
      <c r="BA8" s="143"/>
      <c r="BB8" s="144"/>
      <c r="BC8" s="143"/>
      <c r="BD8" s="143"/>
      <c r="BE8" s="143"/>
      <c r="BF8" s="143"/>
      <c r="BG8" s="143"/>
      <c r="BH8" s="144"/>
      <c r="BI8" s="143"/>
      <c r="BJ8" s="143"/>
      <c r="BK8" s="143"/>
      <c r="BL8" s="143"/>
      <c r="BM8" s="143"/>
      <c r="BN8" s="144"/>
      <c r="BO8" s="143"/>
      <c r="BP8" s="143"/>
      <c r="BQ8" s="143"/>
      <c r="BR8" s="143"/>
      <c r="BS8" s="143"/>
      <c r="BT8" s="144"/>
      <c r="BU8" s="143"/>
      <c r="BV8" s="143"/>
      <c r="BW8" s="143"/>
      <c r="BX8" s="143"/>
      <c r="BY8" s="143"/>
      <c r="BZ8" s="144"/>
      <c r="CA8" s="143"/>
      <c r="CB8" s="143"/>
      <c r="CC8" s="143"/>
      <c r="CD8" s="143"/>
      <c r="CE8" s="143"/>
      <c r="CF8" s="144"/>
      <c r="CG8" s="143"/>
      <c r="CH8" s="143"/>
      <c r="CI8" s="143"/>
      <c r="CJ8" s="143"/>
      <c r="CK8" s="143"/>
      <c r="CL8" s="144"/>
      <c r="CM8" s="143"/>
      <c r="CN8" s="143"/>
      <c r="CO8" s="143"/>
      <c r="CP8" s="143"/>
      <c r="CQ8" s="143"/>
      <c r="CR8" s="143"/>
      <c r="CS8" s="143"/>
      <c r="CT8" s="143"/>
      <c r="CU8" s="143"/>
      <c r="CV8" s="143"/>
      <c r="CW8" s="143"/>
      <c r="CX8" s="143"/>
      <c r="CY8" s="143"/>
      <c r="CZ8" s="143"/>
      <c r="DA8" s="143"/>
      <c r="DB8" s="143"/>
      <c r="DC8" s="143"/>
      <c r="DD8" s="143"/>
      <c r="DE8" s="143"/>
      <c r="DF8" s="143"/>
      <c r="DG8" s="143"/>
      <c r="DH8" s="143"/>
      <c r="DI8" s="143"/>
      <c r="DJ8" s="143"/>
      <c r="DK8" s="143"/>
      <c r="DL8" s="143"/>
      <c r="DM8" s="143"/>
      <c r="DN8" s="143"/>
      <c r="DO8" s="143"/>
      <c r="DP8" s="143"/>
      <c r="DQ8" s="143"/>
      <c r="DR8" s="143"/>
      <c r="DS8" s="143"/>
      <c r="DT8" s="143"/>
      <c r="DU8" s="143"/>
      <c r="DV8" s="143"/>
      <c r="DW8" s="143"/>
      <c r="DX8" s="143"/>
      <c r="DY8" s="143"/>
      <c r="DZ8" s="143"/>
      <c r="EA8" s="143"/>
      <c r="EB8" s="143"/>
      <c r="EC8" s="143"/>
      <c r="ED8" s="143"/>
      <c r="EE8" s="143"/>
      <c r="EF8" s="143"/>
      <c r="EG8" s="143"/>
      <c r="EH8" s="143"/>
      <c r="EI8" s="143"/>
      <c r="EJ8" s="143"/>
      <c r="EK8" s="143"/>
      <c r="EL8" s="143"/>
      <c r="EM8" s="143"/>
      <c r="EN8" s="143"/>
    </row>
    <row r="9">
      <c r="A9" s="145"/>
      <c r="B9" s="145"/>
      <c r="C9" s="145"/>
      <c r="D9" s="145"/>
      <c r="E9" s="145"/>
      <c r="F9" s="146"/>
      <c r="G9" s="145"/>
      <c r="H9" s="145"/>
      <c r="I9" s="145"/>
      <c r="J9" s="145"/>
      <c r="K9" s="145"/>
      <c r="L9" s="146"/>
      <c r="M9" s="145"/>
      <c r="N9" s="145"/>
      <c r="O9" s="145"/>
      <c r="P9" s="145"/>
      <c r="Q9" s="145"/>
      <c r="R9" s="146"/>
      <c r="S9" s="145"/>
      <c r="T9" s="145"/>
      <c r="U9" s="145"/>
      <c r="V9" s="145"/>
      <c r="W9" s="145"/>
      <c r="X9" s="146"/>
      <c r="Y9" s="145"/>
      <c r="Z9" s="145"/>
      <c r="AA9" s="145"/>
      <c r="AB9" s="145"/>
      <c r="AC9" s="145"/>
      <c r="AD9" s="146"/>
      <c r="AE9" s="145"/>
      <c r="AF9" s="145"/>
      <c r="AG9" s="145"/>
      <c r="AH9" s="145"/>
      <c r="AI9" s="145"/>
      <c r="AJ9" s="146"/>
      <c r="AK9" s="145"/>
      <c r="AL9" s="145"/>
      <c r="AM9" s="145"/>
      <c r="AN9" s="145"/>
      <c r="AO9" s="145"/>
      <c r="AP9" s="146"/>
      <c r="AQ9" s="145"/>
      <c r="AR9" s="145"/>
      <c r="AS9" s="145"/>
      <c r="AT9" s="145"/>
      <c r="AU9" s="145"/>
      <c r="AV9" s="146"/>
      <c r="AW9" s="145"/>
      <c r="AX9" s="145"/>
      <c r="AY9" s="145"/>
      <c r="AZ9" s="145"/>
      <c r="BA9" s="145"/>
      <c r="BB9" s="146"/>
      <c r="BC9" s="145"/>
      <c r="BD9" s="145"/>
      <c r="BE9" s="145"/>
      <c r="BF9" s="145"/>
      <c r="BG9" s="145"/>
      <c r="BH9" s="146"/>
      <c r="BI9" s="145"/>
      <c r="BJ9" s="145"/>
      <c r="BK9" s="145"/>
      <c r="BL9" s="145"/>
      <c r="BM9" s="145"/>
      <c r="BN9" s="146"/>
      <c r="BO9" s="145"/>
      <c r="BP9" s="145"/>
      <c r="BQ9" s="145"/>
      <c r="BR9" s="145"/>
      <c r="BS9" s="145"/>
      <c r="BT9" s="146"/>
      <c r="BU9" s="145"/>
      <c r="BV9" s="145"/>
      <c r="BW9" s="145"/>
      <c r="BX9" s="145"/>
      <c r="BY9" s="145"/>
      <c r="BZ9" s="146"/>
      <c r="CA9" s="145"/>
      <c r="CB9" s="145"/>
      <c r="CC9" s="145"/>
      <c r="CD9" s="145"/>
      <c r="CE9" s="145"/>
      <c r="CF9" s="146"/>
      <c r="CG9" s="145"/>
      <c r="CH9" s="145"/>
      <c r="CI9" s="145"/>
      <c r="CJ9" s="145"/>
      <c r="CK9" s="145"/>
      <c r="CL9" s="146"/>
      <c r="CM9" s="145"/>
      <c r="CN9" s="145"/>
      <c r="CO9" s="145"/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5"/>
      <c r="DB9" s="145"/>
      <c r="DC9" s="145"/>
      <c r="DD9" s="145"/>
      <c r="DE9" s="145"/>
      <c r="DF9" s="145"/>
      <c r="DG9" s="145"/>
      <c r="DH9" s="145"/>
      <c r="DI9" s="145"/>
      <c r="DJ9" s="145"/>
      <c r="DK9" s="145"/>
      <c r="DL9" s="145"/>
      <c r="DM9" s="145"/>
      <c r="DN9" s="145"/>
      <c r="DO9" s="145"/>
      <c r="DP9" s="145"/>
      <c r="DQ9" s="145"/>
      <c r="DR9" s="145"/>
      <c r="DS9" s="145"/>
      <c r="DT9" s="145"/>
      <c r="DU9" s="145"/>
      <c r="DV9" s="145"/>
      <c r="DW9" s="145"/>
      <c r="DX9" s="145"/>
      <c r="DY9" s="145"/>
      <c r="DZ9" s="145"/>
      <c r="EA9" s="145"/>
      <c r="EB9" s="145"/>
      <c r="EC9" s="145"/>
      <c r="ED9" s="145"/>
      <c r="EE9" s="145"/>
      <c r="EF9" s="145"/>
      <c r="EG9" s="145"/>
      <c r="EH9" s="145"/>
      <c r="EI9" s="145"/>
      <c r="EJ9" s="145"/>
      <c r="EK9" s="145"/>
      <c r="EL9" s="145"/>
      <c r="EM9" s="145"/>
      <c r="EN9" s="145"/>
    </row>
    <row r="10">
      <c r="A10" s="145"/>
      <c r="B10" s="145"/>
      <c r="C10" s="145"/>
      <c r="D10" s="145"/>
      <c r="E10" s="145"/>
      <c r="F10" s="146"/>
      <c r="G10" s="145"/>
      <c r="H10" s="145"/>
      <c r="I10" s="145"/>
      <c r="J10" s="145"/>
      <c r="K10" s="145"/>
      <c r="L10" s="146"/>
      <c r="M10" s="145"/>
      <c r="N10" s="145"/>
      <c r="O10" s="145"/>
      <c r="P10" s="145"/>
      <c r="Q10" s="145"/>
      <c r="R10" s="146"/>
      <c r="S10" s="145"/>
      <c r="T10" s="145"/>
      <c r="U10" s="145"/>
      <c r="V10" s="145"/>
      <c r="W10" s="145"/>
      <c r="X10" s="146"/>
      <c r="Y10" s="145"/>
      <c r="Z10" s="145"/>
      <c r="AA10" s="145"/>
      <c r="AB10" s="145"/>
      <c r="AC10" s="145"/>
      <c r="AD10" s="146"/>
      <c r="AE10" s="145"/>
      <c r="AF10" s="145"/>
      <c r="AG10" s="145"/>
      <c r="AH10" s="145"/>
      <c r="AI10" s="145"/>
      <c r="AJ10" s="146"/>
      <c r="AK10" s="145"/>
      <c r="AL10" s="145"/>
      <c r="AM10" s="145"/>
      <c r="AN10" s="145"/>
      <c r="AO10" s="145"/>
      <c r="AP10" s="146"/>
      <c r="AQ10" s="145"/>
      <c r="AR10" s="145"/>
      <c r="AS10" s="145"/>
      <c r="AT10" s="145"/>
      <c r="AU10" s="145"/>
      <c r="AV10" s="146"/>
      <c r="AW10" s="145"/>
      <c r="AX10" s="145"/>
      <c r="AY10" s="145"/>
      <c r="AZ10" s="145"/>
      <c r="BA10" s="145"/>
      <c r="BB10" s="146"/>
      <c r="BC10" s="145"/>
      <c r="BD10" s="145"/>
      <c r="BE10" s="145"/>
      <c r="BF10" s="145"/>
      <c r="BG10" s="145"/>
      <c r="BH10" s="146"/>
      <c r="BI10" s="145"/>
      <c r="BJ10" s="145"/>
      <c r="BK10" s="145"/>
      <c r="BL10" s="145"/>
      <c r="BM10" s="145"/>
      <c r="BN10" s="146"/>
      <c r="BO10" s="145"/>
      <c r="BP10" s="145"/>
      <c r="BQ10" s="145"/>
      <c r="BR10" s="145"/>
      <c r="BS10" s="145"/>
      <c r="BT10" s="146"/>
      <c r="BU10" s="145"/>
      <c r="BV10" s="145"/>
      <c r="BW10" s="145"/>
      <c r="BX10" s="145"/>
      <c r="BY10" s="145"/>
      <c r="BZ10" s="146"/>
      <c r="CA10" s="145"/>
      <c r="CB10" s="145"/>
      <c r="CC10" s="145"/>
      <c r="CD10" s="145"/>
      <c r="CE10" s="145"/>
      <c r="CF10" s="146"/>
      <c r="CG10" s="145"/>
      <c r="CH10" s="145"/>
      <c r="CI10" s="145"/>
      <c r="CJ10" s="145"/>
      <c r="CK10" s="145"/>
      <c r="CL10" s="146"/>
      <c r="CM10" s="145"/>
      <c r="CN10" s="145"/>
      <c r="CO10" s="145"/>
      <c r="CP10" s="145"/>
      <c r="CQ10" s="145"/>
      <c r="CR10" s="145"/>
      <c r="CS10" s="145"/>
      <c r="CT10" s="145"/>
      <c r="CU10" s="145"/>
      <c r="CV10" s="145"/>
      <c r="CW10" s="145"/>
      <c r="CX10" s="145"/>
      <c r="CY10" s="145"/>
      <c r="CZ10" s="145"/>
      <c r="DA10" s="145"/>
      <c r="DB10" s="145"/>
      <c r="DC10" s="145"/>
      <c r="DD10" s="145"/>
      <c r="DE10" s="145"/>
      <c r="DF10" s="145"/>
      <c r="DG10" s="145"/>
      <c r="DH10" s="145"/>
      <c r="DI10" s="145"/>
      <c r="DJ10" s="145"/>
      <c r="DK10" s="145"/>
      <c r="DL10" s="145"/>
      <c r="DM10" s="145"/>
      <c r="DN10" s="145"/>
      <c r="DO10" s="145"/>
      <c r="DP10" s="145"/>
      <c r="DQ10" s="145"/>
      <c r="DR10" s="145"/>
      <c r="DS10" s="145"/>
      <c r="DT10" s="145"/>
      <c r="DU10" s="145"/>
      <c r="DV10" s="145"/>
      <c r="DW10" s="145"/>
      <c r="DX10" s="145"/>
      <c r="DY10" s="145"/>
      <c r="DZ10" s="145"/>
      <c r="EA10" s="145"/>
      <c r="EB10" s="145"/>
      <c r="EC10" s="145"/>
      <c r="ED10" s="145"/>
      <c r="EE10" s="145"/>
      <c r="EF10" s="145"/>
      <c r="EG10" s="145"/>
      <c r="EH10" s="145"/>
      <c r="EI10" s="145"/>
      <c r="EJ10" s="145"/>
      <c r="EK10" s="145"/>
      <c r="EL10" s="145"/>
      <c r="EM10" s="145"/>
      <c r="EN10" s="145"/>
    </row>
    <row r="11">
      <c r="A11" s="145"/>
      <c r="B11" s="145"/>
      <c r="C11" s="145"/>
      <c r="D11" s="145"/>
      <c r="E11" s="145"/>
      <c r="F11" s="146"/>
      <c r="G11" s="145"/>
      <c r="H11" s="145"/>
      <c r="I11" s="145"/>
      <c r="J11" s="145"/>
      <c r="K11" s="145"/>
      <c r="L11" s="146"/>
      <c r="M11" s="145"/>
      <c r="N11" s="145"/>
      <c r="O11" s="145"/>
      <c r="P11" s="145"/>
      <c r="Q11" s="145"/>
      <c r="R11" s="146"/>
      <c r="S11" s="145"/>
      <c r="T11" s="145"/>
      <c r="U11" s="145"/>
      <c r="V11" s="145"/>
      <c r="W11" s="145"/>
      <c r="X11" s="146"/>
      <c r="Y11" s="145"/>
      <c r="Z11" s="145"/>
      <c r="AA11" s="145"/>
      <c r="AB11" s="145"/>
      <c r="AC11" s="145"/>
      <c r="AD11" s="146"/>
      <c r="AE11" s="145"/>
      <c r="AF11" s="145"/>
      <c r="AG11" s="145"/>
      <c r="AH11" s="145"/>
      <c r="AI11" s="145"/>
      <c r="AJ11" s="146"/>
      <c r="AK11" s="145"/>
      <c r="AL11" s="145"/>
      <c r="AM11" s="145"/>
      <c r="AN11" s="145"/>
      <c r="AO11" s="145"/>
      <c r="AP11" s="146"/>
      <c r="AQ11" s="145"/>
      <c r="AR11" s="145"/>
      <c r="AS11" s="145"/>
      <c r="AT11" s="145"/>
      <c r="AU11" s="145"/>
      <c r="AV11" s="146"/>
      <c r="AW11" s="145"/>
      <c r="AX11" s="145"/>
      <c r="AY11" s="145"/>
      <c r="AZ11" s="145"/>
      <c r="BA11" s="145"/>
      <c r="BB11" s="146"/>
      <c r="BC11" s="145"/>
      <c r="BD11" s="145"/>
      <c r="BE11" s="145"/>
      <c r="BF11" s="145"/>
      <c r="BG11" s="145"/>
      <c r="BH11" s="146"/>
      <c r="BI11" s="145"/>
      <c r="BJ11" s="145"/>
      <c r="BK11" s="145"/>
      <c r="BL11" s="145"/>
      <c r="BM11" s="145"/>
      <c r="BN11" s="146"/>
      <c r="BO11" s="145"/>
      <c r="BP11" s="145"/>
      <c r="BQ11" s="145"/>
      <c r="BR11" s="145"/>
      <c r="BS11" s="145"/>
      <c r="BT11" s="146"/>
      <c r="BU11" s="145"/>
      <c r="BV11" s="145"/>
      <c r="BW11" s="145"/>
      <c r="BX11" s="145"/>
      <c r="BY11" s="145"/>
      <c r="BZ11" s="146"/>
      <c r="CA11" s="145"/>
      <c r="CB11" s="145"/>
      <c r="CC11" s="145"/>
      <c r="CD11" s="145"/>
      <c r="CE11" s="145"/>
      <c r="CF11" s="146"/>
      <c r="CG11" s="145"/>
      <c r="CH11" s="145"/>
      <c r="CI11" s="145"/>
      <c r="CJ11" s="145"/>
      <c r="CK11" s="145"/>
      <c r="CL11" s="146"/>
      <c r="CM11" s="145"/>
      <c r="CN11" s="145"/>
      <c r="CO11" s="145"/>
      <c r="CP11" s="145"/>
      <c r="CQ11" s="145"/>
      <c r="CR11" s="145"/>
      <c r="CS11" s="145"/>
      <c r="CT11" s="145"/>
      <c r="CU11" s="145"/>
      <c r="CV11" s="145"/>
      <c r="CW11" s="145"/>
      <c r="CX11" s="145"/>
      <c r="CY11" s="145"/>
      <c r="CZ11" s="145"/>
      <c r="DA11" s="145"/>
      <c r="DB11" s="145"/>
      <c r="DC11" s="145"/>
      <c r="DD11" s="145"/>
      <c r="DE11" s="145"/>
      <c r="DF11" s="145"/>
      <c r="DG11" s="145"/>
      <c r="DH11" s="145"/>
      <c r="DI11" s="145"/>
      <c r="DJ11" s="145"/>
      <c r="DK11" s="145"/>
      <c r="DL11" s="145"/>
      <c r="DM11" s="145"/>
      <c r="DN11" s="145"/>
      <c r="DO11" s="145"/>
      <c r="DP11" s="145"/>
      <c r="DQ11" s="145"/>
      <c r="DR11" s="145"/>
      <c r="DS11" s="145"/>
      <c r="DT11" s="145"/>
      <c r="DU11" s="145"/>
      <c r="DV11" s="145"/>
      <c r="DW11" s="145"/>
      <c r="DX11" s="145"/>
      <c r="DY11" s="145"/>
      <c r="DZ11" s="145"/>
      <c r="EA11" s="145"/>
      <c r="EB11" s="145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</row>
    <row r="12">
      <c r="A12" s="172"/>
      <c r="B12" s="172"/>
      <c r="C12" s="172"/>
      <c r="D12" s="172"/>
      <c r="E12" s="172"/>
      <c r="F12" s="173"/>
      <c r="G12" s="172"/>
      <c r="H12" s="172"/>
      <c r="I12" s="172"/>
      <c r="J12" s="172"/>
      <c r="K12" s="172"/>
      <c r="L12" s="173"/>
      <c r="M12" s="172"/>
      <c r="N12" s="172"/>
      <c r="O12" s="172"/>
      <c r="P12" s="172"/>
      <c r="Q12" s="172"/>
      <c r="R12" s="173"/>
      <c r="S12" s="172"/>
      <c r="T12" s="172"/>
      <c r="U12" s="172"/>
      <c r="V12" s="172"/>
      <c r="W12" s="172"/>
      <c r="X12" s="173"/>
      <c r="Y12" s="172"/>
      <c r="Z12" s="172"/>
      <c r="AA12" s="172"/>
      <c r="AB12" s="172"/>
      <c r="AC12" s="172"/>
      <c r="AD12" s="173"/>
      <c r="AE12" s="172"/>
      <c r="AF12" s="172"/>
      <c r="AG12" s="172"/>
      <c r="AH12" s="172"/>
      <c r="AI12" s="172"/>
      <c r="AJ12" s="173"/>
      <c r="AK12" s="172"/>
      <c r="AL12" s="172"/>
      <c r="AM12" s="172"/>
      <c r="AN12" s="172"/>
      <c r="AO12" s="172"/>
      <c r="AP12" s="173"/>
      <c r="AQ12" s="172"/>
      <c r="AR12" s="172"/>
      <c r="AS12" s="172"/>
      <c r="AT12" s="172"/>
      <c r="AU12" s="172"/>
      <c r="AV12" s="173"/>
      <c r="AW12" s="172"/>
      <c r="AX12" s="172"/>
      <c r="AY12" s="172"/>
      <c r="AZ12" s="172"/>
      <c r="BA12" s="172"/>
      <c r="BB12" s="173"/>
      <c r="BC12" s="172"/>
      <c r="BD12" s="172"/>
      <c r="BE12" s="172"/>
      <c r="BF12" s="172"/>
      <c r="BG12" s="172"/>
      <c r="BH12" s="173"/>
      <c r="BI12" s="172"/>
      <c r="BJ12" s="172"/>
      <c r="BK12" s="172"/>
      <c r="BL12" s="172"/>
      <c r="BM12" s="172"/>
      <c r="BN12" s="173"/>
      <c r="BO12" s="172"/>
      <c r="BP12" s="172"/>
      <c r="BQ12" s="172"/>
      <c r="BR12" s="172"/>
      <c r="BS12" s="172"/>
      <c r="BT12" s="173"/>
      <c r="BU12" s="172"/>
      <c r="BV12" s="172"/>
      <c r="BW12" s="172"/>
      <c r="BX12" s="172"/>
      <c r="BY12" s="172"/>
      <c r="BZ12" s="173"/>
      <c r="CA12" s="172"/>
      <c r="CB12" s="172"/>
      <c r="CC12" s="172"/>
      <c r="CD12" s="172"/>
      <c r="CE12" s="172"/>
      <c r="CF12" s="173"/>
      <c r="CG12" s="172"/>
      <c r="CH12" s="172"/>
      <c r="CI12" s="172"/>
      <c r="CJ12" s="172"/>
      <c r="CK12" s="172"/>
      <c r="CL12" s="173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  <c r="CY12" s="172"/>
      <c r="CZ12" s="172"/>
      <c r="DA12" s="172"/>
      <c r="DB12" s="172"/>
      <c r="DC12" s="172"/>
      <c r="DD12" s="172"/>
      <c r="DE12" s="172"/>
      <c r="DF12" s="172"/>
      <c r="DG12" s="172"/>
      <c r="DH12" s="172"/>
      <c r="DI12" s="172"/>
      <c r="DJ12" s="172"/>
      <c r="DK12" s="172"/>
      <c r="DL12" s="172"/>
      <c r="DM12" s="172"/>
      <c r="DN12" s="172"/>
      <c r="DO12" s="172"/>
      <c r="DP12" s="172"/>
      <c r="DQ12" s="172"/>
      <c r="DR12" s="172"/>
      <c r="DS12" s="172"/>
      <c r="DT12" s="172"/>
      <c r="DU12" s="172"/>
      <c r="DV12" s="172"/>
      <c r="DW12" s="172"/>
      <c r="DX12" s="172"/>
      <c r="DY12" s="172"/>
      <c r="DZ12" s="172"/>
      <c r="EA12" s="172"/>
      <c r="EB12" s="172"/>
      <c r="EC12" s="172"/>
      <c r="ED12" s="172"/>
      <c r="EE12" s="172"/>
      <c r="EF12" s="172"/>
      <c r="EG12" s="172"/>
      <c r="EH12" s="172"/>
      <c r="EI12" s="172"/>
      <c r="EJ12" s="172"/>
      <c r="EK12" s="172"/>
      <c r="EL12" s="172"/>
      <c r="EM12" s="172"/>
      <c r="EN12" s="172"/>
    </row>
    <row r="13">
      <c r="A13" s="149"/>
      <c r="B13" s="149"/>
      <c r="C13" s="149"/>
      <c r="D13" s="149"/>
      <c r="E13" s="149"/>
      <c r="F13" s="150"/>
      <c r="G13" s="149"/>
      <c r="H13" s="149"/>
      <c r="I13" s="149"/>
      <c r="J13" s="149"/>
      <c r="K13" s="149"/>
      <c r="L13" s="150"/>
      <c r="M13" s="149"/>
      <c r="N13" s="149"/>
      <c r="O13" s="149"/>
      <c r="P13" s="149"/>
      <c r="Q13" s="149"/>
      <c r="R13" s="150"/>
      <c r="S13" s="149"/>
      <c r="T13" s="149"/>
      <c r="U13" s="149"/>
      <c r="V13" s="149"/>
      <c r="W13" s="149"/>
      <c r="X13" s="150"/>
      <c r="Y13" s="149"/>
      <c r="Z13" s="149"/>
      <c r="AA13" s="149"/>
      <c r="AB13" s="149"/>
      <c r="AC13" s="149"/>
      <c r="AD13" s="150"/>
      <c r="AE13" s="149"/>
      <c r="AF13" s="149"/>
      <c r="AG13" s="149"/>
      <c r="AH13" s="149"/>
      <c r="AI13" s="149"/>
      <c r="AJ13" s="150"/>
      <c r="AK13" s="149"/>
      <c r="AL13" s="149"/>
      <c r="AM13" s="149"/>
      <c r="AN13" s="149"/>
      <c r="AO13" s="149"/>
      <c r="AP13" s="150"/>
      <c r="AQ13" s="149"/>
      <c r="AR13" s="149"/>
      <c r="AS13" s="149"/>
      <c r="AT13" s="149"/>
      <c r="AU13" s="149"/>
      <c r="AV13" s="150"/>
      <c r="AW13" s="149"/>
      <c r="AX13" s="149"/>
      <c r="AY13" s="149"/>
      <c r="AZ13" s="149"/>
      <c r="BA13" s="149"/>
      <c r="BB13" s="150"/>
      <c r="BC13" s="149"/>
      <c r="BD13" s="149"/>
      <c r="BE13" s="149"/>
      <c r="BF13" s="149"/>
      <c r="BG13" s="149"/>
      <c r="BH13" s="150"/>
      <c r="BI13" s="149"/>
      <c r="BJ13" s="149"/>
      <c r="BK13" s="149"/>
      <c r="BL13" s="149"/>
      <c r="BM13" s="149"/>
      <c r="BN13" s="150"/>
      <c r="BO13" s="149"/>
      <c r="BP13" s="149"/>
      <c r="BQ13" s="149"/>
      <c r="BR13" s="149"/>
      <c r="BS13" s="149"/>
      <c r="BT13" s="150"/>
      <c r="BU13" s="149"/>
      <c r="BV13" s="149"/>
      <c r="BW13" s="149"/>
      <c r="BX13" s="149"/>
      <c r="BY13" s="149"/>
      <c r="BZ13" s="150"/>
      <c r="CA13" s="149"/>
      <c r="CB13" s="149"/>
      <c r="CC13" s="149"/>
      <c r="CD13" s="149"/>
      <c r="CE13" s="149"/>
      <c r="CF13" s="150"/>
      <c r="CG13" s="149"/>
      <c r="CH13" s="149"/>
      <c r="CI13" s="149"/>
      <c r="CJ13" s="149"/>
      <c r="CK13" s="149"/>
      <c r="CL13" s="150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49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</row>
    <row r="14">
      <c r="A14" s="149"/>
      <c r="B14" s="149"/>
      <c r="C14" s="149"/>
      <c r="D14" s="149"/>
      <c r="E14" s="149"/>
      <c r="F14" s="150"/>
      <c r="G14" s="149"/>
      <c r="H14" s="149"/>
      <c r="I14" s="149"/>
      <c r="J14" s="149"/>
      <c r="K14" s="149"/>
      <c r="L14" s="150"/>
      <c r="M14" s="149"/>
      <c r="N14" s="149"/>
      <c r="O14" s="149"/>
      <c r="P14" s="149"/>
      <c r="Q14" s="149"/>
      <c r="R14" s="150"/>
      <c r="S14" s="149"/>
      <c r="T14" s="149"/>
      <c r="U14" s="149"/>
      <c r="V14" s="149"/>
      <c r="W14" s="149"/>
      <c r="X14" s="150"/>
      <c r="Y14" s="149"/>
      <c r="Z14" s="149"/>
      <c r="AA14" s="149"/>
      <c r="AB14" s="149"/>
      <c r="AC14" s="149"/>
      <c r="AD14" s="150"/>
      <c r="AE14" s="149"/>
      <c r="AF14" s="149"/>
      <c r="AG14" s="149"/>
      <c r="AH14" s="149"/>
      <c r="AI14" s="149"/>
      <c r="AJ14" s="150"/>
      <c r="AK14" s="149"/>
      <c r="AL14" s="149"/>
      <c r="AM14" s="149"/>
      <c r="AN14" s="149"/>
      <c r="AO14" s="149"/>
      <c r="AP14" s="150"/>
      <c r="AQ14" s="149"/>
      <c r="AR14" s="149"/>
      <c r="AS14" s="149"/>
      <c r="AT14" s="149"/>
      <c r="AU14" s="149"/>
      <c r="AV14" s="150"/>
      <c r="AW14" s="149"/>
      <c r="AX14" s="149"/>
      <c r="AY14" s="149"/>
      <c r="AZ14" s="149"/>
      <c r="BA14" s="149"/>
      <c r="BB14" s="150"/>
      <c r="BC14" s="149"/>
      <c r="BD14" s="149"/>
      <c r="BE14" s="149"/>
      <c r="BF14" s="149"/>
      <c r="BG14" s="149"/>
      <c r="BH14" s="150"/>
      <c r="BI14" s="149"/>
      <c r="BJ14" s="149"/>
      <c r="BK14" s="149"/>
      <c r="BL14" s="149"/>
      <c r="BM14" s="149"/>
      <c r="BN14" s="150"/>
      <c r="BO14" s="149"/>
      <c r="BP14" s="149"/>
      <c r="BQ14" s="149"/>
      <c r="BR14" s="149"/>
      <c r="BS14" s="149"/>
      <c r="BT14" s="150"/>
      <c r="BU14" s="149"/>
      <c r="BV14" s="149"/>
      <c r="BW14" s="149"/>
      <c r="BX14" s="149"/>
      <c r="BY14" s="149"/>
      <c r="BZ14" s="150"/>
      <c r="CA14" s="149"/>
      <c r="CB14" s="149"/>
      <c r="CC14" s="149"/>
      <c r="CD14" s="149"/>
      <c r="CE14" s="149"/>
      <c r="CF14" s="150"/>
      <c r="CG14" s="149"/>
      <c r="CH14" s="149"/>
      <c r="CI14" s="149"/>
      <c r="CJ14" s="149"/>
      <c r="CK14" s="149"/>
      <c r="CL14" s="150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</row>
    <row r="15">
      <c r="A15" s="149"/>
      <c r="B15" s="149"/>
      <c r="C15" s="149"/>
      <c r="D15" s="149"/>
      <c r="E15" s="149"/>
      <c r="F15" s="150"/>
      <c r="G15" s="149"/>
      <c r="H15" s="149"/>
      <c r="I15" s="149"/>
      <c r="J15" s="149"/>
      <c r="K15" s="149"/>
      <c r="L15" s="150"/>
      <c r="M15" s="149"/>
      <c r="N15" s="149"/>
      <c r="O15" s="149"/>
      <c r="P15" s="149"/>
      <c r="Q15" s="149"/>
      <c r="R15" s="150"/>
      <c r="S15" s="149"/>
      <c r="T15" s="149"/>
      <c r="U15" s="149"/>
      <c r="V15" s="149"/>
      <c r="W15" s="149"/>
      <c r="X15" s="150"/>
      <c r="Y15" s="149"/>
      <c r="Z15" s="149"/>
      <c r="AA15" s="149"/>
      <c r="AB15" s="149"/>
      <c r="AC15" s="149"/>
      <c r="AD15" s="150"/>
      <c r="AE15" s="149"/>
      <c r="AF15" s="149"/>
      <c r="AG15" s="149"/>
      <c r="AH15" s="149"/>
      <c r="AI15" s="149"/>
      <c r="AJ15" s="150"/>
      <c r="AK15" s="149"/>
      <c r="AL15" s="149"/>
      <c r="AM15" s="149"/>
      <c r="AN15" s="149"/>
      <c r="AO15" s="149"/>
      <c r="AP15" s="150"/>
      <c r="AQ15" s="149"/>
      <c r="AR15" s="149"/>
      <c r="AS15" s="149"/>
      <c r="AT15" s="149"/>
      <c r="AU15" s="149"/>
      <c r="AV15" s="150"/>
      <c r="AW15" s="149"/>
      <c r="AX15" s="149"/>
      <c r="AY15" s="149"/>
      <c r="AZ15" s="149"/>
      <c r="BA15" s="149"/>
      <c r="BB15" s="150"/>
      <c r="BC15" s="149"/>
      <c r="BD15" s="149"/>
      <c r="BE15" s="149"/>
      <c r="BF15" s="149"/>
      <c r="BG15" s="149"/>
      <c r="BH15" s="150"/>
      <c r="BI15" s="149"/>
      <c r="BJ15" s="149"/>
      <c r="BK15" s="149"/>
      <c r="BL15" s="149"/>
      <c r="BM15" s="149"/>
      <c r="BN15" s="150"/>
      <c r="BO15" s="149"/>
      <c r="BP15" s="149"/>
      <c r="BQ15" s="149"/>
      <c r="BR15" s="149"/>
      <c r="BS15" s="149"/>
      <c r="BT15" s="150"/>
      <c r="BU15" s="149"/>
      <c r="BV15" s="149"/>
      <c r="BW15" s="149"/>
      <c r="BX15" s="149"/>
      <c r="BY15" s="149"/>
      <c r="BZ15" s="150"/>
      <c r="CA15" s="149"/>
      <c r="CB15" s="149"/>
      <c r="CC15" s="149"/>
      <c r="CD15" s="149"/>
      <c r="CE15" s="149"/>
      <c r="CF15" s="150"/>
      <c r="CG15" s="149"/>
      <c r="CH15" s="149"/>
      <c r="CI15" s="149"/>
      <c r="CJ15" s="149"/>
      <c r="CK15" s="149"/>
      <c r="CL15" s="150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49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</row>
    <row r="16">
      <c r="A16" s="149"/>
      <c r="B16" s="149"/>
      <c r="C16" s="149"/>
      <c r="D16" s="149"/>
      <c r="E16" s="149"/>
      <c r="F16" s="150"/>
      <c r="G16" s="149"/>
      <c r="H16" s="149"/>
      <c r="I16" s="149"/>
      <c r="J16" s="149"/>
      <c r="K16" s="149"/>
      <c r="L16" s="150"/>
      <c r="M16" s="149"/>
      <c r="N16" s="149"/>
      <c r="O16" s="149"/>
      <c r="P16" s="149"/>
      <c r="Q16" s="149"/>
      <c r="R16" s="150"/>
      <c r="S16" s="149"/>
      <c r="T16" s="149"/>
      <c r="U16" s="149"/>
      <c r="V16" s="149"/>
      <c r="W16" s="149"/>
      <c r="X16" s="150"/>
      <c r="Y16" s="149"/>
      <c r="Z16" s="149"/>
      <c r="AA16" s="149"/>
      <c r="AB16" s="149"/>
      <c r="AC16" s="149"/>
      <c r="AD16" s="150"/>
      <c r="AE16" s="149"/>
      <c r="AF16" s="149"/>
      <c r="AG16" s="149"/>
      <c r="AH16" s="149"/>
      <c r="AI16" s="149"/>
      <c r="AJ16" s="150"/>
      <c r="AK16" s="149"/>
      <c r="AL16" s="149"/>
      <c r="AM16" s="149"/>
      <c r="AN16" s="149"/>
      <c r="AO16" s="149"/>
      <c r="AP16" s="150"/>
      <c r="AQ16" s="149"/>
      <c r="AR16" s="149"/>
      <c r="AS16" s="149"/>
      <c r="AT16" s="149"/>
      <c r="AU16" s="149"/>
      <c r="AV16" s="150"/>
      <c r="AW16" s="149"/>
      <c r="AX16" s="149"/>
      <c r="AY16" s="149"/>
      <c r="AZ16" s="149"/>
      <c r="BA16" s="149"/>
      <c r="BB16" s="150"/>
      <c r="BC16" s="149"/>
      <c r="BD16" s="149"/>
      <c r="BE16" s="149"/>
      <c r="BF16" s="149"/>
      <c r="BG16" s="149"/>
      <c r="BH16" s="150"/>
      <c r="BI16" s="149"/>
      <c r="BJ16" s="149"/>
      <c r="BK16" s="149"/>
      <c r="BL16" s="149"/>
      <c r="BM16" s="149"/>
      <c r="BN16" s="150"/>
      <c r="BO16" s="149"/>
      <c r="BP16" s="149"/>
      <c r="BQ16" s="149"/>
      <c r="BR16" s="149"/>
      <c r="BS16" s="149"/>
      <c r="BT16" s="150"/>
      <c r="BU16" s="149"/>
      <c r="BV16" s="149"/>
      <c r="BW16" s="149"/>
      <c r="BX16" s="149"/>
      <c r="BY16" s="149"/>
      <c r="BZ16" s="150"/>
      <c r="CA16" s="149"/>
      <c r="CB16" s="149"/>
      <c r="CC16" s="149"/>
      <c r="CD16" s="149"/>
      <c r="CE16" s="149"/>
      <c r="CF16" s="150"/>
      <c r="CG16" s="149"/>
      <c r="CH16" s="149"/>
      <c r="CI16" s="149"/>
      <c r="CJ16" s="149"/>
      <c r="CK16" s="149"/>
      <c r="CL16" s="150"/>
      <c r="CM16" s="149"/>
      <c r="CN16" s="149"/>
      <c r="CO16" s="149"/>
      <c r="CP16" s="149"/>
      <c r="CQ16" s="149"/>
      <c r="CR16" s="149"/>
      <c r="CS16" s="149"/>
      <c r="CT16" s="149"/>
      <c r="CU16" s="149"/>
      <c r="CV16" s="149"/>
      <c r="CW16" s="149"/>
      <c r="CX16" s="149"/>
      <c r="CY16" s="149"/>
      <c r="CZ16" s="149"/>
      <c r="DA16" s="149"/>
      <c r="DB16" s="149"/>
      <c r="DC16" s="149"/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</row>
    <row r="17">
      <c r="A17" s="149"/>
      <c r="B17" s="149"/>
      <c r="C17" s="149"/>
      <c r="D17" s="149"/>
      <c r="E17" s="149"/>
      <c r="F17" s="150"/>
      <c r="G17" s="149"/>
      <c r="H17" s="149"/>
      <c r="I17" s="149"/>
      <c r="J17" s="149"/>
      <c r="K17" s="149"/>
      <c r="L17" s="150"/>
      <c r="M17" s="149"/>
      <c r="N17" s="149"/>
      <c r="O17" s="149"/>
      <c r="P17" s="149"/>
      <c r="Q17" s="149"/>
      <c r="R17" s="150"/>
      <c r="S17" s="149"/>
      <c r="T17" s="149"/>
      <c r="U17" s="149"/>
      <c r="V17" s="149"/>
      <c r="W17" s="149"/>
      <c r="X17" s="150"/>
      <c r="Y17" s="149"/>
      <c r="Z17" s="149"/>
      <c r="AA17" s="149"/>
      <c r="AB17" s="149"/>
      <c r="AC17" s="149"/>
      <c r="AD17" s="150"/>
      <c r="AE17" s="149"/>
      <c r="AF17" s="149"/>
      <c r="AG17" s="149"/>
      <c r="AH17" s="149"/>
      <c r="AI17" s="149"/>
      <c r="AJ17" s="150"/>
      <c r="AK17" s="149"/>
      <c r="AL17" s="149"/>
      <c r="AM17" s="149"/>
      <c r="AN17" s="149"/>
      <c r="AO17" s="149"/>
      <c r="AP17" s="150"/>
      <c r="AQ17" s="149"/>
      <c r="AR17" s="149"/>
      <c r="AS17" s="149"/>
      <c r="AT17" s="149"/>
      <c r="AU17" s="149"/>
      <c r="AV17" s="150"/>
      <c r="AW17" s="149"/>
      <c r="AX17" s="149"/>
      <c r="AY17" s="149"/>
      <c r="AZ17" s="149"/>
      <c r="BA17" s="149"/>
      <c r="BB17" s="150"/>
      <c r="BC17" s="149"/>
      <c r="BD17" s="149"/>
      <c r="BE17" s="149"/>
      <c r="BF17" s="149"/>
      <c r="BG17" s="149"/>
      <c r="BH17" s="150"/>
      <c r="BI17" s="149"/>
      <c r="BJ17" s="149"/>
      <c r="BK17" s="149"/>
      <c r="BL17" s="149"/>
      <c r="BM17" s="149"/>
      <c r="BN17" s="150"/>
      <c r="BO17" s="149"/>
      <c r="BP17" s="149"/>
      <c r="BQ17" s="149"/>
      <c r="BR17" s="149"/>
      <c r="BS17" s="149"/>
      <c r="BT17" s="150"/>
      <c r="BU17" s="149"/>
      <c r="BV17" s="149"/>
      <c r="BW17" s="149"/>
      <c r="BX17" s="149"/>
      <c r="BY17" s="149"/>
      <c r="BZ17" s="150"/>
      <c r="CA17" s="149"/>
      <c r="CB17" s="149"/>
      <c r="CC17" s="149"/>
      <c r="CD17" s="149"/>
      <c r="CE17" s="149"/>
      <c r="CF17" s="150"/>
      <c r="CG17" s="149"/>
      <c r="CH17" s="149"/>
      <c r="CI17" s="149"/>
      <c r="CJ17" s="149"/>
      <c r="CK17" s="149"/>
      <c r="CL17" s="150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  <c r="CZ17" s="149"/>
      <c r="DA17" s="149"/>
      <c r="DB17" s="149"/>
      <c r="DC17" s="149"/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</row>
    <row r="18">
      <c r="A18" s="149"/>
      <c r="B18" s="149"/>
      <c r="C18" s="149"/>
      <c r="D18" s="149"/>
      <c r="E18" s="149"/>
      <c r="F18" s="150"/>
      <c r="G18" s="149"/>
      <c r="H18" s="149"/>
      <c r="I18" s="149"/>
      <c r="J18" s="149"/>
      <c r="K18" s="149"/>
      <c r="L18" s="150"/>
      <c r="M18" s="149"/>
      <c r="N18" s="149"/>
      <c r="O18" s="149"/>
      <c r="P18" s="149"/>
      <c r="Q18" s="149"/>
      <c r="R18" s="150"/>
      <c r="S18" s="149"/>
      <c r="T18" s="149"/>
      <c r="U18" s="149"/>
      <c r="V18" s="149"/>
      <c r="W18" s="149"/>
      <c r="X18" s="150"/>
      <c r="Y18" s="149"/>
      <c r="Z18" s="149"/>
      <c r="AA18" s="149"/>
      <c r="AB18" s="149"/>
      <c r="AC18" s="149"/>
      <c r="AD18" s="150"/>
      <c r="AE18" s="149"/>
      <c r="AF18" s="149"/>
      <c r="AG18" s="149"/>
      <c r="AH18" s="149"/>
      <c r="AI18" s="149"/>
      <c r="AJ18" s="150"/>
      <c r="AK18" s="149"/>
      <c r="AL18" s="149"/>
      <c r="AM18" s="149"/>
      <c r="AN18" s="149"/>
      <c r="AO18" s="149"/>
      <c r="AP18" s="150"/>
      <c r="AQ18" s="149"/>
      <c r="AR18" s="149"/>
      <c r="AS18" s="149"/>
      <c r="AT18" s="149"/>
      <c r="AU18" s="149"/>
      <c r="AV18" s="150"/>
      <c r="AW18" s="149"/>
      <c r="AX18" s="149"/>
      <c r="AY18" s="149"/>
      <c r="AZ18" s="149"/>
      <c r="BA18" s="149"/>
      <c r="BB18" s="150"/>
      <c r="BC18" s="149"/>
      <c r="BD18" s="149"/>
      <c r="BE18" s="149"/>
      <c r="BF18" s="149"/>
      <c r="BG18" s="149"/>
      <c r="BH18" s="150"/>
      <c r="BI18" s="149"/>
      <c r="BJ18" s="149"/>
      <c r="BK18" s="149"/>
      <c r="BL18" s="149"/>
      <c r="BM18" s="149"/>
      <c r="BN18" s="150"/>
      <c r="BO18" s="149"/>
      <c r="BP18" s="149"/>
      <c r="BQ18" s="149"/>
      <c r="BR18" s="149"/>
      <c r="BS18" s="149"/>
      <c r="BT18" s="150"/>
      <c r="BU18" s="149"/>
      <c r="BV18" s="149"/>
      <c r="BW18" s="149"/>
      <c r="BX18" s="149"/>
      <c r="BY18" s="149"/>
      <c r="BZ18" s="150"/>
      <c r="CA18" s="149"/>
      <c r="CB18" s="149"/>
      <c r="CC18" s="149"/>
      <c r="CD18" s="149"/>
      <c r="CE18" s="149"/>
      <c r="CF18" s="150"/>
      <c r="CG18" s="149"/>
      <c r="CH18" s="149"/>
      <c r="CI18" s="149"/>
      <c r="CJ18" s="149"/>
      <c r="CK18" s="149"/>
      <c r="CL18" s="150"/>
      <c r="CM18" s="149"/>
      <c r="CN18" s="149"/>
      <c r="CO18" s="149"/>
      <c r="CP18" s="149"/>
      <c r="CQ18" s="149"/>
      <c r="CR18" s="149"/>
      <c r="CS18" s="149"/>
      <c r="CT18" s="149"/>
      <c r="CU18" s="149"/>
      <c r="CV18" s="149"/>
      <c r="CW18" s="149"/>
      <c r="CX18" s="149"/>
      <c r="CY18" s="149"/>
      <c r="CZ18" s="149"/>
      <c r="DA18" s="149"/>
      <c r="DB18" s="149"/>
      <c r="DC18" s="149"/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</row>
    <row r="19">
      <c r="A19" s="149"/>
      <c r="B19" s="149"/>
      <c r="C19" s="149"/>
      <c r="D19" s="149"/>
      <c r="E19" s="149"/>
      <c r="F19" s="150"/>
      <c r="G19" s="149"/>
      <c r="H19" s="149"/>
      <c r="I19" s="149"/>
      <c r="J19" s="149"/>
      <c r="K19" s="149"/>
      <c r="L19" s="150"/>
      <c r="M19" s="149"/>
      <c r="N19" s="149"/>
      <c r="O19" s="149"/>
      <c r="P19" s="149"/>
      <c r="Q19" s="149"/>
      <c r="R19" s="150"/>
      <c r="S19" s="149"/>
      <c r="T19" s="149"/>
      <c r="U19" s="149"/>
      <c r="V19" s="149"/>
      <c r="W19" s="149"/>
      <c r="X19" s="150"/>
      <c r="Y19" s="149"/>
      <c r="Z19" s="149"/>
      <c r="AA19" s="149"/>
      <c r="AB19" s="149"/>
      <c r="AC19" s="149"/>
      <c r="AD19" s="150"/>
      <c r="AE19" s="149"/>
      <c r="AF19" s="149"/>
      <c r="AG19" s="149"/>
      <c r="AH19" s="149"/>
      <c r="AI19" s="149"/>
      <c r="AJ19" s="150"/>
      <c r="AK19" s="149"/>
      <c r="AL19" s="149"/>
      <c r="AM19" s="149"/>
      <c r="AN19" s="149"/>
      <c r="AO19" s="149"/>
      <c r="AP19" s="150"/>
      <c r="AQ19" s="149"/>
      <c r="AR19" s="149"/>
      <c r="AS19" s="149"/>
      <c r="AT19" s="149"/>
      <c r="AU19" s="149"/>
      <c r="AV19" s="150"/>
      <c r="AW19" s="149"/>
      <c r="AX19" s="149"/>
      <c r="AY19" s="149"/>
      <c r="AZ19" s="149"/>
      <c r="BA19" s="149"/>
      <c r="BB19" s="150"/>
      <c r="BC19" s="149"/>
      <c r="BD19" s="149"/>
      <c r="BE19" s="149"/>
      <c r="BF19" s="149"/>
      <c r="BG19" s="149"/>
      <c r="BH19" s="150"/>
      <c r="BI19" s="149"/>
      <c r="BJ19" s="149"/>
      <c r="BK19" s="149"/>
      <c r="BL19" s="149"/>
      <c r="BM19" s="149"/>
      <c r="BN19" s="150"/>
      <c r="BO19" s="149"/>
      <c r="BP19" s="149"/>
      <c r="BQ19" s="149"/>
      <c r="BR19" s="149"/>
      <c r="BS19" s="149"/>
      <c r="BT19" s="150"/>
      <c r="BU19" s="149"/>
      <c r="BV19" s="149"/>
      <c r="BW19" s="149"/>
      <c r="BX19" s="149"/>
      <c r="BY19" s="149"/>
      <c r="BZ19" s="150"/>
      <c r="CA19" s="149"/>
      <c r="CB19" s="149"/>
      <c r="CC19" s="149"/>
      <c r="CD19" s="149"/>
      <c r="CE19" s="149"/>
      <c r="CF19" s="150"/>
      <c r="CG19" s="149"/>
      <c r="CH19" s="149"/>
      <c r="CI19" s="149"/>
      <c r="CJ19" s="149"/>
      <c r="CK19" s="149"/>
      <c r="CL19" s="150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</row>
    <row r="20">
      <c r="A20" s="149"/>
      <c r="B20" s="149"/>
      <c r="C20" s="149"/>
      <c r="D20" s="149"/>
      <c r="E20" s="149"/>
      <c r="F20" s="150"/>
      <c r="G20" s="149"/>
      <c r="H20" s="149"/>
      <c r="I20" s="149"/>
      <c r="J20" s="149"/>
      <c r="K20" s="149"/>
      <c r="L20" s="150"/>
      <c r="M20" s="149"/>
      <c r="N20" s="149"/>
      <c r="O20" s="149"/>
      <c r="P20" s="149"/>
      <c r="Q20" s="149"/>
      <c r="R20" s="150"/>
      <c r="S20" s="149"/>
      <c r="T20" s="149"/>
      <c r="U20" s="149"/>
      <c r="V20" s="149"/>
      <c r="W20" s="149"/>
      <c r="X20" s="150"/>
      <c r="Y20" s="149"/>
      <c r="Z20" s="149"/>
      <c r="AA20" s="149"/>
      <c r="AB20" s="149"/>
      <c r="AC20" s="149"/>
      <c r="AD20" s="150"/>
      <c r="AE20" s="149"/>
      <c r="AF20" s="149"/>
      <c r="AG20" s="149"/>
      <c r="AH20" s="149"/>
      <c r="AI20" s="149"/>
      <c r="AJ20" s="150"/>
      <c r="AK20" s="149"/>
      <c r="AL20" s="149"/>
      <c r="AM20" s="149"/>
      <c r="AN20" s="149"/>
      <c r="AO20" s="149"/>
      <c r="AP20" s="150"/>
      <c r="AQ20" s="149"/>
      <c r="AR20" s="149"/>
      <c r="AS20" s="149"/>
      <c r="AT20" s="149"/>
      <c r="AU20" s="149"/>
      <c r="AV20" s="150"/>
      <c r="AW20" s="149"/>
      <c r="AX20" s="149"/>
      <c r="AY20" s="149"/>
      <c r="AZ20" s="149"/>
      <c r="BA20" s="149"/>
      <c r="BB20" s="150"/>
      <c r="BC20" s="149"/>
      <c r="BD20" s="149"/>
      <c r="BE20" s="149"/>
      <c r="BF20" s="149"/>
      <c r="BG20" s="149"/>
      <c r="BH20" s="150"/>
      <c r="BI20" s="149"/>
      <c r="BJ20" s="149"/>
      <c r="BK20" s="149"/>
      <c r="BL20" s="149"/>
      <c r="BM20" s="149"/>
      <c r="BN20" s="150"/>
      <c r="BO20" s="149"/>
      <c r="BP20" s="149"/>
      <c r="BQ20" s="149"/>
      <c r="BR20" s="149"/>
      <c r="BS20" s="149"/>
      <c r="BT20" s="150"/>
      <c r="BU20" s="149"/>
      <c r="BV20" s="149"/>
      <c r="BW20" s="149"/>
      <c r="BX20" s="149"/>
      <c r="BY20" s="149"/>
      <c r="BZ20" s="150"/>
      <c r="CA20" s="149"/>
      <c r="CB20" s="149"/>
      <c r="CC20" s="149"/>
      <c r="CD20" s="149"/>
      <c r="CE20" s="149"/>
      <c r="CF20" s="150"/>
      <c r="CG20" s="149"/>
      <c r="CH20" s="149"/>
      <c r="CI20" s="149"/>
      <c r="CJ20" s="149"/>
      <c r="CK20" s="149"/>
      <c r="CL20" s="150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</row>
    <row r="21">
      <c r="A21" s="149"/>
      <c r="B21" s="149"/>
      <c r="C21" s="149"/>
      <c r="D21" s="149"/>
      <c r="E21" s="149"/>
      <c r="F21" s="150"/>
      <c r="G21" s="149"/>
      <c r="H21" s="149"/>
      <c r="I21" s="149"/>
      <c r="J21" s="149"/>
      <c r="K21" s="149"/>
      <c r="L21" s="150"/>
      <c r="M21" s="149"/>
      <c r="N21" s="149"/>
      <c r="O21" s="149"/>
      <c r="P21" s="149"/>
      <c r="Q21" s="149"/>
      <c r="R21" s="150"/>
      <c r="S21" s="149"/>
      <c r="T21" s="149"/>
      <c r="U21" s="149"/>
      <c r="V21" s="149"/>
      <c r="W21" s="149"/>
      <c r="X21" s="150"/>
      <c r="Y21" s="149"/>
      <c r="Z21" s="149"/>
      <c r="AA21" s="149"/>
      <c r="AB21" s="149"/>
      <c r="AC21" s="149"/>
      <c r="AD21" s="150"/>
      <c r="AE21" s="149"/>
      <c r="AF21" s="149"/>
      <c r="AG21" s="149"/>
      <c r="AH21" s="149"/>
      <c r="AI21" s="149"/>
      <c r="AJ21" s="150"/>
      <c r="AK21" s="149"/>
      <c r="AL21" s="149"/>
      <c r="AM21" s="149"/>
      <c r="AN21" s="149"/>
      <c r="AO21" s="149"/>
      <c r="AP21" s="150"/>
      <c r="AQ21" s="149"/>
      <c r="AR21" s="149"/>
      <c r="AS21" s="149"/>
      <c r="AT21" s="149"/>
      <c r="AU21" s="149"/>
      <c r="AV21" s="150"/>
      <c r="AW21" s="149"/>
      <c r="AX21" s="149"/>
      <c r="AY21" s="149"/>
      <c r="AZ21" s="149"/>
      <c r="BA21" s="149"/>
      <c r="BB21" s="150"/>
      <c r="BC21" s="149"/>
      <c r="BD21" s="149"/>
      <c r="BE21" s="149"/>
      <c r="BF21" s="149"/>
      <c r="BG21" s="149"/>
      <c r="BH21" s="150"/>
      <c r="BI21" s="149"/>
      <c r="BJ21" s="149"/>
      <c r="BK21" s="149"/>
      <c r="BL21" s="149"/>
      <c r="BM21" s="149"/>
      <c r="BN21" s="150"/>
      <c r="BO21" s="149"/>
      <c r="BP21" s="149"/>
      <c r="BQ21" s="149"/>
      <c r="BR21" s="149"/>
      <c r="BS21" s="149"/>
      <c r="BT21" s="150"/>
      <c r="BU21" s="149"/>
      <c r="BV21" s="149"/>
      <c r="BW21" s="149"/>
      <c r="BX21" s="149"/>
      <c r="BY21" s="149"/>
      <c r="BZ21" s="150"/>
      <c r="CA21" s="149"/>
      <c r="CB21" s="149"/>
      <c r="CC21" s="149"/>
      <c r="CD21" s="149"/>
      <c r="CE21" s="149"/>
      <c r="CF21" s="150"/>
      <c r="CG21" s="149"/>
      <c r="CH21" s="149"/>
      <c r="CI21" s="149"/>
      <c r="CJ21" s="149"/>
      <c r="CK21" s="149"/>
      <c r="CL21" s="150"/>
      <c r="CM21" s="149"/>
      <c r="CN21" s="149"/>
      <c r="CO21" s="149"/>
      <c r="CP21" s="149"/>
      <c r="CQ21" s="149"/>
      <c r="CR21" s="149"/>
      <c r="CS21" s="149"/>
      <c r="CT21" s="149"/>
      <c r="CU21" s="149"/>
      <c r="CV21" s="149"/>
      <c r="CW21" s="149"/>
      <c r="CX21" s="149"/>
      <c r="CY21" s="149"/>
      <c r="CZ21" s="149"/>
      <c r="DA21" s="149"/>
      <c r="DB21" s="149"/>
      <c r="DC21" s="149"/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</row>
    <row r="22">
      <c r="A22" s="149"/>
      <c r="B22" s="149"/>
      <c r="C22" s="149"/>
      <c r="D22" s="149"/>
      <c r="E22" s="149"/>
      <c r="F22" s="150"/>
      <c r="G22" s="149"/>
      <c r="H22" s="149"/>
      <c r="I22" s="149"/>
      <c r="J22" s="149"/>
      <c r="K22" s="149"/>
      <c r="L22" s="150"/>
      <c r="M22" s="149"/>
      <c r="N22" s="149"/>
      <c r="O22" s="149"/>
      <c r="P22" s="149"/>
      <c r="Q22" s="149"/>
      <c r="R22" s="150"/>
      <c r="S22" s="149"/>
      <c r="T22" s="149"/>
      <c r="U22" s="149"/>
      <c r="V22" s="149"/>
      <c r="W22" s="149"/>
      <c r="X22" s="150"/>
      <c r="Y22" s="149"/>
      <c r="Z22" s="149"/>
      <c r="AA22" s="149"/>
      <c r="AB22" s="149"/>
      <c r="AC22" s="149"/>
      <c r="AD22" s="150"/>
      <c r="AE22" s="149"/>
      <c r="AF22" s="149"/>
      <c r="AG22" s="149"/>
      <c r="AH22" s="149"/>
      <c r="AI22" s="149"/>
      <c r="AJ22" s="150"/>
      <c r="AK22" s="149"/>
      <c r="AL22" s="149"/>
      <c r="AM22" s="149"/>
      <c r="AN22" s="149"/>
      <c r="AO22" s="149"/>
      <c r="AP22" s="150"/>
      <c r="AQ22" s="149"/>
      <c r="AR22" s="149"/>
      <c r="AS22" s="149"/>
      <c r="AT22" s="149"/>
      <c r="AU22" s="149"/>
      <c r="AV22" s="150"/>
      <c r="AW22" s="149"/>
      <c r="AX22" s="149"/>
      <c r="AY22" s="149"/>
      <c r="AZ22" s="149"/>
      <c r="BA22" s="149"/>
      <c r="BB22" s="150"/>
      <c r="BC22" s="149"/>
      <c r="BD22" s="149"/>
      <c r="BE22" s="149"/>
      <c r="BF22" s="149"/>
      <c r="BG22" s="149"/>
      <c r="BH22" s="150"/>
      <c r="BI22" s="149"/>
      <c r="BJ22" s="149"/>
      <c r="BK22" s="149"/>
      <c r="BL22" s="149"/>
      <c r="BM22" s="149"/>
      <c r="BN22" s="150"/>
      <c r="BO22" s="149"/>
      <c r="BP22" s="149"/>
      <c r="BQ22" s="149"/>
      <c r="BR22" s="149"/>
      <c r="BS22" s="149"/>
      <c r="BT22" s="150"/>
      <c r="BU22" s="149"/>
      <c r="BV22" s="149"/>
      <c r="BW22" s="149"/>
      <c r="BX22" s="149"/>
      <c r="BY22" s="149"/>
      <c r="BZ22" s="150"/>
      <c r="CA22" s="149"/>
      <c r="CB22" s="149"/>
      <c r="CC22" s="149"/>
      <c r="CD22" s="149"/>
      <c r="CE22" s="149"/>
      <c r="CF22" s="150"/>
      <c r="CG22" s="149"/>
      <c r="CH22" s="149"/>
      <c r="CI22" s="149"/>
      <c r="CJ22" s="149"/>
      <c r="CK22" s="149"/>
      <c r="CL22" s="150"/>
      <c r="CM22" s="149"/>
      <c r="CN22" s="149"/>
      <c r="CO22" s="149"/>
      <c r="CP22" s="149"/>
      <c r="CQ22" s="149"/>
      <c r="CR22" s="149"/>
      <c r="CS22" s="149"/>
      <c r="CT22" s="149"/>
      <c r="CU22" s="149"/>
      <c r="CV22" s="149"/>
      <c r="CW22" s="149"/>
      <c r="CX22" s="149"/>
      <c r="CY22" s="149"/>
      <c r="CZ22" s="149"/>
      <c r="DA22" s="149"/>
      <c r="DB22" s="149"/>
      <c r="DC22" s="149"/>
      <c r="DD22" s="149"/>
      <c r="DE22" s="149"/>
      <c r="DF22" s="149"/>
      <c r="DG22" s="149"/>
      <c r="DH22" s="149"/>
      <c r="DI22" s="149"/>
      <c r="DJ22" s="149"/>
      <c r="DK22" s="149"/>
      <c r="DL22" s="149"/>
      <c r="DM22" s="149"/>
      <c r="DN22" s="149"/>
      <c r="DO22" s="149"/>
      <c r="DP22" s="149"/>
      <c r="DQ22" s="149"/>
      <c r="DR22" s="149"/>
      <c r="DS22" s="149"/>
      <c r="DT22" s="149"/>
      <c r="DU22" s="149"/>
      <c r="DV22" s="149"/>
      <c r="DW22" s="149"/>
      <c r="DX22" s="149"/>
      <c r="DY22" s="149"/>
      <c r="DZ22" s="149"/>
      <c r="EA22" s="149"/>
      <c r="EB22" s="149"/>
      <c r="EC22" s="149"/>
      <c r="ED22" s="149"/>
      <c r="EE22" s="149"/>
      <c r="EF22" s="149"/>
      <c r="EG22" s="149"/>
      <c r="EH22" s="149"/>
      <c r="EI22" s="149"/>
      <c r="EJ22" s="149"/>
      <c r="EK22" s="149"/>
      <c r="EL22" s="149"/>
      <c r="EM22" s="149"/>
      <c r="EN22" s="149"/>
    </row>
    <row r="23">
      <c r="A23" s="149"/>
      <c r="B23" s="149"/>
      <c r="C23" s="149"/>
      <c r="D23" s="149"/>
      <c r="E23" s="149"/>
      <c r="F23" s="150"/>
      <c r="G23" s="149"/>
      <c r="H23" s="149"/>
      <c r="I23" s="149"/>
      <c r="J23" s="149"/>
      <c r="K23" s="149"/>
      <c r="L23" s="150"/>
      <c r="M23" s="149"/>
      <c r="N23" s="149"/>
      <c r="O23" s="149"/>
      <c r="P23" s="149"/>
      <c r="Q23" s="149"/>
      <c r="R23" s="150"/>
      <c r="S23" s="149"/>
      <c r="T23" s="149"/>
      <c r="U23" s="149"/>
      <c r="V23" s="149"/>
      <c r="W23" s="149"/>
      <c r="X23" s="150"/>
      <c r="Y23" s="149"/>
      <c r="Z23" s="149"/>
      <c r="AA23" s="149"/>
      <c r="AB23" s="149"/>
      <c r="AC23" s="149"/>
      <c r="AD23" s="150"/>
      <c r="AE23" s="149"/>
      <c r="AF23" s="149"/>
      <c r="AG23" s="149"/>
      <c r="AH23" s="149"/>
      <c r="AI23" s="149"/>
      <c r="AJ23" s="150"/>
      <c r="AK23" s="149"/>
      <c r="AL23" s="149"/>
      <c r="AM23" s="149"/>
      <c r="AN23" s="149"/>
      <c r="AO23" s="149"/>
      <c r="AP23" s="150"/>
      <c r="AQ23" s="149"/>
      <c r="AR23" s="149"/>
      <c r="AS23" s="149"/>
      <c r="AT23" s="149"/>
      <c r="AU23" s="149"/>
      <c r="AV23" s="150"/>
      <c r="AW23" s="149"/>
      <c r="AX23" s="149"/>
      <c r="AY23" s="149"/>
      <c r="AZ23" s="149"/>
      <c r="BA23" s="149"/>
      <c r="BB23" s="150"/>
      <c r="BC23" s="149"/>
      <c r="BD23" s="149"/>
      <c r="BE23" s="149"/>
      <c r="BF23" s="149"/>
      <c r="BG23" s="149"/>
      <c r="BH23" s="150"/>
      <c r="BI23" s="149"/>
      <c r="BJ23" s="149"/>
      <c r="BK23" s="149"/>
      <c r="BL23" s="149"/>
      <c r="BM23" s="149"/>
      <c r="BN23" s="150"/>
      <c r="BO23" s="149"/>
      <c r="BP23" s="149"/>
      <c r="BQ23" s="149"/>
      <c r="BR23" s="149"/>
      <c r="BS23" s="149"/>
      <c r="BT23" s="150"/>
      <c r="BU23" s="149"/>
      <c r="BV23" s="149"/>
      <c r="BW23" s="149"/>
      <c r="BX23" s="149"/>
      <c r="BY23" s="149"/>
      <c r="BZ23" s="150"/>
      <c r="CA23" s="149"/>
      <c r="CB23" s="149"/>
      <c r="CC23" s="149"/>
      <c r="CD23" s="149"/>
      <c r="CE23" s="149"/>
      <c r="CF23" s="150"/>
      <c r="CG23" s="149"/>
      <c r="CH23" s="149"/>
      <c r="CI23" s="149"/>
      <c r="CJ23" s="149"/>
      <c r="CK23" s="149"/>
      <c r="CL23" s="150"/>
      <c r="CM23" s="149"/>
      <c r="CN23" s="149"/>
      <c r="CO23" s="149"/>
      <c r="CP23" s="149"/>
      <c r="CQ23" s="149"/>
      <c r="CR23" s="149"/>
      <c r="CS23" s="149"/>
      <c r="CT23" s="149"/>
      <c r="CU23" s="149"/>
      <c r="CV23" s="149"/>
      <c r="CW23" s="149"/>
      <c r="CX23" s="149"/>
      <c r="CY23" s="149"/>
      <c r="CZ23" s="149"/>
      <c r="DA23" s="149"/>
      <c r="DB23" s="149"/>
      <c r="DC23" s="149"/>
      <c r="DD23" s="149"/>
      <c r="DE23" s="149"/>
      <c r="DF23" s="149"/>
      <c r="DG23" s="149"/>
      <c r="DH23" s="149"/>
      <c r="DI23" s="149"/>
      <c r="DJ23" s="149"/>
      <c r="DK23" s="149"/>
      <c r="DL23" s="149"/>
      <c r="DM23" s="149"/>
      <c r="DN23" s="149"/>
      <c r="DO23" s="149"/>
      <c r="DP23" s="149"/>
      <c r="DQ23" s="149"/>
      <c r="DR23" s="149"/>
      <c r="DS23" s="149"/>
      <c r="DT23" s="149"/>
      <c r="DU23" s="149"/>
      <c r="DV23" s="149"/>
      <c r="DW23" s="149"/>
      <c r="DX23" s="149"/>
      <c r="DY23" s="149"/>
      <c r="DZ23" s="149"/>
      <c r="EA23" s="149"/>
      <c r="EB23" s="149"/>
      <c r="EC23" s="149"/>
      <c r="ED23" s="149"/>
      <c r="EE23" s="149"/>
      <c r="EF23" s="149"/>
      <c r="EG23" s="149"/>
      <c r="EH23" s="149"/>
      <c r="EI23" s="149"/>
      <c r="EJ23" s="149"/>
      <c r="EK23" s="149"/>
      <c r="EL23" s="149"/>
      <c r="EM23" s="149"/>
      <c r="EN23" s="149"/>
    </row>
    <row r="24">
      <c r="A24" s="149"/>
      <c r="B24" s="149"/>
      <c r="C24" s="149"/>
      <c r="D24" s="149"/>
      <c r="E24" s="149"/>
      <c r="F24" s="150"/>
      <c r="G24" s="149"/>
      <c r="H24" s="149"/>
      <c r="I24" s="149"/>
      <c r="J24" s="149"/>
      <c r="K24" s="149"/>
      <c r="L24" s="150"/>
      <c r="M24" s="149"/>
      <c r="N24" s="149"/>
      <c r="O24" s="149"/>
      <c r="P24" s="149"/>
      <c r="Q24" s="149"/>
      <c r="R24" s="150"/>
      <c r="S24" s="149"/>
      <c r="T24" s="149"/>
      <c r="U24" s="149"/>
      <c r="V24" s="149"/>
      <c r="W24" s="149"/>
      <c r="X24" s="150"/>
      <c r="Y24" s="149"/>
      <c r="Z24" s="149"/>
      <c r="AA24" s="149"/>
      <c r="AB24" s="149"/>
      <c r="AC24" s="149"/>
      <c r="AD24" s="150"/>
      <c r="AE24" s="149"/>
      <c r="AF24" s="149"/>
      <c r="AG24" s="149"/>
      <c r="AH24" s="149"/>
      <c r="AI24" s="149"/>
      <c r="AJ24" s="150"/>
      <c r="AK24" s="149"/>
      <c r="AL24" s="149"/>
      <c r="AM24" s="149"/>
      <c r="AN24" s="149"/>
      <c r="AO24" s="149"/>
      <c r="AP24" s="150"/>
      <c r="AQ24" s="149"/>
      <c r="AR24" s="149"/>
      <c r="AS24" s="149"/>
      <c r="AT24" s="149"/>
      <c r="AU24" s="149"/>
      <c r="AV24" s="150"/>
      <c r="AW24" s="149"/>
      <c r="AX24" s="149"/>
      <c r="AY24" s="149"/>
      <c r="AZ24" s="149"/>
      <c r="BA24" s="149"/>
      <c r="BB24" s="150"/>
      <c r="BC24" s="149"/>
      <c r="BD24" s="149"/>
      <c r="BE24" s="149"/>
      <c r="BF24" s="149"/>
      <c r="BG24" s="149"/>
      <c r="BH24" s="150"/>
      <c r="BI24" s="149"/>
      <c r="BJ24" s="149"/>
      <c r="BK24" s="149"/>
      <c r="BL24" s="149"/>
      <c r="BM24" s="149"/>
      <c r="BN24" s="150"/>
      <c r="BO24" s="149"/>
      <c r="BP24" s="149"/>
      <c r="BQ24" s="149"/>
      <c r="BR24" s="149"/>
      <c r="BS24" s="149"/>
      <c r="BT24" s="150"/>
      <c r="BU24" s="149"/>
      <c r="BV24" s="149"/>
      <c r="BW24" s="149"/>
      <c r="BX24" s="149"/>
      <c r="BY24" s="149"/>
      <c r="BZ24" s="150"/>
      <c r="CA24" s="149"/>
      <c r="CB24" s="149"/>
      <c r="CC24" s="149"/>
      <c r="CD24" s="149"/>
      <c r="CE24" s="149"/>
      <c r="CF24" s="150"/>
      <c r="CG24" s="149"/>
      <c r="CH24" s="149"/>
      <c r="CI24" s="149"/>
      <c r="CJ24" s="149"/>
      <c r="CK24" s="149"/>
      <c r="CL24" s="150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  <c r="DB24" s="149"/>
      <c r="DC24" s="149"/>
      <c r="DD24" s="149"/>
      <c r="DE24" s="149"/>
      <c r="DF24" s="149"/>
      <c r="DG24" s="149"/>
      <c r="DH24" s="149"/>
      <c r="DI24" s="149"/>
      <c r="DJ24" s="149"/>
      <c r="DK24" s="149"/>
      <c r="DL24" s="149"/>
      <c r="DM24" s="149"/>
      <c r="DN24" s="149"/>
      <c r="DO24" s="149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  <c r="EB24" s="149"/>
      <c r="EC24" s="149"/>
      <c r="ED24" s="149"/>
      <c r="EE24" s="149"/>
      <c r="EF24" s="149"/>
      <c r="EG24" s="149"/>
      <c r="EH24" s="149"/>
      <c r="EI24" s="149"/>
      <c r="EJ24" s="149"/>
      <c r="EK24" s="149"/>
      <c r="EL24" s="149"/>
      <c r="EM24" s="149"/>
      <c r="EN24" s="149"/>
    </row>
    <row r="25">
      <c r="A25" s="149"/>
      <c r="B25" s="149"/>
      <c r="C25" s="149"/>
      <c r="D25" s="149"/>
      <c r="E25" s="149"/>
      <c r="F25" s="150"/>
      <c r="G25" s="149"/>
      <c r="H25" s="149"/>
      <c r="I25" s="149"/>
      <c r="J25" s="149"/>
      <c r="K25" s="149"/>
      <c r="L25" s="150"/>
      <c r="M25" s="149"/>
      <c r="N25" s="149"/>
      <c r="O25" s="149"/>
      <c r="P25" s="149"/>
      <c r="Q25" s="149"/>
      <c r="R25" s="150"/>
      <c r="S25" s="149"/>
      <c r="T25" s="149"/>
      <c r="U25" s="149"/>
      <c r="V25" s="149"/>
      <c r="W25" s="149"/>
      <c r="X25" s="150"/>
      <c r="Y25" s="149"/>
      <c r="Z25" s="149"/>
      <c r="AA25" s="149"/>
      <c r="AB25" s="149"/>
      <c r="AC25" s="149"/>
      <c r="AD25" s="150"/>
      <c r="AE25" s="149"/>
      <c r="AF25" s="149"/>
      <c r="AG25" s="149"/>
      <c r="AH25" s="149"/>
      <c r="AI25" s="149"/>
      <c r="AJ25" s="150"/>
      <c r="AK25" s="149"/>
      <c r="AL25" s="149"/>
      <c r="AM25" s="149"/>
      <c r="AN25" s="149"/>
      <c r="AO25" s="149"/>
      <c r="AP25" s="150"/>
      <c r="AQ25" s="149"/>
      <c r="AR25" s="149"/>
      <c r="AS25" s="149"/>
      <c r="AT25" s="149"/>
      <c r="AU25" s="149"/>
      <c r="AV25" s="150"/>
      <c r="AW25" s="149"/>
      <c r="AX25" s="149"/>
      <c r="AY25" s="149"/>
      <c r="AZ25" s="149"/>
      <c r="BA25" s="149"/>
      <c r="BB25" s="150"/>
      <c r="BC25" s="149"/>
      <c r="BD25" s="149"/>
      <c r="BE25" s="149"/>
      <c r="BF25" s="149"/>
      <c r="BG25" s="149"/>
      <c r="BH25" s="150"/>
      <c r="BI25" s="149"/>
      <c r="BJ25" s="149"/>
      <c r="BK25" s="149"/>
      <c r="BL25" s="149"/>
      <c r="BM25" s="149"/>
      <c r="BN25" s="150"/>
      <c r="BO25" s="149"/>
      <c r="BP25" s="149"/>
      <c r="BQ25" s="149"/>
      <c r="BR25" s="149"/>
      <c r="BS25" s="149"/>
      <c r="BT25" s="150"/>
      <c r="BU25" s="149"/>
      <c r="BV25" s="149"/>
      <c r="BW25" s="149"/>
      <c r="BX25" s="149"/>
      <c r="BY25" s="149"/>
      <c r="BZ25" s="150"/>
      <c r="CA25" s="149"/>
      <c r="CB25" s="149"/>
      <c r="CC25" s="149"/>
      <c r="CD25" s="149"/>
      <c r="CE25" s="149"/>
      <c r="CF25" s="150"/>
      <c r="CG25" s="149"/>
      <c r="CH25" s="149"/>
      <c r="CI25" s="149"/>
      <c r="CJ25" s="149"/>
      <c r="CK25" s="149"/>
      <c r="CL25" s="150"/>
      <c r="CM25" s="149"/>
      <c r="CN25" s="149"/>
      <c r="CO25" s="149"/>
      <c r="CP25" s="149"/>
      <c r="CQ25" s="149"/>
      <c r="CR25" s="149"/>
      <c r="CS25" s="149"/>
      <c r="CT25" s="149"/>
      <c r="CU25" s="149"/>
      <c r="CV25" s="149"/>
      <c r="CW25" s="149"/>
      <c r="CX25" s="149"/>
      <c r="CY25" s="149"/>
      <c r="CZ25" s="149"/>
      <c r="DA25" s="149"/>
      <c r="DB25" s="149"/>
      <c r="DC25" s="149"/>
      <c r="DD25" s="149"/>
      <c r="DE25" s="149"/>
      <c r="DF25" s="149"/>
      <c r="DG25" s="149"/>
      <c r="DH25" s="149"/>
      <c r="DI25" s="149"/>
      <c r="DJ25" s="149"/>
      <c r="DK25" s="149"/>
      <c r="DL25" s="149"/>
      <c r="DM25" s="149"/>
      <c r="DN25" s="149"/>
      <c r="DO25" s="149"/>
      <c r="DP25" s="149"/>
      <c r="DQ25" s="149"/>
      <c r="DR25" s="149"/>
      <c r="DS25" s="149"/>
      <c r="DT25" s="149"/>
      <c r="DU25" s="149"/>
      <c r="DV25" s="149"/>
      <c r="DW25" s="149"/>
      <c r="DX25" s="149"/>
      <c r="DY25" s="149"/>
      <c r="DZ25" s="149"/>
      <c r="EA25" s="149"/>
      <c r="EB25" s="149"/>
      <c r="EC25" s="149"/>
      <c r="ED25" s="149"/>
      <c r="EE25" s="149"/>
      <c r="EF25" s="149"/>
      <c r="EG25" s="149"/>
      <c r="EH25" s="149"/>
      <c r="EI25" s="149"/>
      <c r="EJ25" s="149"/>
      <c r="EK25" s="149"/>
      <c r="EL25" s="149"/>
      <c r="EM25" s="149"/>
      <c r="EN25" s="149"/>
    </row>
    <row r="26">
      <c r="A26" s="149"/>
      <c r="B26" s="149"/>
      <c r="C26" s="149"/>
      <c r="D26" s="149"/>
      <c r="E26" s="149"/>
      <c r="F26" s="150"/>
      <c r="G26" s="149"/>
      <c r="H26" s="149"/>
      <c r="I26" s="149"/>
      <c r="J26" s="149"/>
      <c r="K26" s="149"/>
      <c r="L26" s="150"/>
      <c r="M26" s="149"/>
      <c r="N26" s="149"/>
      <c r="O26" s="149"/>
      <c r="P26" s="149"/>
      <c r="Q26" s="149"/>
      <c r="R26" s="150"/>
      <c r="S26" s="149"/>
      <c r="T26" s="149"/>
      <c r="U26" s="149"/>
      <c r="V26" s="149"/>
      <c r="W26" s="149"/>
      <c r="X26" s="150"/>
      <c r="Y26" s="149"/>
      <c r="Z26" s="149"/>
      <c r="AA26" s="149"/>
      <c r="AB26" s="149"/>
      <c r="AC26" s="149"/>
      <c r="AD26" s="150"/>
      <c r="AE26" s="149"/>
      <c r="AF26" s="149"/>
      <c r="AG26" s="149"/>
      <c r="AH26" s="149"/>
      <c r="AI26" s="149"/>
      <c r="AJ26" s="150"/>
      <c r="AK26" s="149"/>
      <c r="AL26" s="149"/>
      <c r="AM26" s="149"/>
      <c r="AN26" s="149"/>
      <c r="AO26" s="149"/>
      <c r="AP26" s="150"/>
      <c r="AQ26" s="149"/>
      <c r="AR26" s="149"/>
      <c r="AS26" s="149"/>
      <c r="AT26" s="149"/>
      <c r="AU26" s="149"/>
      <c r="AV26" s="150"/>
      <c r="AW26" s="149"/>
      <c r="AX26" s="149"/>
      <c r="AY26" s="149"/>
      <c r="AZ26" s="149"/>
      <c r="BA26" s="149"/>
      <c r="BB26" s="150"/>
      <c r="BC26" s="149"/>
      <c r="BD26" s="149"/>
      <c r="BE26" s="149"/>
      <c r="BF26" s="149"/>
      <c r="BG26" s="149"/>
      <c r="BH26" s="150"/>
      <c r="BI26" s="149"/>
      <c r="BJ26" s="149"/>
      <c r="BK26" s="149"/>
      <c r="BL26" s="149"/>
      <c r="BM26" s="149"/>
      <c r="BN26" s="150"/>
      <c r="BO26" s="149"/>
      <c r="BP26" s="149"/>
      <c r="BQ26" s="149"/>
      <c r="BR26" s="149"/>
      <c r="BS26" s="149"/>
      <c r="BT26" s="150"/>
      <c r="BU26" s="149"/>
      <c r="BV26" s="149"/>
      <c r="BW26" s="149"/>
      <c r="BX26" s="149"/>
      <c r="BY26" s="149"/>
      <c r="BZ26" s="150"/>
      <c r="CA26" s="149"/>
      <c r="CB26" s="149"/>
      <c r="CC26" s="149"/>
      <c r="CD26" s="149"/>
      <c r="CE26" s="149"/>
      <c r="CF26" s="150"/>
      <c r="CG26" s="149"/>
      <c r="CH26" s="149"/>
      <c r="CI26" s="149"/>
      <c r="CJ26" s="149"/>
      <c r="CK26" s="149"/>
      <c r="CL26" s="150"/>
      <c r="CM26" s="149"/>
      <c r="CN26" s="149"/>
      <c r="CO26" s="149"/>
      <c r="CP26" s="149"/>
      <c r="CQ26" s="149"/>
      <c r="CR26" s="149"/>
      <c r="CS26" s="149"/>
      <c r="CT26" s="149"/>
      <c r="CU26" s="149"/>
      <c r="CV26" s="149"/>
      <c r="CW26" s="149"/>
      <c r="CX26" s="149"/>
      <c r="CY26" s="149"/>
      <c r="CZ26" s="149"/>
      <c r="DA26" s="149"/>
      <c r="DB26" s="149"/>
      <c r="DC26" s="149"/>
      <c r="DD26" s="149"/>
      <c r="DE26" s="149"/>
      <c r="DF26" s="149"/>
      <c r="DG26" s="149"/>
      <c r="DH26" s="149"/>
      <c r="DI26" s="149"/>
      <c r="DJ26" s="149"/>
      <c r="DK26" s="149"/>
      <c r="DL26" s="149"/>
      <c r="DM26" s="149"/>
      <c r="DN26" s="149"/>
      <c r="DO26" s="149"/>
      <c r="DP26" s="149"/>
      <c r="DQ26" s="149"/>
      <c r="DR26" s="149"/>
      <c r="DS26" s="149"/>
      <c r="DT26" s="149"/>
      <c r="DU26" s="149"/>
      <c r="DV26" s="149"/>
      <c r="DW26" s="149"/>
      <c r="DX26" s="149"/>
      <c r="DY26" s="149"/>
      <c r="DZ26" s="149"/>
      <c r="EA26" s="149"/>
      <c r="EB26" s="149"/>
      <c r="EC26" s="149"/>
      <c r="ED26" s="149"/>
      <c r="EE26" s="149"/>
      <c r="EF26" s="149"/>
      <c r="EG26" s="149"/>
      <c r="EH26" s="149"/>
      <c r="EI26" s="149"/>
      <c r="EJ26" s="149"/>
      <c r="EK26" s="149"/>
      <c r="EL26" s="149"/>
      <c r="EM26" s="149"/>
      <c r="EN26" s="149"/>
    </row>
    <row r="27">
      <c r="A27" s="149"/>
      <c r="B27" s="149"/>
      <c r="C27" s="149"/>
      <c r="D27" s="149"/>
      <c r="E27" s="149"/>
      <c r="F27" s="150"/>
      <c r="G27" s="149"/>
      <c r="H27" s="149"/>
      <c r="I27" s="149"/>
      <c r="J27" s="149"/>
      <c r="K27" s="149"/>
      <c r="L27" s="150"/>
      <c r="M27" s="149"/>
      <c r="N27" s="149"/>
      <c r="O27" s="149"/>
      <c r="P27" s="149"/>
      <c r="Q27" s="149"/>
      <c r="R27" s="150"/>
      <c r="S27" s="149"/>
      <c r="T27" s="149"/>
      <c r="U27" s="149"/>
      <c r="V27" s="149"/>
      <c r="W27" s="149"/>
      <c r="X27" s="150"/>
      <c r="Y27" s="149"/>
      <c r="Z27" s="149"/>
      <c r="AA27" s="149"/>
      <c r="AB27" s="149"/>
      <c r="AC27" s="149"/>
      <c r="AD27" s="150"/>
      <c r="AE27" s="149"/>
      <c r="AF27" s="149"/>
      <c r="AG27" s="149"/>
      <c r="AH27" s="149"/>
      <c r="AI27" s="149"/>
      <c r="AJ27" s="150"/>
      <c r="AK27" s="149"/>
      <c r="AL27" s="149"/>
      <c r="AM27" s="149"/>
      <c r="AN27" s="149"/>
      <c r="AO27" s="149"/>
      <c r="AP27" s="150"/>
      <c r="AQ27" s="149"/>
      <c r="AR27" s="149"/>
      <c r="AS27" s="149"/>
      <c r="AT27" s="149"/>
      <c r="AU27" s="149"/>
      <c r="AV27" s="150"/>
      <c r="AW27" s="149"/>
      <c r="AX27" s="149"/>
      <c r="AY27" s="149"/>
      <c r="AZ27" s="149"/>
      <c r="BA27" s="149"/>
      <c r="BB27" s="150"/>
      <c r="BC27" s="149"/>
      <c r="BD27" s="149"/>
      <c r="BE27" s="149"/>
      <c r="BF27" s="149"/>
      <c r="BG27" s="149"/>
      <c r="BH27" s="150"/>
      <c r="BI27" s="149"/>
      <c r="BJ27" s="149"/>
      <c r="BK27" s="149"/>
      <c r="BL27" s="149"/>
      <c r="BM27" s="149"/>
      <c r="BN27" s="150"/>
      <c r="BO27" s="149"/>
      <c r="BP27" s="149"/>
      <c r="BQ27" s="149"/>
      <c r="BR27" s="149"/>
      <c r="BS27" s="149"/>
      <c r="BT27" s="150"/>
      <c r="BU27" s="149"/>
      <c r="BV27" s="149"/>
      <c r="BW27" s="149"/>
      <c r="BX27" s="149"/>
      <c r="BY27" s="149"/>
      <c r="BZ27" s="150"/>
      <c r="CA27" s="149"/>
      <c r="CB27" s="149"/>
      <c r="CC27" s="149"/>
      <c r="CD27" s="149"/>
      <c r="CE27" s="149"/>
      <c r="CF27" s="150"/>
      <c r="CG27" s="149"/>
      <c r="CH27" s="149"/>
      <c r="CI27" s="149"/>
      <c r="CJ27" s="149"/>
      <c r="CK27" s="149"/>
      <c r="CL27" s="150"/>
      <c r="CM27" s="149"/>
      <c r="CN27" s="149"/>
      <c r="CO27" s="149"/>
      <c r="CP27" s="149"/>
      <c r="CQ27" s="149"/>
      <c r="CR27" s="149"/>
      <c r="CS27" s="149"/>
      <c r="CT27" s="149"/>
      <c r="CU27" s="149"/>
      <c r="CV27" s="149"/>
      <c r="CW27" s="149"/>
      <c r="CX27" s="149"/>
      <c r="CY27" s="149"/>
      <c r="CZ27" s="149"/>
      <c r="DA27" s="149"/>
      <c r="DB27" s="149"/>
      <c r="DC27" s="149"/>
      <c r="DD27" s="149"/>
      <c r="DE27" s="149"/>
      <c r="DF27" s="149"/>
      <c r="DG27" s="149"/>
      <c r="DH27" s="149"/>
      <c r="DI27" s="149"/>
      <c r="DJ27" s="149"/>
      <c r="DK27" s="149"/>
      <c r="DL27" s="149"/>
      <c r="DM27" s="149"/>
      <c r="DN27" s="149"/>
      <c r="DO27" s="149"/>
      <c r="DP27" s="149"/>
      <c r="DQ27" s="149"/>
      <c r="DR27" s="149"/>
      <c r="DS27" s="149"/>
      <c r="DT27" s="149"/>
      <c r="DU27" s="149"/>
      <c r="DV27" s="149"/>
      <c r="DW27" s="149"/>
      <c r="DX27" s="149"/>
      <c r="DY27" s="149"/>
      <c r="DZ27" s="149"/>
      <c r="EA27" s="149"/>
      <c r="EB27" s="149"/>
      <c r="EC27" s="149"/>
      <c r="ED27" s="149"/>
      <c r="EE27" s="149"/>
      <c r="EF27" s="149"/>
      <c r="EG27" s="149"/>
      <c r="EH27" s="149"/>
      <c r="EI27" s="149"/>
      <c r="EJ27" s="149"/>
      <c r="EK27" s="149"/>
      <c r="EL27" s="149"/>
      <c r="EM27" s="149"/>
      <c r="EN27" s="149"/>
    </row>
    <row r="28">
      <c r="A28" s="149"/>
      <c r="B28" s="149"/>
      <c r="C28" s="149"/>
      <c r="D28" s="149"/>
      <c r="E28" s="149"/>
      <c r="F28" s="150"/>
      <c r="G28" s="149"/>
      <c r="H28" s="149"/>
      <c r="I28" s="149"/>
      <c r="J28" s="149"/>
      <c r="K28" s="149"/>
      <c r="L28" s="150"/>
      <c r="M28" s="149"/>
      <c r="N28" s="149"/>
      <c r="O28" s="149"/>
      <c r="P28" s="149"/>
      <c r="Q28" s="149"/>
      <c r="R28" s="150"/>
      <c r="S28" s="149"/>
      <c r="T28" s="149"/>
      <c r="U28" s="149"/>
      <c r="V28" s="149"/>
      <c r="W28" s="149"/>
      <c r="X28" s="150"/>
      <c r="Y28" s="149"/>
      <c r="Z28" s="149"/>
      <c r="AA28" s="149"/>
      <c r="AB28" s="149"/>
      <c r="AC28" s="149"/>
      <c r="AD28" s="150"/>
      <c r="AE28" s="149"/>
      <c r="AF28" s="149"/>
      <c r="AG28" s="149"/>
      <c r="AH28" s="149"/>
      <c r="AI28" s="149"/>
      <c r="AJ28" s="150"/>
      <c r="AK28" s="149"/>
      <c r="AL28" s="149"/>
      <c r="AM28" s="149"/>
      <c r="AN28" s="149"/>
      <c r="AO28" s="149"/>
      <c r="AP28" s="150"/>
      <c r="AQ28" s="149"/>
      <c r="AR28" s="149"/>
      <c r="AS28" s="149"/>
      <c r="AT28" s="149"/>
      <c r="AU28" s="149"/>
      <c r="AV28" s="150"/>
      <c r="AW28" s="149"/>
      <c r="AX28" s="149"/>
      <c r="AY28" s="149"/>
      <c r="AZ28" s="149"/>
      <c r="BA28" s="149"/>
      <c r="BB28" s="150"/>
      <c r="BC28" s="149"/>
      <c r="BD28" s="149"/>
      <c r="BE28" s="149"/>
      <c r="BF28" s="149"/>
      <c r="BG28" s="149"/>
      <c r="BH28" s="150"/>
      <c r="BI28" s="149"/>
      <c r="BJ28" s="149"/>
      <c r="BK28" s="149"/>
      <c r="BL28" s="149"/>
      <c r="BM28" s="149"/>
      <c r="BN28" s="150"/>
      <c r="BO28" s="149"/>
      <c r="BP28" s="149"/>
      <c r="BQ28" s="149"/>
      <c r="BR28" s="149"/>
      <c r="BS28" s="149"/>
      <c r="BT28" s="150"/>
      <c r="BU28" s="149"/>
      <c r="BV28" s="149"/>
      <c r="BW28" s="149"/>
      <c r="BX28" s="149"/>
      <c r="BY28" s="149"/>
      <c r="BZ28" s="150"/>
      <c r="CA28" s="149"/>
      <c r="CB28" s="149"/>
      <c r="CC28" s="149"/>
      <c r="CD28" s="149"/>
      <c r="CE28" s="149"/>
      <c r="CF28" s="150"/>
      <c r="CG28" s="149"/>
      <c r="CH28" s="149"/>
      <c r="CI28" s="149"/>
      <c r="CJ28" s="149"/>
      <c r="CK28" s="149"/>
      <c r="CL28" s="150"/>
      <c r="CM28" s="149"/>
      <c r="CN28" s="149"/>
      <c r="CO28" s="149"/>
      <c r="CP28" s="149"/>
      <c r="CQ28" s="149"/>
      <c r="CR28" s="149"/>
      <c r="CS28" s="149"/>
      <c r="CT28" s="149"/>
      <c r="CU28" s="149"/>
      <c r="CV28" s="149"/>
      <c r="CW28" s="149"/>
      <c r="CX28" s="149"/>
      <c r="CY28" s="149"/>
      <c r="CZ28" s="149"/>
      <c r="DA28" s="149"/>
      <c r="DB28" s="149"/>
      <c r="DC28" s="149"/>
      <c r="DD28" s="149"/>
      <c r="DE28" s="149"/>
      <c r="DF28" s="149"/>
      <c r="DG28" s="149"/>
      <c r="DH28" s="149"/>
      <c r="DI28" s="149"/>
      <c r="DJ28" s="149"/>
      <c r="DK28" s="149"/>
      <c r="DL28" s="149"/>
      <c r="DM28" s="149"/>
      <c r="DN28" s="149"/>
      <c r="DO28" s="149"/>
      <c r="DP28" s="149"/>
      <c r="DQ28" s="149"/>
      <c r="DR28" s="149"/>
      <c r="DS28" s="149"/>
      <c r="DT28" s="149"/>
      <c r="DU28" s="149"/>
      <c r="DV28" s="149"/>
      <c r="DW28" s="149"/>
      <c r="DX28" s="149"/>
      <c r="DY28" s="149"/>
      <c r="DZ28" s="149"/>
      <c r="EA28" s="149"/>
      <c r="EB28" s="149"/>
      <c r="EC28" s="149"/>
      <c r="ED28" s="149"/>
      <c r="EE28" s="149"/>
      <c r="EF28" s="149"/>
      <c r="EG28" s="149"/>
      <c r="EH28" s="149"/>
      <c r="EI28" s="149"/>
      <c r="EJ28" s="149"/>
      <c r="EK28" s="149"/>
      <c r="EL28" s="149"/>
      <c r="EM28" s="149"/>
      <c r="EN28" s="149"/>
    </row>
    <row r="29">
      <c r="A29" s="149"/>
      <c r="B29" s="149"/>
      <c r="C29" s="149"/>
      <c r="D29" s="149"/>
      <c r="E29" s="149"/>
      <c r="F29" s="150"/>
      <c r="G29" s="149"/>
      <c r="H29" s="149"/>
      <c r="I29" s="149"/>
      <c r="J29" s="149"/>
      <c r="K29" s="149"/>
      <c r="L29" s="150"/>
      <c r="M29" s="149"/>
      <c r="N29" s="149"/>
      <c r="O29" s="149"/>
      <c r="P29" s="149"/>
      <c r="Q29" s="149"/>
      <c r="R29" s="150"/>
      <c r="S29" s="149"/>
      <c r="T29" s="149"/>
      <c r="U29" s="149"/>
      <c r="V29" s="149"/>
      <c r="W29" s="149"/>
      <c r="X29" s="150"/>
      <c r="Y29" s="149"/>
      <c r="Z29" s="149"/>
      <c r="AA29" s="149"/>
      <c r="AB29" s="149"/>
      <c r="AC29" s="149"/>
      <c r="AD29" s="150"/>
      <c r="AE29" s="149"/>
      <c r="AF29" s="149"/>
      <c r="AG29" s="149"/>
      <c r="AH29" s="149"/>
      <c r="AI29" s="149"/>
      <c r="AJ29" s="150"/>
      <c r="AK29" s="149"/>
      <c r="AL29" s="149"/>
      <c r="AM29" s="149"/>
      <c r="AN29" s="149"/>
      <c r="AO29" s="149"/>
      <c r="AP29" s="150"/>
      <c r="AQ29" s="149"/>
      <c r="AR29" s="149"/>
      <c r="AS29" s="149"/>
      <c r="AT29" s="149"/>
      <c r="AU29" s="149"/>
      <c r="AV29" s="150"/>
      <c r="AW29" s="149"/>
      <c r="AX29" s="149"/>
      <c r="AY29" s="149"/>
      <c r="AZ29" s="149"/>
      <c r="BA29" s="149"/>
      <c r="BB29" s="150"/>
      <c r="BC29" s="149"/>
      <c r="BD29" s="149"/>
      <c r="BE29" s="149"/>
      <c r="BF29" s="149"/>
      <c r="BG29" s="149"/>
      <c r="BH29" s="150"/>
      <c r="BI29" s="149"/>
      <c r="BJ29" s="149"/>
      <c r="BK29" s="149"/>
      <c r="BL29" s="149"/>
      <c r="BM29" s="149"/>
      <c r="BN29" s="150"/>
      <c r="BO29" s="149"/>
      <c r="BP29" s="149"/>
      <c r="BQ29" s="149"/>
      <c r="BR29" s="149"/>
      <c r="BS29" s="149"/>
      <c r="BT29" s="150"/>
      <c r="BU29" s="149"/>
      <c r="BV29" s="149"/>
      <c r="BW29" s="149"/>
      <c r="BX29" s="149"/>
      <c r="BY29" s="149"/>
      <c r="BZ29" s="150"/>
      <c r="CA29" s="149"/>
      <c r="CB29" s="149"/>
      <c r="CC29" s="149"/>
      <c r="CD29" s="149"/>
      <c r="CE29" s="149"/>
      <c r="CF29" s="150"/>
      <c r="CG29" s="149"/>
      <c r="CH29" s="149"/>
      <c r="CI29" s="149"/>
      <c r="CJ29" s="149"/>
      <c r="CK29" s="149"/>
      <c r="CL29" s="150"/>
      <c r="CM29" s="149"/>
      <c r="CN29" s="149"/>
      <c r="CO29" s="149"/>
      <c r="CP29" s="149"/>
      <c r="CQ29" s="149"/>
      <c r="CR29" s="149"/>
      <c r="CS29" s="149"/>
      <c r="CT29" s="149"/>
      <c r="CU29" s="149"/>
      <c r="CV29" s="149"/>
      <c r="CW29" s="149"/>
      <c r="CX29" s="149"/>
      <c r="CY29" s="149"/>
      <c r="CZ29" s="149"/>
      <c r="DA29" s="149"/>
      <c r="DB29" s="149"/>
      <c r="DC29" s="149"/>
      <c r="DD29" s="149"/>
      <c r="DE29" s="149"/>
      <c r="DF29" s="149"/>
      <c r="DG29" s="149"/>
      <c r="DH29" s="149"/>
      <c r="DI29" s="149"/>
      <c r="DJ29" s="149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149"/>
      <c r="EI29" s="149"/>
      <c r="EJ29" s="149"/>
      <c r="EK29" s="149"/>
      <c r="EL29" s="149"/>
      <c r="EM29" s="149"/>
      <c r="EN29" s="149"/>
    </row>
    <row r="30">
      <c r="A30" s="149"/>
      <c r="B30" s="149"/>
      <c r="C30" s="149"/>
      <c r="D30" s="149"/>
      <c r="E30" s="149"/>
      <c r="F30" s="150"/>
      <c r="G30" s="149"/>
      <c r="H30" s="149"/>
      <c r="I30" s="149"/>
      <c r="J30" s="149"/>
      <c r="K30" s="149"/>
      <c r="L30" s="150"/>
      <c r="M30" s="149"/>
      <c r="N30" s="149"/>
      <c r="O30" s="149"/>
      <c r="P30" s="149"/>
      <c r="Q30" s="149"/>
      <c r="R30" s="150"/>
      <c r="S30" s="149"/>
      <c r="T30" s="149"/>
      <c r="U30" s="149"/>
      <c r="V30" s="149"/>
      <c r="W30" s="149"/>
      <c r="X30" s="150"/>
      <c r="Y30" s="149"/>
      <c r="Z30" s="149"/>
      <c r="AA30" s="149"/>
      <c r="AB30" s="149"/>
      <c r="AC30" s="149"/>
      <c r="AD30" s="150"/>
      <c r="AE30" s="149"/>
      <c r="AF30" s="149"/>
      <c r="AG30" s="149"/>
      <c r="AH30" s="149"/>
      <c r="AI30" s="149"/>
      <c r="AJ30" s="150"/>
      <c r="AK30" s="149"/>
      <c r="AL30" s="149"/>
      <c r="AM30" s="149"/>
      <c r="AN30" s="149"/>
      <c r="AO30" s="149"/>
      <c r="AP30" s="150"/>
      <c r="AQ30" s="149"/>
      <c r="AR30" s="149"/>
      <c r="AS30" s="149"/>
      <c r="AT30" s="149"/>
      <c r="AU30" s="149"/>
      <c r="AV30" s="150"/>
      <c r="AW30" s="149"/>
      <c r="AX30" s="149"/>
      <c r="AY30" s="149"/>
      <c r="AZ30" s="149"/>
      <c r="BA30" s="149"/>
      <c r="BB30" s="150"/>
      <c r="BC30" s="149"/>
      <c r="BD30" s="149"/>
      <c r="BE30" s="149"/>
      <c r="BF30" s="149"/>
      <c r="BG30" s="149"/>
      <c r="BH30" s="150"/>
      <c r="BI30" s="149"/>
      <c r="BJ30" s="149"/>
      <c r="BK30" s="149"/>
      <c r="BL30" s="149"/>
      <c r="BM30" s="149"/>
      <c r="BN30" s="150"/>
      <c r="BO30" s="149"/>
      <c r="BP30" s="149"/>
      <c r="BQ30" s="149"/>
      <c r="BR30" s="149"/>
      <c r="BS30" s="149"/>
      <c r="BT30" s="150"/>
      <c r="BU30" s="149"/>
      <c r="BV30" s="149"/>
      <c r="BW30" s="149"/>
      <c r="BX30" s="149"/>
      <c r="BY30" s="149"/>
      <c r="BZ30" s="150"/>
      <c r="CA30" s="149"/>
      <c r="CB30" s="149"/>
      <c r="CC30" s="149"/>
      <c r="CD30" s="149"/>
      <c r="CE30" s="149"/>
      <c r="CF30" s="150"/>
      <c r="CG30" s="149"/>
      <c r="CH30" s="149"/>
      <c r="CI30" s="149"/>
      <c r="CJ30" s="149"/>
      <c r="CK30" s="149"/>
      <c r="CL30" s="150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  <c r="DH30" s="149"/>
      <c r="DI30" s="149"/>
      <c r="DJ30" s="149"/>
      <c r="DK30" s="149"/>
      <c r="DL30" s="149"/>
      <c r="DM30" s="149"/>
      <c r="DN30" s="149"/>
      <c r="DO30" s="149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</row>
    <row r="31">
      <c r="A31" s="149"/>
      <c r="B31" s="149"/>
      <c r="C31" s="149"/>
      <c r="D31" s="149"/>
      <c r="E31" s="149"/>
      <c r="F31" s="150"/>
      <c r="G31" s="149"/>
      <c r="H31" s="149"/>
      <c r="I31" s="149"/>
      <c r="J31" s="149"/>
      <c r="K31" s="149"/>
      <c r="L31" s="150"/>
      <c r="M31" s="149"/>
      <c r="N31" s="149"/>
      <c r="O31" s="149"/>
      <c r="P31" s="149"/>
      <c r="Q31" s="149"/>
      <c r="R31" s="150"/>
      <c r="S31" s="149"/>
      <c r="T31" s="149"/>
      <c r="U31" s="149"/>
      <c r="V31" s="149"/>
      <c r="W31" s="149"/>
      <c r="X31" s="150"/>
      <c r="Y31" s="149"/>
      <c r="Z31" s="149"/>
      <c r="AA31" s="149"/>
      <c r="AB31" s="149"/>
      <c r="AC31" s="149"/>
      <c r="AD31" s="150"/>
      <c r="AE31" s="149"/>
      <c r="AF31" s="149"/>
      <c r="AG31" s="149"/>
      <c r="AH31" s="149"/>
      <c r="AI31" s="149"/>
      <c r="AJ31" s="150"/>
      <c r="AK31" s="149"/>
      <c r="AL31" s="149"/>
      <c r="AM31" s="149"/>
      <c r="AN31" s="149"/>
      <c r="AO31" s="149"/>
      <c r="AP31" s="150"/>
      <c r="AQ31" s="149"/>
      <c r="AR31" s="149"/>
      <c r="AS31" s="149"/>
      <c r="AT31" s="149"/>
      <c r="AU31" s="149"/>
      <c r="AV31" s="150"/>
      <c r="AW31" s="149"/>
      <c r="AX31" s="149"/>
      <c r="AY31" s="149"/>
      <c r="AZ31" s="149"/>
      <c r="BA31" s="149"/>
      <c r="BB31" s="150"/>
      <c r="BC31" s="149"/>
      <c r="BD31" s="149"/>
      <c r="BE31" s="149"/>
      <c r="BF31" s="149"/>
      <c r="BG31" s="149"/>
      <c r="BH31" s="150"/>
      <c r="BI31" s="149"/>
      <c r="BJ31" s="149"/>
      <c r="BK31" s="149"/>
      <c r="BL31" s="149"/>
      <c r="BM31" s="149"/>
      <c r="BN31" s="150"/>
      <c r="BO31" s="149"/>
      <c r="BP31" s="149"/>
      <c r="BQ31" s="149"/>
      <c r="BR31" s="149"/>
      <c r="BS31" s="149"/>
      <c r="BT31" s="150"/>
      <c r="BU31" s="149"/>
      <c r="BV31" s="149"/>
      <c r="BW31" s="149"/>
      <c r="BX31" s="149"/>
      <c r="BY31" s="149"/>
      <c r="BZ31" s="150"/>
      <c r="CA31" s="149"/>
      <c r="CB31" s="149"/>
      <c r="CC31" s="149"/>
      <c r="CD31" s="149"/>
      <c r="CE31" s="149"/>
      <c r="CF31" s="150"/>
      <c r="CG31" s="149"/>
      <c r="CH31" s="149"/>
      <c r="CI31" s="149"/>
      <c r="CJ31" s="149"/>
      <c r="CK31" s="149"/>
      <c r="CL31" s="150"/>
      <c r="CM31" s="149"/>
      <c r="CN31" s="149"/>
      <c r="CO31" s="149"/>
      <c r="CP31" s="149"/>
      <c r="CQ31" s="149"/>
      <c r="CR31" s="149"/>
      <c r="CS31" s="149"/>
      <c r="CT31" s="149"/>
      <c r="CU31" s="149"/>
      <c r="CV31" s="149"/>
      <c r="CW31" s="149"/>
      <c r="CX31" s="149"/>
      <c r="CY31" s="149"/>
      <c r="CZ31" s="149"/>
      <c r="DA31" s="149"/>
      <c r="DB31" s="149"/>
      <c r="DC31" s="149"/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Q31" s="149"/>
      <c r="DR31" s="149"/>
      <c r="DS31" s="149"/>
      <c r="DT31" s="149"/>
      <c r="DU31" s="149"/>
      <c r="DV31" s="149"/>
      <c r="DW31" s="149"/>
      <c r="DX31" s="149"/>
      <c r="DY31" s="149"/>
      <c r="DZ31" s="149"/>
      <c r="EA31" s="149"/>
      <c r="EB31" s="149"/>
      <c r="EC31" s="149"/>
      <c r="ED31" s="149"/>
      <c r="EE31" s="149"/>
      <c r="EF31" s="149"/>
      <c r="EG31" s="149"/>
      <c r="EH31" s="149"/>
      <c r="EI31" s="149"/>
      <c r="EJ31" s="149"/>
      <c r="EK31" s="149"/>
      <c r="EL31" s="149"/>
      <c r="EM31" s="149"/>
      <c r="EN31" s="149"/>
    </row>
    <row r="32">
      <c r="A32" s="149"/>
      <c r="B32" s="149"/>
      <c r="C32" s="149"/>
      <c r="D32" s="149"/>
      <c r="E32" s="149"/>
      <c r="F32" s="150"/>
      <c r="G32" s="149"/>
      <c r="H32" s="149"/>
      <c r="I32" s="149"/>
      <c r="J32" s="149"/>
      <c r="K32" s="149"/>
      <c r="L32" s="150"/>
      <c r="M32" s="149"/>
      <c r="N32" s="149"/>
      <c r="O32" s="149"/>
      <c r="P32" s="149"/>
      <c r="Q32" s="149"/>
      <c r="R32" s="150"/>
      <c r="S32" s="149"/>
      <c r="T32" s="149"/>
      <c r="U32" s="149"/>
      <c r="V32" s="149"/>
      <c r="W32" s="149"/>
      <c r="X32" s="150"/>
      <c r="Y32" s="149"/>
      <c r="Z32" s="149"/>
      <c r="AA32" s="149"/>
      <c r="AB32" s="149"/>
      <c r="AC32" s="149"/>
      <c r="AD32" s="150"/>
      <c r="AE32" s="149"/>
      <c r="AF32" s="149"/>
      <c r="AG32" s="149"/>
      <c r="AH32" s="149"/>
      <c r="AI32" s="149"/>
      <c r="AJ32" s="150"/>
      <c r="AK32" s="149"/>
      <c r="AL32" s="149"/>
      <c r="AM32" s="149"/>
      <c r="AN32" s="149"/>
      <c r="AO32" s="149"/>
      <c r="AP32" s="150"/>
      <c r="AQ32" s="149"/>
      <c r="AR32" s="149"/>
      <c r="AS32" s="149"/>
      <c r="AT32" s="149"/>
      <c r="AU32" s="149"/>
      <c r="AV32" s="150"/>
      <c r="AW32" s="149"/>
      <c r="AX32" s="149"/>
      <c r="AY32" s="149"/>
      <c r="AZ32" s="149"/>
      <c r="BA32" s="149"/>
      <c r="BB32" s="150"/>
      <c r="BC32" s="149"/>
      <c r="BD32" s="149"/>
      <c r="BE32" s="149"/>
      <c r="BF32" s="149"/>
      <c r="BG32" s="149"/>
      <c r="BH32" s="150"/>
      <c r="BI32" s="149"/>
      <c r="BJ32" s="149"/>
      <c r="BK32" s="149"/>
      <c r="BL32" s="149"/>
      <c r="BM32" s="149"/>
      <c r="BN32" s="150"/>
      <c r="BO32" s="149"/>
      <c r="BP32" s="149"/>
      <c r="BQ32" s="149"/>
      <c r="BR32" s="149"/>
      <c r="BS32" s="149"/>
      <c r="BT32" s="150"/>
      <c r="BU32" s="149"/>
      <c r="BV32" s="149"/>
      <c r="BW32" s="149"/>
      <c r="BX32" s="149"/>
      <c r="BY32" s="149"/>
      <c r="BZ32" s="150"/>
      <c r="CA32" s="149"/>
      <c r="CB32" s="149"/>
      <c r="CC32" s="149"/>
      <c r="CD32" s="149"/>
      <c r="CE32" s="149"/>
      <c r="CF32" s="150"/>
      <c r="CG32" s="149"/>
      <c r="CH32" s="149"/>
      <c r="CI32" s="149"/>
      <c r="CJ32" s="149"/>
      <c r="CK32" s="149"/>
      <c r="CL32" s="150"/>
      <c r="CM32" s="149"/>
      <c r="CN32" s="149"/>
      <c r="CO32" s="149"/>
      <c r="CP32" s="149"/>
      <c r="CQ32" s="149"/>
      <c r="CR32" s="149"/>
      <c r="CS32" s="149"/>
      <c r="CT32" s="149"/>
      <c r="CU32" s="149"/>
      <c r="CV32" s="149"/>
      <c r="CW32" s="149"/>
      <c r="CX32" s="149"/>
      <c r="CY32" s="149"/>
      <c r="CZ32" s="149"/>
      <c r="DA32" s="149"/>
      <c r="DB32" s="149"/>
      <c r="DC32" s="149"/>
      <c r="DD32" s="149"/>
      <c r="DE32" s="149"/>
      <c r="DF32" s="149"/>
      <c r="DG32" s="149"/>
      <c r="DH32" s="149"/>
      <c r="DI32" s="149"/>
      <c r="DJ32" s="149"/>
      <c r="DK32" s="149"/>
      <c r="DL32" s="149"/>
      <c r="DM32" s="149"/>
      <c r="DN32" s="149"/>
      <c r="DO32" s="149"/>
      <c r="DP32" s="149"/>
      <c r="DQ32" s="149"/>
      <c r="DR32" s="149"/>
      <c r="DS32" s="149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</row>
    <row r="33">
      <c r="A33" s="149"/>
      <c r="B33" s="149"/>
      <c r="C33" s="149"/>
      <c r="D33" s="149"/>
      <c r="E33" s="149"/>
      <c r="F33" s="150"/>
      <c r="G33" s="149"/>
      <c r="H33" s="149"/>
      <c r="I33" s="149"/>
      <c r="J33" s="149"/>
      <c r="K33" s="149"/>
      <c r="L33" s="150"/>
      <c r="M33" s="149"/>
      <c r="N33" s="149"/>
      <c r="O33" s="149"/>
      <c r="P33" s="149"/>
      <c r="Q33" s="149"/>
      <c r="R33" s="150"/>
      <c r="S33" s="149"/>
      <c r="T33" s="149"/>
      <c r="U33" s="149"/>
      <c r="V33" s="149"/>
      <c r="W33" s="149"/>
      <c r="X33" s="150"/>
      <c r="Y33" s="149"/>
      <c r="Z33" s="149"/>
      <c r="AA33" s="149"/>
      <c r="AB33" s="149"/>
      <c r="AC33" s="149"/>
      <c r="AD33" s="150"/>
      <c r="AE33" s="149"/>
      <c r="AF33" s="149"/>
      <c r="AG33" s="149"/>
      <c r="AH33" s="149"/>
      <c r="AI33" s="149"/>
      <c r="AJ33" s="150"/>
      <c r="AK33" s="149"/>
      <c r="AL33" s="149"/>
      <c r="AM33" s="149"/>
      <c r="AN33" s="149"/>
      <c r="AO33" s="149"/>
      <c r="AP33" s="150"/>
      <c r="AQ33" s="149"/>
      <c r="AR33" s="149"/>
      <c r="AS33" s="149"/>
      <c r="AT33" s="149"/>
      <c r="AU33" s="149"/>
      <c r="AV33" s="150"/>
      <c r="AW33" s="149"/>
      <c r="AX33" s="149"/>
      <c r="AY33" s="149"/>
      <c r="AZ33" s="149"/>
      <c r="BA33" s="149"/>
      <c r="BB33" s="150"/>
      <c r="BC33" s="149"/>
      <c r="BD33" s="149"/>
      <c r="BE33" s="149"/>
      <c r="BF33" s="149"/>
      <c r="BG33" s="149"/>
      <c r="BH33" s="150"/>
      <c r="BI33" s="149"/>
      <c r="BJ33" s="149"/>
      <c r="BK33" s="149"/>
      <c r="BL33" s="149"/>
      <c r="BM33" s="149"/>
      <c r="BN33" s="150"/>
      <c r="BO33" s="149"/>
      <c r="BP33" s="149"/>
      <c r="BQ33" s="149"/>
      <c r="BR33" s="149"/>
      <c r="BS33" s="149"/>
      <c r="BT33" s="150"/>
      <c r="BU33" s="149"/>
      <c r="BV33" s="149"/>
      <c r="BW33" s="149"/>
      <c r="BX33" s="149"/>
      <c r="BY33" s="149"/>
      <c r="BZ33" s="150"/>
      <c r="CA33" s="149"/>
      <c r="CB33" s="149"/>
      <c r="CC33" s="149"/>
      <c r="CD33" s="149"/>
      <c r="CE33" s="149"/>
      <c r="CF33" s="150"/>
      <c r="CG33" s="149"/>
      <c r="CH33" s="149"/>
      <c r="CI33" s="149"/>
      <c r="CJ33" s="149"/>
      <c r="CK33" s="149"/>
      <c r="CL33" s="150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</row>
    <row r="34">
      <c r="A34" s="149"/>
      <c r="B34" s="149"/>
      <c r="C34" s="149"/>
      <c r="D34" s="149"/>
      <c r="E34" s="149"/>
      <c r="F34" s="150"/>
      <c r="G34" s="149"/>
      <c r="H34" s="149"/>
      <c r="I34" s="149"/>
      <c r="J34" s="149"/>
      <c r="K34" s="149"/>
      <c r="L34" s="150"/>
      <c r="M34" s="149"/>
      <c r="N34" s="149"/>
      <c r="O34" s="149"/>
      <c r="P34" s="149"/>
      <c r="Q34" s="149"/>
      <c r="R34" s="150"/>
      <c r="S34" s="149"/>
      <c r="T34" s="149"/>
      <c r="U34" s="149"/>
      <c r="V34" s="149"/>
      <c r="W34" s="149"/>
      <c r="X34" s="150"/>
      <c r="Y34" s="149"/>
      <c r="Z34" s="149"/>
      <c r="AA34" s="149"/>
      <c r="AB34" s="149"/>
      <c r="AC34" s="149"/>
      <c r="AD34" s="150"/>
      <c r="AE34" s="149"/>
      <c r="AF34" s="149"/>
      <c r="AG34" s="149"/>
      <c r="AH34" s="149"/>
      <c r="AI34" s="149"/>
      <c r="AJ34" s="150"/>
      <c r="AK34" s="149"/>
      <c r="AL34" s="149"/>
      <c r="AM34" s="149"/>
      <c r="AN34" s="149"/>
      <c r="AO34" s="149"/>
      <c r="AP34" s="150"/>
      <c r="AQ34" s="149"/>
      <c r="AR34" s="149"/>
      <c r="AS34" s="149"/>
      <c r="AT34" s="149"/>
      <c r="AU34" s="149"/>
      <c r="AV34" s="150"/>
      <c r="AW34" s="149"/>
      <c r="AX34" s="149"/>
      <c r="AY34" s="149"/>
      <c r="AZ34" s="149"/>
      <c r="BA34" s="149"/>
      <c r="BB34" s="150"/>
      <c r="BC34" s="149"/>
      <c r="BD34" s="149"/>
      <c r="BE34" s="149"/>
      <c r="BF34" s="149"/>
      <c r="BG34" s="149"/>
      <c r="BH34" s="150"/>
      <c r="BI34" s="149"/>
      <c r="BJ34" s="149"/>
      <c r="BK34" s="149"/>
      <c r="BL34" s="149"/>
      <c r="BM34" s="149"/>
      <c r="BN34" s="150"/>
      <c r="BO34" s="149"/>
      <c r="BP34" s="149"/>
      <c r="BQ34" s="149"/>
      <c r="BR34" s="149"/>
      <c r="BS34" s="149"/>
      <c r="BT34" s="150"/>
      <c r="BU34" s="149"/>
      <c r="BV34" s="149"/>
      <c r="BW34" s="149"/>
      <c r="BX34" s="149"/>
      <c r="BY34" s="149"/>
      <c r="BZ34" s="150"/>
      <c r="CA34" s="149"/>
      <c r="CB34" s="149"/>
      <c r="CC34" s="149"/>
      <c r="CD34" s="149"/>
      <c r="CE34" s="149"/>
      <c r="CF34" s="150"/>
      <c r="CG34" s="149"/>
      <c r="CH34" s="149"/>
      <c r="CI34" s="149"/>
      <c r="CJ34" s="149"/>
      <c r="CK34" s="149"/>
      <c r="CL34" s="150"/>
      <c r="CM34" s="149"/>
      <c r="CN34" s="149"/>
      <c r="CO34" s="149"/>
      <c r="CP34" s="149"/>
      <c r="CQ34" s="149"/>
      <c r="CR34" s="149"/>
      <c r="CS34" s="149"/>
      <c r="CT34" s="149"/>
      <c r="CU34" s="149"/>
      <c r="CV34" s="149"/>
      <c r="CW34" s="149"/>
      <c r="CX34" s="149"/>
      <c r="CY34" s="149"/>
      <c r="CZ34" s="149"/>
      <c r="DA34" s="149"/>
      <c r="DB34" s="149"/>
      <c r="DC34" s="149"/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</row>
    <row r="35">
      <c r="A35" s="149"/>
      <c r="B35" s="149"/>
      <c r="C35" s="149"/>
      <c r="D35" s="149"/>
      <c r="E35" s="149"/>
      <c r="F35" s="150"/>
      <c r="G35" s="149"/>
      <c r="H35" s="149"/>
      <c r="I35" s="149"/>
      <c r="J35" s="149"/>
      <c r="K35" s="149"/>
      <c r="L35" s="150"/>
      <c r="M35" s="149"/>
      <c r="N35" s="149"/>
      <c r="O35" s="149"/>
      <c r="P35" s="149"/>
      <c r="Q35" s="149"/>
      <c r="R35" s="150"/>
      <c r="S35" s="149"/>
      <c r="T35" s="149"/>
      <c r="U35" s="149"/>
      <c r="V35" s="149"/>
      <c r="W35" s="149"/>
      <c r="X35" s="150"/>
      <c r="Y35" s="149"/>
      <c r="Z35" s="149"/>
      <c r="AA35" s="149"/>
      <c r="AB35" s="149"/>
      <c r="AC35" s="149"/>
      <c r="AD35" s="150"/>
      <c r="AE35" s="149"/>
      <c r="AF35" s="149"/>
      <c r="AG35" s="149"/>
      <c r="AH35" s="149"/>
      <c r="AI35" s="149"/>
      <c r="AJ35" s="150"/>
      <c r="AK35" s="149"/>
      <c r="AL35" s="149"/>
      <c r="AM35" s="149"/>
      <c r="AN35" s="149"/>
      <c r="AO35" s="149"/>
      <c r="AP35" s="150"/>
      <c r="AQ35" s="149"/>
      <c r="AR35" s="149"/>
      <c r="AS35" s="149"/>
      <c r="AT35" s="149"/>
      <c r="AU35" s="149"/>
      <c r="AV35" s="150"/>
      <c r="AW35" s="149"/>
      <c r="AX35" s="149"/>
      <c r="AY35" s="149"/>
      <c r="AZ35" s="149"/>
      <c r="BA35" s="149"/>
      <c r="BB35" s="150"/>
      <c r="BC35" s="149"/>
      <c r="BD35" s="149"/>
      <c r="BE35" s="149"/>
      <c r="BF35" s="149"/>
      <c r="BG35" s="149"/>
      <c r="BH35" s="150"/>
      <c r="BI35" s="149"/>
      <c r="BJ35" s="149"/>
      <c r="BK35" s="149"/>
      <c r="BL35" s="149"/>
      <c r="BM35" s="149"/>
      <c r="BN35" s="150"/>
      <c r="BO35" s="149"/>
      <c r="BP35" s="149"/>
      <c r="BQ35" s="149"/>
      <c r="BR35" s="149"/>
      <c r="BS35" s="149"/>
      <c r="BT35" s="150"/>
      <c r="BU35" s="149"/>
      <c r="BV35" s="149"/>
      <c r="BW35" s="149"/>
      <c r="BX35" s="149"/>
      <c r="BY35" s="149"/>
      <c r="BZ35" s="150"/>
      <c r="CA35" s="149"/>
      <c r="CB35" s="149"/>
      <c r="CC35" s="149"/>
      <c r="CD35" s="149"/>
      <c r="CE35" s="149"/>
      <c r="CF35" s="150"/>
      <c r="CG35" s="149"/>
      <c r="CH35" s="149"/>
      <c r="CI35" s="149"/>
      <c r="CJ35" s="149"/>
      <c r="CK35" s="149"/>
      <c r="CL35" s="150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  <c r="DB35" s="149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49"/>
      <c r="DO35" s="149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</row>
    <row r="36">
      <c r="A36" s="149"/>
      <c r="B36" s="149"/>
      <c r="C36" s="149"/>
      <c r="D36" s="149"/>
      <c r="E36" s="149"/>
      <c r="F36" s="150"/>
      <c r="G36" s="149"/>
      <c r="H36" s="149"/>
      <c r="I36" s="149"/>
      <c r="J36" s="149"/>
      <c r="K36" s="149"/>
      <c r="L36" s="150"/>
      <c r="M36" s="149"/>
      <c r="N36" s="149"/>
      <c r="O36" s="149"/>
      <c r="P36" s="149"/>
      <c r="Q36" s="149"/>
      <c r="R36" s="150"/>
      <c r="S36" s="149"/>
      <c r="T36" s="149"/>
      <c r="U36" s="149"/>
      <c r="V36" s="149"/>
      <c r="W36" s="149"/>
      <c r="X36" s="150"/>
      <c r="Y36" s="149"/>
      <c r="Z36" s="149"/>
      <c r="AA36" s="149"/>
      <c r="AB36" s="149"/>
      <c r="AC36" s="149"/>
      <c r="AD36" s="150"/>
      <c r="AE36" s="149"/>
      <c r="AF36" s="149"/>
      <c r="AG36" s="149"/>
      <c r="AH36" s="149"/>
      <c r="AI36" s="149"/>
      <c r="AJ36" s="150"/>
      <c r="AK36" s="149"/>
      <c r="AL36" s="149"/>
      <c r="AM36" s="149"/>
      <c r="AN36" s="149"/>
      <c r="AO36" s="149"/>
      <c r="AP36" s="150"/>
      <c r="AQ36" s="149"/>
      <c r="AR36" s="149"/>
      <c r="AS36" s="149"/>
      <c r="AT36" s="149"/>
      <c r="AU36" s="149"/>
      <c r="AV36" s="150"/>
      <c r="AW36" s="149"/>
      <c r="AX36" s="149"/>
      <c r="AY36" s="149"/>
      <c r="AZ36" s="149"/>
      <c r="BA36" s="149"/>
      <c r="BB36" s="150"/>
      <c r="BC36" s="149"/>
      <c r="BD36" s="149"/>
      <c r="BE36" s="149"/>
      <c r="BF36" s="149"/>
      <c r="BG36" s="149"/>
      <c r="BH36" s="150"/>
      <c r="BI36" s="149"/>
      <c r="BJ36" s="149"/>
      <c r="BK36" s="149"/>
      <c r="BL36" s="149"/>
      <c r="BM36" s="149"/>
      <c r="BN36" s="150"/>
      <c r="BO36" s="149"/>
      <c r="BP36" s="149"/>
      <c r="BQ36" s="149"/>
      <c r="BR36" s="149"/>
      <c r="BS36" s="149"/>
      <c r="BT36" s="150"/>
      <c r="BU36" s="149"/>
      <c r="BV36" s="149"/>
      <c r="BW36" s="149"/>
      <c r="BX36" s="149"/>
      <c r="BY36" s="149"/>
      <c r="BZ36" s="150"/>
      <c r="CA36" s="149"/>
      <c r="CB36" s="149"/>
      <c r="CC36" s="149"/>
      <c r="CD36" s="149"/>
      <c r="CE36" s="149"/>
      <c r="CF36" s="150"/>
      <c r="CG36" s="149"/>
      <c r="CH36" s="149"/>
      <c r="CI36" s="149"/>
      <c r="CJ36" s="149"/>
      <c r="CK36" s="149"/>
      <c r="CL36" s="150"/>
      <c r="CM36" s="149"/>
      <c r="CN36" s="149"/>
      <c r="CO36" s="149"/>
      <c r="CP36" s="149"/>
      <c r="CQ36" s="149"/>
      <c r="CR36" s="149"/>
      <c r="CS36" s="149"/>
      <c r="CT36" s="149"/>
      <c r="CU36" s="149"/>
      <c r="CV36" s="149"/>
      <c r="CW36" s="149"/>
      <c r="CX36" s="149"/>
      <c r="CY36" s="149"/>
      <c r="CZ36" s="149"/>
      <c r="DA36" s="149"/>
      <c r="DB36" s="149"/>
      <c r="DC36" s="149"/>
      <c r="DD36" s="149"/>
      <c r="DE36" s="149"/>
      <c r="DF36" s="149"/>
      <c r="DG36" s="149"/>
      <c r="DH36" s="149"/>
      <c r="DI36" s="149"/>
      <c r="DJ36" s="149"/>
      <c r="DK36" s="149"/>
      <c r="DL36" s="149"/>
      <c r="DM36" s="149"/>
      <c r="DN36" s="149"/>
      <c r="DO36" s="149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</row>
    <row r="37">
      <c r="A37" s="149"/>
      <c r="B37" s="149"/>
      <c r="C37" s="149"/>
      <c r="D37" s="149"/>
      <c r="E37" s="149"/>
      <c r="F37" s="150"/>
      <c r="G37" s="149"/>
      <c r="H37" s="149"/>
      <c r="I37" s="149"/>
      <c r="J37" s="149"/>
      <c r="K37" s="149"/>
      <c r="L37" s="150"/>
      <c r="M37" s="149"/>
      <c r="N37" s="149"/>
      <c r="O37" s="149"/>
      <c r="P37" s="149"/>
      <c r="Q37" s="149"/>
      <c r="R37" s="150"/>
      <c r="S37" s="149"/>
      <c r="T37" s="149"/>
      <c r="U37" s="149"/>
      <c r="V37" s="149"/>
      <c r="W37" s="149"/>
      <c r="X37" s="150"/>
      <c r="Y37" s="149"/>
      <c r="Z37" s="149"/>
      <c r="AA37" s="149"/>
      <c r="AB37" s="149"/>
      <c r="AC37" s="149"/>
      <c r="AD37" s="150"/>
      <c r="AE37" s="149"/>
      <c r="AF37" s="149"/>
      <c r="AG37" s="149"/>
      <c r="AH37" s="149"/>
      <c r="AI37" s="149"/>
      <c r="AJ37" s="150"/>
      <c r="AK37" s="149"/>
      <c r="AL37" s="149"/>
      <c r="AM37" s="149"/>
      <c r="AN37" s="149"/>
      <c r="AO37" s="149"/>
      <c r="AP37" s="150"/>
      <c r="AQ37" s="149"/>
      <c r="AR37" s="149"/>
      <c r="AS37" s="149"/>
      <c r="AT37" s="149"/>
      <c r="AU37" s="149"/>
      <c r="AV37" s="150"/>
      <c r="AW37" s="149"/>
      <c r="AX37" s="149"/>
      <c r="AY37" s="149"/>
      <c r="AZ37" s="149"/>
      <c r="BA37" s="149"/>
      <c r="BB37" s="150"/>
      <c r="BC37" s="149"/>
      <c r="BD37" s="149"/>
      <c r="BE37" s="149"/>
      <c r="BF37" s="149"/>
      <c r="BG37" s="149"/>
      <c r="BH37" s="150"/>
      <c r="BI37" s="149"/>
      <c r="BJ37" s="149"/>
      <c r="BK37" s="149"/>
      <c r="BL37" s="149"/>
      <c r="BM37" s="149"/>
      <c r="BN37" s="150"/>
      <c r="BO37" s="149"/>
      <c r="BP37" s="149"/>
      <c r="BQ37" s="149"/>
      <c r="BR37" s="149"/>
      <c r="BS37" s="149"/>
      <c r="BT37" s="150"/>
      <c r="BU37" s="149"/>
      <c r="BV37" s="149"/>
      <c r="BW37" s="149"/>
      <c r="BX37" s="149"/>
      <c r="BY37" s="149"/>
      <c r="BZ37" s="150"/>
      <c r="CA37" s="149"/>
      <c r="CB37" s="149"/>
      <c r="CC37" s="149"/>
      <c r="CD37" s="149"/>
      <c r="CE37" s="149"/>
      <c r="CF37" s="150"/>
      <c r="CG37" s="149"/>
      <c r="CH37" s="149"/>
      <c r="CI37" s="149"/>
      <c r="CJ37" s="149"/>
      <c r="CK37" s="149"/>
      <c r="CL37" s="150"/>
      <c r="CM37" s="149"/>
      <c r="CN37" s="149"/>
      <c r="CO37" s="149"/>
      <c r="CP37" s="149"/>
      <c r="CQ37" s="149"/>
      <c r="CR37" s="149"/>
      <c r="CS37" s="149"/>
      <c r="CT37" s="149"/>
      <c r="CU37" s="149"/>
      <c r="CV37" s="149"/>
      <c r="CW37" s="149"/>
      <c r="CX37" s="149"/>
      <c r="CY37" s="149"/>
      <c r="CZ37" s="149"/>
      <c r="DA37" s="149"/>
      <c r="DB37" s="149"/>
      <c r="DC37" s="149"/>
      <c r="DD37" s="149"/>
      <c r="DE37" s="149"/>
      <c r="DF37" s="149"/>
      <c r="DG37" s="149"/>
      <c r="DH37" s="149"/>
      <c r="DI37" s="149"/>
      <c r="DJ37" s="149"/>
      <c r="DK37" s="149"/>
      <c r="DL37" s="149"/>
      <c r="DM37" s="149"/>
      <c r="DN37" s="149"/>
      <c r="DO37" s="149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</row>
    <row r="38">
      <c r="A38" s="149"/>
      <c r="B38" s="149"/>
      <c r="C38" s="149"/>
      <c r="D38" s="149"/>
      <c r="E38" s="149"/>
      <c r="F38" s="150"/>
      <c r="G38" s="149"/>
      <c r="H38" s="149"/>
      <c r="I38" s="149"/>
      <c r="J38" s="149"/>
      <c r="K38" s="149"/>
      <c r="L38" s="150"/>
      <c r="M38" s="149"/>
      <c r="N38" s="149"/>
      <c r="O38" s="149"/>
      <c r="P38" s="149"/>
      <c r="Q38" s="149"/>
      <c r="R38" s="150"/>
      <c r="S38" s="149"/>
      <c r="T38" s="149"/>
      <c r="U38" s="149"/>
      <c r="V38" s="149"/>
      <c r="W38" s="149"/>
      <c r="X38" s="150"/>
      <c r="Y38" s="149"/>
      <c r="Z38" s="149"/>
      <c r="AA38" s="149"/>
      <c r="AB38" s="149"/>
      <c r="AC38" s="149"/>
      <c r="AD38" s="150"/>
      <c r="AE38" s="149"/>
      <c r="AF38" s="149"/>
      <c r="AG38" s="149"/>
      <c r="AH38" s="149"/>
      <c r="AI38" s="149"/>
      <c r="AJ38" s="150"/>
      <c r="AK38" s="149"/>
      <c r="AL38" s="149"/>
      <c r="AM38" s="149"/>
      <c r="AN38" s="149"/>
      <c r="AO38" s="149"/>
      <c r="AP38" s="150"/>
      <c r="AQ38" s="149"/>
      <c r="AR38" s="149"/>
      <c r="AS38" s="149"/>
      <c r="AT38" s="149"/>
      <c r="AU38" s="149"/>
      <c r="AV38" s="150"/>
      <c r="AW38" s="149"/>
      <c r="AX38" s="149"/>
      <c r="AY38" s="149"/>
      <c r="AZ38" s="149"/>
      <c r="BA38" s="149"/>
      <c r="BB38" s="150"/>
      <c r="BC38" s="149"/>
      <c r="BD38" s="149"/>
      <c r="BE38" s="149"/>
      <c r="BF38" s="149"/>
      <c r="BG38" s="149"/>
      <c r="BH38" s="150"/>
      <c r="BI38" s="149"/>
      <c r="BJ38" s="149"/>
      <c r="BK38" s="149"/>
      <c r="BL38" s="149"/>
      <c r="BM38" s="149"/>
      <c r="BN38" s="150"/>
      <c r="BO38" s="149"/>
      <c r="BP38" s="149"/>
      <c r="BQ38" s="149"/>
      <c r="BR38" s="149"/>
      <c r="BS38" s="149"/>
      <c r="BT38" s="150"/>
      <c r="BU38" s="149"/>
      <c r="BV38" s="149"/>
      <c r="BW38" s="149"/>
      <c r="BX38" s="149"/>
      <c r="BY38" s="149"/>
      <c r="BZ38" s="150"/>
      <c r="CA38" s="149"/>
      <c r="CB38" s="149"/>
      <c r="CC38" s="149"/>
      <c r="CD38" s="149"/>
      <c r="CE38" s="149"/>
      <c r="CF38" s="150"/>
      <c r="CG38" s="149"/>
      <c r="CH38" s="149"/>
      <c r="CI38" s="149"/>
      <c r="CJ38" s="149"/>
      <c r="CK38" s="149"/>
      <c r="CL38" s="150"/>
      <c r="CM38" s="149"/>
      <c r="CN38" s="149"/>
      <c r="CO38" s="149"/>
      <c r="CP38" s="149"/>
      <c r="CQ38" s="149"/>
      <c r="CR38" s="149"/>
      <c r="CS38" s="149"/>
      <c r="CT38" s="149"/>
      <c r="CU38" s="149"/>
      <c r="CV38" s="149"/>
      <c r="CW38" s="149"/>
      <c r="CX38" s="149"/>
      <c r="CY38" s="149"/>
      <c r="CZ38" s="149"/>
      <c r="DA38" s="149"/>
      <c r="DB38" s="149"/>
      <c r="DC38" s="149"/>
      <c r="DD38" s="149"/>
      <c r="DE38" s="149"/>
      <c r="DF38" s="149"/>
      <c r="DG38" s="149"/>
      <c r="DH38" s="149"/>
      <c r="DI38" s="149"/>
      <c r="DJ38" s="149"/>
      <c r="DK38" s="149"/>
      <c r="DL38" s="149"/>
      <c r="DM38" s="149"/>
      <c r="DN38" s="149"/>
      <c r="DO38" s="149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</row>
    <row r="39">
      <c r="A39" s="174"/>
      <c r="B39" s="174"/>
      <c r="C39" s="174"/>
      <c r="D39" s="174"/>
      <c r="E39" s="174"/>
      <c r="F39" s="175"/>
      <c r="G39" s="174"/>
      <c r="H39" s="174"/>
      <c r="I39" s="174"/>
      <c r="J39" s="174"/>
      <c r="K39" s="174"/>
      <c r="L39" s="175"/>
      <c r="M39" s="174"/>
      <c r="N39" s="174"/>
      <c r="O39" s="174"/>
      <c r="P39" s="174"/>
      <c r="Q39" s="174"/>
      <c r="R39" s="175"/>
      <c r="S39" s="174"/>
      <c r="T39" s="174"/>
      <c r="U39" s="174"/>
      <c r="V39" s="174"/>
      <c r="W39" s="174"/>
      <c r="X39" s="175"/>
      <c r="Y39" s="174"/>
      <c r="Z39" s="174"/>
      <c r="AA39" s="174"/>
      <c r="AB39" s="174"/>
      <c r="AC39" s="174"/>
      <c r="AD39" s="175"/>
      <c r="AE39" s="174"/>
      <c r="AF39" s="174"/>
      <c r="AG39" s="174"/>
      <c r="AH39" s="174"/>
      <c r="AI39" s="174"/>
      <c r="AJ39" s="175"/>
      <c r="AK39" s="174"/>
      <c r="AL39" s="174"/>
      <c r="AM39" s="174"/>
      <c r="AN39" s="174"/>
      <c r="AO39" s="174"/>
      <c r="AP39" s="175"/>
      <c r="AQ39" s="174"/>
      <c r="AR39" s="174"/>
      <c r="AS39" s="174"/>
      <c r="AT39" s="174"/>
      <c r="AU39" s="174"/>
      <c r="AV39" s="175"/>
      <c r="AW39" s="174"/>
      <c r="AX39" s="174"/>
      <c r="AY39" s="174"/>
      <c r="AZ39" s="174"/>
      <c r="BA39" s="174"/>
      <c r="BB39" s="175"/>
      <c r="BC39" s="174"/>
      <c r="BD39" s="174"/>
      <c r="BE39" s="174"/>
      <c r="BF39" s="174"/>
      <c r="BG39" s="174"/>
      <c r="BH39" s="175"/>
      <c r="BI39" s="174"/>
      <c r="BJ39" s="174"/>
      <c r="BK39" s="174"/>
      <c r="BL39" s="174"/>
      <c r="BM39" s="174"/>
      <c r="BN39" s="175"/>
      <c r="BO39" s="174"/>
      <c r="BP39" s="174"/>
      <c r="BQ39" s="174"/>
      <c r="BR39" s="174"/>
      <c r="BS39" s="174"/>
      <c r="BT39" s="175"/>
      <c r="BU39" s="174"/>
      <c r="BV39" s="174"/>
      <c r="BW39" s="174"/>
      <c r="BX39" s="174"/>
      <c r="BY39" s="174"/>
      <c r="BZ39" s="175"/>
      <c r="CA39" s="174"/>
      <c r="CB39" s="174"/>
      <c r="CC39" s="174"/>
      <c r="CD39" s="174"/>
      <c r="CE39" s="174"/>
      <c r="CF39" s="175"/>
      <c r="CG39" s="174"/>
      <c r="CH39" s="174"/>
      <c r="CI39" s="174"/>
      <c r="CJ39" s="174"/>
      <c r="CK39" s="174"/>
      <c r="CL39" s="175"/>
      <c r="CM39" s="174"/>
      <c r="CN39" s="174"/>
      <c r="CO39" s="174"/>
      <c r="CP39" s="174"/>
      <c r="CQ39" s="174"/>
      <c r="CR39" s="174"/>
      <c r="CS39" s="174"/>
      <c r="CT39" s="174"/>
      <c r="CU39" s="174"/>
      <c r="CV39" s="174"/>
      <c r="CW39" s="174"/>
      <c r="CX39" s="174"/>
      <c r="CY39" s="174"/>
      <c r="CZ39" s="174"/>
      <c r="DA39" s="174"/>
      <c r="DB39" s="174"/>
      <c r="DC39" s="174"/>
      <c r="DD39" s="174"/>
      <c r="DE39" s="174"/>
      <c r="DF39" s="174"/>
      <c r="DG39" s="174"/>
      <c r="DH39" s="174"/>
      <c r="DI39" s="174"/>
      <c r="DJ39" s="174"/>
      <c r="DK39" s="174"/>
      <c r="DL39" s="174"/>
      <c r="DM39" s="174"/>
      <c r="DN39" s="174"/>
      <c r="DO39" s="174"/>
      <c r="DP39" s="174"/>
      <c r="DQ39" s="174"/>
      <c r="DR39" s="174"/>
      <c r="DS39" s="174"/>
      <c r="DT39" s="174"/>
      <c r="DU39" s="174"/>
      <c r="DV39" s="174"/>
      <c r="DW39" s="174"/>
      <c r="DX39" s="174"/>
      <c r="DY39" s="174"/>
      <c r="DZ39" s="174"/>
      <c r="EA39" s="174"/>
      <c r="EB39" s="174"/>
      <c r="EC39" s="174"/>
      <c r="ED39" s="174"/>
      <c r="EE39" s="174"/>
      <c r="EF39" s="174"/>
      <c r="EG39" s="174"/>
      <c r="EH39" s="174"/>
      <c r="EI39" s="174"/>
      <c r="EJ39" s="174"/>
      <c r="EK39" s="174"/>
      <c r="EL39" s="174"/>
      <c r="EM39" s="174"/>
      <c r="EN39" s="174"/>
    </row>
    <row r="40">
      <c r="C40" s="7"/>
      <c r="F40" s="142"/>
      <c r="L40" s="142"/>
      <c r="R40" s="142"/>
      <c r="X40" s="142"/>
      <c r="AD40" s="142"/>
      <c r="AJ40" s="142"/>
      <c r="AP40" s="142"/>
      <c r="AV40" s="142"/>
      <c r="BB40" s="142"/>
      <c r="BH40" s="142"/>
      <c r="BN40" s="142"/>
      <c r="BT40" s="142"/>
      <c r="BZ40" s="142"/>
      <c r="CF40" s="142"/>
      <c r="CL40" s="142"/>
    </row>
    <row r="41">
      <c r="A41" s="155"/>
      <c r="B41" s="155"/>
      <c r="C41" s="155"/>
      <c r="D41" s="155"/>
      <c r="E41" s="155"/>
      <c r="F41" s="156"/>
      <c r="G41" s="155"/>
      <c r="H41" s="155"/>
      <c r="I41" s="155"/>
      <c r="J41" s="155"/>
      <c r="K41" s="155"/>
      <c r="L41" s="156"/>
      <c r="M41" s="155"/>
      <c r="N41" s="155"/>
      <c r="O41" s="155"/>
      <c r="P41" s="155"/>
      <c r="Q41" s="155"/>
      <c r="R41" s="156"/>
      <c r="S41" s="155"/>
      <c r="T41" s="155"/>
      <c r="U41" s="155"/>
      <c r="V41" s="155"/>
      <c r="W41" s="155"/>
      <c r="X41" s="156"/>
      <c r="Y41" s="155"/>
      <c r="Z41" s="155"/>
      <c r="AA41" s="155"/>
      <c r="AB41" s="155"/>
      <c r="AC41" s="155"/>
      <c r="AD41" s="156"/>
      <c r="AE41" s="155"/>
      <c r="AF41" s="155"/>
      <c r="AG41" s="155"/>
      <c r="AH41" s="155"/>
      <c r="AI41" s="155"/>
      <c r="AJ41" s="156"/>
      <c r="AK41" s="155"/>
      <c r="AL41" s="155"/>
      <c r="AM41" s="155"/>
      <c r="AN41" s="155"/>
      <c r="AO41" s="155"/>
      <c r="AP41" s="156"/>
      <c r="AQ41" s="155"/>
      <c r="AR41" s="155"/>
      <c r="AS41" s="155"/>
      <c r="AT41" s="155"/>
      <c r="AU41" s="155"/>
      <c r="AV41" s="156"/>
      <c r="AW41" s="155"/>
      <c r="AX41" s="155"/>
      <c r="AY41" s="155"/>
      <c r="AZ41" s="155"/>
      <c r="BA41" s="155"/>
      <c r="BB41" s="156"/>
      <c r="BC41" s="155"/>
      <c r="BD41" s="155"/>
      <c r="BE41" s="155"/>
      <c r="BF41" s="155"/>
      <c r="BG41" s="155"/>
      <c r="BH41" s="156"/>
      <c r="BI41" s="155"/>
      <c r="BJ41" s="155"/>
      <c r="BK41" s="155"/>
      <c r="BL41" s="155"/>
      <c r="BM41" s="155"/>
      <c r="BN41" s="156"/>
      <c r="BO41" s="155"/>
      <c r="BP41" s="155"/>
      <c r="BQ41" s="155"/>
      <c r="BR41" s="155"/>
      <c r="BS41" s="155"/>
      <c r="BT41" s="156"/>
      <c r="BU41" s="155"/>
      <c r="BV41" s="155"/>
      <c r="BW41" s="155"/>
      <c r="BX41" s="155"/>
      <c r="BY41" s="155"/>
      <c r="BZ41" s="156"/>
      <c r="CA41" s="155"/>
      <c r="CB41" s="155"/>
      <c r="CC41" s="155"/>
      <c r="CD41" s="155"/>
      <c r="CE41" s="155"/>
      <c r="CF41" s="156"/>
      <c r="CG41" s="155"/>
      <c r="CH41" s="155"/>
      <c r="CI41" s="155"/>
      <c r="CJ41" s="155"/>
      <c r="CK41" s="155"/>
      <c r="CL41" s="156"/>
      <c r="CM41" s="155"/>
      <c r="CN41" s="155"/>
      <c r="CO41" s="155"/>
      <c r="CP41" s="155"/>
      <c r="CQ41" s="155"/>
      <c r="CR41" s="155"/>
      <c r="CS41" s="155"/>
      <c r="CT41" s="155"/>
      <c r="CU41" s="155"/>
      <c r="CV41" s="155"/>
      <c r="CW41" s="155"/>
      <c r="CX41" s="155"/>
      <c r="CY41" s="155"/>
      <c r="CZ41" s="155"/>
      <c r="DA41" s="155"/>
      <c r="DB41" s="155"/>
      <c r="DC41" s="155"/>
      <c r="DD41" s="155"/>
      <c r="DE41" s="155"/>
      <c r="DF41" s="155"/>
      <c r="DG41" s="155"/>
      <c r="DH41" s="155"/>
      <c r="DI41" s="155"/>
      <c r="DJ41" s="155"/>
      <c r="DK41" s="155"/>
      <c r="DL41" s="155"/>
      <c r="DM41" s="155"/>
      <c r="DN41" s="155"/>
      <c r="DO41" s="155"/>
      <c r="DP41" s="155"/>
      <c r="DQ41" s="155"/>
      <c r="DR41" s="155"/>
      <c r="DS41" s="155"/>
      <c r="DT41" s="155"/>
      <c r="DU41" s="155"/>
      <c r="DV41" s="155"/>
      <c r="DW41" s="155"/>
      <c r="DX41" s="155"/>
      <c r="DY41" s="155"/>
      <c r="DZ41" s="155"/>
      <c r="EA41" s="155"/>
      <c r="EB41" s="155"/>
      <c r="EC41" s="155"/>
      <c r="ED41" s="155"/>
      <c r="EE41" s="155"/>
      <c r="EF41" s="155"/>
      <c r="EG41" s="155"/>
      <c r="EH41" s="155"/>
      <c r="EI41" s="155"/>
      <c r="EJ41" s="155"/>
      <c r="EK41" s="155"/>
      <c r="EL41" s="155"/>
      <c r="EM41" s="155"/>
      <c r="EN41" s="155"/>
    </row>
    <row r="42">
      <c r="A42" s="120"/>
      <c r="B42" s="120"/>
      <c r="C42" s="120"/>
      <c r="D42" s="120"/>
      <c r="E42" s="120"/>
      <c r="F42" s="157"/>
      <c r="G42" s="120"/>
      <c r="H42" s="120"/>
      <c r="I42" s="120"/>
      <c r="J42" s="120"/>
      <c r="K42" s="120"/>
      <c r="L42" s="157"/>
      <c r="M42" s="120"/>
      <c r="N42" s="120"/>
      <c r="O42" s="120"/>
      <c r="P42" s="120"/>
      <c r="Q42" s="120"/>
      <c r="R42" s="157"/>
      <c r="S42" s="120"/>
      <c r="T42" s="120"/>
      <c r="U42" s="120"/>
      <c r="V42" s="120"/>
      <c r="W42" s="120"/>
      <c r="X42" s="157"/>
      <c r="Y42" s="120"/>
      <c r="Z42" s="120"/>
      <c r="AA42" s="120"/>
      <c r="AB42" s="120"/>
      <c r="AC42" s="120"/>
      <c r="AD42" s="157"/>
      <c r="AE42" s="120"/>
      <c r="AF42" s="120"/>
      <c r="AG42" s="120"/>
      <c r="AH42" s="120"/>
      <c r="AI42" s="120"/>
      <c r="AJ42" s="157"/>
      <c r="AK42" s="120"/>
      <c r="AL42" s="120"/>
      <c r="AM42" s="120"/>
      <c r="AN42" s="120"/>
      <c r="AO42" s="120"/>
      <c r="AP42" s="157"/>
      <c r="AQ42" s="120"/>
      <c r="AR42" s="120"/>
      <c r="AS42" s="120"/>
      <c r="AT42" s="120"/>
      <c r="AU42" s="120"/>
      <c r="AV42" s="157"/>
      <c r="AW42" s="120"/>
      <c r="AX42" s="120"/>
      <c r="AY42" s="120"/>
      <c r="AZ42" s="120"/>
      <c r="BA42" s="120"/>
      <c r="BB42" s="157"/>
      <c r="BC42" s="120"/>
      <c r="BD42" s="120"/>
      <c r="BE42" s="120"/>
      <c r="BF42" s="120"/>
      <c r="BG42" s="120"/>
      <c r="BH42" s="157"/>
      <c r="BI42" s="120"/>
      <c r="BJ42" s="120"/>
      <c r="BK42" s="120"/>
      <c r="BL42" s="120"/>
      <c r="BM42" s="120"/>
      <c r="BN42" s="157"/>
      <c r="BO42" s="120"/>
      <c r="BP42" s="120"/>
      <c r="BQ42" s="120"/>
      <c r="BR42" s="120"/>
      <c r="BS42" s="120"/>
      <c r="BT42" s="157"/>
      <c r="BU42" s="120"/>
      <c r="BV42" s="120"/>
      <c r="BW42" s="120"/>
      <c r="BX42" s="120"/>
      <c r="BY42" s="120"/>
      <c r="BZ42" s="157"/>
      <c r="CA42" s="120"/>
      <c r="CB42" s="120"/>
      <c r="CC42" s="120"/>
      <c r="CD42" s="120"/>
      <c r="CE42" s="120"/>
      <c r="CF42" s="157"/>
      <c r="CG42" s="120"/>
      <c r="CH42" s="120"/>
      <c r="CI42" s="120"/>
      <c r="CJ42" s="120"/>
      <c r="CK42" s="120"/>
      <c r="CL42" s="157"/>
      <c r="CM42" s="120"/>
      <c r="CN42" s="120"/>
      <c r="CO42" s="120"/>
      <c r="CP42" s="120"/>
      <c r="CQ42" s="120"/>
      <c r="CR42" s="120"/>
      <c r="CS42" s="120"/>
      <c r="CT42" s="120"/>
      <c r="CU42" s="120"/>
      <c r="CV42" s="120"/>
      <c r="CW42" s="120"/>
      <c r="CX42" s="120"/>
      <c r="CY42" s="120"/>
      <c r="CZ42" s="120"/>
      <c r="DA42" s="120"/>
      <c r="DB42" s="120"/>
      <c r="DC42" s="120"/>
      <c r="DD42" s="120"/>
      <c r="DE42" s="120"/>
      <c r="DF42" s="120"/>
      <c r="DG42" s="120"/>
      <c r="DH42" s="120"/>
      <c r="DI42" s="120"/>
      <c r="DJ42" s="120"/>
      <c r="DK42" s="120"/>
      <c r="DL42" s="120"/>
      <c r="DM42" s="120"/>
      <c r="DN42" s="120"/>
      <c r="DO42" s="120"/>
      <c r="DP42" s="120"/>
      <c r="DQ42" s="120"/>
      <c r="DR42" s="120"/>
      <c r="DS42" s="120"/>
      <c r="DT42" s="120"/>
      <c r="DU42" s="120"/>
      <c r="DV42" s="120"/>
      <c r="DW42" s="120"/>
      <c r="DX42" s="120"/>
      <c r="DY42" s="120"/>
      <c r="DZ42" s="120"/>
      <c r="EA42" s="120"/>
      <c r="EB42" s="120"/>
      <c r="EC42" s="120"/>
      <c r="ED42" s="120"/>
      <c r="EE42" s="120"/>
      <c r="EF42" s="120"/>
      <c r="EG42" s="120"/>
      <c r="EH42" s="120"/>
      <c r="EI42" s="120"/>
      <c r="EJ42" s="120"/>
      <c r="EK42" s="120"/>
      <c r="EL42" s="120"/>
      <c r="EM42" s="120"/>
      <c r="EN42" s="120"/>
    </row>
    <row r="43">
      <c r="A43" s="120"/>
      <c r="B43" s="120"/>
      <c r="C43" s="120"/>
      <c r="D43" s="120"/>
      <c r="E43" s="120"/>
      <c r="F43" s="157"/>
      <c r="G43" s="120"/>
      <c r="H43" s="120"/>
      <c r="I43" s="120"/>
      <c r="J43" s="120"/>
      <c r="K43" s="120"/>
      <c r="L43" s="157"/>
      <c r="M43" s="120"/>
      <c r="N43" s="120"/>
      <c r="O43" s="120"/>
      <c r="P43" s="120"/>
      <c r="Q43" s="120"/>
      <c r="R43" s="157"/>
      <c r="S43" s="120"/>
      <c r="T43" s="120"/>
      <c r="U43" s="120"/>
      <c r="V43" s="120"/>
      <c r="W43" s="120"/>
      <c r="X43" s="157"/>
      <c r="Y43" s="120"/>
      <c r="Z43" s="120"/>
      <c r="AA43" s="120"/>
      <c r="AB43" s="120"/>
      <c r="AC43" s="120"/>
      <c r="AD43" s="157"/>
      <c r="AE43" s="120"/>
      <c r="AF43" s="120"/>
      <c r="AG43" s="120"/>
      <c r="AH43" s="120"/>
      <c r="AI43" s="120"/>
      <c r="AJ43" s="157"/>
      <c r="AK43" s="120"/>
      <c r="AL43" s="120"/>
      <c r="AM43" s="120"/>
      <c r="AN43" s="120"/>
      <c r="AO43" s="120"/>
      <c r="AP43" s="157"/>
      <c r="AQ43" s="120"/>
      <c r="AR43" s="120"/>
      <c r="AS43" s="120"/>
      <c r="AT43" s="120"/>
      <c r="AU43" s="120"/>
      <c r="AV43" s="157"/>
      <c r="AW43" s="120"/>
      <c r="AX43" s="120"/>
      <c r="AY43" s="120"/>
      <c r="AZ43" s="120"/>
      <c r="BA43" s="120"/>
      <c r="BB43" s="157"/>
      <c r="BC43" s="120"/>
      <c r="BD43" s="120"/>
      <c r="BE43" s="120"/>
      <c r="BF43" s="120"/>
      <c r="BG43" s="120"/>
      <c r="BH43" s="157"/>
      <c r="BI43" s="120"/>
      <c r="BJ43" s="120"/>
      <c r="BK43" s="120"/>
      <c r="BL43" s="120"/>
      <c r="BM43" s="120"/>
      <c r="BN43" s="157"/>
      <c r="BO43" s="120"/>
      <c r="BP43" s="120"/>
      <c r="BQ43" s="120"/>
      <c r="BR43" s="120"/>
      <c r="BS43" s="120"/>
      <c r="BT43" s="157"/>
      <c r="BU43" s="120"/>
      <c r="BV43" s="120"/>
      <c r="BW43" s="120"/>
      <c r="BX43" s="120"/>
      <c r="BY43" s="120"/>
      <c r="BZ43" s="157"/>
      <c r="CA43" s="120"/>
      <c r="CB43" s="120"/>
      <c r="CC43" s="120"/>
      <c r="CD43" s="120"/>
      <c r="CE43" s="120"/>
      <c r="CF43" s="157"/>
      <c r="CG43" s="120"/>
      <c r="CH43" s="120"/>
      <c r="CI43" s="120"/>
      <c r="CJ43" s="120"/>
      <c r="CK43" s="120"/>
      <c r="CL43" s="157"/>
      <c r="CM43" s="120"/>
      <c r="CN43" s="120"/>
      <c r="CO43" s="120"/>
      <c r="CP43" s="120"/>
      <c r="CQ43" s="120"/>
      <c r="CR43" s="120"/>
      <c r="CS43" s="120"/>
      <c r="CT43" s="120"/>
      <c r="CU43" s="120"/>
      <c r="CV43" s="120"/>
      <c r="CW43" s="120"/>
      <c r="CX43" s="120"/>
      <c r="CY43" s="120"/>
      <c r="CZ43" s="120"/>
      <c r="DA43" s="120"/>
      <c r="DB43" s="120"/>
      <c r="DC43" s="120"/>
      <c r="DD43" s="120"/>
      <c r="DE43" s="120"/>
      <c r="DF43" s="120"/>
      <c r="DG43" s="120"/>
      <c r="DH43" s="120"/>
      <c r="DI43" s="120"/>
      <c r="DJ43" s="120"/>
      <c r="DK43" s="120"/>
      <c r="DL43" s="120"/>
      <c r="DM43" s="120"/>
      <c r="DN43" s="120"/>
      <c r="DO43" s="120"/>
      <c r="DP43" s="120"/>
      <c r="DQ43" s="120"/>
      <c r="DR43" s="120"/>
      <c r="DS43" s="120"/>
      <c r="DT43" s="120"/>
      <c r="DU43" s="120"/>
      <c r="DV43" s="120"/>
      <c r="DW43" s="120"/>
      <c r="DX43" s="120"/>
      <c r="DY43" s="120"/>
      <c r="DZ43" s="120"/>
      <c r="EA43" s="120"/>
      <c r="EB43" s="120"/>
      <c r="EC43" s="120"/>
      <c r="ED43" s="120"/>
      <c r="EE43" s="120"/>
      <c r="EF43" s="120"/>
      <c r="EG43" s="120"/>
      <c r="EH43" s="120"/>
      <c r="EI43" s="120"/>
      <c r="EJ43" s="120"/>
      <c r="EK43" s="120"/>
      <c r="EL43" s="120"/>
      <c r="EM43" s="120"/>
      <c r="EN43" s="120"/>
    </row>
    <row r="44">
      <c r="A44" s="158"/>
      <c r="B44" s="158"/>
      <c r="C44" s="158"/>
      <c r="D44" s="158"/>
      <c r="E44" s="158"/>
      <c r="F44" s="159"/>
      <c r="G44" s="158"/>
      <c r="H44" s="158"/>
      <c r="I44" s="158"/>
      <c r="J44" s="158"/>
      <c r="K44" s="158"/>
      <c r="L44" s="159"/>
      <c r="M44" s="158"/>
      <c r="N44" s="158"/>
      <c r="O44" s="158"/>
      <c r="P44" s="158"/>
      <c r="Q44" s="158"/>
      <c r="R44" s="159"/>
      <c r="S44" s="158"/>
      <c r="T44" s="158"/>
      <c r="U44" s="158"/>
      <c r="V44" s="158"/>
      <c r="W44" s="158"/>
      <c r="X44" s="159"/>
      <c r="Y44" s="158"/>
      <c r="Z44" s="158"/>
      <c r="AA44" s="158"/>
      <c r="AB44" s="158"/>
      <c r="AC44" s="158"/>
      <c r="AD44" s="159"/>
      <c r="AE44" s="158"/>
      <c r="AF44" s="158"/>
      <c r="AG44" s="158"/>
      <c r="AH44" s="158"/>
      <c r="AI44" s="158"/>
      <c r="AJ44" s="159"/>
      <c r="AK44" s="158"/>
      <c r="AL44" s="158"/>
      <c r="AM44" s="158"/>
      <c r="AN44" s="158"/>
      <c r="AO44" s="158"/>
      <c r="AP44" s="159"/>
      <c r="AQ44" s="158"/>
      <c r="AR44" s="158"/>
      <c r="AS44" s="158"/>
      <c r="AT44" s="158"/>
      <c r="AU44" s="158"/>
      <c r="AV44" s="159"/>
      <c r="AW44" s="158"/>
      <c r="AX44" s="158"/>
      <c r="AY44" s="158"/>
      <c r="AZ44" s="158"/>
      <c r="BA44" s="158"/>
      <c r="BB44" s="159"/>
      <c r="BC44" s="158"/>
      <c r="BD44" s="158"/>
      <c r="BE44" s="158"/>
      <c r="BF44" s="158"/>
      <c r="BG44" s="158"/>
      <c r="BH44" s="159"/>
      <c r="BI44" s="158"/>
      <c r="BJ44" s="158"/>
      <c r="BK44" s="158"/>
      <c r="BL44" s="158"/>
      <c r="BM44" s="158"/>
      <c r="BN44" s="159"/>
      <c r="BO44" s="158"/>
      <c r="BP44" s="158"/>
      <c r="BQ44" s="158"/>
      <c r="BR44" s="158"/>
      <c r="BS44" s="158"/>
      <c r="BT44" s="159"/>
      <c r="BU44" s="158"/>
      <c r="BV44" s="158"/>
      <c r="BW44" s="158"/>
      <c r="BX44" s="158"/>
      <c r="BY44" s="158"/>
      <c r="BZ44" s="159"/>
      <c r="CA44" s="158"/>
      <c r="CB44" s="158"/>
      <c r="CC44" s="158"/>
      <c r="CD44" s="158"/>
      <c r="CE44" s="158"/>
      <c r="CF44" s="159"/>
      <c r="CG44" s="158"/>
      <c r="CH44" s="158"/>
      <c r="CI44" s="158"/>
      <c r="CJ44" s="158"/>
      <c r="CK44" s="158"/>
      <c r="CL44" s="159"/>
      <c r="CM44" s="158"/>
      <c r="CN44" s="158"/>
      <c r="CO44" s="158"/>
      <c r="CP44" s="158"/>
      <c r="CQ44" s="158"/>
      <c r="CR44" s="158"/>
      <c r="CS44" s="158"/>
      <c r="CT44" s="158"/>
      <c r="CU44" s="158"/>
      <c r="CV44" s="158"/>
      <c r="CW44" s="158"/>
      <c r="CX44" s="158"/>
      <c r="CY44" s="158"/>
      <c r="CZ44" s="158"/>
      <c r="DA44" s="158"/>
      <c r="DB44" s="158"/>
      <c r="DC44" s="158"/>
      <c r="DD44" s="158"/>
      <c r="DE44" s="158"/>
      <c r="DF44" s="158"/>
      <c r="DG44" s="158"/>
      <c r="DH44" s="158"/>
      <c r="DI44" s="158"/>
      <c r="DJ44" s="158"/>
      <c r="DK44" s="158"/>
      <c r="DL44" s="158"/>
      <c r="DM44" s="158"/>
      <c r="DN44" s="158"/>
      <c r="DO44" s="158"/>
      <c r="DP44" s="158"/>
      <c r="DQ44" s="158"/>
      <c r="DR44" s="158"/>
      <c r="DS44" s="158"/>
      <c r="DT44" s="158"/>
      <c r="DU44" s="158"/>
      <c r="DV44" s="158"/>
      <c r="DW44" s="158"/>
      <c r="DX44" s="158"/>
      <c r="DY44" s="158"/>
      <c r="DZ44" s="158"/>
      <c r="EA44" s="158"/>
      <c r="EB44" s="158"/>
      <c r="EC44" s="158"/>
      <c r="ED44" s="158"/>
      <c r="EE44" s="158"/>
      <c r="EF44" s="158"/>
      <c r="EG44" s="158"/>
      <c r="EH44" s="158"/>
      <c r="EI44" s="158"/>
      <c r="EJ44" s="158"/>
      <c r="EK44" s="158"/>
      <c r="EL44" s="158"/>
      <c r="EM44" s="158"/>
      <c r="EN44" s="158"/>
    </row>
    <row r="45">
      <c r="F45" s="142"/>
      <c r="L45" s="142"/>
      <c r="R45" s="142"/>
      <c r="X45" s="142"/>
      <c r="AD45" s="142"/>
      <c r="AJ45" s="142"/>
      <c r="AP45" s="142"/>
      <c r="AV45" s="142"/>
      <c r="BB45" s="142"/>
      <c r="BH45" s="142"/>
      <c r="BN45" s="142"/>
      <c r="BT45" s="142"/>
      <c r="BZ45" s="142"/>
      <c r="CF45" s="142"/>
      <c r="CL45" s="142"/>
    </row>
    <row r="46">
      <c r="F46" s="142"/>
      <c r="L46" s="142"/>
      <c r="R46" s="142"/>
      <c r="X46" s="142"/>
      <c r="AD46" s="142"/>
      <c r="AJ46" s="142"/>
      <c r="AP46" s="142"/>
      <c r="AV46" s="142"/>
      <c r="BB46" s="142"/>
      <c r="BH46" s="142"/>
      <c r="BN46" s="142"/>
      <c r="BT46" s="142"/>
      <c r="BZ46" s="142"/>
      <c r="CF46" s="142"/>
      <c r="CL46" s="142"/>
    </row>
    <row r="47">
      <c r="F47" s="142"/>
      <c r="L47" s="142"/>
      <c r="R47" s="142"/>
      <c r="X47" s="142"/>
      <c r="AD47" s="142"/>
      <c r="AJ47" s="142"/>
      <c r="AP47" s="142"/>
      <c r="AV47" s="142"/>
      <c r="BB47" s="142"/>
      <c r="BH47" s="142"/>
      <c r="BN47" s="142"/>
      <c r="BT47" s="142"/>
      <c r="BZ47" s="142"/>
      <c r="CF47" s="142"/>
      <c r="CL47" s="142"/>
    </row>
    <row r="48">
      <c r="F48" s="142"/>
      <c r="L48" s="142"/>
      <c r="R48" s="142"/>
      <c r="X48" s="142"/>
      <c r="AD48" s="142"/>
      <c r="AJ48" s="142"/>
      <c r="AP48" s="142"/>
      <c r="AV48" s="142"/>
      <c r="BB48" s="142"/>
      <c r="BH48" s="142"/>
      <c r="BN48" s="142"/>
      <c r="BT48" s="142"/>
      <c r="BZ48" s="142"/>
      <c r="CF48" s="142"/>
      <c r="CL48" s="142"/>
    </row>
    <row r="49">
      <c r="F49" s="142"/>
      <c r="L49" s="142"/>
      <c r="R49" s="142"/>
      <c r="X49" s="142"/>
      <c r="AD49" s="142"/>
      <c r="AJ49" s="142"/>
      <c r="AP49" s="142"/>
      <c r="AV49" s="142"/>
      <c r="BB49" s="142"/>
      <c r="BH49" s="142"/>
      <c r="BN49" s="142"/>
      <c r="BT49" s="142"/>
      <c r="BZ49" s="142"/>
      <c r="CF49" s="142"/>
      <c r="CL49" s="142"/>
    </row>
    <row r="50">
      <c r="F50" s="142"/>
      <c r="L50" s="142"/>
      <c r="R50" s="142"/>
      <c r="X50" s="142"/>
      <c r="AD50" s="142"/>
      <c r="AJ50" s="142"/>
      <c r="AP50" s="142"/>
      <c r="AV50" s="142"/>
      <c r="BB50" s="142"/>
      <c r="BH50" s="142"/>
      <c r="BN50" s="142"/>
      <c r="BT50" s="142"/>
      <c r="BZ50" s="142"/>
      <c r="CF50" s="142"/>
      <c r="CL50" s="142"/>
    </row>
    <row r="51">
      <c r="F51" s="142"/>
      <c r="L51" s="142"/>
      <c r="R51" s="142"/>
      <c r="X51" s="142"/>
      <c r="AD51" s="142"/>
      <c r="AJ51" s="142"/>
      <c r="AP51" s="142"/>
      <c r="AV51" s="142"/>
      <c r="BB51" s="142"/>
      <c r="BH51" s="142"/>
      <c r="BN51" s="142"/>
      <c r="BT51" s="142"/>
      <c r="BZ51" s="142"/>
      <c r="CF51" s="142"/>
      <c r="CL51" s="142"/>
    </row>
    <row r="52">
      <c r="F52" s="142"/>
      <c r="L52" s="142"/>
      <c r="R52" s="142"/>
      <c r="X52" s="142"/>
      <c r="AD52" s="142"/>
      <c r="AJ52" s="142"/>
      <c r="AP52" s="142"/>
      <c r="AV52" s="142"/>
      <c r="BB52" s="142"/>
      <c r="BH52" s="142"/>
      <c r="BN52" s="142"/>
      <c r="BT52" s="142"/>
      <c r="BZ52" s="142"/>
      <c r="CF52" s="142"/>
      <c r="CL52" s="142"/>
    </row>
    <row r="53">
      <c r="F53" s="142"/>
      <c r="L53" s="142"/>
      <c r="R53" s="142"/>
      <c r="X53" s="142"/>
      <c r="AD53" s="142"/>
      <c r="AJ53" s="142"/>
      <c r="AP53" s="142"/>
      <c r="AV53" s="142"/>
      <c r="BB53" s="142"/>
      <c r="BH53" s="142"/>
      <c r="BN53" s="142"/>
      <c r="BT53" s="142"/>
      <c r="BZ53" s="142"/>
      <c r="CF53" s="142"/>
      <c r="CL53" s="142"/>
    </row>
    <row r="54">
      <c r="F54" s="142"/>
      <c r="L54" s="142"/>
      <c r="R54" s="142"/>
      <c r="X54" s="142"/>
      <c r="AD54" s="142"/>
      <c r="AJ54" s="142"/>
      <c r="AP54" s="142"/>
      <c r="AV54" s="142"/>
      <c r="BB54" s="142"/>
      <c r="BH54" s="142"/>
      <c r="BN54" s="142"/>
      <c r="BT54" s="142"/>
      <c r="BZ54" s="142"/>
      <c r="CF54" s="142"/>
      <c r="CL54" s="142"/>
    </row>
    <row r="55">
      <c r="F55" s="142"/>
      <c r="L55" s="142"/>
      <c r="R55" s="142"/>
      <c r="X55" s="142"/>
      <c r="AD55" s="142"/>
      <c r="AJ55" s="142"/>
      <c r="AP55" s="142"/>
      <c r="AV55" s="142"/>
      <c r="BB55" s="142"/>
      <c r="BH55" s="142"/>
      <c r="BN55" s="142"/>
      <c r="BT55" s="142"/>
      <c r="BZ55" s="142"/>
      <c r="CF55" s="142"/>
      <c r="CL55" s="142"/>
    </row>
    <row r="56">
      <c r="F56" s="142"/>
      <c r="L56" s="142"/>
      <c r="R56" s="142"/>
      <c r="X56" s="142"/>
      <c r="AD56" s="142"/>
      <c r="AJ56" s="142"/>
      <c r="AP56" s="142"/>
      <c r="AV56" s="142"/>
      <c r="BB56" s="142"/>
      <c r="BH56" s="142"/>
      <c r="BN56" s="142"/>
      <c r="BT56" s="142"/>
      <c r="BZ56" s="142"/>
      <c r="CF56" s="142"/>
      <c r="CL56" s="142"/>
    </row>
    <row r="57">
      <c r="F57" s="142"/>
      <c r="L57" s="142"/>
      <c r="R57" s="142"/>
      <c r="X57" s="142"/>
      <c r="AD57" s="142"/>
      <c r="AJ57" s="142"/>
      <c r="AP57" s="142"/>
      <c r="AV57" s="142"/>
      <c r="BB57" s="142"/>
      <c r="BH57" s="142"/>
      <c r="BN57" s="142"/>
      <c r="BT57" s="142"/>
      <c r="BZ57" s="142"/>
      <c r="CF57" s="142"/>
      <c r="CL57" s="142"/>
    </row>
    <row r="58">
      <c r="F58" s="142"/>
      <c r="L58" s="142"/>
      <c r="R58" s="142"/>
      <c r="X58" s="142"/>
      <c r="AD58" s="142"/>
      <c r="AJ58" s="142"/>
      <c r="AP58" s="142"/>
      <c r="AV58" s="142"/>
      <c r="BB58" s="142"/>
      <c r="BH58" s="142"/>
      <c r="BN58" s="142"/>
      <c r="BT58" s="142"/>
      <c r="BZ58" s="142"/>
      <c r="CF58" s="142"/>
      <c r="CL58" s="142"/>
    </row>
    <row r="59">
      <c r="F59" s="142"/>
      <c r="L59" s="142"/>
      <c r="R59" s="142"/>
      <c r="X59" s="142"/>
      <c r="AD59" s="142"/>
      <c r="AJ59" s="142"/>
      <c r="AP59" s="142"/>
      <c r="AV59" s="142"/>
      <c r="BB59" s="142"/>
      <c r="BH59" s="142"/>
      <c r="BN59" s="142"/>
      <c r="BT59" s="142"/>
      <c r="BZ59" s="142"/>
      <c r="CF59" s="142"/>
      <c r="CL59" s="142"/>
    </row>
    <row r="60">
      <c r="F60" s="142"/>
      <c r="L60" s="142"/>
      <c r="R60" s="142"/>
      <c r="X60" s="142"/>
      <c r="AD60" s="142"/>
      <c r="AJ60" s="142"/>
      <c r="AP60" s="142"/>
      <c r="AV60" s="142"/>
      <c r="BB60" s="142"/>
      <c r="BH60" s="142"/>
      <c r="BN60" s="142"/>
      <c r="BT60" s="142"/>
      <c r="BZ60" s="142"/>
      <c r="CF60" s="142"/>
      <c r="CL60" s="142"/>
    </row>
    <row r="61">
      <c r="F61" s="142"/>
      <c r="L61" s="142"/>
      <c r="R61" s="142"/>
      <c r="X61" s="142"/>
      <c r="AD61" s="142"/>
      <c r="AJ61" s="142"/>
      <c r="AP61" s="142"/>
      <c r="AV61" s="142"/>
      <c r="BB61" s="142"/>
      <c r="BH61" s="142"/>
      <c r="BN61" s="142"/>
      <c r="BT61" s="142"/>
      <c r="BZ61" s="142"/>
      <c r="CF61" s="142"/>
      <c r="CL61" s="142"/>
    </row>
    <row r="62">
      <c r="F62" s="142"/>
      <c r="L62" s="142"/>
      <c r="R62" s="142"/>
      <c r="X62" s="142"/>
      <c r="AD62" s="142"/>
      <c r="AJ62" s="142"/>
      <c r="AP62" s="142"/>
      <c r="AV62" s="142"/>
      <c r="BB62" s="142"/>
      <c r="BH62" s="142"/>
      <c r="BN62" s="142"/>
      <c r="BT62" s="142"/>
      <c r="BZ62" s="142"/>
      <c r="CF62" s="142"/>
      <c r="CL62" s="142"/>
    </row>
    <row r="63">
      <c r="F63" s="142"/>
      <c r="L63" s="142"/>
      <c r="R63" s="142"/>
      <c r="X63" s="142"/>
      <c r="AD63" s="142"/>
      <c r="AJ63" s="142"/>
      <c r="AP63" s="142"/>
      <c r="AV63" s="142"/>
      <c r="BB63" s="142"/>
      <c r="BH63" s="142"/>
      <c r="BN63" s="142"/>
      <c r="BT63" s="142"/>
      <c r="BZ63" s="142"/>
      <c r="CF63" s="142"/>
      <c r="CL63" s="142"/>
    </row>
    <row r="64">
      <c r="F64" s="142"/>
      <c r="L64" s="142"/>
      <c r="R64" s="142"/>
      <c r="X64" s="142"/>
      <c r="AD64" s="142"/>
      <c r="AJ64" s="142"/>
      <c r="AP64" s="142"/>
      <c r="AV64" s="142"/>
      <c r="BB64" s="142"/>
      <c r="BH64" s="142"/>
      <c r="BN64" s="142"/>
      <c r="BT64" s="142"/>
      <c r="BZ64" s="142"/>
      <c r="CF64" s="142"/>
      <c r="CL64" s="142"/>
    </row>
    <row r="65">
      <c r="F65" s="142"/>
      <c r="L65" s="142"/>
      <c r="R65" s="142"/>
      <c r="X65" s="142"/>
      <c r="AD65" s="142"/>
      <c r="AJ65" s="142"/>
      <c r="AP65" s="142"/>
      <c r="AV65" s="142"/>
      <c r="BB65" s="142"/>
      <c r="BH65" s="142"/>
      <c r="BN65" s="142"/>
      <c r="BT65" s="142"/>
      <c r="BZ65" s="142"/>
      <c r="CF65" s="142"/>
      <c r="CL65" s="142"/>
    </row>
    <row r="66">
      <c r="F66" s="142"/>
      <c r="L66" s="142"/>
      <c r="R66" s="142"/>
      <c r="X66" s="142"/>
      <c r="AD66" s="142"/>
      <c r="AJ66" s="142"/>
      <c r="AP66" s="142"/>
      <c r="AV66" s="142"/>
      <c r="BB66" s="142"/>
      <c r="BH66" s="142"/>
      <c r="BN66" s="142"/>
      <c r="BT66" s="142"/>
      <c r="BZ66" s="142"/>
      <c r="CF66" s="142"/>
      <c r="CL66" s="142"/>
    </row>
    <row r="67">
      <c r="F67" s="142"/>
      <c r="L67" s="142"/>
      <c r="R67" s="142"/>
      <c r="X67" s="142"/>
      <c r="AD67" s="142"/>
      <c r="AJ67" s="142"/>
      <c r="AP67" s="142"/>
      <c r="AV67" s="142"/>
      <c r="BB67" s="142"/>
      <c r="BH67" s="142"/>
      <c r="BN67" s="142"/>
      <c r="BT67" s="142"/>
      <c r="BZ67" s="142"/>
      <c r="CF67" s="142"/>
      <c r="CL67" s="142"/>
    </row>
    <row r="68">
      <c r="F68" s="142"/>
      <c r="L68" s="142"/>
      <c r="R68" s="142"/>
      <c r="X68" s="142"/>
      <c r="AD68" s="142"/>
      <c r="AJ68" s="142"/>
      <c r="AP68" s="142"/>
      <c r="AV68" s="142"/>
      <c r="BB68" s="142"/>
      <c r="BH68" s="142"/>
      <c r="BN68" s="142"/>
      <c r="BT68" s="142"/>
      <c r="BZ68" s="142"/>
      <c r="CF68" s="142"/>
      <c r="CL68" s="142"/>
    </row>
    <row r="69">
      <c r="F69" s="142"/>
      <c r="L69" s="142"/>
      <c r="R69" s="142"/>
      <c r="X69" s="142"/>
      <c r="AD69" s="142"/>
      <c r="AJ69" s="142"/>
      <c r="AP69" s="142"/>
      <c r="AV69" s="142"/>
      <c r="BB69" s="142"/>
      <c r="BH69" s="142"/>
      <c r="BN69" s="142"/>
      <c r="BT69" s="142"/>
      <c r="BZ69" s="142"/>
      <c r="CF69" s="142"/>
      <c r="CL69" s="142"/>
    </row>
    <row r="70">
      <c r="F70" s="142"/>
      <c r="L70" s="142"/>
      <c r="R70" s="142"/>
      <c r="X70" s="142"/>
      <c r="AD70" s="142"/>
      <c r="AJ70" s="142"/>
      <c r="AP70" s="142"/>
      <c r="AV70" s="142"/>
      <c r="BB70" s="142"/>
      <c r="BH70" s="142"/>
      <c r="BN70" s="142"/>
      <c r="BT70" s="142"/>
      <c r="BZ70" s="142"/>
      <c r="CF70" s="142"/>
      <c r="CL70" s="142"/>
    </row>
    <row r="71">
      <c r="F71" s="142"/>
      <c r="L71" s="142"/>
      <c r="R71" s="142"/>
      <c r="X71" s="142"/>
      <c r="AD71" s="142"/>
      <c r="AJ71" s="142"/>
      <c r="AP71" s="142"/>
      <c r="AV71" s="142"/>
      <c r="BB71" s="142"/>
      <c r="BH71" s="142"/>
      <c r="BN71" s="142"/>
      <c r="BT71" s="142"/>
      <c r="BZ71" s="142"/>
      <c r="CF71" s="142"/>
      <c r="CL71" s="142"/>
    </row>
    <row r="72">
      <c r="F72" s="142"/>
      <c r="L72" s="142"/>
      <c r="R72" s="142"/>
      <c r="X72" s="142"/>
      <c r="AD72" s="142"/>
      <c r="AJ72" s="142"/>
      <c r="AP72" s="142"/>
      <c r="AV72" s="142"/>
      <c r="BB72" s="142"/>
      <c r="BH72" s="142"/>
      <c r="BN72" s="142"/>
      <c r="BT72" s="142"/>
      <c r="BZ72" s="142"/>
      <c r="CF72" s="142"/>
      <c r="CL72" s="142"/>
    </row>
    <row r="73">
      <c r="F73" s="142"/>
      <c r="L73" s="142"/>
      <c r="R73" s="142"/>
      <c r="X73" s="142"/>
      <c r="AD73" s="142"/>
      <c r="AJ73" s="142"/>
      <c r="AP73" s="142"/>
      <c r="AV73" s="142"/>
      <c r="BB73" s="142"/>
      <c r="BH73" s="142"/>
      <c r="BN73" s="142"/>
      <c r="BT73" s="142"/>
      <c r="BZ73" s="142"/>
      <c r="CF73" s="142"/>
      <c r="CL73" s="142"/>
    </row>
    <row r="74">
      <c r="F74" s="142"/>
      <c r="L74" s="142"/>
      <c r="R74" s="142"/>
      <c r="X74" s="142"/>
      <c r="AD74" s="142"/>
      <c r="AJ74" s="142"/>
      <c r="AP74" s="142"/>
      <c r="AV74" s="142"/>
      <c r="BB74" s="142"/>
      <c r="BH74" s="142"/>
      <c r="BN74" s="142"/>
      <c r="BT74" s="142"/>
      <c r="BZ74" s="142"/>
      <c r="CF74" s="142"/>
      <c r="CL74" s="142"/>
    </row>
    <row r="75">
      <c r="F75" s="142"/>
      <c r="L75" s="142"/>
      <c r="R75" s="142"/>
      <c r="X75" s="142"/>
      <c r="AD75" s="142"/>
      <c r="AJ75" s="142"/>
      <c r="AP75" s="142"/>
      <c r="AV75" s="142"/>
      <c r="BB75" s="142"/>
      <c r="BH75" s="142"/>
      <c r="BN75" s="142"/>
      <c r="BT75" s="142"/>
      <c r="BZ75" s="142"/>
      <c r="CF75" s="142"/>
      <c r="CL75" s="142"/>
    </row>
    <row r="76">
      <c r="F76" s="142"/>
      <c r="L76" s="142"/>
      <c r="R76" s="142"/>
      <c r="X76" s="142"/>
      <c r="AD76" s="142"/>
      <c r="AJ76" s="142"/>
      <c r="AP76" s="142"/>
      <c r="AV76" s="142"/>
      <c r="BB76" s="142"/>
      <c r="BH76" s="142"/>
      <c r="BN76" s="142"/>
      <c r="BT76" s="142"/>
      <c r="BZ76" s="142"/>
      <c r="CF76" s="142"/>
      <c r="CL76" s="142"/>
    </row>
    <row r="77">
      <c r="F77" s="142"/>
      <c r="L77" s="142"/>
      <c r="R77" s="142"/>
      <c r="X77" s="142"/>
      <c r="AD77" s="142"/>
      <c r="AJ77" s="142"/>
      <c r="AP77" s="142"/>
      <c r="AV77" s="142"/>
      <c r="BB77" s="142"/>
      <c r="BH77" s="142"/>
      <c r="BN77" s="142"/>
      <c r="BT77" s="142"/>
      <c r="BZ77" s="142"/>
      <c r="CF77" s="142"/>
      <c r="CL77" s="142"/>
    </row>
    <row r="78">
      <c r="F78" s="142"/>
      <c r="L78" s="142"/>
      <c r="R78" s="142"/>
      <c r="X78" s="142"/>
      <c r="AD78" s="142"/>
      <c r="AJ78" s="142"/>
      <c r="AP78" s="142"/>
      <c r="AV78" s="142"/>
      <c r="BB78" s="142"/>
      <c r="BH78" s="142"/>
      <c r="BN78" s="142"/>
      <c r="BT78" s="142"/>
      <c r="BZ78" s="142"/>
      <c r="CF78" s="142"/>
      <c r="CL78" s="142"/>
    </row>
    <row r="79">
      <c r="F79" s="142"/>
      <c r="L79" s="142"/>
      <c r="R79" s="142"/>
      <c r="X79" s="142"/>
      <c r="AD79" s="142"/>
      <c r="AJ79" s="142"/>
      <c r="AP79" s="142"/>
      <c r="AV79" s="142"/>
      <c r="BB79" s="142"/>
      <c r="BH79" s="142"/>
      <c r="BN79" s="142"/>
      <c r="BT79" s="142"/>
      <c r="BZ79" s="142"/>
      <c r="CF79" s="142"/>
      <c r="CL79" s="142"/>
    </row>
    <row r="80">
      <c r="F80" s="142"/>
      <c r="L80" s="142"/>
      <c r="R80" s="142"/>
      <c r="X80" s="142"/>
      <c r="AD80" s="142"/>
      <c r="AJ80" s="142"/>
      <c r="AP80" s="142"/>
      <c r="AV80" s="142"/>
      <c r="BB80" s="142"/>
      <c r="BH80" s="142"/>
      <c r="BN80" s="142"/>
      <c r="BT80" s="142"/>
      <c r="BZ80" s="142"/>
      <c r="CF80" s="142"/>
      <c r="CL80" s="142"/>
    </row>
    <row r="81">
      <c r="F81" s="142"/>
      <c r="L81" s="142"/>
      <c r="R81" s="142"/>
      <c r="X81" s="142"/>
      <c r="AD81" s="142"/>
      <c r="AJ81" s="142"/>
      <c r="AP81" s="142"/>
      <c r="AV81" s="142"/>
      <c r="BB81" s="142"/>
      <c r="BH81" s="142"/>
      <c r="BN81" s="142"/>
      <c r="BT81" s="142"/>
      <c r="BZ81" s="142"/>
      <c r="CF81" s="142"/>
      <c r="CL81" s="142"/>
    </row>
    <row r="82">
      <c r="F82" s="142"/>
      <c r="L82" s="142"/>
      <c r="R82" s="142"/>
      <c r="X82" s="142"/>
      <c r="AD82" s="142"/>
      <c r="AJ82" s="142"/>
      <c r="AP82" s="142"/>
      <c r="AV82" s="142"/>
      <c r="BB82" s="142"/>
      <c r="BH82" s="142"/>
      <c r="BN82" s="142"/>
      <c r="BT82" s="142"/>
      <c r="BZ82" s="142"/>
      <c r="CF82" s="142"/>
      <c r="CL82" s="142"/>
    </row>
    <row r="83">
      <c r="F83" s="142"/>
      <c r="L83" s="142"/>
      <c r="R83" s="142"/>
      <c r="X83" s="142"/>
      <c r="AD83" s="142"/>
      <c r="AJ83" s="142"/>
      <c r="AP83" s="142"/>
      <c r="AV83" s="142"/>
      <c r="BB83" s="142"/>
      <c r="BH83" s="142"/>
      <c r="BN83" s="142"/>
      <c r="BT83" s="142"/>
      <c r="BZ83" s="142"/>
      <c r="CF83" s="142"/>
      <c r="CL83" s="142"/>
    </row>
    <row r="84">
      <c r="F84" s="142"/>
      <c r="L84" s="142"/>
      <c r="R84" s="142"/>
      <c r="X84" s="142"/>
      <c r="AD84" s="142"/>
      <c r="AJ84" s="142"/>
      <c r="AP84" s="142"/>
      <c r="AV84" s="142"/>
      <c r="BB84" s="142"/>
      <c r="BH84" s="142"/>
      <c r="BN84" s="142"/>
      <c r="BT84" s="142"/>
      <c r="BZ84" s="142"/>
      <c r="CF84" s="142"/>
      <c r="CL84" s="142"/>
    </row>
    <row r="85">
      <c r="F85" s="142"/>
      <c r="L85" s="142"/>
      <c r="R85" s="142"/>
      <c r="X85" s="142"/>
      <c r="AD85" s="142"/>
      <c r="AJ85" s="142"/>
      <c r="AP85" s="142"/>
      <c r="AV85" s="142"/>
      <c r="BB85" s="142"/>
      <c r="BH85" s="142"/>
      <c r="BN85" s="142"/>
      <c r="BT85" s="142"/>
      <c r="BZ85" s="142"/>
      <c r="CF85" s="142"/>
      <c r="CL85" s="142"/>
    </row>
    <row r="86">
      <c r="F86" s="142"/>
      <c r="L86" s="142"/>
      <c r="R86" s="142"/>
      <c r="X86" s="142"/>
      <c r="AD86" s="142"/>
      <c r="AJ86" s="142"/>
      <c r="AP86" s="142"/>
      <c r="AV86" s="142"/>
      <c r="BB86" s="142"/>
      <c r="BH86" s="142"/>
      <c r="BN86" s="142"/>
      <c r="BT86" s="142"/>
      <c r="BZ86" s="142"/>
      <c r="CF86" s="142"/>
      <c r="CL86" s="142"/>
    </row>
    <row r="87">
      <c r="F87" s="142"/>
      <c r="L87" s="142"/>
      <c r="R87" s="142"/>
      <c r="X87" s="142"/>
      <c r="AD87" s="142"/>
      <c r="AJ87" s="142"/>
      <c r="AP87" s="142"/>
      <c r="AV87" s="142"/>
      <c r="BB87" s="142"/>
      <c r="BH87" s="142"/>
      <c r="BN87" s="142"/>
      <c r="BT87" s="142"/>
      <c r="BZ87" s="142"/>
      <c r="CF87" s="142"/>
      <c r="CL87" s="142"/>
    </row>
    <row r="88">
      <c r="F88" s="142"/>
      <c r="L88" s="142"/>
      <c r="R88" s="142"/>
      <c r="X88" s="142"/>
      <c r="AD88" s="142"/>
      <c r="AJ88" s="142"/>
      <c r="AP88" s="142"/>
      <c r="AV88" s="142"/>
      <c r="BB88" s="142"/>
      <c r="BH88" s="142"/>
      <c r="BN88" s="142"/>
      <c r="BT88" s="142"/>
      <c r="BZ88" s="142"/>
      <c r="CF88" s="142"/>
      <c r="CL88" s="142"/>
    </row>
    <row r="89">
      <c r="F89" s="142"/>
      <c r="L89" s="142"/>
      <c r="R89" s="142"/>
      <c r="X89" s="142"/>
      <c r="AD89" s="142"/>
      <c r="AJ89" s="142"/>
      <c r="AP89" s="142"/>
      <c r="AV89" s="142"/>
      <c r="BB89" s="142"/>
      <c r="BH89" s="142"/>
      <c r="BN89" s="142"/>
      <c r="BT89" s="142"/>
      <c r="BZ89" s="142"/>
      <c r="CF89" s="142"/>
      <c r="CL89" s="142"/>
    </row>
    <row r="90">
      <c r="F90" s="142"/>
      <c r="L90" s="142"/>
      <c r="R90" s="142"/>
      <c r="X90" s="142"/>
      <c r="AD90" s="142"/>
      <c r="AJ90" s="142"/>
      <c r="AP90" s="142"/>
      <c r="AV90" s="142"/>
      <c r="BB90" s="142"/>
      <c r="BH90" s="142"/>
      <c r="BN90" s="142"/>
      <c r="BT90" s="142"/>
      <c r="BZ90" s="142"/>
      <c r="CF90" s="142"/>
      <c r="CL90" s="142"/>
    </row>
    <row r="91">
      <c r="F91" s="142"/>
      <c r="L91" s="142"/>
      <c r="R91" s="142"/>
      <c r="X91" s="142"/>
      <c r="AD91" s="142"/>
      <c r="AJ91" s="142"/>
      <c r="AP91" s="142"/>
      <c r="AV91" s="142"/>
      <c r="BB91" s="142"/>
      <c r="BH91" s="142"/>
      <c r="BN91" s="142"/>
      <c r="BT91" s="142"/>
      <c r="BZ91" s="142"/>
      <c r="CF91" s="142"/>
      <c r="CL91" s="142"/>
    </row>
    <row r="92">
      <c r="F92" s="142"/>
      <c r="L92" s="142"/>
      <c r="R92" s="142"/>
      <c r="X92" s="142"/>
      <c r="AD92" s="142"/>
      <c r="AJ92" s="142"/>
      <c r="AP92" s="142"/>
      <c r="AV92" s="142"/>
      <c r="BB92" s="142"/>
      <c r="BH92" s="142"/>
      <c r="BN92" s="142"/>
      <c r="BT92" s="142"/>
      <c r="BZ92" s="142"/>
      <c r="CF92" s="142"/>
      <c r="CL92" s="142"/>
    </row>
    <row r="93">
      <c r="F93" s="142"/>
      <c r="L93" s="142"/>
      <c r="R93" s="142"/>
      <c r="X93" s="142"/>
      <c r="AD93" s="142"/>
      <c r="AJ93" s="142"/>
      <c r="AP93" s="142"/>
      <c r="AV93" s="142"/>
      <c r="BB93" s="142"/>
      <c r="BH93" s="142"/>
      <c r="BN93" s="142"/>
      <c r="BT93" s="142"/>
      <c r="BZ93" s="142"/>
      <c r="CF93" s="142"/>
      <c r="CL93" s="142"/>
    </row>
    <row r="94">
      <c r="F94" s="142"/>
      <c r="L94" s="142"/>
      <c r="R94" s="142"/>
      <c r="X94" s="142"/>
      <c r="AD94" s="142"/>
      <c r="AJ94" s="142"/>
      <c r="AP94" s="142"/>
      <c r="AV94" s="142"/>
      <c r="BB94" s="142"/>
      <c r="BH94" s="142"/>
      <c r="BN94" s="142"/>
      <c r="BT94" s="142"/>
      <c r="BZ94" s="142"/>
      <c r="CF94" s="142"/>
      <c r="CL94" s="142"/>
    </row>
    <row r="95">
      <c r="F95" s="142"/>
      <c r="L95" s="142"/>
      <c r="R95" s="142"/>
      <c r="X95" s="142"/>
      <c r="AD95" s="142"/>
      <c r="AJ95" s="142"/>
      <c r="AP95" s="142"/>
      <c r="AV95" s="142"/>
      <c r="BB95" s="142"/>
      <c r="BH95" s="142"/>
      <c r="BN95" s="142"/>
      <c r="BT95" s="142"/>
      <c r="BZ95" s="142"/>
      <c r="CF95" s="142"/>
      <c r="CL95" s="142"/>
    </row>
    <row r="96">
      <c r="F96" s="142"/>
      <c r="L96" s="142"/>
      <c r="R96" s="142"/>
      <c r="X96" s="142"/>
      <c r="AD96" s="142"/>
      <c r="AJ96" s="142"/>
      <c r="AP96" s="142"/>
      <c r="AV96" s="142"/>
      <c r="BB96" s="142"/>
      <c r="BH96" s="142"/>
      <c r="BN96" s="142"/>
      <c r="BT96" s="142"/>
      <c r="BZ96" s="142"/>
      <c r="CF96" s="142"/>
      <c r="CL96" s="142"/>
    </row>
    <row r="97">
      <c r="F97" s="142"/>
      <c r="L97" s="142"/>
      <c r="R97" s="142"/>
      <c r="X97" s="142"/>
      <c r="AD97" s="142"/>
      <c r="AJ97" s="142"/>
      <c r="AP97" s="142"/>
      <c r="AV97" s="142"/>
      <c r="BB97" s="142"/>
      <c r="BH97" s="142"/>
      <c r="BN97" s="142"/>
      <c r="BT97" s="142"/>
      <c r="BZ97" s="142"/>
      <c r="CF97" s="142"/>
      <c r="CL97" s="142"/>
    </row>
    <row r="98">
      <c r="F98" s="142"/>
      <c r="L98" s="142"/>
      <c r="R98" s="142"/>
      <c r="X98" s="142"/>
      <c r="AD98" s="142"/>
      <c r="AJ98" s="142"/>
      <c r="AP98" s="142"/>
      <c r="AV98" s="142"/>
      <c r="BB98" s="142"/>
      <c r="BH98" s="142"/>
      <c r="BN98" s="142"/>
      <c r="BT98" s="142"/>
      <c r="BZ98" s="142"/>
      <c r="CF98" s="142"/>
      <c r="CL98" s="142"/>
    </row>
    <row r="99">
      <c r="F99" s="142"/>
      <c r="L99" s="142"/>
      <c r="R99" s="142"/>
      <c r="X99" s="142"/>
      <c r="AD99" s="142"/>
      <c r="AJ99" s="142"/>
      <c r="AP99" s="142"/>
      <c r="AV99" s="142"/>
      <c r="BB99" s="142"/>
      <c r="BH99" s="142"/>
      <c r="BN99" s="142"/>
      <c r="BT99" s="142"/>
      <c r="BZ99" s="142"/>
      <c r="CF99" s="142"/>
      <c r="CL99" s="142"/>
    </row>
    <row r="100">
      <c r="F100" s="142"/>
      <c r="L100" s="142"/>
      <c r="R100" s="142"/>
      <c r="X100" s="142"/>
      <c r="AD100" s="142"/>
      <c r="AJ100" s="142"/>
      <c r="AP100" s="142"/>
      <c r="AV100" s="142"/>
      <c r="BB100" s="142"/>
      <c r="BH100" s="142"/>
      <c r="BN100" s="142"/>
      <c r="BT100" s="142"/>
      <c r="BZ100" s="142"/>
      <c r="CF100" s="142"/>
      <c r="CL100" s="142"/>
    </row>
    <row r="101">
      <c r="F101" s="142"/>
      <c r="L101" s="142"/>
      <c r="R101" s="142"/>
      <c r="X101" s="142"/>
      <c r="AD101" s="142"/>
      <c r="AJ101" s="142"/>
      <c r="AP101" s="142"/>
      <c r="AV101" s="142"/>
      <c r="BB101" s="142"/>
      <c r="BH101" s="142"/>
      <c r="BN101" s="142"/>
      <c r="BT101" s="142"/>
      <c r="BZ101" s="142"/>
      <c r="CF101" s="142"/>
      <c r="CL101" s="142"/>
    </row>
    <row r="102">
      <c r="F102" s="142"/>
      <c r="L102" s="142"/>
      <c r="R102" s="142"/>
      <c r="X102" s="142"/>
      <c r="AD102" s="142"/>
      <c r="AJ102" s="142"/>
      <c r="AP102" s="142"/>
      <c r="AV102" s="142"/>
      <c r="BB102" s="142"/>
      <c r="BH102" s="142"/>
      <c r="BN102" s="142"/>
      <c r="BT102" s="142"/>
      <c r="BZ102" s="142"/>
      <c r="CF102" s="142"/>
      <c r="CL102" s="142"/>
    </row>
    <row r="103">
      <c r="F103" s="142"/>
      <c r="L103" s="142"/>
      <c r="R103" s="142"/>
      <c r="X103" s="142"/>
      <c r="AD103" s="142"/>
      <c r="AJ103" s="142"/>
      <c r="AP103" s="142"/>
      <c r="AV103" s="142"/>
      <c r="BB103" s="142"/>
      <c r="BH103" s="142"/>
      <c r="BN103" s="142"/>
      <c r="BT103" s="142"/>
      <c r="BZ103" s="142"/>
      <c r="CF103" s="142"/>
      <c r="CL103" s="142"/>
    </row>
    <row r="104">
      <c r="F104" s="142"/>
      <c r="L104" s="142"/>
      <c r="R104" s="142"/>
      <c r="X104" s="142"/>
      <c r="AD104" s="142"/>
      <c r="AJ104" s="142"/>
      <c r="AP104" s="142"/>
      <c r="AV104" s="142"/>
      <c r="BB104" s="142"/>
      <c r="BH104" s="142"/>
      <c r="BN104" s="142"/>
      <c r="BT104" s="142"/>
      <c r="BZ104" s="142"/>
      <c r="CF104" s="142"/>
      <c r="CL104" s="142"/>
    </row>
    <row r="105">
      <c r="F105" s="142"/>
      <c r="L105" s="142"/>
      <c r="R105" s="142"/>
      <c r="X105" s="142"/>
      <c r="AD105" s="142"/>
      <c r="AJ105" s="142"/>
      <c r="AP105" s="142"/>
      <c r="AV105" s="142"/>
      <c r="BB105" s="142"/>
      <c r="BH105" s="142"/>
      <c r="BN105" s="142"/>
      <c r="BT105" s="142"/>
      <c r="BZ105" s="142"/>
      <c r="CF105" s="142"/>
      <c r="CL105" s="142"/>
    </row>
    <row r="106">
      <c r="F106" s="142"/>
      <c r="L106" s="142"/>
      <c r="R106" s="142"/>
      <c r="X106" s="142"/>
      <c r="AD106" s="142"/>
      <c r="AJ106" s="142"/>
      <c r="AP106" s="142"/>
      <c r="AV106" s="142"/>
      <c r="BB106" s="142"/>
      <c r="BH106" s="142"/>
      <c r="BN106" s="142"/>
      <c r="BT106" s="142"/>
      <c r="BZ106" s="142"/>
      <c r="CF106" s="142"/>
      <c r="CL106" s="142"/>
    </row>
    <row r="107">
      <c r="F107" s="142"/>
      <c r="L107" s="142"/>
      <c r="R107" s="142"/>
      <c r="X107" s="142"/>
      <c r="AD107" s="142"/>
      <c r="AJ107" s="142"/>
      <c r="AP107" s="142"/>
      <c r="AV107" s="142"/>
      <c r="BB107" s="142"/>
      <c r="BH107" s="142"/>
      <c r="BN107" s="142"/>
      <c r="BT107" s="142"/>
      <c r="BZ107" s="142"/>
      <c r="CF107" s="142"/>
      <c r="CL107" s="142"/>
    </row>
    <row r="108">
      <c r="F108" s="142"/>
      <c r="L108" s="142"/>
      <c r="R108" s="142"/>
      <c r="X108" s="142"/>
      <c r="AD108" s="142"/>
      <c r="AJ108" s="142"/>
      <c r="AP108" s="142"/>
      <c r="AV108" s="142"/>
      <c r="BB108" s="142"/>
      <c r="BH108" s="142"/>
      <c r="BN108" s="142"/>
      <c r="BT108" s="142"/>
      <c r="BZ108" s="142"/>
      <c r="CF108" s="142"/>
      <c r="CL108" s="142"/>
    </row>
    <row r="109">
      <c r="F109" s="142"/>
      <c r="L109" s="142"/>
      <c r="R109" s="142"/>
      <c r="X109" s="142"/>
      <c r="AD109" s="142"/>
      <c r="AJ109" s="142"/>
      <c r="AP109" s="142"/>
      <c r="AV109" s="142"/>
      <c r="BB109" s="142"/>
      <c r="BH109" s="142"/>
      <c r="BN109" s="142"/>
      <c r="BT109" s="142"/>
      <c r="BZ109" s="142"/>
      <c r="CF109" s="142"/>
      <c r="CL109" s="142"/>
    </row>
    <row r="110">
      <c r="F110" s="142"/>
      <c r="L110" s="142"/>
      <c r="R110" s="142"/>
      <c r="X110" s="142"/>
      <c r="AD110" s="142"/>
      <c r="AJ110" s="142"/>
      <c r="AP110" s="142"/>
      <c r="AV110" s="142"/>
      <c r="BB110" s="142"/>
      <c r="BH110" s="142"/>
      <c r="BN110" s="142"/>
      <c r="BT110" s="142"/>
      <c r="BZ110" s="142"/>
      <c r="CF110" s="142"/>
      <c r="CL110" s="142"/>
    </row>
    <row r="111">
      <c r="F111" s="142"/>
      <c r="L111" s="142"/>
      <c r="R111" s="142"/>
      <c r="X111" s="142"/>
      <c r="AD111" s="142"/>
      <c r="AJ111" s="142"/>
      <c r="AP111" s="142"/>
      <c r="AV111" s="142"/>
      <c r="BB111" s="142"/>
      <c r="BH111" s="142"/>
      <c r="BN111" s="142"/>
      <c r="BT111" s="142"/>
      <c r="BZ111" s="142"/>
      <c r="CF111" s="142"/>
      <c r="CL111" s="142"/>
    </row>
    <row r="112">
      <c r="F112" s="142"/>
      <c r="L112" s="142"/>
      <c r="R112" s="142"/>
      <c r="X112" s="142"/>
      <c r="AD112" s="142"/>
      <c r="AJ112" s="142"/>
      <c r="AP112" s="142"/>
      <c r="AV112" s="142"/>
      <c r="BB112" s="142"/>
      <c r="BH112" s="142"/>
      <c r="BN112" s="142"/>
      <c r="BT112" s="142"/>
      <c r="BZ112" s="142"/>
      <c r="CF112" s="142"/>
      <c r="CL112" s="142"/>
    </row>
    <row r="113">
      <c r="F113" s="142"/>
      <c r="L113" s="142"/>
      <c r="R113" s="142"/>
      <c r="X113" s="142"/>
      <c r="AD113" s="142"/>
      <c r="AJ113" s="142"/>
      <c r="AP113" s="142"/>
      <c r="AV113" s="142"/>
      <c r="BB113" s="142"/>
      <c r="BH113" s="142"/>
      <c r="BN113" s="142"/>
      <c r="BT113" s="142"/>
      <c r="BZ113" s="142"/>
      <c r="CF113" s="142"/>
      <c r="CL113" s="142"/>
    </row>
    <row r="114">
      <c r="F114" s="142"/>
      <c r="L114" s="142"/>
      <c r="R114" s="142"/>
      <c r="X114" s="142"/>
      <c r="AD114" s="142"/>
      <c r="AJ114" s="142"/>
      <c r="AP114" s="142"/>
      <c r="AV114" s="142"/>
      <c r="BB114" s="142"/>
      <c r="BH114" s="142"/>
      <c r="BN114" s="142"/>
      <c r="BT114" s="142"/>
      <c r="BZ114" s="142"/>
      <c r="CF114" s="142"/>
      <c r="CL114" s="142"/>
    </row>
    <row r="115">
      <c r="F115" s="142"/>
      <c r="L115" s="142"/>
      <c r="R115" s="142"/>
      <c r="X115" s="142"/>
      <c r="AD115" s="142"/>
      <c r="AJ115" s="142"/>
      <c r="AP115" s="142"/>
      <c r="AV115" s="142"/>
      <c r="BB115" s="142"/>
      <c r="BH115" s="142"/>
      <c r="BN115" s="142"/>
      <c r="BT115" s="142"/>
      <c r="BZ115" s="142"/>
      <c r="CF115" s="142"/>
      <c r="CL115" s="142"/>
    </row>
    <row r="116">
      <c r="F116" s="142"/>
      <c r="L116" s="142"/>
      <c r="R116" s="142"/>
      <c r="X116" s="142"/>
      <c r="AD116" s="142"/>
      <c r="AJ116" s="142"/>
      <c r="AP116" s="142"/>
      <c r="AV116" s="142"/>
      <c r="BB116" s="142"/>
      <c r="BH116" s="142"/>
      <c r="BN116" s="142"/>
      <c r="BT116" s="142"/>
      <c r="BZ116" s="142"/>
      <c r="CF116" s="142"/>
      <c r="CL116" s="142"/>
    </row>
    <row r="117">
      <c r="F117" s="142"/>
      <c r="L117" s="142"/>
      <c r="R117" s="142"/>
      <c r="X117" s="142"/>
      <c r="AD117" s="142"/>
      <c r="AJ117" s="142"/>
      <c r="AP117" s="142"/>
      <c r="AV117" s="142"/>
      <c r="BB117" s="142"/>
      <c r="BH117" s="142"/>
      <c r="BN117" s="142"/>
      <c r="BT117" s="142"/>
      <c r="BZ117" s="142"/>
      <c r="CF117" s="142"/>
      <c r="CL117" s="142"/>
    </row>
    <row r="118">
      <c r="F118" s="142"/>
      <c r="L118" s="142"/>
      <c r="R118" s="142"/>
      <c r="X118" s="142"/>
      <c r="AD118" s="142"/>
      <c r="AJ118" s="142"/>
      <c r="AP118" s="142"/>
      <c r="AV118" s="142"/>
      <c r="BB118" s="142"/>
      <c r="BH118" s="142"/>
      <c r="BN118" s="142"/>
      <c r="BT118" s="142"/>
      <c r="BZ118" s="142"/>
      <c r="CF118" s="142"/>
      <c r="CL118" s="142"/>
    </row>
    <row r="119">
      <c r="F119" s="142"/>
      <c r="L119" s="142"/>
      <c r="R119" s="142"/>
      <c r="X119" s="142"/>
      <c r="AD119" s="142"/>
      <c r="AJ119" s="142"/>
      <c r="AP119" s="142"/>
      <c r="AV119" s="142"/>
      <c r="BB119" s="142"/>
      <c r="BH119" s="142"/>
      <c r="BN119" s="142"/>
      <c r="BT119" s="142"/>
      <c r="BZ119" s="142"/>
      <c r="CF119" s="142"/>
      <c r="CL119" s="142"/>
    </row>
    <row r="120">
      <c r="F120" s="142"/>
      <c r="L120" s="142"/>
      <c r="R120" s="142"/>
      <c r="X120" s="142"/>
      <c r="AD120" s="142"/>
      <c r="AJ120" s="142"/>
      <c r="AP120" s="142"/>
      <c r="AV120" s="142"/>
      <c r="BB120" s="142"/>
      <c r="BH120" s="142"/>
      <c r="BN120" s="142"/>
      <c r="BT120" s="142"/>
      <c r="BZ120" s="142"/>
      <c r="CF120" s="142"/>
      <c r="CL120" s="142"/>
    </row>
    <row r="121">
      <c r="F121" s="142"/>
      <c r="L121" s="142"/>
      <c r="R121" s="142"/>
      <c r="X121" s="142"/>
      <c r="AD121" s="142"/>
      <c r="AJ121" s="142"/>
      <c r="AP121" s="142"/>
      <c r="AV121" s="142"/>
      <c r="BB121" s="142"/>
      <c r="BH121" s="142"/>
      <c r="BN121" s="142"/>
      <c r="BT121" s="142"/>
      <c r="BZ121" s="142"/>
      <c r="CF121" s="142"/>
      <c r="CL121" s="142"/>
    </row>
    <row r="122">
      <c r="F122" s="142"/>
      <c r="L122" s="142"/>
      <c r="R122" s="142"/>
      <c r="X122" s="142"/>
      <c r="AD122" s="142"/>
      <c r="AJ122" s="142"/>
      <c r="AP122" s="142"/>
      <c r="AV122" s="142"/>
      <c r="BB122" s="142"/>
      <c r="BH122" s="142"/>
      <c r="BN122" s="142"/>
      <c r="BT122" s="142"/>
      <c r="BZ122" s="142"/>
      <c r="CF122" s="142"/>
      <c r="CL122" s="142"/>
    </row>
    <row r="123">
      <c r="F123" s="142"/>
      <c r="L123" s="142"/>
      <c r="R123" s="142"/>
      <c r="X123" s="142"/>
      <c r="AD123" s="142"/>
      <c r="AJ123" s="142"/>
      <c r="AP123" s="142"/>
      <c r="AV123" s="142"/>
      <c r="BB123" s="142"/>
      <c r="BH123" s="142"/>
      <c r="BN123" s="142"/>
      <c r="BT123" s="142"/>
      <c r="BZ123" s="142"/>
      <c r="CF123" s="142"/>
      <c r="CL123" s="142"/>
    </row>
    <row r="124">
      <c r="F124" s="142"/>
      <c r="L124" s="142"/>
      <c r="R124" s="142"/>
      <c r="X124" s="142"/>
      <c r="AD124" s="142"/>
      <c r="AJ124" s="142"/>
      <c r="AP124" s="142"/>
      <c r="AV124" s="142"/>
      <c r="BB124" s="142"/>
      <c r="BH124" s="142"/>
      <c r="BN124" s="142"/>
      <c r="BT124" s="142"/>
      <c r="BZ124" s="142"/>
      <c r="CF124" s="142"/>
      <c r="CL124" s="142"/>
    </row>
    <row r="125">
      <c r="F125" s="142"/>
      <c r="L125" s="142"/>
      <c r="R125" s="142"/>
      <c r="X125" s="142"/>
      <c r="AD125" s="142"/>
      <c r="AJ125" s="142"/>
      <c r="AP125" s="142"/>
      <c r="AV125" s="142"/>
      <c r="BB125" s="142"/>
      <c r="BH125" s="142"/>
      <c r="BN125" s="142"/>
      <c r="BT125" s="142"/>
      <c r="BZ125" s="142"/>
      <c r="CF125" s="142"/>
      <c r="CL125" s="142"/>
    </row>
    <row r="126">
      <c r="F126" s="142"/>
      <c r="L126" s="142"/>
      <c r="R126" s="142"/>
      <c r="X126" s="142"/>
      <c r="AD126" s="142"/>
      <c r="AJ126" s="142"/>
      <c r="AP126" s="142"/>
      <c r="AV126" s="142"/>
      <c r="BB126" s="142"/>
      <c r="BH126" s="142"/>
      <c r="BN126" s="142"/>
      <c r="BT126" s="142"/>
      <c r="BZ126" s="142"/>
      <c r="CF126" s="142"/>
      <c r="CL126" s="142"/>
    </row>
    <row r="127">
      <c r="F127" s="142"/>
      <c r="L127" s="142"/>
      <c r="R127" s="142"/>
      <c r="X127" s="142"/>
      <c r="AD127" s="142"/>
      <c r="AJ127" s="142"/>
      <c r="AP127" s="142"/>
      <c r="AV127" s="142"/>
      <c r="BB127" s="142"/>
      <c r="BH127" s="142"/>
      <c r="BN127" s="142"/>
      <c r="BT127" s="142"/>
      <c r="BZ127" s="142"/>
      <c r="CF127" s="142"/>
      <c r="CL127" s="142"/>
    </row>
    <row r="128">
      <c r="F128" s="142"/>
      <c r="L128" s="142"/>
      <c r="R128" s="142"/>
      <c r="X128" s="142"/>
      <c r="AD128" s="142"/>
      <c r="AJ128" s="142"/>
      <c r="AP128" s="142"/>
      <c r="AV128" s="142"/>
      <c r="BB128" s="142"/>
      <c r="BH128" s="142"/>
      <c r="BN128" s="142"/>
      <c r="BT128" s="142"/>
      <c r="BZ128" s="142"/>
      <c r="CF128" s="142"/>
      <c r="CL128" s="142"/>
    </row>
    <row r="129">
      <c r="F129" s="142"/>
      <c r="L129" s="142"/>
      <c r="R129" s="142"/>
      <c r="X129" s="142"/>
      <c r="AD129" s="142"/>
      <c r="AJ129" s="142"/>
      <c r="AP129" s="142"/>
      <c r="AV129" s="142"/>
      <c r="BB129" s="142"/>
      <c r="BH129" s="142"/>
      <c r="BN129" s="142"/>
      <c r="BT129" s="142"/>
      <c r="BZ129" s="142"/>
      <c r="CF129" s="142"/>
      <c r="CL129" s="142"/>
    </row>
    <row r="130">
      <c r="F130" s="142"/>
      <c r="L130" s="142"/>
      <c r="R130" s="142"/>
      <c r="X130" s="142"/>
      <c r="AD130" s="142"/>
      <c r="AJ130" s="142"/>
      <c r="AP130" s="142"/>
      <c r="AV130" s="142"/>
      <c r="BB130" s="142"/>
      <c r="BH130" s="142"/>
      <c r="BN130" s="142"/>
      <c r="BT130" s="142"/>
      <c r="BZ130" s="142"/>
      <c r="CF130" s="142"/>
      <c r="CL130" s="142"/>
    </row>
    <row r="131">
      <c r="F131" s="142"/>
      <c r="L131" s="142"/>
      <c r="R131" s="142"/>
      <c r="X131" s="142"/>
      <c r="AD131" s="142"/>
      <c r="AJ131" s="142"/>
      <c r="AP131" s="142"/>
      <c r="AV131" s="142"/>
      <c r="BB131" s="142"/>
      <c r="BH131" s="142"/>
      <c r="BN131" s="142"/>
      <c r="BT131" s="142"/>
      <c r="BZ131" s="142"/>
      <c r="CF131" s="142"/>
      <c r="CL131" s="142"/>
    </row>
    <row r="132">
      <c r="F132" s="142"/>
      <c r="L132" s="142"/>
      <c r="R132" s="142"/>
      <c r="X132" s="142"/>
      <c r="AD132" s="142"/>
      <c r="AJ132" s="142"/>
      <c r="AP132" s="142"/>
      <c r="AV132" s="142"/>
      <c r="BB132" s="142"/>
      <c r="BH132" s="142"/>
      <c r="BN132" s="142"/>
      <c r="BT132" s="142"/>
      <c r="BZ132" s="142"/>
      <c r="CF132" s="142"/>
      <c r="CL132" s="142"/>
    </row>
    <row r="133">
      <c r="F133" s="142"/>
      <c r="L133" s="142"/>
      <c r="R133" s="142"/>
      <c r="X133" s="142"/>
      <c r="AD133" s="142"/>
      <c r="AJ133" s="142"/>
      <c r="AP133" s="142"/>
      <c r="AV133" s="142"/>
      <c r="BB133" s="142"/>
      <c r="BH133" s="142"/>
      <c r="BN133" s="142"/>
      <c r="BT133" s="142"/>
      <c r="BZ133" s="142"/>
      <c r="CF133" s="142"/>
      <c r="CL133" s="142"/>
    </row>
    <row r="134">
      <c r="F134" s="142"/>
      <c r="L134" s="142"/>
      <c r="R134" s="142"/>
      <c r="X134" s="142"/>
      <c r="AD134" s="142"/>
      <c r="AJ134" s="142"/>
      <c r="AP134" s="142"/>
      <c r="AV134" s="142"/>
      <c r="BB134" s="142"/>
      <c r="BH134" s="142"/>
      <c r="BN134" s="142"/>
      <c r="BT134" s="142"/>
      <c r="BZ134" s="142"/>
      <c r="CF134" s="142"/>
      <c r="CL134" s="142"/>
    </row>
    <row r="135">
      <c r="F135" s="142"/>
      <c r="L135" s="142"/>
      <c r="R135" s="142"/>
      <c r="X135" s="142"/>
      <c r="AD135" s="142"/>
      <c r="AJ135" s="142"/>
      <c r="AP135" s="142"/>
      <c r="AV135" s="142"/>
      <c r="BB135" s="142"/>
      <c r="BH135" s="142"/>
      <c r="BN135" s="142"/>
      <c r="BT135" s="142"/>
      <c r="BZ135" s="142"/>
      <c r="CF135" s="142"/>
      <c r="CL135" s="142"/>
    </row>
    <row r="136">
      <c r="F136" s="142"/>
      <c r="L136" s="142"/>
      <c r="R136" s="142"/>
      <c r="X136" s="142"/>
      <c r="AD136" s="142"/>
      <c r="AJ136" s="142"/>
      <c r="AP136" s="142"/>
      <c r="AV136" s="142"/>
      <c r="BB136" s="142"/>
      <c r="BH136" s="142"/>
      <c r="BN136" s="142"/>
      <c r="BT136" s="142"/>
      <c r="BZ136" s="142"/>
      <c r="CF136" s="142"/>
      <c r="CL136" s="142"/>
    </row>
    <row r="137">
      <c r="F137" s="142"/>
      <c r="L137" s="142"/>
      <c r="R137" s="142"/>
      <c r="X137" s="142"/>
      <c r="AD137" s="142"/>
      <c r="AJ137" s="142"/>
      <c r="AP137" s="142"/>
      <c r="AV137" s="142"/>
      <c r="BB137" s="142"/>
      <c r="BH137" s="142"/>
      <c r="BN137" s="142"/>
      <c r="BT137" s="142"/>
      <c r="BZ137" s="142"/>
      <c r="CF137" s="142"/>
      <c r="CL137" s="142"/>
    </row>
    <row r="138">
      <c r="F138" s="142"/>
      <c r="L138" s="142"/>
      <c r="R138" s="142"/>
      <c r="X138" s="142"/>
      <c r="AD138" s="142"/>
      <c r="AJ138" s="142"/>
      <c r="AP138" s="142"/>
      <c r="AV138" s="142"/>
      <c r="BB138" s="142"/>
      <c r="BH138" s="142"/>
      <c r="BN138" s="142"/>
      <c r="BT138" s="142"/>
      <c r="BZ138" s="142"/>
      <c r="CF138" s="142"/>
      <c r="CL138" s="142"/>
    </row>
    <row r="139">
      <c r="F139" s="142"/>
      <c r="L139" s="142"/>
      <c r="R139" s="142"/>
      <c r="X139" s="142"/>
      <c r="AD139" s="142"/>
      <c r="AJ139" s="142"/>
      <c r="AP139" s="142"/>
      <c r="AV139" s="142"/>
      <c r="BB139" s="142"/>
      <c r="BH139" s="142"/>
      <c r="BN139" s="142"/>
      <c r="BT139" s="142"/>
      <c r="BZ139" s="142"/>
      <c r="CF139" s="142"/>
      <c r="CL139" s="142"/>
    </row>
    <row r="140">
      <c r="F140" s="142"/>
      <c r="L140" s="142"/>
      <c r="R140" s="142"/>
      <c r="X140" s="142"/>
      <c r="AD140" s="142"/>
      <c r="AJ140" s="142"/>
      <c r="AP140" s="142"/>
      <c r="AV140" s="142"/>
      <c r="BB140" s="142"/>
      <c r="BH140" s="142"/>
      <c r="BN140" s="142"/>
      <c r="BT140" s="142"/>
      <c r="BZ140" s="142"/>
      <c r="CF140" s="142"/>
      <c r="CL140" s="142"/>
    </row>
    <row r="141">
      <c r="F141" s="142"/>
      <c r="L141" s="142"/>
      <c r="R141" s="142"/>
      <c r="X141" s="142"/>
      <c r="AD141" s="142"/>
      <c r="AJ141" s="142"/>
      <c r="AP141" s="142"/>
      <c r="AV141" s="142"/>
      <c r="BB141" s="142"/>
      <c r="BH141" s="142"/>
      <c r="BN141" s="142"/>
      <c r="BT141" s="142"/>
      <c r="BZ141" s="142"/>
      <c r="CF141" s="142"/>
      <c r="CL141" s="142"/>
    </row>
    <row r="142">
      <c r="F142" s="142"/>
      <c r="L142" s="142"/>
      <c r="R142" s="142"/>
      <c r="X142" s="142"/>
      <c r="AD142" s="142"/>
      <c r="AJ142" s="142"/>
      <c r="AP142" s="142"/>
      <c r="AV142" s="142"/>
      <c r="BB142" s="142"/>
      <c r="BH142" s="142"/>
      <c r="BN142" s="142"/>
      <c r="BT142" s="142"/>
      <c r="BZ142" s="142"/>
      <c r="CF142" s="142"/>
      <c r="CL142" s="142"/>
    </row>
    <row r="143">
      <c r="F143" s="142"/>
      <c r="L143" s="142"/>
      <c r="R143" s="142"/>
      <c r="X143" s="142"/>
      <c r="AD143" s="142"/>
      <c r="AJ143" s="142"/>
      <c r="AP143" s="142"/>
      <c r="AV143" s="142"/>
      <c r="BB143" s="142"/>
      <c r="BH143" s="142"/>
      <c r="BN143" s="142"/>
      <c r="BT143" s="142"/>
      <c r="BZ143" s="142"/>
      <c r="CF143" s="142"/>
      <c r="CL143" s="142"/>
    </row>
    <row r="144">
      <c r="F144" s="142"/>
      <c r="L144" s="142"/>
      <c r="R144" s="142"/>
      <c r="X144" s="142"/>
      <c r="AD144" s="142"/>
      <c r="AJ144" s="142"/>
      <c r="AP144" s="142"/>
      <c r="AV144" s="142"/>
      <c r="BB144" s="142"/>
      <c r="BH144" s="142"/>
      <c r="BN144" s="142"/>
      <c r="BT144" s="142"/>
      <c r="BZ144" s="142"/>
      <c r="CF144" s="142"/>
      <c r="CL144" s="142"/>
    </row>
    <row r="145">
      <c r="F145" s="142"/>
      <c r="L145" s="142"/>
      <c r="R145" s="142"/>
      <c r="X145" s="142"/>
      <c r="AD145" s="142"/>
      <c r="AJ145" s="142"/>
      <c r="AP145" s="142"/>
      <c r="AV145" s="142"/>
      <c r="BB145" s="142"/>
      <c r="BH145" s="142"/>
      <c r="BN145" s="142"/>
      <c r="BT145" s="142"/>
      <c r="BZ145" s="142"/>
      <c r="CF145" s="142"/>
      <c r="CL145" s="142"/>
    </row>
    <row r="146">
      <c r="F146" s="142"/>
      <c r="L146" s="142"/>
      <c r="R146" s="142"/>
      <c r="X146" s="142"/>
      <c r="AD146" s="142"/>
      <c r="AJ146" s="142"/>
      <c r="AP146" s="142"/>
      <c r="AV146" s="142"/>
      <c r="BB146" s="142"/>
      <c r="BH146" s="142"/>
      <c r="BN146" s="142"/>
      <c r="BT146" s="142"/>
      <c r="BZ146" s="142"/>
      <c r="CF146" s="142"/>
      <c r="CL146" s="142"/>
    </row>
    <row r="147">
      <c r="F147" s="142"/>
      <c r="L147" s="142"/>
      <c r="R147" s="142"/>
      <c r="X147" s="142"/>
      <c r="AD147" s="142"/>
      <c r="AJ147" s="142"/>
      <c r="AP147" s="142"/>
      <c r="AV147" s="142"/>
      <c r="BB147" s="142"/>
      <c r="BH147" s="142"/>
      <c r="BN147" s="142"/>
      <c r="BT147" s="142"/>
      <c r="BZ147" s="142"/>
      <c r="CF147" s="142"/>
      <c r="CL147" s="142"/>
    </row>
    <row r="148">
      <c r="F148" s="142"/>
      <c r="L148" s="142"/>
      <c r="R148" s="142"/>
      <c r="X148" s="142"/>
      <c r="AD148" s="142"/>
      <c r="AJ148" s="142"/>
      <c r="AP148" s="142"/>
      <c r="AV148" s="142"/>
      <c r="BB148" s="142"/>
      <c r="BH148" s="142"/>
      <c r="BN148" s="142"/>
      <c r="BT148" s="142"/>
      <c r="BZ148" s="142"/>
      <c r="CF148" s="142"/>
      <c r="CL148" s="142"/>
    </row>
    <row r="149">
      <c r="F149" s="142"/>
      <c r="L149" s="142"/>
      <c r="R149" s="142"/>
      <c r="X149" s="142"/>
      <c r="AD149" s="142"/>
      <c r="AJ149" s="142"/>
      <c r="AP149" s="142"/>
      <c r="AV149" s="142"/>
      <c r="BB149" s="142"/>
      <c r="BH149" s="142"/>
      <c r="BN149" s="142"/>
      <c r="BT149" s="142"/>
      <c r="BZ149" s="142"/>
      <c r="CF149" s="142"/>
      <c r="CL149" s="142"/>
    </row>
    <row r="150">
      <c r="F150" s="142"/>
      <c r="L150" s="142"/>
      <c r="R150" s="142"/>
      <c r="X150" s="142"/>
      <c r="AD150" s="142"/>
      <c r="AJ150" s="142"/>
      <c r="AP150" s="142"/>
      <c r="AV150" s="142"/>
      <c r="BB150" s="142"/>
      <c r="BH150" s="142"/>
      <c r="BN150" s="142"/>
      <c r="BT150" s="142"/>
      <c r="BZ150" s="142"/>
      <c r="CF150" s="142"/>
      <c r="CL150" s="142"/>
    </row>
    <row r="151">
      <c r="F151" s="142"/>
      <c r="L151" s="142"/>
      <c r="R151" s="142"/>
      <c r="X151" s="142"/>
      <c r="AD151" s="142"/>
      <c r="AJ151" s="142"/>
      <c r="AP151" s="142"/>
      <c r="AV151" s="142"/>
      <c r="BB151" s="142"/>
      <c r="BH151" s="142"/>
      <c r="BN151" s="142"/>
      <c r="BT151" s="142"/>
      <c r="BZ151" s="142"/>
      <c r="CF151" s="142"/>
      <c r="CL151" s="142"/>
    </row>
    <row r="152">
      <c r="F152" s="142"/>
      <c r="L152" s="142"/>
      <c r="R152" s="142"/>
      <c r="X152" s="142"/>
      <c r="AD152" s="142"/>
      <c r="AJ152" s="142"/>
      <c r="AP152" s="142"/>
      <c r="AV152" s="142"/>
      <c r="BB152" s="142"/>
      <c r="BH152" s="142"/>
      <c r="BN152" s="142"/>
      <c r="BT152" s="142"/>
      <c r="BZ152" s="142"/>
      <c r="CF152" s="142"/>
      <c r="CL152" s="142"/>
    </row>
    <row r="153">
      <c r="F153" s="142"/>
      <c r="L153" s="142"/>
      <c r="R153" s="142"/>
      <c r="X153" s="142"/>
      <c r="AD153" s="142"/>
      <c r="AJ153" s="142"/>
      <c r="AP153" s="142"/>
      <c r="AV153" s="142"/>
      <c r="BB153" s="142"/>
      <c r="BH153" s="142"/>
      <c r="BN153" s="142"/>
      <c r="BT153" s="142"/>
      <c r="BZ153" s="142"/>
      <c r="CF153" s="142"/>
      <c r="CL153" s="142"/>
    </row>
    <row r="154">
      <c r="F154" s="142"/>
      <c r="L154" s="142"/>
      <c r="R154" s="142"/>
      <c r="X154" s="142"/>
      <c r="AD154" s="142"/>
      <c r="AJ154" s="142"/>
      <c r="AP154" s="142"/>
      <c r="AV154" s="142"/>
      <c r="BB154" s="142"/>
      <c r="BH154" s="142"/>
      <c r="BN154" s="142"/>
      <c r="BT154" s="142"/>
      <c r="BZ154" s="142"/>
      <c r="CF154" s="142"/>
      <c r="CL154" s="142"/>
    </row>
    <row r="155">
      <c r="F155" s="142"/>
      <c r="L155" s="142"/>
      <c r="R155" s="142"/>
      <c r="X155" s="142"/>
      <c r="AD155" s="142"/>
      <c r="AJ155" s="142"/>
      <c r="AP155" s="142"/>
      <c r="AV155" s="142"/>
      <c r="BB155" s="142"/>
      <c r="BH155" s="142"/>
      <c r="BN155" s="142"/>
      <c r="BT155" s="142"/>
      <c r="BZ155" s="142"/>
      <c r="CF155" s="142"/>
      <c r="CL155" s="142"/>
    </row>
    <row r="156">
      <c r="F156" s="142"/>
      <c r="L156" s="142"/>
      <c r="R156" s="142"/>
      <c r="X156" s="142"/>
      <c r="AD156" s="142"/>
      <c r="AJ156" s="142"/>
      <c r="AP156" s="142"/>
      <c r="AV156" s="142"/>
      <c r="BB156" s="142"/>
      <c r="BH156" s="142"/>
      <c r="BN156" s="142"/>
      <c r="BT156" s="142"/>
      <c r="BZ156" s="142"/>
      <c r="CF156" s="142"/>
      <c r="CL156" s="142"/>
    </row>
    <row r="157">
      <c r="F157" s="142"/>
      <c r="L157" s="142"/>
      <c r="R157" s="142"/>
      <c r="X157" s="142"/>
      <c r="AD157" s="142"/>
      <c r="AJ157" s="142"/>
      <c r="AP157" s="142"/>
      <c r="AV157" s="142"/>
      <c r="BB157" s="142"/>
      <c r="BH157" s="142"/>
      <c r="BN157" s="142"/>
      <c r="BT157" s="142"/>
      <c r="BZ157" s="142"/>
      <c r="CF157" s="142"/>
      <c r="CL157" s="142"/>
    </row>
    <row r="158">
      <c r="F158" s="142"/>
      <c r="L158" s="142"/>
      <c r="R158" s="142"/>
      <c r="X158" s="142"/>
      <c r="AD158" s="142"/>
      <c r="AJ158" s="142"/>
      <c r="AP158" s="142"/>
      <c r="AV158" s="142"/>
      <c r="BB158" s="142"/>
      <c r="BH158" s="142"/>
      <c r="BN158" s="142"/>
      <c r="BT158" s="142"/>
      <c r="BZ158" s="142"/>
      <c r="CF158" s="142"/>
      <c r="CL158" s="142"/>
    </row>
    <row r="159">
      <c r="F159" s="142"/>
      <c r="L159" s="142"/>
      <c r="R159" s="142"/>
      <c r="X159" s="142"/>
      <c r="AD159" s="142"/>
      <c r="AJ159" s="142"/>
      <c r="AP159" s="142"/>
      <c r="AV159" s="142"/>
      <c r="BB159" s="142"/>
      <c r="BH159" s="142"/>
      <c r="BN159" s="142"/>
      <c r="BT159" s="142"/>
      <c r="BZ159" s="142"/>
      <c r="CF159" s="142"/>
      <c r="CL159" s="142"/>
    </row>
    <row r="160">
      <c r="F160" s="142"/>
      <c r="L160" s="142"/>
      <c r="R160" s="142"/>
      <c r="X160" s="142"/>
      <c r="AD160" s="142"/>
      <c r="AJ160" s="142"/>
      <c r="AP160" s="142"/>
      <c r="AV160" s="142"/>
      <c r="BB160" s="142"/>
      <c r="BH160" s="142"/>
      <c r="BN160" s="142"/>
      <c r="BT160" s="142"/>
      <c r="BZ160" s="142"/>
      <c r="CF160" s="142"/>
      <c r="CL160" s="142"/>
    </row>
    <row r="161">
      <c r="F161" s="142"/>
      <c r="L161" s="142"/>
      <c r="R161" s="142"/>
      <c r="X161" s="142"/>
      <c r="AD161" s="142"/>
      <c r="AJ161" s="142"/>
      <c r="AP161" s="142"/>
      <c r="AV161" s="142"/>
      <c r="BB161" s="142"/>
      <c r="BH161" s="142"/>
      <c r="BN161" s="142"/>
      <c r="BT161" s="142"/>
      <c r="BZ161" s="142"/>
      <c r="CF161" s="142"/>
      <c r="CL161" s="142"/>
    </row>
    <row r="162">
      <c r="F162" s="142"/>
      <c r="L162" s="142"/>
      <c r="R162" s="142"/>
      <c r="X162" s="142"/>
      <c r="AD162" s="142"/>
      <c r="AJ162" s="142"/>
      <c r="AP162" s="142"/>
      <c r="AV162" s="142"/>
      <c r="BB162" s="142"/>
      <c r="BH162" s="142"/>
      <c r="BN162" s="142"/>
      <c r="BT162" s="142"/>
      <c r="BZ162" s="142"/>
      <c r="CF162" s="142"/>
      <c r="CL162" s="142"/>
    </row>
    <row r="163">
      <c r="F163" s="142"/>
      <c r="L163" s="142"/>
      <c r="R163" s="142"/>
      <c r="X163" s="142"/>
      <c r="AD163" s="142"/>
      <c r="AJ163" s="142"/>
      <c r="AP163" s="142"/>
      <c r="AV163" s="142"/>
      <c r="BB163" s="142"/>
      <c r="BH163" s="142"/>
      <c r="BN163" s="142"/>
      <c r="BT163" s="142"/>
      <c r="BZ163" s="142"/>
      <c r="CF163" s="142"/>
      <c r="CL163" s="142"/>
    </row>
    <row r="164">
      <c r="F164" s="142"/>
      <c r="L164" s="142"/>
      <c r="R164" s="142"/>
      <c r="X164" s="142"/>
      <c r="AD164" s="142"/>
      <c r="AJ164" s="142"/>
      <c r="AP164" s="142"/>
      <c r="AV164" s="142"/>
      <c r="BB164" s="142"/>
      <c r="BH164" s="142"/>
      <c r="BN164" s="142"/>
      <c r="BT164" s="142"/>
      <c r="BZ164" s="142"/>
      <c r="CF164" s="142"/>
      <c r="CL164" s="142"/>
    </row>
    <row r="165">
      <c r="F165" s="142"/>
      <c r="L165" s="142"/>
      <c r="R165" s="142"/>
      <c r="X165" s="142"/>
      <c r="AD165" s="142"/>
      <c r="AJ165" s="142"/>
      <c r="AP165" s="142"/>
      <c r="AV165" s="142"/>
      <c r="BB165" s="142"/>
      <c r="BH165" s="142"/>
      <c r="BN165" s="142"/>
      <c r="BT165" s="142"/>
      <c r="BZ165" s="142"/>
      <c r="CF165" s="142"/>
      <c r="CL165" s="142"/>
    </row>
    <row r="166">
      <c r="F166" s="142"/>
      <c r="L166" s="142"/>
      <c r="R166" s="142"/>
      <c r="X166" s="142"/>
      <c r="AD166" s="142"/>
      <c r="AJ166" s="142"/>
      <c r="AP166" s="142"/>
      <c r="AV166" s="142"/>
      <c r="BB166" s="142"/>
      <c r="BH166" s="142"/>
      <c r="BN166" s="142"/>
      <c r="BT166" s="142"/>
      <c r="BZ166" s="142"/>
      <c r="CF166" s="142"/>
      <c r="CL166" s="142"/>
    </row>
    <row r="167">
      <c r="F167" s="142"/>
      <c r="L167" s="142"/>
      <c r="R167" s="142"/>
      <c r="X167" s="142"/>
      <c r="AD167" s="142"/>
      <c r="AJ167" s="142"/>
      <c r="AP167" s="142"/>
      <c r="AV167" s="142"/>
      <c r="BB167" s="142"/>
      <c r="BH167" s="142"/>
      <c r="BN167" s="142"/>
      <c r="BT167" s="142"/>
      <c r="BZ167" s="142"/>
      <c r="CF167" s="142"/>
      <c r="CL167" s="142"/>
    </row>
    <row r="168">
      <c r="F168" s="142"/>
      <c r="L168" s="142"/>
      <c r="R168" s="142"/>
      <c r="X168" s="142"/>
      <c r="AD168" s="142"/>
      <c r="AJ168" s="142"/>
      <c r="AP168" s="142"/>
      <c r="AV168" s="142"/>
      <c r="BB168" s="142"/>
      <c r="BH168" s="142"/>
      <c r="BN168" s="142"/>
      <c r="BT168" s="142"/>
      <c r="BZ168" s="142"/>
      <c r="CF168" s="142"/>
      <c r="CL168" s="142"/>
    </row>
    <row r="169">
      <c r="F169" s="142"/>
      <c r="L169" s="142"/>
      <c r="R169" s="142"/>
      <c r="X169" s="142"/>
      <c r="AD169" s="142"/>
      <c r="AJ169" s="142"/>
      <c r="AP169" s="142"/>
      <c r="AV169" s="142"/>
      <c r="BB169" s="142"/>
      <c r="BH169" s="142"/>
      <c r="BN169" s="142"/>
      <c r="BT169" s="142"/>
      <c r="BZ169" s="142"/>
      <c r="CF169" s="142"/>
      <c r="CL169" s="142"/>
    </row>
    <row r="170">
      <c r="F170" s="142"/>
      <c r="L170" s="142"/>
      <c r="R170" s="142"/>
      <c r="X170" s="142"/>
      <c r="AD170" s="142"/>
      <c r="AJ170" s="142"/>
      <c r="AP170" s="142"/>
      <c r="AV170" s="142"/>
      <c r="BB170" s="142"/>
      <c r="BH170" s="142"/>
      <c r="BN170" s="142"/>
      <c r="BT170" s="142"/>
      <c r="BZ170" s="142"/>
      <c r="CF170" s="142"/>
      <c r="CL170" s="142"/>
    </row>
    <row r="171">
      <c r="F171" s="142"/>
      <c r="L171" s="142"/>
      <c r="R171" s="142"/>
      <c r="X171" s="142"/>
      <c r="AD171" s="142"/>
      <c r="AJ171" s="142"/>
      <c r="AP171" s="142"/>
      <c r="AV171" s="142"/>
      <c r="BB171" s="142"/>
      <c r="BH171" s="142"/>
      <c r="BN171" s="142"/>
      <c r="BT171" s="142"/>
      <c r="BZ171" s="142"/>
      <c r="CF171" s="142"/>
      <c r="CL171" s="142"/>
    </row>
    <row r="172">
      <c r="F172" s="142"/>
      <c r="L172" s="142"/>
      <c r="R172" s="142"/>
      <c r="X172" s="142"/>
      <c r="AD172" s="142"/>
      <c r="AJ172" s="142"/>
      <c r="AP172" s="142"/>
      <c r="AV172" s="142"/>
      <c r="BB172" s="142"/>
      <c r="BH172" s="142"/>
      <c r="BN172" s="142"/>
      <c r="BT172" s="142"/>
      <c r="BZ172" s="142"/>
      <c r="CF172" s="142"/>
      <c r="CL172" s="142"/>
    </row>
    <row r="173">
      <c r="F173" s="142"/>
      <c r="L173" s="142"/>
      <c r="R173" s="142"/>
      <c r="X173" s="142"/>
      <c r="AD173" s="142"/>
      <c r="AJ173" s="142"/>
      <c r="AP173" s="142"/>
      <c r="AV173" s="142"/>
      <c r="BB173" s="142"/>
      <c r="BH173" s="142"/>
      <c r="BN173" s="142"/>
      <c r="BT173" s="142"/>
      <c r="BZ173" s="142"/>
      <c r="CF173" s="142"/>
      <c r="CL173" s="142"/>
    </row>
    <row r="174">
      <c r="F174" s="142"/>
      <c r="L174" s="142"/>
      <c r="R174" s="142"/>
      <c r="X174" s="142"/>
      <c r="AD174" s="142"/>
      <c r="AJ174" s="142"/>
      <c r="AP174" s="142"/>
      <c r="AV174" s="142"/>
      <c r="BB174" s="142"/>
      <c r="BH174" s="142"/>
      <c r="BN174" s="142"/>
      <c r="BT174" s="142"/>
      <c r="BZ174" s="142"/>
      <c r="CF174" s="142"/>
      <c r="CL174" s="142"/>
    </row>
    <row r="175">
      <c r="F175" s="142"/>
      <c r="L175" s="142"/>
      <c r="R175" s="142"/>
      <c r="X175" s="142"/>
      <c r="AD175" s="142"/>
      <c r="AJ175" s="142"/>
      <c r="AP175" s="142"/>
      <c r="AV175" s="142"/>
      <c r="BB175" s="142"/>
      <c r="BH175" s="142"/>
      <c r="BN175" s="142"/>
      <c r="BT175" s="142"/>
      <c r="BZ175" s="142"/>
      <c r="CF175" s="142"/>
      <c r="CL175" s="142"/>
    </row>
    <row r="176">
      <c r="F176" s="142"/>
      <c r="L176" s="142"/>
      <c r="R176" s="142"/>
      <c r="X176" s="142"/>
      <c r="AD176" s="142"/>
      <c r="AJ176" s="142"/>
      <c r="AP176" s="142"/>
      <c r="AV176" s="142"/>
      <c r="BB176" s="142"/>
      <c r="BH176" s="142"/>
      <c r="BN176" s="142"/>
      <c r="BT176" s="142"/>
      <c r="BZ176" s="142"/>
      <c r="CF176" s="142"/>
      <c r="CL176" s="142"/>
    </row>
    <row r="177">
      <c r="F177" s="142"/>
      <c r="L177" s="142"/>
      <c r="R177" s="142"/>
      <c r="X177" s="142"/>
      <c r="AD177" s="142"/>
      <c r="AJ177" s="142"/>
      <c r="AP177" s="142"/>
      <c r="AV177" s="142"/>
      <c r="BB177" s="142"/>
      <c r="BH177" s="142"/>
      <c r="BN177" s="142"/>
      <c r="BT177" s="142"/>
      <c r="BZ177" s="142"/>
      <c r="CF177" s="142"/>
      <c r="CL177" s="142"/>
    </row>
    <row r="178">
      <c r="F178" s="142"/>
      <c r="L178" s="142"/>
      <c r="R178" s="142"/>
      <c r="X178" s="142"/>
      <c r="AD178" s="142"/>
      <c r="AJ178" s="142"/>
      <c r="AP178" s="142"/>
      <c r="AV178" s="142"/>
      <c r="BB178" s="142"/>
      <c r="BH178" s="142"/>
      <c r="BN178" s="142"/>
      <c r="BT178" s="142"/>
      <c r="BZ178" s="142"/>
      <c r="CF178" s="142"/>
      <c r="CL178" s="142"/>
    </row>
    <row r="179">
      <c r="F179" s="142"/>
      <c r="L179" s="142"/>
      <c r="R179" s="142"/>
      <c r="X179" s="142"/>
      <c r="AD179" s="142"/>
      <c r="AJ179" s="142"/>
      <c r="AP179" s="142"/>
      <c r="AV179" s="142"/>
      <c r="BB179" s="142"/>
      <c r="BH179" s="142"/>
      <c r="BN179" s="142"/>
      <c r="BT179" s="142"/>
      <c r="BZ179" s="142"/>
      <c r="CF179" s="142"/>
      <c r="CL179" s="142"/>
    </row>
    <row r="180">
      <c r="F180" s="142"/>
      <c r="L180" s="142"/>
      <c r="R180" s="142"/>
      <c r="X180" s="142"/>
      <c r="AD180" s="142"/>
      <c r="AJ180" s="142"/>
      <c r="AP180" s="142"/>
      <c r="AV180" s="142"/>
      <c r="BB180" s="142"/>
      <c r="BH180" s="142"/>
      <c r="BN180" s="142"/>
      <c r="BT180" s="142"/>
      <c r="BZ180" s="142"/>
      <c r="CF180" s="142"/>
      <c r="CL180" s="142"/>
    </row>
    <row r="181">
      <c r="F181" s="142"/>
      <c r="L181" s="142"/>
      <c r="R181" s="142"/>
      <c r="X181" s="142"/>
      <c r="AD181" s="142"/>
      <c r="AJ181" s="142"/>
      <c r="AP181" s="142"/>
      <c r="AV181" s="142"/>
      <c r="BB181" s="142"/>
      <c r="BH181" s="142"/>
      <c r="BN181" s="142"/>
      <c r="BT181" s="142"/>
      <c r="BZ181" s="142"/>
      <c r="CF181" s="142"/>
      <c r="CL181" s="142"/>
    </row>
    <row r="182">
      <c r="F182" s="142"/>
      <c r="L182" s="142"/>
      <c r="R182" s="142"/>
      <c r="X182" s="142"/>
      <c r="AD182" s="142"/>
      <c r="AJ182" s="142"/>
      <c r="AP182" s="142"/>
      <c r="AV182" s="142"/>
      <c r="BB182" s="142"/>
      <c r="BH182" s="142"/>
      <c r="BN182" s="142"/>
      <c r="BT182" s="142"/>
      <c r="BZ182" s="142"/>
      <c r="CF182" s="142"/>
      <c r="CL182" s="142"/>
    </row>
    <row r="183">
      <c r="F183" s="142"/>
      <c r="L183" s="142"/>
      <c r="R183" s="142"/>
      <c r="X183" s="142"/>
      <c r="AD183" s="142"/>
      <c r="AJ183" s="142"/>
      <c r="AP183" s="142"/>
      <c r="AV183" s="142"/>
      <c r="BB183" s="142"/>
      <c r="BH183" s="142"/>
      <c r="BN183" s="142"/>
      <c r="BT183" s="142"/>
      <c r="BZ183" s="142"/>
      <c r="CF183" s="142"/>
      <c r="CL183" s="142"/>
    </row>
    <row r="184">
      <c r="F184" s="142"/>
      <c r="L184" s="142"/>
      <c r="R184" s="142"/>
      <c r="X184" s="142"/>
      <c r="AD184" s="142"/>
      <c r="AJ184" s="142"/>
      <c r="AP184" s="142"/>
      <c r="AV184" s="142"/>
      <c r="BB184" s="142"/>
      <c r="BH184" s="142"/>
      <c r="BN184" s="142"/>
      <c r="BT184" s="142"/>
      <c r="BZ184" s="142"/>
      <c r="CF184" s="142"/>
      <c r="CL184" s="142"/>
    </row>
    <row r="185">
      <c r="F185" s="142"/>
      <c r="L185" s="142"/>
      <c r="R185" s="142"/>
      <c r="X185" s="142"/>
      <c r="AD185" s="142"/>
      <c r="AJ185" s="142"/>
      <c r="AP185" s="142"/>
      <c r="AV185" s="142"/>
      <c r="BB185" s="142"/>
      <c r="BH185" s="142"/>
      <c r="BN185" s="142"/>
      <c r="BT185" s="142"/>
      <c r="BZ185" s="142"/>
      <c r="CF185" s="142"/>
      <c r="CL185" s="142"/>
    </row>
    <row r="186">
      <c r="F186" s="142"/>
      <c r="L186" s="142"/>
      <c r="R186" s="142"/>
      <c r="X186" s="142"/>
      <c r="AD186" s="142"/>
      <c r="AJ186" s="142"/>
      <c r="AP186" s="142"/>
      <c r="AV186" s="142"/>
      <c r="BB186" s="142"/>
      <c r="BH186" s="142"/>
      <c r="BN186" s="142"/>
      <c r="BT186" s="142"/>
      <c r="BZ186" s="142"/>
      <c r="CF186" s="142"/>
      <c r="CL186" s="142"/>
    </row>
    <row r="187">
      <c r="F187" s="142"/>
      <c r="L187" s="142"/>
      <c r="R187" s="142"/>
      <c r="X187" s="142"/>
      <c r="AD187" s="142"/>
      <c r="AJ187" s="142"/>
      <c r="AP187" s="142"/>
      <c r="AV187" s="142"/>
      <c r="BB187" s="142"/>
      <c r="BH187" s="142"/>
      <c r="BN187" s="142"/>
      <c r="BT187" s="142"/>
      <c r="BZ187" s="142"/>
      <c r="CF187" s="142"/>
      <c r="CL187" s="142"/>
    </row>
    <row r="188">
      <c r="F188" s="142"/>
      <c r="L188" s="142"/>
      <c r="R188" s="142"/>
      <c r="X188" s="142"/>
      <c r="AD188" s="142"/>
      <c r="AJ188" s="142"/>
      <c r="AP188" s="142"/>
      <c r="AV188" s="142"/>
      <c r="BB188" s="142"/>
      <c r="BH188" s="142"/>
      <c r="BN188" s="142"/>
      <c r="BT188" s="142"/>
      <c r="BZ188" s="142"/>
      <c r="CF188" s="142"/>
      <c r="CL188" s="142"/>
    </row>
    <row r="189">
      <c r="F189" s="142"/>
      <c r="L189" s="142"/>
      <c r="R189" s="142"/>
      <c r="X189" s="142"/>
      <c r="AD189" s="142"/>
      <c r="AJ189" s="142"/>
      <c r="AP189" s="142"/>
      <c r="AV189" s="142"/>
      <c r="BB189" s="142"/>
      <c r="BH189" s="142"/>
      <c r="BN189" s="142"/>
      <c r="BT189" s="142"/>
      <c r="BZ189" s="142"/>
      <c r="CF189" s="142"/>
      <c r="CL189" s="142"/>
    </row>
    <row r="190">
      <c r="F190" s="142"/>
      <c r="L190" s="142"/>
      <c r="R190" s="142"/>
      <c r="X190" s="142"/>
      <c r="AD190" s="142"/>
      <c r="AJ190" s="142"/>
      <c r="AP190" s="142"/>
      <c r="AV190" s="142"/>
      <c r="BB190" s="142"/>
      <c r="BH190" s="142"/>
      <c r="BN190" s="142"/>
      <c r="BT190" s="142"/>
      <c r="BZ190" s="142"/>
      <c r="CF190" s="142"/>
      <c r="CL190" s="142"/>
    </row>
    <row r="191">
      <c r="F191" s="142"/>
      <c r="L191" s="142"/>
      <c r="R191" s="142"/>
      <c r="X191" s="142"/>
      <c r="AD191" s="142"/>
      <c r="AJ191" s="142"/>
      <c r="AP191" s="142"/>
      <c r="AV191" s="142"/>
      <c r="BB191" s="142"/>
      <c r="BH191" s="142"/>
      <c r="BN191" s="142"/>
      <c r="BT191" s="142"/>
      <c r="BZ191" s="142"/>
      <c r="CF191" s="142"/>
      <c r="CL191" s="142"/>
    </row>
    <row r="192">
      <c r="F192" s="142"/>
      <c r="L192" s="142"/>
      <c r="R192" s="142"/>
      <c r="X192" s="142"/>
      <c r="AD192" s="142"/>
      <c r="AJ192" s="142"/>
      <c r="AP192" s="142"/>
      <c r="AV192" s="142"/>
      <c r="BB192" s="142"/>
      <c r="BH192" s="142"/>
      <c r="BN192" s="142"/>
      <c r="BT192" s="142"/>
      <c r="BZ192" s="142"/>
      <c r="CF192" s="142"/>
      <c r="CL192" s="142"/>
    </row>
    <row r="193">
      <c r="F193" s="142"/>
      <c r="L193" s="142"/>
      <c r="R193" s="142"/>
      <c r="X193" s="142"/>
      <c r="AD193" s="142"/>
      <c r="AJ193" s="142"/>
      <c r="AP193" s="142"/>
      <c r="AV193" s="142"/>
      <c r="BB193" s="142"/>
      <c r="BH193" s="142"/>
      <c r="BN193" s="142"/>
      <c r="BT193" s="142"/>
      <c r="BZ193" s="142"/>
      <c r="CF193" s="142"/>
      <c r="CL193" s="142"/>
    </row>
    <row r="194">
      <c r="F194" s="142"/>
      <c r="L194" s="142"/>
      <c r="R194" s="142"/>
      <c r="X194" s="142"/>
      <c r="AD194" s="142"/>
      <c r="AJ194" s="142"/>
      <c r="AP194" s="142"/>
      <c r="AV194" s="142"/>
      <c r="BB194" s="142"/>
      <c r="BH194" s="142"/>
      <c r="BN194" s="142"/>
      <c r="BT194" s="142"/>
      <c r="BZ194" s="142"/>
      <c r="CF194" s="142"/>
      <c r="CL194" s="142"/>
    </row>
    <row r="195">
      <c r="F195" s="142"/>
      <c r="L195" s="142"/>
      <c r="R195" s="142"/>
      <c r="X195" s="142"/>
      <c r="AD195" s="142"/>
      <c r="AJ195" s="142"/>
      <c r="AP195" s="142"/>
      <c r="AV195" s="142"/>
      <c r="BB195" s="142"/>
      <c r="BH195" s="142"/>
      <c r="BN195" s="142"/>
      <c r="BT195" s="142"/>
      <c r="BZ195" s="142"/>
      <c r="CF195" s="142"/>
      <c r="CL195" s="142"/>
    </row>
    <row r="196">
      <c r="F196" s="142"/>
      <c r="L196" s="142"/>
      <c r="R196" s="142"/>
      <c r="X196" s="142"/>
      <c r="AD196" s="142"/>
      <c r="AJ196" s="142"/>
      <c r="AP196" s="142"/>
      <c r="AV196" s="142"/>
      <c r="BB196" s="142"/>
      <c r="BH196" s="142"/>
      <c r="BN196" s="142"/>
      <c r="BT196" s="142"/>
      <c r="BZ196" s="142"/>
      <c r="CF196" s="142"/>
      <c r="CL196" s="142"/>
    </row>
    <row r="197">
      <c r="F197" s="142"/>
      <c r="L197" s="142"/>
      <c r="R197" s="142"/>
      <c r="X197" s="142"/>
      <c r="AD197" s="142"/>
      <c r="AJ197" s="142"/>
      <c r="AP197" s="142"/>
      <c r="AV197" s="142"/>
      <c r="BB197" s="142"/>
      <c r="BH197" s="142"/>
      <c r="BN197" s="142"/>
      <c r="BT197" s="142"/>
      <c r="BZ197" s="142"/>
      <c r="CF197" s="142"/>
      <c r="CL197" s="142"/>
    </row>
    <row r="198">
      <c r="F198" s="142"/>
      <c r="L198" s="142"/>
      <c r="R198" s="142"/>
      <c r="X198" s="142"/>
      <c r="AD198" s="142"/>
      <c r="AJ198" s="142"/>
      <c r="AP198" s="142"/>
      <c r="AV198" s="142"/>
      <c r="BB198" s="142"/>
      <c r="BH198" s="142"/>
      <c r="BN198" s="142"/>
      <c r="BT198" s="142"/>
      <c r="BZ198" s="142"/>
      <c r="CF198" s="142"/>
      <c r="CL198" s="142"/>
    </row>
    <row r="199">
      <c r="F199" s="142"/>
      <c r="L199" s="142"/>
      <c r="R199" s="142"/>
      <c r="X199" s="142"/>
      <c r="AD199" s="142"/>
      <c r="AJ199" s="142"/>
      <c r="AP199" s="142"/>
      <c r="AV199" s="142"/>
      <c r="BB199" s="142"/>
      <c r="BH199" s="142"/>
      <c r="BN199" s="142"/>
      <c r="BT199" s="142"/>
      <c r="BZ199" s="142"/>
      <c r="CF199" s="142"/>
      <c r="CL199" s="142"/>
    </row>
    <row r="200">
      <c r="F200" s="142"/>
      <c r="L200" s="142"/>
      <c r="R200" s="142"/>
      <c r="X200" s="142"/>
      <c r="AD200" s="142"/>
      <c r="AJ200" s="142"/>
      <c r="AP200" s="142"/>
      <c r="AV200" s="142"/>
      <c r="BB200" s="142"/>
      <c r="BH200" s="142"/>
      <c r="BN200" s="142"/>
      <c r="BT200" s="142"/>
      <c r="BZ200" s="142"/>
      <c r="CF200" s="142"/>
      <c r="CL200" s="142"/>
    </row>
    <row r="201">
      <c r="F201" s="142"/>
      <c r="L201" s="142"/>
      <c r="R201" s="142"/>
      <c r="X201" s="142"/>
      <c r="AD201" s="142"/>
      <c r="AJ201" s="142"/>
      <c r="AP201" s="142"/>
      <c r="AV201" s="142"/>
      <c r="BB201" s="142"/>
      <c r="BH201" s="142"/>
      <c r="BN201" s="142"/>
      <c r="BT201" s="142"/>
      <c r="BZ201" s="142"/>
      <c r="CF201" s="142"/>
      <c r="CL201" s="142"/>
    </row>
    <row r="202">
      <c r="F202" s="142"/>
      <c r="L202" s="142"/>
      <c r="R202" s="142"/>
      <c r="X202" s="142"/>
      <c r="AD202" s="142"/>
      <c r="AJ202" s="142"/>
      <c r="AP202" s="142"/>
      <c r="AV202" s="142"/>
      <c r="BB202" s="142"/>
      <c r="BH202" s="142"/>
      <c r="BN202" s="142"/>
      <c r="BT202" s="142"/>
      <c r="BZ202" s="142"/>
      <c r="CF202" s="142"/>
      <c r="CL202" s="142"/>
    </row>
    <row r="203">
      <c r="F203" s="142"/>
      <c r="L203" s="142"/>
      <c r="R203" s="142"/>
      <c r="X203" s="142"/>
      <c r="AD203" s="142"/>
      <c r="AJ203" s="142"/>
      <c r="AP203" s="142"/>
      <c r="AV203" s="142"/>
      <c r="BB203" s="142"/>
      <c r="BH203" s="142"/>
      <c r="BN203" s="142"/>
      <c r="BT203" s="142"/>
      <c r="BZ203" s="142"/>
      <c r="CF203" s="142"/>
      <c r="CL203" s="142"/>
    </row>
    <row r="204">
      <c r="F204" s="142"/>
      <c r="L204" s="142"/>
      <c r="R204" s="142"/>
      <c r="X204" s="142"/>
      <c r="AD204" s="142"/>
      <c r="AJ204" s="142"/>
      <c r="AP204" s="142"/>
      <c r="AV204" s="142"/>
      <c r="BB204" s="142"/>
      <c r="BH204" s="142"/>
      <c r="BN204" s="142"/>
      <c r="BT204" s="142"/>
      <c r="BZ204" s="142"/>
      <c r="CF204" s="142"/>
      <c r="CL204" s="142"/>
    </row>
    <row r="205">
      <c r="F205" s="142"/>
      <c r="L205" s="142"/>
      <c r="R205" s="142"/>
      <c r="X205" s="142"/>
      <c r="AD205" s="142"/>
      <c r="AJ205" s="142"/>
      <c r="AP205" s="142"/>
      <c r="AV205" s="142"/>
      <c r="BB205" s="142"/>
      <c r="BH205" s="142"/>
      <c r="BN205" s="142"/>
      <c r="BT205" s="142"/>
      <c r="BZ205" s="142"/>
      <c r="CF205" s="142"/>
      <c r="CL205" s="142"/>
    </row>
    <row r="206">
      <c r="F206" s="142"/>
      <c r="L206" s="142"/>
      <c r="R206" s="142"/>
      <c r="X206" s="142"/>
      <c r="AD206" s="142"/>
      <c r="AJ206" s="142"/>
      <c r="AP206" s="142"/>
      <c r="AV206" s="142"/>
      <c r="BB206" s="142"/>
      <c r="BH206" s="142"/>
      <c r="BN206" s="142"/>
      <c r="BT206" s="142"/>
      <c r="BZ206" s="142"/>
      <c r="CF206" s="142"/>
      <c r="CL206" s="142"/>
    </row>
    <row r="207">
      <c r="F207" s="142"/>
      <c r="L207" s="142"/>
      <c r="R207" s="142"/>
      <c r="X207" s="142"/>
      <c r="AD207" s="142"/>
      <c r="AJ207" s="142"/>
      <c r="AP207" s="142"/>
      <c r="AV207" s="142"/>
      <c r="BB207" s="142"/>
      <c r="BH207" s="142"/>
      <c r="BN207" s="142"/>
      <c r="BT207" s="142"/>
      <c r="BZ207" s="142"/>
      <c r="CF207" s="142"/>
      <c r="CL207" s="142"/>
    </row>
    <row r="208">
      <c r="F208" s="142"/>
      <c r="L208" s="142"/>
      <c r="R208" s="142"/>
      <c r="X208" s="142"/>
      <c r="AD208" s="142"/>
      <c r="AJ208" s="142"/>
      <c r="AP208" s="142"/>
      <c r="AV208" s="142"/>
      <c r="BB208" s="142"/>
      <c r="BH208" s="142"/>
      <c r="BN208" s="142"/>
      <c r="BT208" s="142"/>
      <c r="BZ208" s="142"/>
      <c r="CF208" s="142"/>
      <c r="CL208" s="142"/>
    </row>
    <row r="209">
      <c r="F209" s="142"/>
      <c r="L209" s="142"/>
      <c r="R209" s="142"/>
      <c r="X209" s="142"/>
      <c r="AD209" s="142"/>
      <c r="AJ209" s="142"/>
      <c r="AP209" s="142"/>
      <c r="AV209" s="142"/>
      <c r="BB209" s="142"/>
      <c r="BH209" s="142"/>
      <c r="BN209" s="142"/>
      <c r="BT209" s="142"/>
      <c r="BZ209" s="142"/>
      <c r="CF209" s="142"/>
      <c r="CL209" s="142"/>
    </row>
    <row r="210">
      <c r="F210" s="142"/>
      <c r="L210" s="142"/>
      <c r="R210" s="142"/>
      <c r="X210" s="142"/>
      <c r="AD210" s="142"/>
      <c r="AJ210" s="142"/>
      <c r="AP210" s="142"/>
      <c r="AV210" s="142"/>
      <c r="BB210" s="142"/>
      <c r="BH210" s="142"/>
      <c r="BN210" s="142"/>
      <c r="BT210" s="142"/>
      <c r="BZ210" s="142"/>
      <c r="CF210" s="142"/>
      <c r="CL210" s="142"/>
    </row>
    <row r="211">
      <c r="F211" s="142"/>
      <c r="L211" s="142"/>
      <c r="R211" s="142"/>
      <c r="X211" s="142"/>
      <c r="AD211" s="142"/>
      <c r="AJ211" s="142"/>
      <c r="AP211" s="142"/>
      <c r="AV211" s="142"/>
      <c r="BB211" s="142"/>
      <c r="BH211" s="142"/>
      <c r="BN211" s="142"/>
      <c r="BT211" s="142"/>
      <c r="BZ211" s="142"/>
      <c r="CF211" s="142"/>
      <c r="CL211" s="142"/>
    </row>
    <row r="212">
      <c r="F212" s="142"/>
      <c r="L212" s="142"/>
      <c r="R212" s="142"/>
      <c r="X212" s="142"/>
      <c r="AD212" s="142"/>
      <c r="AJ212" s="142"/>
      <c r="AP212" s="142"/>
      <c r="AV212" s="142"/>
      <c r="BB212" s="142"/>
      <c r="BH212" s="142"/>
      <c r="BN212" s="142"/>
      <c r="BT212" s="142"/>
      <c r="BZ212" s="142"/>
      <c r="CF212" s="142"/>
      <c r="CL212" s="142"/>
    </row>
    <row r="213">
      <c r="F213" s="142"/>
      <c r="L213" s="142"/>
      <c r="R213" s="142"/>
      <c r="X213" s="142"/>
      <c r="AD213" s="142"/>
      <c r="AJ213" s="142"/>
      <c r="AP213" s="142"/>
      <c r="AV213" s="142"/>
      <c r="BB213" s="142"/>
      <c r="BH213" s="142"/>
      <c r="BN213" s="142"/>
      <c r="BT213" s="142"/>
      <c r="BZ213" s="142"/>
      <c r="CF213" s="142"/>
      <c r="CL213" s="142"/>
    </row>
    <row r="214">
      <c r="F214" s="142"/>
      <c r="L214" s="142"/>
      <c r="R214" s="142"/>
      <c r="X214" s="142"/>
      <c r="AD214" s="142"/>
      <c r="AJ214" s="142"/>
      <c r="AP214" s="142"/>
      <c r="AV214" s="142"/>
      <c r="BB214" s="142"/>
      <c r="BH214" s="142"/>
      <c r="BN214" s="142"/>
      <c r="BT214" s="142"/>
      <c r="BZ214" s="142"/>
      <c r="CF214" s="142"/>
      <c r="CL214" s="142"/>
    </row>
    <row r="215">
      <c r="F215" s="142"/>
      <c r="L215" s="142"/>
      <c r="R215" s="142"/>
      <c r="X215" s="142"/>
      <c r="AD215" s="142"/>
      <c r="AJ215" s="142"/>
      <c r="AP215" s="142"/>
      <c r="AV215" s="142"/>
      <c r="BB215" s="142"/>
      <c r="BH215" s="142"/>
      <c r="BN215" s="142"/>
      <c r="BT215" s="142"/>
      <c r="BZ215" s="142"/>
      <c r="CF215" s="142"/>
      <c r="CL215" s="142"/>
    </row>
    <row r="216">
      <c r="F216" s="142"/>
      <c r="L216" s="142"/>
      <c r="R216" s="142"/>
      <c r="X216" s="142"/>
      <c r="AD216" s="142"/>
      <c r="AJ216" s="142"/>
      <c r="AP216" s="142"/>
      <c r="AV216" s="142"/>
      <c r="BB216" s="142"/>
      <c r="BH216" s="142"/>
      <c r="BN216" s="142"/>
      <c r="BT216" s="142"/>
      <c r="BZ216" s="142"/>
      <c r="CF216" s="142"/>
      <c r="CL216" s="142"/>
    </row>
    <row r="217">
      <c r="F217" s="142"/>
      <c r="L217" s="142"/>
      <c r="R217" s="142"/>
      <c r="X217" s="142"/>
      <c r="AD217" s="142"/>
      <c r="AJ217" s="142"/>
      <c r="AP217" s="142"/>
      <c r="AV217" s="142"/>
      <c r="BB217" s="142"/>
      <c r="BH217" s="142"/>
      <c r="BN217" s="142"/>
      <c r="BT217" s="142"/>
      <c r="BZ217" s="142"/>
      <c r="CF217" s="142"/>
      <c r="CL217" s="142"/>
    </row>
    <row r="218">
      <c r="F218" s="142"/>
      <c r="L218" s="142"/>
      <c r="R218" s="142"/>
      <c r="X218" s="142"/>
      <c r="AD218" s="142"/>
      <c r="AJ218" s="142"/>
      <c r="AP218" s="142"/>
      <c r="AV218" s="142"/>
      <c r="BB218" s="142"/>
      <c r="BH218" s="142"/>
      <c r="BN218" s="142"/>
      <c r="BT218" s="142"/>
      <c r="BZ218" s="142"/>
      <c r="CF218" s="142"/>
      <c r="CL218" s="142"/>
    </row>
    <row r="219">
      <c r="F219" s="142"/>
      <c r="L219" s="142"/>
      <c r="R219" s="142"/>
      <c r="X219" s="142"/>
      <c r="AD219" s="142"/>
      <c r="AJ219" s="142"/>
      <c r="AP219" s="142"/>
      <c r="AV219" s="142"/>
      <c r="BB219" s="142"/>
      <c r="BH219" s="142"/>
      <c r="BN219" s="142"/>
      <c r="BT219" s="142"/>
      <c r="BZ219" s="142"/>
      <c r="CF219" s="142"/>
      <c r="CL219" s="142"/>
    </row>
    <row r="220">
      <c r="F220" s="142"/>
      <c r="L220" s="142"/>
      <c r="R220" s="142"/>
      <c r="X220" s="142"/>
      <c r="AD220" s="142"/>
      <c r="AJ220" s="142"/>
      <c r="AP220" s="142"/>
      <c r="AV220" s="142"/>
      <c r="BB220" s="142"/>
      <c r="BH220" s="142"/>
      <c r="BN220" s="142"/>
      <c r="BT220" s="142"/>
      <c r="BZ220" s="142"/>
      <c r="CF220" s="142"/>
      <c r="CL220" s="142"/>
    </row>
    <row r="221">
      <c r="F221" s="142"/>
      <c r="L221" s="142"/>
      <c r="R221" s="142"/>
      <c r="X221" s="142"/>
      <c r="AD221" s="142"/>
      <c r="AJ221" s="142"/>
      <c r="AP221" s="142"/>
      <c r="AV221" s="142"/>
      <c r="BB221" s="142"/>
      <c r="BH221" s="142"/>
      <c r="BN221" s="142"/>
      <c r="BT221" s="142"/>
      <c r="BZ221" s="142"/>
      <c r="CF221" s="142"/>
      <c r="CL221" s="142"/>
    </row>
    <row r="222">
      <c r="F222" s="142"/>
      <c r="L222" s="142"/>
      <c r="R222" s="142"/>
      <c r="X222" s="142"/>
      <c r="AD222" s="142"/>
      <c r="AJ222" s="142"/>
      <c r="AP222" s="142"/>
      <c r="AV222" s="142"/>
      <c r="BB222" s="142"/>
      <c r="BH222" s="142"/>
      <c r="BN222" s="142"/>
      <c r="BT222" s="142"/>
      <c r="BZ222" s="142"/>
      <c r="CF222" s="142"/>
      <c r="CL222" s="142"/>
    </row>
    <row r="223">
      <c r="F223" s="142"/>
      <c r="L223" s="142"/>
      <c r="R223" s="142"/>
      <c r="X223" s="142"/>
      <c r="AD223" s="142"/>
      <c r="AJ223" s="142"/>
      <c r="AP223" s="142"/>
      <c r="AV223" s="142"/>
      <c r="BB223" s="142"/>
      <c r="BH223" s="142"/>
      <c r="BN223" s="142"/>
      <c r="BT223" s="142"/>
      <c r="BZ223" s="142"/>
      <c r="CF223" s="142"/>
      <c r="CL223" s="142"/>
    </row>
    <row r="224">
      <c r="F224" s="142"/>
      <c r="L224" s="142"/>
      <c r="R224" s="142"/>
      <c r="X224" s="142"/>
      <c r="AD224" s="142"/>
      <c r="AJ224" s="142"/>
      <c r="AP224" s="142"/>
      <c r="AV224" s="142"/>
      <c r="BB224" s="142"/>
      <c r="BH224" s="142"/>
      <c r="BN224" s="142"/>
      <c r="BT224" s="142"/>
      <c r="BZ224" s="142"/>
      <c r="CF224" s="142"/>
      <c r="CL224" s="142"/>
    </row>
    <row r="225">
      <c r="F225" s="142"/>
      <c r="L225" s="142"/>
      <c r="R225" s="142"/>
      <c r="X225" s="142"/>
      <c r="AD225" s="142"/>
      <c r="AJ225" s="142"/>
      <c r="AP225" s="142"/>
      <c r="AV225" s="142"/>
      <c r="BB225" s="142"/>
      <c r="BH225" s="142"/>
      <c r="BN225" s="142"/>
      <c r="BT225" s="142"/>
      <c r="BZ225" s="142"/>
      <c r="CF225" s="142"/>
      <c r="CL225" s="142"/>
    </row>
    <row r="226">
      <c r="F226" s="142"/>
      <c r="L226" s="142"/>
      <c r="R226" s="142"/>
      <c r="X226" s="142"/>
      <c r="AD226" s="142"/>
      <c r="AJ226" s="142"/>
      <c r="AP226" s="142"/>
      <c r="AV226" s="142"/>
      <c r="BB226" s="142"/>
      <c r="BH226" s="142"/>
      <c r="BN226" s="142"/>
      <c r="BT226" s="142"/>
      <c r="BZ226" s="142"/>
      <c r="CF226" s="142"/>
      <c r="CL226" s="142"/>
    </row>
    <row r="227">
      <c r="F227" s="142"/>
      <c r="L227" s="142"/>
      <c r="R227" s="142"/>
      <c r="X227" s="142"/>
      <c r="AD227" s="142"/>
      <c r="AJ227" s="142"/>
      <c r="AP227" s="142"/>
      <c r="AV227" s="142"/>
      <c r="BB227" s="142"/>
      <c r="BH227" s="142"/>
      <c r="BN227" s="142"/>
      <c r="BT227" s="142"/>
      <c r="BZ227" s="142"/>
      <c r="CF227" s="142"/>
      <c r="CL227" s="142"/>
    </row>
    <row r="228">
      <c r="F228" s="142"/>
      <c r="L228" s="142"/>
      <c r="R228" s="142"/>
      <c r="X228" s="142"/>
      <c r="AD228" s="142"/>
      <c r="AJ228" s="142"/>
      <c r="AP228" s="142"/>
      <c r="AV228" s="142"/>
      <c r="BB228" s="142"/>
      <c r="BH228" s="142"/>
      <c r="BN228" s="142"/>
      <c r="BT228" s="142"/>
      <c r="BZ228" s="142"/>
      <c r="CF228" s="142"/>
      <c r="CL228" s="142"/>
    </row>
    <row r="229">
      <c r="F229" s="142"/>
      <c r="L229" s="142"/>
      <c r="R229" s="142"/>
      <c r="X229" s="142"/>
      <c r="AD229" s="142"/>
      <c r="AJ229" s="142"/>
      <c r="AP229" s="142"/>
      <c r="AV229" s="142"/>
      <c r="BB229" s="142"/>
      <c r="BH229" s="142"/>
      <c r="BN229" s="142"/>
      <c r="BT229" s="142"/>
      <c r="BZ229" s="142"/>
      <c r="CF229" s="142"/>
      <c r="CL229" s="142"/>
    </row>
    <row r="230">
      <c r="F230" s="142"/>
      <c r="L230" s="142"/>
      <c r="R230" s="142"/>
      <c r="X230" s="142"/>
      <c r="AD230" s="142"/>
      <c r="AJ230" s="142"/>
      <c r="AP230" s="142"/>
      <c r="AV230" s="142"/>
      <c r="BB230" s="142"/>
      <c r="BH230" s="142"/>
      <c r="BN230" s="142"/>
      <c r="BT230" s="142"/>
      <c r="BZ230" s="142"/>
      <c r="CF230" s="142"/>
      <c r="CL230" s="142"/>
    </row>
    <row r="231">
      <c r="F231" s="142"/>
      <c r="L231" s="142"/>
      <c r="R231" s="142"/>
      <c r="X231" s="142"/>
      <c r="AD231" s="142"/>
      <c r="AJ231" s="142"/>
      <c r="AP231" s="142"/>
      <c r="AV231" s="142"/>
      <c r="BB231" s="142"/>
      <c r="BH231" s="142"/>
      <c r="BN231" s="142"/>
      <c r="BT231" s="142"/>
      <c r="BZ231" s="142"/>
      <c r="CF231" s="142"/>
      <c r="CL231" s="142"/>
    </row>
    <row r="232">
      <c r="F232" s="142"/>
      <c r="L232" s="142"/>
      <c r="R232" s="142"/>
      <c r="X232" s="142"/>
      <c r="AD232" s="142"/>
      <c r="AJ232" s="142"/>
      <c r="AP232" s="142"/>
      <c r="AV232" s="142"/>
      <c r="BB232" s="142"/>
      <c r="BH232" s="142"/>
      <c r="BN232" s="142"/>
      <c r="BT232" s="142"/>
      <c r="BZ232" s="142"/>
      <c r="CF232" s="142"/>
      <c r="CL232" s="142"/>
    </row>
    <row r="233">
      <c r="F233" s="142"/>
      <c r="L233" s="142"/>
      <c r="R233" s="142"/>
      <c r="X233" s="142"/>
      <c r="AD233" s="142"/>
      <c r="AJ233" s="142"/>
      <c r="AP233" s="142"/>
      <c r="AV233" s="142"/>
      <c r="BB233" s="142"/>
      <c r="BH233" s="142"/>
      <c r="BN233" s="142"/>
      <c r="BT233" s="142"/>
      <c r="BZ233" s="142"/>
      <c r="CF233" s="142"/>
      <c r="CL233" s="142"/>
    </row>
    <row r="234">
      <c r="F234" s="142"/>
      <c r="L234" s="142"/>
      <c r="R234" s="142"/>
      <c r="X234" s="142"/>
      <c r="AD234" s="142"/>
      <c r="AJ234" s="142"/>
      <c r="AP234" s="142"/>
      <c r="AV234" s="142"/>
      <c r="BB234" s="142"/>
      <c r="BH234" s="142"/>
      <c r="BN234" s="142"/>
      <c r="BT234" s="142"/>
      <c r="BZ234" s="142"/>
      <c r="CF234" s="142"/>
      <c r="CL234" s="142"/>
    </row>
    <row r="235">
      <c r="F235" s="142"/>
      <c r="L235" s="142"/>
      <c r="R235" s="142"/>
      <c r="X235" s="142"/>
      <c r="AD235" s="142"/>
      <c r="AJ235" s="142"/>
      <c r="AP235" s="142"/>
      <c r="AV235" s="142"/>
      <c r="BB235" s="142"/>
      <c r="BH235" s="142"/>
      <c r="BN235" s="142"/>
      <c r="BT235" s="142"/>
      <c r="BZ235" s="142"/>
      <c r="CF235" s="142"/>
      <c r="CL235" s="142"/>
    </row>
    <row r="236">
      <c r="F236" s="142"/>
      <c r="L236" s="142"/>
      <c r="R236" s="142"/>
      <c r="X236" s="142"/>
      <c r="AD236" s="142"/>
      <c r="AJ236" s="142"/>
      <c r="AP236" s="142"/>
      <c r="AV236" s="142"/>
      <c r="BB236" s="142"/>
      <c r="BH236" s="142"/>
      <c r="BN236" s="142"/>
      <c r="BT236" s="142"/>
      <c r="BZ236" s="142"/>
      <c r="CF236" s="142"/>
      <c r="CL236" s="142"/>
    </row>
    <row r="237">
      <c r="F237" s="142"/>
      <c r="L237" s="142"/>
      <c r="R237" s="142"/>
      <c r="X237" s="142"/>
      <c r="AD237" s="142"/>
      <c r="AJ237" s="142"/>
      <c r="AP237" s="142"/>
      <c r="AV237" s="142"/>
      <c r="BB237" s="142"/>
      <c r="BH237" s="142"/>
      <c r="BN237" s="142"/>
      <c r="BT237" s="142"/>
      <c r="BZ237" s="142"/>
      <c r="CF237" s="142"/>
      <c r="CL237" s="142"/>
    </row>
    <row r="238">
      <c r="F238" s="142"/>
      <c r="L238" s="142"/>
      <c r="R238" s="142"/>
      <c r="X238" s="142"/>
      <c r="AD238" s="142"/>
      <c r="AJ238" s="142"/>
      <c r="AP238" s="142"/>
      <c r="AV238" s="142"/>
      <c r="BB238" s="142"/>
      <c r="BH238" s="142"/>
      <c r="BN238" s="142"/>
      <c r="BT238" s="142"/>
      <c r="BZ238" s="142"/>
      <c r="CF238" s="142"/>
      <c r="CL238" s="142"/>
    </row>
    <row r="239">
      <c r="F239" s="142"/>
      <c r="L239" s="142"/>
      <c r="R239" s="142"/>
      <c r="X239" s="142"/>
      <c r="AD239" s="142"/>
      <c r="AJ239" s="142"/>
      <c r="AP239" s="142"/>
      <c r="AV239" s="142"/>
      <c r="BB239" s="142"/>
      <c r="BH239" s="142"/>
      <c r="BN239" s="142"/>
      <c r="BT239" s="142"/>
      <c r="BZ239" s="142"/>
      <c r="CF239" s="142"/>
      <c r="CL239" s="142"/>
    </row>
    <row r="240">
      <c r="F240" s="142"/>
      <c r="L240" s="142"/>
      <c r="R240" s="142"/>
      <c r="X240" s="142"/>
      <c r="AD240" s="142"/>
      <c r="AJ240" s="142"/>
      <c r="AP240" s="142"/>
      <c r="AV240" s="142"/>
      <c r="BB240" s="142"/>
      <c r="BH240" s="142"/>
      <c r="BN240" s="142"/>
      <c r="BT240" s="142"/>
      <c r="BZ240" s="142"/>
      <c r="CF240" s="142"/>
      <c r="CL240" s="142"/>
    </row>
    <row r="241">
      <c r="F241" s="142"/>
      <c r="L241" s="142"/>
      <c r="R241" s="142"/>
      <c r="X241" s="142"/>
      <c r="AD241" s="142"/>
      <c r="AJ241" s="142"/>
      <c r="AP241" s="142"/>
      <c r="AV241" s="142"/>
      <c r="BB241" s="142"/>
      <c r="BH241" s="142"/>
      <c r="BN241" s="142"/>
      <c r="BT241" s="142"/>
      <c r="BZ241" s="142"/>
      <c r="CF241" s="142"/>
      <c r="CL241" s="142"/>
    </row>
    <row r="242">
      <c r="F242" s="142"/>
      <c r="L242" s="142"/>
      <c r="R242" s="142"/>
      <c r="X242" s="142"/>
      <c r="AD242" s="142"/>
      <c r="AJ242" s="142"/>
      <c r="AP242" s="142"/>
      <c r="AV242" s="142"/>
      <c r="BB242" s="142"/>
      <c r="BH242" s="142"/>
      <c r="BN242" s="142"/>
      <c r="BT242" s="142"/>
      <c r="BZ242" s="142"/>
      <c r="CF242" s="142"/>
      <c r="CL242" s="142"/>
    </row>
    <row r="243">
      <c r="F243" s="142"/>
      <c r="L243" s="142"/>
      <c r="R243" s="142"/>
      <c r="X243" s="142"/>
      <c r="AD243" s="142"/>
      <c r="AJ243" s="142"/>
      <c r="AP243" s="142"/>
      <c r="AV243" s="142"/>
      <c r="BB243" s="142"/>
      <c r="BH243" s="142"/>
      <c r="BN243" s="142"/>
      <c r="BT243" s="142"/>
      <c r="BZ243" s="142"/>
      <c r="CF243" s="142"/>
      <c r="CL243" s="142"/>
    </row>
    <row r="244">
      <c r="F244" s="142"/>
      <c r="L244" s="142"/>
      <c r="R244" s="142"/>
      <c r="X244" s="142"/>
      <c r="AD244" s="142"/>
      <c r="AJ244" s="142"/>
      <c r="AP244" s="142"/>
      <c r="AV244" s="142"/>
      <c r="BB244" s="142"/>
      <c r="BH244" s="142"/>
      <c r="BN244" s="142"/>
      <c r="BT244" s="142"/>
      <c r="BZ244" s="142"/>
      <c r="CF244" s="142"/>
      <c r="CL244" s="142"/>
    </row>
    <row r="245">
      <c r="F245" s="142"/>
      <c r="L245" s="142"/>
      <c r="R245" s="142"/>
      <c r="X245" s="142"/>
      <c r="AD245" s="142"/>
      <c r="AJ245" s="142"/>
      <c r="AP245" s="142"/>
      <c r="AV245" s="142"/>
      <c r="BB245" s="142"/>
      <c r="BH245" s="142"/>
      <c r="BN245" s="142"/>
      <c r="BT245" s="142"/>
      <c r="BZ245" s="142"/>
      <c r="CF245" s="142"/>
      <c r="CL245" s="142"/>
    </row>
    <row r="246">
      <c r="F246" s="142"/>
      <c r="L246" s="142"/>
      <c r="R246" s="142"/>
      <c r="X246" s="142"/>
      <c r="AD246" s="142"/>
      <c r="AJ246" s="142"/>
      <c r="AP246" s="142"/>
      <c r="AV246" s="142"/>
      <c r="BB246" s="142"/>
      <c r="BH246" s="142"/>
      <c r="BN246" s="142"/>
      <c r="BT246" s="142"/>
      <c r="BZ246" s="142"/>
      <c r="CF246" s="142"/>
      <c r="CL246" s="142"/>
    </row>
    <row r="247">
      <c r="F247" s="142"/>
      <c r="L247" s="142"/>
      <c r="R247" s="142"/>
      <c r="X247" s="142"/>
      <c r="AD247" s="142"/>
      <c r="AJ247" s="142"/>
      <c r="AP247" s="142"/>
      <c r="AV247" s="142"/>
      <c r="BB247" s="142"/>
      <c r="BH247" s="142"/>
      <c r="BN247" s="142"/>
      <c r="BT247" s="142"/>
      <c r="BZ247" s="142"/>
      <c r="CF247" s="142"/>
      <c r="CL247" s="142"/>
    </row>
    <row r="248">
      <c r="F248" s="142"/>
      <c r="L248" s="142"/>
      <c r="R248" s="142"/>
      <c r="X248" s="142"/>
      <c r="AD248" s="142"/>
      <c r="AJ248" s="142"/>
      <c r="AP248" s="142"/>
      <c r="AV248" s="142"/>
      <c r="BB248" s="142"/>
      <c r="BH248" s="142"/>
      <c r="BN248" s="142"/>
      <c r="BT248" s="142"/>
      <c r="BZ248" s="142"/>
      <c r="CF248" s="142"/>
      <c r="CL248" s="142"/>
    </row>
    <row r="249">
      <c r="F249" s="142"/>
      <c r="L249" s="142"/>
      <c r="R249" s="142"/>
      <c r="X249" s="142"/>
      <c r="AD249" s="142"/>
      <c r="AJ249" s="142"/>
      <c r="AP249" s="142"/>
      <c r="AV249" s="142"/>
      <c r="BB249" s="142"/>
      <c r="BH249" s="142"/>
      <c r="BN249" s="142"/>
      <c r="BT249" s="142"/>
      <c r="BZ249" s="142"/>
      <c r="CF249" s="142"/>
      <c r="CL249" s="142"/>
    </row>
    <row r="250">
      <c r="F250" s="142"/>
      <c r="L250" s="142"/>
      <c r="R250" s="142"/>
      <c r="X250" s="142"/>
      <c r="AD250" s="142"/>
      <c r="AJ250" s="142"/>
      <c r="AP250" s="142"/>
      <c r="AV250" s="142"/>
      <c r="BB250" s="142"/>
      <c r="BH250" s="142"/>
      <c r="BN250" s="142"/>
      <c r="BT250" s="142"/>
      <c r="BZ250" s="142"/>
      <c r="CF250" s="142"/>
      <c r="CL250" s="142"/>
    </row>
    <row r="251">
      <c r="F251" s="142"/>
      <c r="L251" s="142"/>
      <c r="R251" s="142"/>
      <c r="X251" s="142"/>
      <c r="AD251" s="142"/>
      <c r="AJ251" s="142"/>
      <c r="AP251" s="142"/>
      <c r="AV251" s="142"/>
      <c r="BB251" s="142"/>
      <c r="BH251" s="142"/>
      <c r="BN251" s="142"/>
      <c r="BT251" s="142"/>
      <c r="BZ251" s="142"/>
      <c r="CF251" s="142"/>
      <c r="CL251" s="142"/>
    </row>
    <row r="252">
      <c r="F252" s="142"/>
      <c r="L252" s="142"/>
      <c r="R252" s="142"/>
      <c r="X252" s="142"/>
      <c r="AD252" s="142"/>
      <c r="AJ252" s="142"/>
      <c r="AP252" s="142"/>
      <c r="AV252" s="142"/>
      <c r="BB252" s="142"/>
      <c r="BH252" s="142"/>
      <c r="BN252" s="142"/>
      <c r="BT252" s="142"/>
      <c r="BZ252" s="142"/>
      <c r="CF252" s="142"/>
      <c r="CL252" s="142"/>
    </row>
    <row r="253">
      <c r="F253" s="142"/>
      <c r="L253" s="142"/>
      <c r="R253" s="142"/>
      <c r="X253" s="142"/>
      <c r="AD253" s="142"/>
      <c r="AJ253" s="142"/>
      <c r="AP253" s="142"/>
      <c r="AV253" s="142"/>
      <c r="BB253" s="142"/>
      <c r="BH253" s="142"/>
      <c r="BN253" s="142"/>
      <c r="BT253" s="142"/>
      <c r="BZ253" s="142"/>
      <c r="CF253" s="142"/>
      <c r="CL253" s="142"/>
    </row>
    <row r="254">
      <c r="F254" s="142"/>
      <c r="L254" s="142"/>
      <c r="R254" s="142"/>
      <c r="X254" s="142"/>
      <c r="AD254" s="142"/>
      <c r="AJ254" s="142"/>
      <c r="AP254" s="142"/>
      <c r="AV254" s="142"/>
      <c r="BB254" s="142"/>
      <c r="BH254" s="142"/>
      <c r="BN254" s="142"/>
      <c r="BT254" s="142"/>
      <c r="BZ254" s="142"/>
      <c r="CF254" s="142"/>
      <c r="CL254" s="142"/>
    </row>
    <row r="255">
      <c r="F255" s="142"/>
      <c r="L255" s="142"/>
      <c r="R255" s="142"/>
      <c r="X255" s="142"/>
      <c r="AD255" s="142"/>
      <c r="AJ255" s="142"/>
      <c r="AP255" s="142"/>
      <c r="AV255" s="142"/>
      <c r="BB255" s="142"/>
      <c r="BH255" s="142"/>
      <c r="BN255" s="142"/>
      <c r="BT255" s="142"/>
      <c r="BZ255" s="142"/>
      <c r="CF255" s="142"/>
      <c r="CL255" s="142"/>
    </row>
    <row r="256">
      <c r="F256" s="142"/>
      <c r="L256" s="142"/>
      <c r="R256" s="142"/>
      <c r="X256" s="142"/>
      <c r="AD256" s="142"/>
      <c r="AJ256" s="142"/>
      <c r="AP256" s="142"/>
      <c r="AV256" s="142"/>
      <c r="BB256" s="142"/>
      <c r="BH256" s="142"/>
      <c r="BN256" s="142"/>
      <c r="BT256" s="142"/>
      <c r="BZ256" s="142"/>
      <c r="CF256" s="142"/>
      <c r="CL256" s="142"/>
    </row>
    <row r="257">
      <c r="F257" s="142"/>
      <c r="L257" s="142"/>
      <c r="R257" s="142"/>
      <c r="X257" s="142"/>
      <c r="AD257" s="142"/>
      <c r="AJ257" s="142"/>
      <c r="AP257" s="142"/>
      <c r="AV257" s="142"/>
      <c r="BB257" s="142"/>
      <c r="BH257" s="142"/>
      <c r="BN257" s="142"/>
      <c r="BT257" s="142"/>
      <c r="BZ257" s="142"/>
      <c r="CF257" s="142"/>
      <c r="CL257" s="142"/>
    </row>
    <row r="258">
      <c r="F258" s="142"/>
      <c r="L258" s="142"/>
      <c r="R258" s="142"/>
      <c r="X258" s="142"/>
      <c r="AD258" s="142"/>
      <c r="AJ258" s="142"/>
      <c r="AP258" s="142"/>
      <c r="AV258" s="142"/>
      <c r="BB258" s="142"/>
      <c r="BH258" s="142"/>
      <c r="BN258" s="142"/>
      <c r="BT258" s="142"/>
      <c r="BZ258" s="142"/>
      <c r="CF258" s="142"/>
      <c r="CL258" s="142"/>
    </row>
    <row r="259">
      <c r="F259" s="142"/>
      <c r="L259" s="142"/>
      <c r="R259" s="142"/>
      <c r="X259" s="142"/>
      <c r="AD259" s="142"/>
      <c r="AJ259" s="142"/>
      <c r="AP259" s="142"/>
      <c r="AV259" s="142"/>
      <c r="BB259" s="142"/>
      <c r="BH259" s="142"/>
      <c r="BN259" s="142"/>
      <c r="BT259" s="142"/>
      <c r="BZ259" s="142"/>
      <c r="CF259" s="142"/>
      <c r="CL259" s="142"/>
    </row>
    <row r="260">
      <c r="F260" s="142"/>
      <c r="L260" s="142"/>
      <c r="R260" s="142"/>
      <c r="X260" s="142"/>
      <c r="AD260" s="142"/>
      <c r="AJ260" s="142"/>
      <c r="AP260" s="142"/>
      <c r="AV260" s="142"/>
      <c r="BB260" s="142"/>
      <c r="BH260" s="142"/>
      <c r="BN260" s="142"/>
      <c r="BT260" s="142"/>
      <c r="BZ260" s="142"/>
      <c r="CF260" s="142"/>
      <c r="CL260" s="142"/>
    </row>
    <row r="261">
      <c r="F261" s="142"/>
      <c r="L261" s="142"/>
      <c r="R261" s="142"/>
      <c r="X261" s="142"/>
      <c r="AD261" s="142"/>
      <c r="AJ261" s="142"/>
      <c r="AP261" s="142"/>
      <c r="AV261" s="142"/>
      <c r="BB261" s="142"/>
      <c r="BH261" s="142"/>
      <c r="BN261" s="142"/>
      <c r="BT261" s="142"/>
      <c r="BZ261" s="142"/>
      <c r="CF261" s="142"/>
      <c r="CL261" s="142"/>
    </row>
    <row r="262">
      <c r="F262" s="142"/>
      <c r="L262" s="142"/>
      <c r="R262" s="142"/>
      <c r="X262" s="142"/>
      <c r="AD262" s="142"/>
      <c r="AJ262" s="142"/>
      <c r="AP262" s="142"/>
      <c r="AV262" s="142"/>
      <c r="BB262" s="142"/>
      <c r="BH262" s="142"/>
      <c r="BN262" s="142"/>
      <c r="BT262" s="142"/>
      <c r="BZ262" s="142"/>
      <c r="CF262" s="142"/>
      <c r="CL262" s="142"/>
    </row>
    <row r="263">
      <c r="F263" s="142"/>
      <c r="L263" s="142"/>
      <c r="R263" s="142"/>
      <c r="X263" s="142"/>
      <c r="AD263" s="142"/>
      <c r="AJ263" s="142"/>
      <c r="AP263" s="142"/>
      <c r="AV263" s="142"/>
      <c r="BB263" s="142"/>
      <c r="BH263" s="142"/>
      <c r="BN263" s="142"/>
      <c r="BT263" s="142"/>
      <c r="BZ263" s="142"/>
      <c r="CF263" s="142"/>
      <c r="CL263" s="142"/>
    </row>
    <row r="264">
      <c r="F264" s="142"/>
      <c r="L264" s="142"/>
      <c r="R264" s="142"/>
      <c r="X264" s="142"/>
      <c r="AD264" s="142"/>
      <c r="AJ264" s="142"/>
      <c r="AP264" s="142"/>
      <c r="AV264" s="142"/>
      <c r="BB264" s="142"/>
      <c r="BH264" s="142"/>
      <c r="BN264" s="142"/>
      <c r="BT264" s="142"/>
      <c r="BZ264" s="142"/>
      <c r="CF264" s="142"/>
      <c r="CL264" s="142"/>
    </row>
    <row r="265">
      <c r="F265" s="142"/>
      <c r="L265" s="142"/>
      <c r="R265" s="142"/>
      <c r="X265" s="142"/>
      <c r="AD265" s="142"/>
      <c r="AJ265" s="142"/>
      <c r="AP265" s="142"/>
      <c r="AV265" s="142"/>
      <c r="BB265" s="142"/>
      <c r="BH265" s="142"/>
      <c r="BN265" s="142"/>
      <c r="BT265" s="142"/>
      <c r="BZ265" s="142"/>
      <c r="CF265" s="142"/>
      <c r="CL265" s="142"/>
    </row>
    <row r="266">
      <c r="F266" s="142"/>
      <c r="L266" s="142"/>
      <c r="R266" s="142"/>
      <c r="X266" s="142"/>
      <c r="AD266" s="142"/>
      <c r="AJ266" s="142"/>
      <c r="AP266" s="142"/>
      <c r="AV266" s="142"/>
      <c r="BB266" s="142"/>
      <c r="BH266" s="142"/>
      <c r="BN266" s="142"/>
      <c r="BT266" s="142"/>
      <c r="BZ266" s="142"/>
      <c r="CF266" s="142"/>
      <c r="CL266" s="142"/>
    </row>
    <row r="267">
      <c r="F267" s="142"/>
      <c r="L267" s="142"/>
      <c r="R267" s="142"/>
      <c r="X267" s="142"/>
      <c r="AD267" s="142"/>
      <c r="AJ267" s="142"/>
      <c r="AP267" s="142"/>
      <c r="AV267" s="142"/>
      <c r="BB267" s="142"/>
      <c r="BH267" s="142"/>
      <c r="BN267" s="142"/>
      <c r="BT267" s="142"/>
      <c r="BZ267" s="142"/>
      <c r="CF267" s="142"/>
      <c r="CL267" s="142"/>
    </row>
    <row r="268">
      <c r="F268" s="142"/>
      <c r="L268" s="142"/>
      <c r="R268" s="142"/>
      <c r="X268" s="142"/>
      <c r="AD268" s="142"/>
      <c r="AJ268" s="142"/>
      <c r="AP268" s="142"/>
      <c r="AV268" s="142"/>
      <c r="BB268" s="142"/>
      <c r="BH268" s="142"/>
      <c r="BN268" s="142"/>
      <c r="BT268" s="142"/>
      <c r="BZ268" s="142"/>
      <c r="CF268" s="142"/>
      <c r="CL268" s="142"/>
    </row>
    <row r="269">
      <c r="F269" s="142"/>
      <c r="L269" s="142"/>
      <c r="R269" s="142"/>
      <c r="X269" s="142"/>
      <c r="AD269" s="142"/>
      <c r="AJ269" s="142"/>
      <c r="AP269" s="142"/>
      <c r="AV269" s="142"/>
      <c r="BB269" s="142"/>
      <c r="BH269" s="142"/>
      <c r="BN269" s="142"/>
      <c r="BT269" s="142"/>
      <c r="BZ269" s="142"/>
      <c r="CF269" s="142"/>
      <c r="CL269" s="142"/>
    </row>
    <row r="270">
      <c r="F270" s="142"/>
      <c r="L270" s="142"/>
      <c r="R270" s="142"/>
      <c r="X270" s="142"/>
      <c r="AD270" s="142"/>
      <c r="AJ270" s="142"/>
      <c r="AP270" s="142"/>
      <c r="AV270" s="142"/>
      <c r="BB270" s="142"/>
      <c r="BH270" s="142"/>
      <c r="BN270" s="142"/>
      <c r="BT270" s="142"/>
      <c r="BZ270" s="142"/>
      <c r="CF270" s="142"/>
      <c r="CL270" s="142"/>
    </row>
    <row r="271">
      <c r="F271" s="142"/>
      <c r="L271" s="142"/>
      <c r="R271" s="142"/>
      <c r="X271" s="142"/>
      <c r="AD271" s="142"/>
      <c r="AJ271" s="142"/>
      <c r="AP271" s="142"/>
      <c r="AV271" s="142"/>
      <c r="BB271" s="142"/>
      <c r="BH271" s="142"/>
      <c r="BN271" s="142"/>
      <c r="BT271" s="142"/>
      <c r="BZ271" s="142"/>
      <c r="CF271" s="142"/>
      <c r="CL271" s="142"/>
    </row>
    <row r="272">
      <c r="F272" s="142"/>
      <c r="L272" s="142"/>
      <c r="R272" s="142"/>
      <c r="X272" s="142"/>
      <c r="AD272" s="142"/>
      <c r="AJ272" s="142"/>
      <c r="AP272" s="142"/>
      <c r="AV272" s="142"/>
      <c r="BB272" s="142"/>
      <c r="BH272" s="142"/>
      <c r="BN272" s="142"/>
      <c r="BT272" s="142"/>
      <c r="BZ272" s="142"/>
      <c r="CF272" s="142"/>
      <c r="CL272" s="142"/>
    </row>
    <row r="273">
      <c r="F273" s="142"/>
      <c r="L273" s="142"/>
      <c r="R273" s="142"/>
      <c r="X273" s="142"/>
      <c r="AD273" s="142"/>
      <c r="AJ273" s="142"/>
      <c r="AP273" s="142"/>
      <c r="AV273" s="142"/>
      <c r="BB273" s="142"/>
      <c r="BH273" s="142"/>
      <c r="BN273" s="142"/>
      <c r="BT273" s="142"/>
      <c r="BZ273" s="142"/>
      <c r="CF273" s="142"/>
      <c r="CL273" s="142"/>
    </row>
    <row r="274">
      <c r="F274" s="142"/>
      <c r="L274" s="142"/>
      <c r="R274" s="142"/>
      <c r="X274" s="142"/>
      <c r="AD274" s="142"/>
      <c r="AJ274" s="142"/>
      <c r="AP274" s="142"/>
      <c r="AV274" s="142"/>
      <c r="BB274" s="142"/>
      <c r="BH274" s="142"/>
      <c r="BN274" s="142"/>
      <c r="BT274" s="142"/>
      <c r="BZ274" s="142"/>
      <c r="CF274" s="142"/>
      <c r="CL274" s="142"/>
    </row>
    <row r="275">
      <c r="F275" s="142"/>
      <c r="L275" s="142"/>
      <c r="R275" s="142"/>
      <c r="X275" s="142"/>
      <c r="AD275" s="142"/>
      <c r="AJ275" s="142"/>
      <c r="AP275" s="142"/>
      <c r="AV275" s="142"/>
      <c r="BB275" s="142"/>
      <c r="BH275" s="142"/>
      <c r="BN275" s="142"/>
      <c r="BT275" s="142"/>
      <c r="BZ275" s="142"/>
      <c r="CF275" s="142"/>
      <c r="CL275" s="142"/>
    </row>
    <row r="276">
      <c r="F276" s="142"/>
      <c r="L276" s="142"/>
      <c r="R276" s="142"/>
      <c r="X276" s="142"/>
      <c r="AD276" s="142"/>
      <c r="AJ276" s="142"/>
      <c r="AP276" s="142"/>
      <c r="AV276" s="142"/>
      <c r="BB276" s="142"/>
      <c r="BH276" s="142"/>
      <c r="BN276" s="142"/>
      <c r="BT276" s="142"/>
      <c r="BZ276" s="142"/>
      <c r="CF276" s="142"/>
      <c r="CL276" s="142"/>
    </row>
    <row r="277">
      <c r="F277" s="142"/>
      <c r="L277" s="142"/>
      <c r="R277" s="142"/>
      <c r="X277" s="142"/>
      <c r="AD277" s="142"/>
      <c r="AJ277" s="142"/>
      <c r="AP277" s="142"/>
      <c r="AV277" s="142"/>
      <c r="BB277" s="142"/>
      <c r="BH277" s="142"/>
      <c r="BN277" s="142"/>
      <c r="BT277" s="142"/>
      <c r="BZ277" s="142"/>
      <c r="CF277" s="142"/>
      <c r="CL277" s="142"/>
    </row>
    <row r="278">
      <c r="F278" s="142"/>
      <c r="L278" s="142"/>
      <c r="R278" s="142"/>
      <c r="X278" s="142"/>
      <c r="AD278" s="142"/>
      <c r="AJ278" s="142"/>
      <c r="AP278" s="142"/>
      <c r="AV278" s="142"/>
      <c r="BB278" s="142"/>
      <c r="BH278" s="142"/>
      <c r="BN278" s="142"/>
      <c r="BT278" s="142"/>
      <c r="BZ278" s="142"/>
      <c r="CF278" s="142"/>
      <c r="CL278" s="142"/>
    </row>
    <row r="279">
      <c r="F279" s="142"/>
      <c r="L279" s="142"/>
      <c r="R279" s="142"/>
      <c r="X279" s="142"/>
      <c r="AD279" s="142"/>
      <c r="AJ279" s="142"/>
      <c r="AP279" s="142"/>
      <c r="AV279" s="142"/>
      <c r="BB279" s="142"/>
      <c r="BH279" s="142"/>
      <c r="BN279" s="142"/>
      <c r="BT279" s="142"/>
      <c r="BZ279" s="142"/>
      <c r="CF279" s="142"/>
      <c r="CL279" s="142"/>
    </row>
    <row r="280">
      <c r="F280" s="142"/>
      <c r="L280" s="142"/>
      <c r="R280" s="142"/>
      <c r="X280" s="142"/>
      <c r="AD280" s="142"/>
      <c r="AJ280" s="142"/>
      <c r="AP280" s="142"/>
      <c r="AV280" s="142"/>
      <c r="BB280" s="142"/>
      <c r="BH280" s="142"/>
      <c r="BN280" s="142"/>
      <c r="BT280" s="142"/>
      <c r="BZ280" s="142"/>
      <c r="CF280" s="142"/>
      <c r="CL280" s="142"/>
    </row>
    <row r="281">
      <c r="F281" s="142"/>
      <c r="L281" s="142"/>
      <c r="R281" s="142"/>
      <c r="X281" s="142"/>
      <c r="AD281" s="142"/>
      <c r="AJ281" s="142"/>
      <c r="AP281" s="142"/>
      <c r="AV281" s="142"/>
      <c r="BB281" s="142"/>
      <c r="BH281" s="142"/>
      <c r="BN281" s="142"/>
      <c r="BT281" s="142"/>
      <c r="BZ281" s="142"/>
      <c r="CF281" s="142"/>
      <c r="CL281" s="142"/>
    </row>
    <row r="282">
      <c r="F282" s="142"/>
      <c r="L282" s="142"/>
      <c r="R282" s="142"/>
      <c r="X282" s="142"/>
      <c r="AD282" s="142"/>
      <c r="AJ282" s="142"/>
      <c r="AP282" s="142"/>
      <c r="AV282" s="142"/>
      <c r="BB282" s="142"/>
      <c r="BH282" s="142"/>
      <c r="BN282" s="142"/>
      <c r="BT282" s="142"/>
      <c r="BZ282" s="142"/>
      <c r="CF282" s="142"/>
      <c r="CL282" s="142"/>
    </row>
    <row r="283">
      <c r="F283" s="142"/>
      <c r="L283" s="142"/>
      <c r="R283" s="142"/>
      <c r="X283" s="142"/>
      <c r="AD283" s="142"/>
      <c r="AJ283" s="142"/>
      <c r="AP283" s="142"/>
      <c r="AV283" s="142"/>
      <c r="BB283" s="142"/>
      <c r="BH283" s="142"/>
      <c r="BN283" s="142"/>
      <c r="BT283" s="142"/>
      <c r="BZ283" s="142"/>
      <c r="CF283" s="142"/>
      <c r="CL283" s="142"/>
    </row>
    <row r="284">
      <c r="F284" s="142"/>
      <c r="L284" s="142"/>
      <c r="R284" s="142"/>
      <c r="X284" s="142"/>
      <c r="AD284" s="142"/>
      <c r="AJ284" s="142"/>
      <c r="AP284" s="142"/>
      <c r="AV284" s="142"/>
      <c r="BB284" s="142"/>
      <c r="BH284" s="142"/>
      <c r="BN284" s="142"/>
      <c r="BT284" s="142"/>
      <c r="BZ284" s="142"/>
      <c r="CF284" s="142"/>
      <c r="CL284" s="142"/>
    </row>
    <row r="285">
      <c r="F285" s="142"/>
      <c r="L285" s="142"/>
      <c r="R285" s="142"/>
      <c r="X285" s="142"/>
      <c r="AD285" s="142"/>
      <c r="AJ285" s="142"/>
      <c r="AP285" s="142"/>
      <c r="AV285" s="142"/>
      <c r="BB285" s="142"/>
      <c r="BH285" s="142"/>
      <c r="BN285" s="142"/>
      <c r="BT285" s="142"/>
      <c r="BZ285" s="142"/>
      <c r="CF285" s="142"/>
      <c r="CL285" s="142"/>
    </row>
    <row r="286">
      <c r="F286" s="142"/>
      <c r="L286" s="142"/>
      <c r="R286" s="142"/>
      <c r="X286" s="142"/>
      <c r="AD286" s="142"/>
      <c r="AJ286" s="142"/>
      <c r="AP286" s="142"/>
      <c r="AV286" s="142"/>
      <c r="BB286" s="142"/>
      <c r="BH286" s="142"/>
      <c r="BN286" s="142"/>
      <c r="BT286" s="142"/>
      <c r="BZ286" s="142"/>
      <c r="CF286" s="142"/>
      <c r="CL286" s="142"/>
    </row>
    <row r="287">
      <c r="F287" s="142"/>
      <c r="L287" s="142"/>
      <c r="R287" s="142"/>
      <c r="X287" s="142"/>
      <c r="AD287" s="142"/>
      <c r="AJ287" s="142"/>
      <c r="AP287" s="142"/>
      <c r="AV287" s="142"/>
      <c r="BB287" s="142"/>
      <c r="BH287" s="142"/>
      <c r="BN287" s="142"/>
      <c r="BT287" s="142"/>
      <c r="BZ287" s="142"/>
      <c r="CF287" s="142"/>
      <c r="CL287" s="142"/>
    </row>
    <row r="288">
      <c r="F288" s="142"/>
      <c r="L288" s="142"/>
      <c r="R288" s="142"/>
      <c r="X288" s="142"/>
      <c r="AD288" s="142"/>
      <c r="AJ288" s="142"/>
      <c r="AP288" s="142"/>
      <c r="AV288" s="142"/>
      <c r="BB288" s="142"/>
      <c r="BH288" s="142"/>
      <c r="BN288" s="142"/>
      <c r="BT288" s="142"/>
      <c r="BZ288" s="142"/>
      <c r="CF288" s="142"/>
      <c r="CL288" s="142"/>
    </row>
    <row r="289">
      <c r="F289" s="142"/>
      <c r="L289" s="142"/>
      <c r="R289" s="142"/>
      <c r="X289" s="142"/>
      <c r="AD289" s="142"/>
      <c r="AJ289" s="142"/>
      <c r="AP289" s="142"/>
      <c r="AV289" s="142"/>
      <c r="BB289" s="142"/>
      <c r="BH289" s="142"/>
      <c r="BN289" s="142"/>
      <c r="BT289" s="142"/>
      <c r="BZ289" s="142"/>
      <c r="CF289" s="142"/>
      <c r="CL289" s="142"/>
    </row>
    <row r="290">
      <c r="F290" s="142"/>
      <c r="L290" s="142"/>
      <c r="R290" s="142"/>
      <c r="X290" s="142"/>
      <c r="AD290" s="142"/>
      <c r="AJ290" s="142"/>
      <c r="AP290" s="142"/>
      <c r="AV290" s="142"/>
      <c r="BB290" s="142"/>
      <c r="BH290" s="142"/>
      <c r="BN290" s="142"/>
      <c r="BT290" s="142"/>
      <c r="BZ290" s="142"/>
      <c r="CF290" s="142"/>
      <c r="CL290" s="142"/>
    </row>
    <row r="291">
      <c r="F291" s="142"/>
      <c r="L291" s="142"/>
      <c r="R291" s="142"/>
      <c r="X291" s="142"/>
      <c r="AD291" s="142"/>
      <c r="AJ291" s="142"/>
      <c r="AP291" s="142"/>
      <c r="AV291" s="142"/>
      <c r="BB291" s="142"/>
      <c r="BH291" s="142"/>
      <c r="BN291" s="142"/>
      <c r="BT291" s="142"/>
      <c r="BZ291" s="142"/>
      <c r="CF291" s="142"/>
      <c r="CL291" s="142"/>
    </row>
    <row r="292">
      <c r="F292" s="142"/>
      <c r="L292" s="142"/>
      <c r="R292" s="142"/>
      <c r="X292" s="142"/>
      <c r="AD292" s="142"/>
      <c r="AJ292" s="142"/>
      <c r="AP292" s="142"/>
      <c r="AV292" s="142"/>
      <c r="BB292" s="142"/>
      <c r="BH292" s="142"/>
      <c r="BN292" s="142"/>
      <c r="BT292" s="142"/>
      <c r="BZ292" s="142"/>
      <c r="CF292" s="142"/>
      <c r="CL292" s="142"/>
    </row>
    <row r="293">
      <c r="F293" s="142"/>
      <c r="L293" s="142"/>
      <c r="R293" s="142"/>
      <c r="X293" s="142"/>
      <c r="AD293" s="142"/>
      <c r="AJ293" s="142"/>
      <c r="AP293" s="142"/>
      <c r="AV293" s="142"/>
      <c r="BB293" s="142"/>
      <c r="BH293" s="142"/>
      <c r="BN293" s="142"/>
      <c r="BT293" s="142"/>
      <c r="BZ293" s="142"/>
      <c r="CF293" s="142"/>
      <c r="CL293" s="142"/>
    </row>
    <row r="294">
      <c r="F294" s="142"/>
      <c r="L294" s="142"/>
      <c r="R294" s="142"/>
      <c r="X294" s="142"/>
      <c r="AD294" s="142"/>
      <c r="AJ294" s="142"/>
      <c r="AP294" s="142"/>
      <c r="AV294" s="142"/>
      <c r="BB294" s="142"/>
      <c r="BH294" s="142"/>
      <c r="BN294" s="142"/>
      <c r="BT294" s="142"/>
      <c r="BZ294" s="142"/>
      <c r="CF294" s="142"/>
      <c r="CL294" s="142"/>
    </row>
    <row r="295">
      <c r="F295" s="142"/>
      <c r="L295" s="142"/>
      <c r="R295" s="142"/>
      <c r="X295" s="142"/>
      <c r="AD295" s="142"/>
      <c r="AJ295" s="142"/>
      <c r="AP295" s="142"/>
      <c r="AV295" s="142"/>
      <c r="BB295" s="142"/>
      <c r="BH295" s="142"/>
      <c r="BN295" s="142"/>
      <c r="BT295" s="142"/>
      <c r="BZ295" s="142"/>
      <c r="CF295" s="142"/>
      <c r="CL295" s="142"/>
    </row>
    <row r="296">
      <c r="F296" s="142"/>
      <c r="L296" s="142"/>
      <c r="R296" s="142"/>
      <c r="X296" s="142"/>
      <c r="AD296" s="142"/>
      <c r="AJ296" s="142"/>
      <c r="AP296" s="142"/>
      <c r="AV296" s="142"/>
      <c r="BB296" s="142"/>
      <c r="BH296" s="142"/>
      <c r="BN296" s="142"/>
      <c r="BT296" s="142"/>
      <c r="BZ296" s="142"/>
      <c r="CF296" s="142"/>
      <c r="CL296" s="142"/>
    </row>
    <row r="297">
      <c r="F297" s="142"/>
      <c r="L297" s="142"/>
      <c r="R297" s="142"/>
      <c r="X297" s="142"/>
      <c r="AD297" s="142"/>
      <c r="AJ297" s="142"/>
      <c r="AP297" s="142"/>
      <c r="AV297" s="142"/>
      <c r="BB297" s="142"/>
      <c r="BH297" s="142"/>
      <c r="BN297" s="142"/>
      <c r="BT297" s="142"/>
      <c r="BZ297" s="142"/>
      <c r="CF297" s="142"/>
      <c r="CL297" s="142"/>
    </row>
    <row r="298">
      <c r="F298" s="142"/>
      <c r="L298" s="142"/>
      <c r="R298" s="142"/>
      <c r="X298" s="142"/>
      <c r="AD298" s="142"/>
      <c r="AJ298" s="142"/>
      <c r="AP298" s="142"/>
      <c r="AV298" s="142"/>
      <c r="BB298" s="142"/>
      <c r="BH298" s="142"/>
      <c r="BN298" s="142"/>
      <c r="BT298" s="142"/>
      <c r="BZ298" s="142"/>
      <c r="CF298" s="142"/>
      <c r="CL298" s="142"/>
    </row>
    <row r="299">
      <c r="F299" s="142"/>
      <c r="L299" s="142"/>
      <c r="R299" s="142"/>
      <c r="X299" s="142"/>
      <c r="AD299" s="142"/>
      <c r="AJ299" s="142"/>
      <c r="AP299" s="142"/>
      <c r="AV299" s="142"/>
      <c r="BB299" s="142"/>
      <c r="BH299" s="142"/>
      <c r="BN299" s="142"/>
      <c r="BT299" s="142"/>
      <c r="BZ299" s="142"/>
      <c r="CF299" s="142"/>
      <c r="CL299" s="142"/>
    </row>
    <row r="300">
      <c r="F300" s="142"/>
      <c r="L300" s="142"/>
      <c r="R300" s="142"/>
      <c r="X300" s="142"/>
      <c r="AD300" s="142"/>
      <c r="AJ300" s="142"/>
      <c r="AP300" s="142"/>
      <c r="AV300" s="142"/>
      <c r="BB300" s="142"/>
      <c r="BH300" s="142"/>
      <c r="BN300" s="142"/>
      <c r="BT300" s="142"/>
      <c r="BZ300" s="142"/>
      <c r="CF300" s="142"/>
      <c r="CL300" s="142"/>
    </row>
    <row r="301">
      <c r="F301" s="142"/>
      <c r="L301" s="142"/>
      <c r="R301" s="142"/>
      <c r="X301" s="142"/>
      <c r="AD301" s="142"/>
      <c r="AJ301" s="142"/>
      <c r="AP301" s="142"/>
      <c r="AV301" s="142"/>
      <c r="BB301" s="142"/>
      <c r="BH301" s="142"/>
      <c r="BN301" s="142"/>
      <c r="BT301" s="142"/>
      <c r="BZ301" s="142"/>
      <c r="CF301" s="142"/>
      <c r="CL301" s="142"/>
    </row>
    <row r="302">
      <c r="F302" s="142"/>
      <c r="L302" s="142"/>
      <c r="R302" s="142"/>
      <c r="X302" s="142"/>
      <c r="AD302" s="142"/>
      <c r="AJ302" s="142"/>
      <c r="AP302" s="142"/>
      <c r="AV302" s="142"/>
      <c r="BB302" s="142"/>
      <c r="BH302" s="142"/>
      <c r="BN302" s="142"/>
      <c r="BT302" s="142"/>
      <c r="BZ302" s="142"/>
      <c r="CF302" s="142"/>
      <c r="CL302" s="142"/>
    </row>
    <row r="303">
      <c r="F303" s="142"/>
      <c r="L303" s="142"/>
      <c r="R303" s="142"/>
      <c r="X303" s="142"/>
      <c r="AD303" s="142"/>
      <c r="AJ303" s="142"/>
      <c r="AP303" s="142"/>
      <c r="AV303" s="142"/>
      <c r="BB303" s="142"/>
      <c r="BH303" s="142"/>
      <c r="BN303" s="142"/>
      <c r="BT303" s="142"/>
      <c r="BZ303" s="142"/>
      <c r="CF303" s="142"/>
      <c r="CL303" s="142"/>
    </row>
    <row r="304">
      <c r="F304" s="142"/>
      <c r="L304" s="142"/>
      <c r="R304" s="142"/>
      <c r="X304" s="142"/>
      <c r="AD304" s="142"/>
      <c r="AJ304" s="142"/>
      <c r="AP304" s="142"/>
      <c r="AV304" s="142"/>
      <c r="BB304" s="142"/>
      <c r="BH304" s="142"/>
      <c r="BN304" s="142"/>
      <c r="BT304" s="142"/>
      <c r="BZ304" s="142"/>
      <c r="CF304" s="142"/>
      <c r="CL304" s="142"/>
    </row>
    <row r="305">
      <c r="F305" s="142"/>
      <c r="L305" s="142"/>
      <c r="R305" s="142"/>
      <c r="X305" s="142"/>
      <c r="AD305" s="142"/>
      <c r="AJ305" s="142"/>
      <c r="AP305" s="142"/>
      <c r="AV305" s="142"/>
      <c r="BB305" s="142"/>
      <c r="BH305" s="142"/>
      <c r="BN305" s="142"/>
      <c r="BT305" s="142"/>
      <c r="BZ305" s="142"/>
      <c r="CF305" s="142"/>
      <c r="CL305" s="142"/>
    </row>
    <row r="306">
      <c r="F306" s="142"/>
      <c r="L306" s="142"/>
      <c r="R306" s="142"/>
      <c r="X306" s="142"/>
      <c r="AD306" s="142"/>
      <c r="AJ306" s="142"/>
      <c r="AP306" s="142"/>
      <c r="AV306" s="142"/>
      <c r="BB306" s="142"/>
      <c r="BH306" s="142"/>
      <c r="BN306" s="142"/>
      <c r="BT306" s="142"/>
      <c r="BZ306" s="142"/>
      <c r="CF306" s="142"/>
      <c r="CL306" s="142"/>
    </row>
    <row r="307">
      <c r="F307" s="142"/>
      <c r="L307" s="142"/>
      <c r="R307" s="142"/>
      <c r="X307" s="142"/>
      <c r="AD307" s="142"/>
      <c r="AJ307" s="142"/>
      <c r="AP307" s="142"/>
      <c r="AV307" s="142"/>
      <c r="BB307" s="142"/>
      <c r="BH307" s="142"/>
      <c r="BN307" s="142"/>
      <c r="BT307" s="142"/>
      <c r="BZ307" s="142"/>
      <c r="CF307" s="142"/>
      <c r="CL307" s="142"/>
    </row>
    <row r="308">
      <c r="F308" s="142"/>
      <c r="L308" s="142"/>
      <c r="R308" s="142"/>
      <c r="X308" s="142"/>
      <c r="AD308" s="142"/>
      <c r="AJ308" s="142"/>
      <c r="AP308" s="142"/>
      <c r="AV308" s="142"/>
      <c r="BB308" s="142"/>
      <c r="BH308" s="142"/>
      <c r="BN308" s="142"/>
      <c r="BT308" s="142"/>
      <c r="BZ308" s="142"/>
      <c r="CF308" s="142"/>
      <c r="CL308" s="142"/>
    </row>
    <row r="309">
      <c r="F309" s="142"/>
      <c r="L309" s="142"/>
      <c r="R309" s="142"/>
      <c r="X309" s="142"/>
      <c r="AD309" s="142"/>
      <c r="AJ309" s="142"/>
      <c r="AP309" s="142"/>
      <c r="AV309" s="142"/>
      <c r="BB309" s="142"/>
      <c r="BH309" s="142"/>
      <c r="BN309" s="142"/>
      <c r="BT309" s="142"/>
      <c r="BZ309" s="142"/>
      <c r="CF309" s="142"/>
      <c r="CL309" s="142"/>
    </row>
    <row r="310">
      <c r="F310" s="142"/>
      <c r="L310" s="142"/>
      <c r="R310" s="142"/>
      <c r="X310" s="142"/>
      <c r="AD310" s="142"/>
      <c r="AJ310" s="142"/>
      <c r="AP310" s="142"/>
      <c r="AV310" s="142"/>
      <c r="BB310" s="142"/>
      <c r="BH310" s="142"/>
      <c r="BN310" s="142"/>
      <c r="BT310" s="142"/>
      <c r="BZ310" s="142"/>
      <c r="CF310" s="142"/>
      <c r="CL310" s="142"/>
    </row>
    <row r="311">
      <c r="F311" s="142"/>
      <c r="L311" s="142"/>
      <c r="R311" s="142"/>
      <c r="X311" s="142"/>
      <c r="AD311" s="142"/>
      <c r="AJ311" s="142"/>
      <c r="AP311" s="142"/>
      <c r="AV311" s="142"/>
      <c r="BB311" s="142"/>
      <c r="BH311" s="142"/>
      <c r="BN311" s="142"/>
      <c r="BT311" s="142"/>
      <c r="BZ311" s="142"/>
      <c r="CF311" s="142"/>
      <c r="CL311" s="142"/>
    </row>
    <row r="312">
      <c r="F312" s="142"/>
      <c r="L312" s="142"/>
      <c r="R312" s="142"/>
      <c r="X312" s="142"/>
      <c r="AD312" s="142"/>
      <c r="AJ312" s="142"/>
      <c r="AP312" s="142"/>
      <c r="AV312" s="142"/>
      <c r="BB312" s="142"/>
      <c r="BH312" s="142"/>
      <c r="BN312" s="142"/>
      <c r="BT312" s="142"/>
      <c r="BZ312" s="142"/>
      <c r="CF312" s="142"/>
      <c r="CL312" s="142"/>
    </row>
    <row r="313">
      <c r="F313" s="142"/>
      <c r="L313" s="142"/>
      <c r="R313" s="142"/>
      <c r="X313" s="142"/>
      <c r="AD313" s="142"/>
      <c r="AJ313" s="142"/>
      <c r="AP313" s="142"/>
      <c r="AV313" s="142"/>
      <c r="BB313" s="142"/>
      <c r="BH313" s="142"/>
      <c r="BN313" s="142"/>
      <c r="BT313" s="142"/>
      <c r="BZ313" s="142"/>
      <c r="CF313" s="142"/>
      <c r="CL313" s="142"/>
    </row>
    <row r="314">
      <c r="F314" s="142"/>
      <c r="L314" s="142"/>
      <c r="R314" s="142"/>
      <c r="X314" s="142"/>
      <c r="AD314" s="142"/>
      <c r="AJ314" s="142"/>
      <c r="AP314" s="142"/>
      <c r="AV314" s="142"/>
      <c r="BB314" s="142"/>
      <c r="BH314" s="142"/>
      <c r="BN314" s="142"/>
      <c r="BT314" s="142"/>
      <c r="BZ314" s="142"/>
      <c r="CF314" s="142"/>
      <c r="CL314" s="142"/>
    </row>
    <row r="315">
      <c r="F315" s="142"/>
      <c r="L315" s="142"/>
      <c r="R315" s="142"/>
      <c r="X315" s="142"/>
      <c r="AD315" s="142"/>
      <c r="AJ315" s="142"/>
      <c r="AP315" s="142"/>
      <c r="AV315" s="142"/>
      <c r="BB315" s="142"/>
      <c r="BH315" s="142"/>
      <c r="BN315" s="142"/>
      <c r="BT315" s="142"/>
      <c r="BZ315" s="142"/>
      <c r="CF315" s="142"/>
      <c r="CL315" s="142"/>
    </row>
    <row r="316">
      <c r="F316" s="142"/>
      <c r="L316" s="142"/>
      <c r="R316" s="142"/>
      <c r="X316" s="142"/>
      <c r="AD316" s="142"/>
      <c r="AJ316" s="142"/>
      <c r="AP316" s="142"/>
      <c r="AV316" s="142"/>
      <c r="BB316" s="142"/>
      <c r="BH316" s="142"/>
      <c r="BN316" s="142"/>
      <c r="BT316" s="142"/>
      <c r="BZ316" s="142"/>
      <c r="CF316" s="142"/>
      <c r="CL316" s="142"/>
    </row>
    <row r="317">
      <c r="F317" s="142"/>
      <c r="L317" s="142"/>
      <c r="R317" s="142"/>
      <c r="X317" s="142"/>
      <c r="AD317" s="142"/>
      <c r="AJ317" s="142"/>
      <c r="AP317" s="142"/>
      <c r="AV317" s="142"/>
      <c r="BB317" s="142"/>
      <c r="BH317" s="142"/>
      <c r="BN317" s="142"/>
      <c r="BT317" s="142"/>
      <c r="BZ317" s="142"/>
      <c r="CF317" s="142"/>
      <c r="CL317" s="142"/>
    </row>
    <row r="318">
      <c r="F318" s="142"/>
      <c r="L318" s="142"/>
      <c r="R318" s="142"/>
      <c r="X318" s="142"/>
      <c r="AD318" s="142"/>
      <c r="AJ318" s="142"/>
      <c r="AP318" s="142"/>
      <c r="AV318" s="142"/>
      <c r="BB318" s="142"/>
      <c r="BH318" s="142"/>
      <c r="BN318" s="142"/>
      <c r="BT318" s="142"/>
      <c r="BZ318" s="142"/>
      <c r="CF318" s="142"/>
      <c r="CL318" s="142"/>
    </row>
    <row r="319">
      <c r="F319" s="142"/>
      <c r="L319" s="142"/>
      <c r="R319" s="142"/>
      <c r="X319" s="142"/>
      <c r="AD319" s="142"/>
      <c r="AJ319" s="142"/>
      <c r="AP319" s="142"/>
      <c r="AV319" s="142"/>
      <c r="BB319" s="142"/>
      <c r="BH319" s="142"/>
      <c r="BN319" s="142"/>
      <c r="BT319" s="142"/>
      <c r="BZ319" s="142"/>
      <c r="CF319" s="142"/>
      <c r="CL319" s="142"/>
    </row>
    <row r="320">
      <c r="F320" s="142"/>
      <c r="L320" s="142"/>
      <c r="R320" s="142"/>
      <c r="X320" s="142"/>
      <c r="AD320" s="142"/>
      <c r="AJ320" s="142"/>
      <c r="AP320" s="142"/>
      <c r="AV320" s="142"/>
      <c r="BB320" s="142"/>
      <c r="BH320" s="142"/>
      <c r="BN320" s="142"/>
      <c r="BT320" s="142"/>
      <c r="BZ320" s="142"/>
      <c r="CF320" s="142"/>
      <c r="CL320" s="142"/>
    </row>
    <row r="321">
      <c r="F321" s="142"/>
      <c r="L321" s="142"/>
      <c r="R321" s="142"/>
      <c r="X321" s="142"/>
      <c r="AD321" s="142"/>
      <c r="AJ321" s="142"/>
      <c r="AP321" s="142"/>
      <c r="AV321" s="142"/>
      <c r="BB321" s="142"/>
      <c r="BH321" s="142"/>
      <c r="BN321" s="142"/>
      <c r="BT321" s="142"/>
      <c r="BZ321" s="142"/>
      <c r="CF321" s="142"/>
      <c r="CL321" s="142"/>
    </row>
    <row r="322">
      <c r="F322" s="142"/>
      <c r="L322" s="142"/>
      <c r="R322" s="142"/>
      <c r="X322" s="142"/>
      <c r="AD322" s="142"/>
      <c r="AJ322" s="142"/>
      <c r="AP322" s="142"/>
      <c r="AV322" s="142"/>
      <c r="BB322" s="142"/>
      <c r="BH322" s="142"/>
      <c r="BN322" s="142"/>
      <c r="BT322" s="142"/>
      <c r="BZ322" s="142"/>
      <c r="CF322" s="142"/>
      <c r="CL322" s="142"/>
    </row>
    <row r="323">
      <c r="F323" s="142"/>
      <c r="L323" s="142"/>
      <c r="R323" s="142"/>
      <c r="X323" s="142"/>
      <c r="AD323" s="142"/>
      <c r="AJ323" s="142"/>
      <c r="AP323" s="142"/>
      <c r="AV323" s="142"/>
      <c r="BB323" s="142"/>
      <c r="BH323" s="142"/>
      <c r="BN323" s="142"/>
      <c r="BT323" s="142"/>
      <c r="BZ323" s="142"/>
      <c r="CF323" s="142"/>
      <c r="CL323" s="142"/>
    </row>
    <row r="324">
      <c r="F324" s="142"/>
      <c r="L324" s="142"/>
      <c r="R324" s="142"/>
      <c r="X324" s="142"/>
      <c r="AD324" s="142"/>
      <c r="AJ324" s="142"/>
      <c r="AP324" s="142"/>
      <c r="AV324" s="142"/>
      <c r="BB324" s="142"/>
      <c r="BH324" s="142"/>
      <c r="BN324" s="142"/>
      <c r="BT324" s="142"/>
      <c r="BZ324" s="142"/>
      <c r="CF324" s="142"/>
      <c r="CL324" s="142"/>
    </row>
    <row r="325">
      <c r="F325" s="142"/>
      <c r="L325" s="142"/>
      <c r="R325" s="142"/>
      <c r="X325" s="142"/>
      <c r="AD325" s="142"/>
      <c r="AJ325" s="142"/>
      <c r="AP325" s="142"/>
      <c r="AV325" s="142"/>
      <c r="BB325" s="142"/>
      <c r="BH325" s="142"/>
      <c r="BN325" s="142"/>
      <c r="BT325" s="142"/>
      <c r="BZ325" s="142"/>
      <c r="CF325" s="142"/>
      <c r="CL325" s="142"/>
    </row>
    <row r="326">
      <c r="F326" s="142"/>
      <c r="L326" s="142"/>
      <c r="R326" s="142"/>
      <c r="X326" s="142"/>
      <c r="AD326" s="142"/>
      <c r="AJ326" s="142"/>
      <c r="AP326" s="142"/>
      <c r="AV326" s="142"/>
      <c r="BB326" s="142"/>
      <c r="BH326" s="142"/>
      <c r="BN326" s="142"/>
      <c r="BT326" s="142"/>
      <c r="BZ326" s="142"/>
      <c r="CF326" s="142"/>
      <c r="CL326" s="142"/>
    </row>
    <row r="327">
      <c r="F327" s="142"/>
      <c r="L327" s="142"/>
      <c r="R327" s="142"/>
      <c r="X327" s="142"/>
      <c r="AD327" s="142"/>
      <c r="AJ327" s="142"/>
      <c r="AP327" s="142"/>
      <c r="AV327" s="142"/>
      <c r="BB327" s="142"/>
      <c r="BH327" s="142"/>
      <c r="BN327" s="142"/>
      <c r="BT327" s="142"/>
      <c r="BZ327" s="142"/>
      <c r="CF327" s="142"/>
      <c r="CL327" s="142"/>
    </row>
    <row r="328">
      <c r="F328" s="142"/>
      <c r="L328" s="142"/>
      <c r="R328" s="142"/>
      <c r="X328" s="142"/>
      <c r="AD328" s="142"/>
      <c r="AJ328" s="142"/>
      <c r="AP328" s="142"/>
      <c r="AV328" s="142"/>
      <c r="BB328" s="142"/>
      <c r="BH328" s="142"/>
      <c r="BN328" s="142"/>
      <c r="BT328" s="142"/>
      <c r="BZ328" s="142"/>
      <c r="CF328" s="142"/>
      <c r="CL328" s="142"/>
    </row>
    <row r="329">
      <c r="F329" s="142"/>
      <c r="L329" s="142"/>
      <c r="R329" s="142"/>
      <c r="X329" s="142"/>
      <c r="AD329" s="142"/>
      <c r="AJ329" s="142"/>
      <c r="AP329" s="142"/>
      <c r="AV329" s="142"/>
      <c r="BB329" s="142"/>
      <c r="BH329" s="142"/>
      <c r="BN329" s="142"/>
      <c r="BT329" s="142"/>
      <c r="BZ329" s="142"/>
      <c r="CF329" s="142"/>
      <c r="CL329" s="142"/>
    </row>
    <row r="330">
      <c r="F330" s="142"/>
      <c r="L330" s="142"/>
      <c r="R330" s="142"/>
      <c r="X330" s="142"/>
      <c r="AD330" s="142"/>
      <c r="AJ330" s="142"/>
      <c r="AP330" s="142"/>
      <c r="AV330" s="142"/>
      <c r="BB330" s="142"/>
      <c r="BH330" s="142"/>
      <c r="BN330" s="142"/>
      <c r="BT330" s="142"/>
      <c r="BZ330" s="142"/>
      <c r="CF330" s="142"/>
      <c r="CL330" s="142"/>
    </row>
    <row r="331">
      <c r="F331" s="142"/>
      <c r="L331" s="142"/>
      <c r="R331" s="142"/>
      <c r="X331" s="142"/>
      <c r="AD331" s="142"/>
      <c r="AJ331" s="142"/>
      <c r="AP331" s="142"/>
      <c r="AV331" s="142"/>
      <c r="BB331" s="142"/>
      <c r="BH331" s="142"/>
      <c r="BN331" s="142"/>
      <c r="BT331" s="142"/>
      <c r="BZ331" s="142"/>
      <c r="CF331" s="142"/>
      <c r="CL331" s="142"/>
    </row>
    <row r="332">
      <c r="F332" s="142"/>
      <c r="L332" s="142"/>
      <c r="R332" s="142"/>
      <c r="X332" s="142"/>
      <c r="AD332" s="142"/>
      <c r="AJ332" s="142"/>
      <c r="AP332" s="142"/>
      <c r="AV332" s="142"/>
      <c r="BB332" s="142"/>
      <c r="BH332" s="142"/>
      <c r="BN332" s="142"/>
      <c r="BT332" s="142"/>
      <c r="BZ332" s="142"/>
      <c r="CF332" s="142"/>
      <c r="CL332" s="142"/>
    </row>
    <row r="333">
      <c r="F333" s="142"/>
      <c r="L333" s="142"/>
      <c r="R333" s="142"/>
      <c r="X333" s="142"/>
      <c r="AD333" s="142"/>
      <c r="AJ333" s="142"/>
      <c r="AP333" s="142"/>
      <c r="AV333" s="142"/>
      <c r="BB333" s="142"/>
      <c r="BH333" s="142"/>
      <c r="BN333" s="142"/>
      <c r="BT333" s="142"/>
      <c r="BZ333" s="142"/>
      <c r="CF333" s="142"/>
      <c r="CL333" s="142"/>
    </row>
    <row r="334">
      <c r="F334" s="142"/>
      <c r="L334" s="142"/>
      <c r="R334" s="142"/>
      <c r="X334" s="142"/>
      <c r="AD334" s="142"/>
      <c r="AJ334" s="142"/>
      <c r="AP334" s="142"/>
      <c r="AV334" s="142"/>
      <c r="BB334" s="142"/>
      <c r="BH334" s="142"/>
      <c r="BN334" s="142"/>
      <c r="BT334" s="142"/>
      <c r="BZ334" s="142"/>
      <c r="CF334" s="142"/>
      <c r="CL334" s="142"/>
    </row>
    <row r="335">
      <c r="F335" s="142"/>
      <c r="L335" s="142"/>
      <c r="R335" s="142"/>
      <c r="X335" s="142"/>
      <c r="AD335" s="142"/>
      <c r="AJ335" s="142"/>
      <c r="AP335" s="142"/>
      <c r="AV335" s="142"/>
      <c r="BB335" s="142"/>
      <c r="BH335" s="142"/>
      <c r="BN335" s="142"/>
      <c r="BT335" s="142"/>
      <c r="BZ335" s="142"/>
      <c r="CF335" s="142"/>
      <c r="CL335" s="142"/>
    </row>
    <row r="336">
      <c r="F336" s="142"/>
      <c r="L336" s="142"/>
      <c r="R336" s="142"/>
      <c r="X336" s="142"/>
      <c r="AD336" s="142"/>
      <c r="AJ336" s="142"/>
      <c r="AP336" s="142"/>
      <c r="AV336" s="142"/>
      <c r="BB336" s="142"/>
      <c r="BH336" s="142"/>
      <c r="BN336" s="142"/>
      <c r="BT336" s="142"/>
      <c r="BZ336" s="142"/>
      <c r="CF336" s="142"/>
      <c r="CL336" s="142"/>
    </row>
    <row r="337">
      <c r="F337" s="142"/>
      <c r="L337" s="142"/>
      <c r="R337" s="142"/>
      <c r="X337" s="142"/>
      <c r="AD337" s="142"/>
      <c r="AJ337" s="142"/>
      <c r="AP337" s="142"/>
      <c r="AV337" s="142"/>
      <c r="BB337" s="142"/>
      <c r="BH337" s="142"/>
      <c r="BN337" s="142"/>
      <c r="BT337" s="142"/>
      <c r="BZ337" s="142"/>
      <c r="CF337" s="142"/>
      <c r="CL337" s="142"/>
    </row>
    <row r="338">
      <c r="F338" s="142"/>
      <c r="L338" s="142"/>
      <c r="R338" s="142"/>
      <c r="X338" s="142"/>
      <c r="AD338" s="142"/>
      <c r="AJ338" s="142"/>
      <c r="AP338" s="142"/>
      <c r="AV338" s="142"/>
      <c r="BB338" s="142"/>
      <c r="BH338" s="142"/>
      <c r="BN338" s="142"/>
      <c r="BT338" s="142"/>
      <c r="BZ338" s="142"/>
      <c r="CF338" s="142"/>
      <c r="CL338" s="142"/>
    </row>
    <row r="339">
      <c r="F339" s="142"/>
      <c r="L339" s="142"/>
      <c r="R339" s="142"/>
      <c r="X339" s="142"/>
      <c r="AD339" s="142"/>
      <c r="AJ339" s="142"/>
      <c r="AP339" s="142"/>
      <c r="AV339" s="142"/>
      <c r="BB339" s="142"/>
      <c r="BH339" s="142"/>
      <c r="BN339" s="142"/>
      <c r="BT339" s="142"/>
      <c r="BZ339" s="142"/>
      <c r="CF339" s="142"/>
      <c r="CL339" s="142"/>
    </row>
    <row r="340">
      <c r="F340" s="142"/>
      <c r="L340" s="142"/>
      <c r="R340" s="142"/>
      <c r="X340" s="142"/>
      <c r="AD340" s="142"/>
      <c r="AJ340" s="142"/>
      <c r="AP340" s="142"/>
      <c r="AV340" s="142"/>
      <c r="BB340" s="142"/>
      <c r="BH340" s="142"/>
      <c r="BN340" s="142"/>
      <c r="BT340" s="142"/>
      <c r="BZ340" s="142"/>
      <c r="CF340" s="142"/>
      <c r="CL340" s="142"/>
    </row>
    <row r="341">
      <c r="F341" s="142"/>
      <c r="L341" s="142"/>
      <c r="R341" s="142"/>
      <c r="X341" s="142"/>
      <c r="AD341" s="142"/>
      <c r="AJ341" s="142"/>
      <c r="AP341" s="142"/>
      <c r="AV341" s="142"/>
      <c r="BB341" s="142"/>
      <c r="BH341" s="142"/>
      <c r="BN341" s="142"/>
      <c r="BT341" s="142"/>
      <c r="BZ341" s="142"/>
      <c r="CF341" s="142"/>
      <c r="CL341" s="142"/>
    </row>
    <row r="342">
      <c r="F342" s="142"/>
      <c r="L342" s="142"/>
      <c r="R342" s="142"/>
      <c r="X342" s="142"/>
      <c r="AD342" s="142"/>
      <c r="AJ342" s="142"/>
      <c r="AP342" s="142"/>
      <c r="AV342" s="142"/>
      <c r="BB342" s="142"/>
      <c r="BH342" s="142"/>
      <c r="BN342" s="142"/>
      <c r="BT342" s="142"/>
      <c r="BZ342" s="142"/>
      <c r="CF342" s="142"/>
      <c r="CL342" s="142"/>
    </row>
    <row r="343">
      <c r="F343" s="142"/>
      <c r="L343" s="142"/>
      <c r="R343" s="142"/>
      <c r="X343" s="142"/>
      <c r="AD343" s="142"/>
      <c r="AJ343" s="142"/>
      <c r="AP343" s="142"/>
      <c r="AV343" s="142"/>
      <c r="BB343" s="142"/>
      <c r="BH343" s="142"/>
      <c r="BN343" s="142"/>
      <c r="BT343" s="142"/>
      <c r="BZ343" s="142"/>
      <c r="CF343" s="142"/>
      <c r="CL343" s="142"/>
    </row>
    <row r="344">
      <c r="F344" s="142"/>
      <c r="L344" s="142"/>
      <c r="R344" s="142"/>
      <c r="X344" s="142"/>
      <c r="AD344" s="142"/>
      <c r="AJ344" s="142"/>
      <c r="AP344" s="142"/>
      <c r="AV344" s="142"/>
      <c r="BB344" s="142"/>
      <c r="BH344" s="142"/>
      <c r="BN344" s="142"/>
      <c r="BT344" s="142"/>
      <c r="BZ344" s="142"/>
      <c r="CF344" s="142"/>
      <c r="CL344" s="142"/>
    </row>
    <row r="345">
      <c r="F345" s="142"/>
      <c r="L345" s="142"/>
      <c r="R345" s="142"/>
      <c r="X345" s="142"/>
      <c r="AD345" s="142"/>
      <c r="AJ345" s="142"/>
      <c r="AP345" s="142"/>
      <c r="AV345" s="142"/>
      <c r="BB345" s="142"/>
      <c r="BH345" s="142"/>
      <c r="BN345" s="142"/>
      <c r="BT345" s="142"/>
      <c r="BZ345" s="142"/>
      <c r="CF345" s="142"/>
      <c r="CL345" s="142"/>
    </row>
    <row r="346">
      <c r="F346" s="142"/>
      <c r="L346" s="142"/>
      <c r="R346" s="142"/>
      <c r="X346" s="142"/>
      <c r="AD346" s="142"/>
      <c r="AJ346" s="142"/>
      <c r="AP346" s="142"/>
      <c r="AV346" s="142"/>
      <c r="BB346" s="142"/>
      <c r="BH346" s="142"/>
      <c r="BN346" s="142"/>
      <c r="BT346" s="142"/>
      <c r="BZ346" s="142"/>
      <c r="CF346" s="142"/>
      <c r="CL346" s="142"/>
    </row>
    <row r="347">
      <c r="F347" s="142"/>
      <c r="L347" s="142"/>
      <c r="R347" s="142"/>
      <c r="X347" s="142"/>
      <c r="AD347" s="142"/>
      <c r="AJ347" s="142"/>
      <c r="AP347" s="142"/>
      <c r="AV347" s="142"/>
      <c r="BB347" s="142"/>
      <c r="BH347" s="142"/>
      <c r="BN347" s="142"/>
      <c r="BT347" s="142"/>
      <c r="BZ347" s="142"/>
      <c r="CF347" s="142"/>
      <c r="CL347" s="142"/>
    </row>
    <row r="348">
      <c r="F348" s="142"/>
      <c r="L348" s="142"/>
      <c r="R348" s="142"/>
      <c r="X348" s="142"/>
      <c r="AD348" s="142"/>
      <c r="AJ348" s="142"/>
      <c r="AP348" s="142"/>
      <c r="AV348" s="142"/>
      <c r="BB348" s="142"/>
      <c r="BH348" s="142"/>
      <c r="BN348" s="142"/>
      <c r="BT348" s="142"/>
      <c r="BZ348" s="142"/>
      <c r="CF348" s="142"/>
      <c r="CL348" s="142"/>
    </row>
    <row r="349">
      <c r="F349" s="142"/>
      <c r="L349" s="142"/>
      <c r="R349" s="142"/>
      <c r="X349" s="142"/>
      <c r="AD349" s="142"/>
      <c r="AJ349" s="142"/>
      <c r="AP349" s="142"/>
      <c r="AV349" s="142"/>
      <c r="BB349" s="142"/>
      <c r="BH349" s="142"/>
      <c r="BN349" s="142"/>
      <c r="BT349" s="142"/>
      <c r="BZ349" s="142"/>
      <c r="CF349" s="142"/>
      <c r="CL349" s="142"/>
    </row>
    <row r="350">
      <c r="F350" s="142"/>
      <c r="L350" s="142"/>
      <c r="R350" s="142"/>
      <c r="X350" s="142"/>
      <c r="AD350" s="142"/>
      <c r="AJ350" s="142"/>
      <c r="AP350" s="142"/>
      <c r="AV350" s="142"/>
      <c r="BB350" s="142"/>
      <c r="BH350" s="142"/>
      <c r="BN350" s="142"/>
      <c r="BT350" s="142"/>
      <c r="BZ350" s="142"/>
      <c r="CF350" s="142"/>
      <c r="CL350" s="142"/>
    </row>
    <row r="351">
      <c r="F351" s="142"/>
      <c r="L351" s="142"/>
      <c r="R351" s="142"/>
      <c r="X351" s="142"/>
      <c r="AD351" s="142"/>
      <c r="AJ351" s="142"/>
      <c r="AP351" s="142"/>
      <c r="AV351" s="142"/>
      <c r="BB351" s="142"/>
      <c r="BH351" s="142"/>
      <c r="BN351" s="142"/>
      <c r="BT351" s="142"/>
      <c r="BZ351" s="142"/>
      <c r="CF351" s="142"/>
      <c r="CL351" s="142"/>
    </row>
    <row r="352">
      <c r="F352" s="142"/>
      <c r="L352" s="142"/>
      <c r="R352" s="142"/>
      <c r="X352" s="142"/>
      <c r="AD352" s="142"/>
      <c r="AJ352" s="142"/>
      <c r="AP352" s="142"/>
      <c r="AV352" s="142"/>
      <c r="BB352" s="142"/>
      <c r="BH352" s="142"/>
      <c r="BN352" s="142"/>
      <c r="BT352" s="142"/>
      <c r="BZ352" s="142"/>
      <c r="CF352" s="142"/>
      <c r="CL352" s="142"/>
    </row>
    <row r="353">
      <c r="F353" s="142"/>
      <c r="L353" s="142"/>
      <c r="R353" s="142"/>
      <c r="X353" s="142"/>
      <c r="AD353" s="142"/>
      <c r="AJ353" s="142"/>
      <c r="AP353" s="142"/>
      <c r="AV353" s="142"/>
      <c r="BB353" s="142"/>
      <c r="BH353" s="142"/>
      <c r="BN353" s="142"/>
      <c r="BT353" s="142"/>
      <c r="BZ353" s="142"/>
      <c r="CF353" s="142"/>
      <c r="CL353" s="142"/>
    </row>
    <row r="354">
      <c r="F354" s="142"/>
      <c r="L354" s="142"/>
      <c r="R354" s="142"/>
      <c r="X354" s="142"/>
      <c r="AD354" s="142"/>
      <c r="AJ354" s="142"/>
      <c r="AP354" s="142"/>
      <c r="AV354" s="142"/>
      <c r="BB354" s="142"/>
      <c r="BH354" s="142"/>
      <c r="BN354" s="142"/>
      <c r="BT354" s="142"/>
      <c r="BZ354" s="142"/>
      <c r="CF354" s="142"/>
      <c r="CL354" s="142"/>
    </row>
    <row r="355">
      <c r="F355" s="142"/>
      <c r="L355" s="142"/>
      <c r="R355" s="142"/>
      <c r="X355" s="142"/>
      <c r="AD355" s="142"/>
      <c r="AJ355" s="142"/>
      <c r="AP355" s="142"/>
      <c r="AV355" s="142"/>
      <c r="BB355" s="142"/>
      <c r="BH355" s="142"/>
      <c r="BN355" s="142"/>
      <c r="BT355" s="142"/>
      <c r="BZ355" s="142"/>
      <c r="CF355" s="142"/>
      <c r="CL355" s="142"/>
    </row>
    <row r="356">
      <c r="F356" s="142"/>
      <c r="L356" s="142"/>
      <c r="R356" s="142"/>
      <c r="X356" s="142"/>
      <c r="AD356" s="142"/>
      <c r="AJ356" s="142"/>
      <c r="AP356" s="142"/>
      <c r="AV356" s="142"/>
      <c r="BB356" s="142"/>
      <c r="BH356" s="142"/>
      <c r="BN356" s="142"/>
      <c r="BT356" s="142"/>
      <c r="BZ356" s="142"/>
      <c r="CF356" s="142"/>
      <c r="CL356" s="142"/>
    </row>
    <row r="357">
      <c r="F357" s="142"/>
      <c r="L357" s="142"/>
      <c r="R357" s="142"/>
      <c r="X357" s="142"/>
      <c r="AD357" s="142"/>
      <c r="AJ357" s="142"/>
      <c r="AP357" s="142"/>
      <c r="AV357" s="142"/>
      <c r="BB357" s="142"/>
      <c r="BH357" s="142"/>
      <c r="BN357" s="142"/>
      <c r="BT357" s="142"/>
      <c r="BZ357" s="142"/>
      <c r="CF357" s="142"/>
      <c r="CL357" s="142"/>
    </row>
    <row r="358">
      <c r="F358" s="142"/>
      <c r="L358" s="142"/>
      <c r="R358" s="142"/>
      <c r="X358" s="142"/>
      <c r="AD358" s="142"/>
      <c r="AJ358" s="142"/>
      <c r="AP358" s="142"/>
      <c r="AV358" s="142"/>
      <c r="BB358" s="142"/>
      <c r="BH358" s="142"/>
      <c r="BN358" s="142"/>
      <c r="BT358" s="142"/>
      <c r="BZ358" s="142"/>
      <c r="CF358" s="142"/>
      <c r="CL358" s="142"/>
    </row>
    <row r="359">
      <c r="F359" s="142"/>
      <c r="L359" s="142"/>
      <c r="R359" s="142"/>
      <c r="X359" s="142"/>
      <c r="AD359" s="142"/>
      <c r="AJ359" s="142"/>
      <c r="AP359" s="142"/>
      <c r="AV359" s="142"/>
      <c r="BB359" s="142"/>
      <c r="BH359" s="142"/>
      <c r="BN359" s="142"/>
      <c r="BT359" s="142"/>
      <c r="BZ359" s="142"/>
      <c r="CF359" s="142"/>
      <c r="CL359" s="142"/>
    </row>
    <row r="360">
      <c r="F360" s="142"/>
      <c r="L360" s="142"/>
      <c r="R360" s="142"/>
      <c r="X360" s="142"/>
      <c r="AD360" s="142"/>
      <c r="AJ360" s="142"/>
      <c r="AP360" s="142"/>
      <c r="AV360" s="142"/>
      <c r="BB360" s="142"/>
      <c r="BH360" s="142"/>
      <c r="BN360" s="142"/>
      <c r="BT360" s="142"/>
      <c r="BZ360" s="142"/>
      <c r="CF360" s="142"/>
      <c r="CL360" s="142"/>
    </row>
    <row r="361">
      <c r="F361" s="142"/>
      <c r="L361" s="142"/>
      <c r="R361" s="142"/>
      <c r="X361" s="142"/>
      <c r="AD361" s="142"/>
      <c r="AJ361" s="142"/>
      <c r="AP361" s="142"/>
      <c r="AV361" s="142"/>
      <c r="BB361" s="142"/>
      <c r="BH361" s="142"/>
      <c r="BN361" s="142"/>
      <c r="BT361" s="142"/>
      <c r="BZ361" s="142"/>
      <c r="CF361" s="142"/>
      <c r="CL361" s="142"/>
    </row>
    <row r="362">
      <c r="F362" s="142"/>
      <c r="L362" s="142"/>
      <c r="R362" s="142"/>
      <c r="X362" s="142"/>
      <c r="AD362" s="142"/>
      <c r="AJ362" s="142"/>
      <c r="AP362" s="142"/>
      <c r="AV362" s="142"/>
      <c r="BB362" s="142"/>
      <c r="BH362" s="142"/>
      <c r="BN362" s="142"/>
      <c r="BT362" s="142"/>
      <c r="BZ362" s="142"/>
      <c r="CF362" s="142"/>
      <c r="CL362" s="142"/>
    </row>
    <row r="363">
      <c r="F363" s="142"/>
      <c r="L363" s="142"/>
      <c r="R363" s="142"/>
      <c r="X363" s="142"/>
      <c r="AD363" s="142"/>
      <c r="AJ363" s="142"/>
      <c r="AP363" s="142"/>
      <c r="AV363" s="142"/>
      <c r="BB363" s="142"/>
      <c r="BH363" s="142"/>
      <c r="BN363" s="142"/>
      <c r="BT363" s="142"/>
      <c r="BZ363" s="142"/>
      <c r="CF363" s="142"/>
      <c r="CL363" s="142"/>
    </row>
    <row r="364">
      <c r="F364" s="142"/>
      <c r="L364" s="142"/>
      <c r="R364" s="142"/>
      <c r="X364" s="142"/>
      <c r="AD364" s="142"/>
      <c r="AJ364" s="142"/>
      <c r="AP364" s="142"/>
      <c r="AV364" s="142"/>
      <c r="BB364" s="142"/>
      <c r="BH364" s="142"/>
      <c r="BN364" s="142"/>
      <c r="BT364" s="142"/>
      <c r="BZ364" s="142"/>
      <c r="CF364" s="142"/>
      <c r="CL364" s="142"/>
    </row>
    <row r="365">
      <c r="F365" s="142"/>
      <c r="L365" s="142"/>
      <c r="R365" s="142"/>
      <c r="X365" s="142"/>
      <c r="AD365" s="142"/>
      <c r="AJ365" s="142"/>
      <c r="AP365" s="142"/>
      <c r="AV365" s="142"/>
      <c r="BB365" s="142"/>
      <c r="BH365" s="142"/>
      <c r="BN365" s="142"/>
      <c r="BT365" s="142"/>
      <c r="BZ365" s="142"/>
      <c r="CF365" s="142"/>
      <c r="CL365" s="142"/>
    </row>
    <row r="366">
      <c r="F366" s="142"/>
      <c r="L366" s="142"/>
      <c r="R366" s="142"/>
      <c r="X366" s="142"/>
      <c r="AD366" s="142"/>
      <c r="AJ366" s="142"/>
      <c r="AP366" s="142"/>
      <c r="AV366" s="142"/>
      <c r="BB366" s="142"/>
      <c r="BH366" s="142"/>
      <c r="BN366" s="142"/>
      <c r="BT366" s="142"/>
      <c r="BZ366" s="142"/>
      <c r="CF366" s="142"/>
      <c r="CL366" s="142"/>
    </row>
    <row r="367">
      <c r="F367" s="142"/>
      <c r="L367" s="142"/>
      <c r="R367" s="142"/>
      <c r="X367" s="142"/>
      <c r="AD367" s="142"/>
      <c r="AJ367" s="142"/>
      <c r="AP367" s="142"/>
      <c r="AV367" s="142"/>
      <c r="BB367" s="142"/>
      <c r="BH367" s="142"/>
      <c r="BN367" s="142"/>
      <c r="BT367" s="142"/>
      <c r="BZ367" s="142"/>
      <c r="CF367" s="142"/>
      <c r="CL367" s="142"/>
    </row>
    <row r="368">
      <c r="F368" s="142"/>
      <c r="L368" s="142"/>
      <c r="R368" s="142"/>
      <c r="X368" s="142"/>
      <c r="AD368" s="142"/>
      <c r="AJ368" s="142"/>
      <c r="AP368" s="142"/>
      <c r="AV368" s="142"/>
      <c r="BB368" s="142"/>
      <c r="BH368" s="142"/>
      <c r="BN368" s="142"/>
      <c r="BT368" s="142"/>
      <c r="BZ368" s="142"/>
      <c r="CF368" s="142"/>
      <c r="CL368" s="142"/>
    </row>
    <row r="369">
      <c r="F369" s="142"/>
      <c r="L369" s="142"/>
      <c r="R369" s="142"/>
      <c r="X369" s="142"/>
      <c r="AD369" s="142"/>
      <c r="AJ369" s="142"/>
      <c r="AP369" s="142"/>
      <c r="AV369" s="142"/>
      <c r="BB369" s="142"/>
      <c r="BH369" s="142"/>
      <c r="BN369" s="142"/>
      <c r="BT369" s="142"/>
      <c r="BZ369" s="142"/>
      <c r="CF369" s="142"/>
      <c r="CL369" s="142"/>
    </row>
    <row r="370">
      <c r="F370" s="142"/>
      <c r="L370" s="142"/>
      <c r="R370" s="142"/>
      <c r="X370" s="142"/>
      <c r="AD370" s="142"/>
      <c r="AJ370" s="142"/>
      <c r="AP370" s="142"/>
      <c r="AV370" s="142"/>
      <c r="BB370" s="142"/>
      <c r="BH370" s="142"/>
      <c r="BN370" s="142"/>
      <c r="BT370" s="142"/>
      <c r="BZ370" s="142"/>
      <c r="CF370" s="142"/>
      <c r="CL370" s="142"/>
    </row>
    <row r="371">
      <c r="F371" s="142"/>
      <c r="L371" s="142"/>
      <c r="R371" s="142"/>
      <c r="X371" s="142"/>
      <c r="AD371" s="142"/>
      <c r="AJ371" s="142"/>
      <c r="AP371" s="142"/>
      <c r="AV371" s="142"/>
      <c r="BB371" s="142"/>
      <c r="BH371" s="142"/>
      <c r="BN371" s="142"/>
      <c r="BT371" s="142"/>
      <c r="BZ371" s="142"/>
      <c r="CF371" s="142"/>
      <c r="CL371" s="142"/>
    </row>
    <row r="372">
      <c r="F372" s="142"/>
      <c r="L372" s="142"/>
      <c r="R372" s="142"/>
      <c r="X372" s="142"/>
      <c r="AD372" s="142"/>
      <c r="AJ372" s="142"/>
      <c r="AP372" s="142"/>
      <c r="AV372" s="142"/>
      <c r="BB372" s="142"/>
      <c r="BH372" s="142"/>
      <c r="BN372" s="142"/>
      <c r="BT372" s="142"/>
      <c r="BZ372" s="142"/>
      <c r="CF372" s="142"/>
      <c r="CL372" s="142"/>
    </row>
    <row r="373">
      <c r="F373" s="142"/>
      <c r="L373" s="142"/>
      <c r="R373" s="142"/>
      <c r="X373" s="142"/>
      <c r="AD373" s="142"/>
      <c r="AJ373" s="142"/>
      <c r="AP373" s="142"/>
      <c r="AV373" s="142"/>
      <c r="BB373" s="142"/>
      <c r="BH373" s="142"/>
      <c r="BN373" s="142"/>
      <c r="BT373" s="142"/>
      <c r="BZ373" s="142"/>
      <c r="CF373" s="142"/>
      <c r="CL373" s="142"/>
    </row>
    <row r="374">
      <c r="F374" s="142"/>
      <c r="L374" s="142"/>
      <c r="R374" s="142"/>
      <c r="X374" s="142"/>
      <c r="AD374" s="142"/>
      <c r="AJ374" s="142"/>
      <c r="AP374" s="142"/>
      <c r="AV374" s="142"/>
      <c r="BB374" s="142"/>
      <c r="BH374" s="142"/>
      <c r="BN374" s="142"/>
      <c r="BT374" s="142"/>
      <c r="BZ374" s="142"/>
      <c r="CF374" s="142"/>
      <c r="CL374" s="142"/>
    </row>
    <row r="375">
      <c r="F375" s="142"/>
      <c r="L375" s="142"/>
      <c r="R375" s="142"/>
      <c r="X375" s="142"/>
      <c r="AD375" s="142"/>
      <c r="AJ375" s="142"/>
      <c r="AP375" s="142"/>
      <c r="AV375" s="142"/>
      <c r="BB375" s="142"/>
      <c r="BH375" s="142"/>
      <c r="BN375" s="142"/>
      <c r="BT375" s="142"/>
      <c r="BZ375" s="142"/>
      <c r="CF375" s="142"/>
      <c r="CL375" s="142"/>
    </row>
    <row r="376">
      <c r="F376" s="142"/>
      <c r="L376" s="142"/>
      <c r="R376" s="142"/>
      <c r="X376" s="142"/>
      <c r="AD376" s="142"/>
      <c r="AJ376" s="142"/>
      <c r="AP376" s="142"/>
      <c r="AV376" s="142"/>
      <c r="BB376" s="142"/>
      <c r="BH376" s="142"/>
      <c r="BN376" s="142"/>
      <c r="BT376" s="142"/>
      <c r="BZ376" s="142"/>
      <c r="CF376" s="142"/>
      <c r="CL376" s="142"/>
    </row>
    <row r="377">
      <c r="F377" s="142"/>
      <c r="L377" s="142"/>
      <c r="R377" s="142"/>
      <c r="X377" s="142"/>
      <c r="AD377" s="142"/>
      <c r="AJ377" s="142"/>
      <c r="AP377" s="142"/>
      <c r="AV377" s="142"/>
      <c r="BB377" s="142"/>
      <c r="BH377" s="142"/>
      <c r="BN377" s="142"/>
      <c r="BT377" s="142"/>
      <c r="BZ377" s="142"/>
      <c r="CF377" s="142"/>
      <c r="CL377" s="142"/>
    </row>
    <row r="378">
      <c r="F378" s="142"/>
      <c r="L378" s="142"/>
      <c r="R378" s="142"/>
      <c r="X378" s="142"/>
      <c r="AD378" s="142"/>
      <c r="AJ378" s="142"/>
      <c r="AP378" s="142"/>
      <c r="AV378" s="142"/>
      <c r="BB378" s="142"/>
      <c r="BH378" s="142"/>
      <c r="BN378" s="142"/>
      <c r="BT378" s="142"/>
      <c r="BZ378" s="142"/>
      <c r="CF378" s="142"/>
      <c r="CL378" s="142"/>
    </row>
    <row r="379">
      <c r="F379" s="142"/>
      <c r="L379" s="142"/>
      <c r="R379" s="142"/>
      <c r="X379" s="142"/>
      <c r="AD379" s="142"/>
      <c r="AJ379" s="142"/>
      <c r="AP379" s="142"/>
      <c r="AV379" s="142"/>
      <c r="BB379" s="142"/>
      <c r="BH379" s="142"/>
      <c r="BN379" s="142"/>
      <c r="BT379" s="142"/>
      <c r="BZ379" s="142"/>
      <c r="CF379" s="142"/>
      <c r="CL379" s="142"/>
    </row>
    <row r="380">
      <c r="F380" s="142"/>
      <c r="L380" s="142"/>
      <c r="R380" s="142"/>
      <c r="X380" s="142"/>
      <c r="AD380" s="142"/>
      <c r="AJ380" s="142"/>
      <c r="AP380" s="142"/>
      <c r="AV380" s="142"/>
      <c r="BB380" s="142"/>
      <c r="BH380" s="142"/>
      <c r="BN380" s="142"/>
      <c r="BT380" s="142"/>
      <c r="BZ380" s="142"/>
      <c r="CF380" s="142"/>
      <c r="CL380" s="142"/>
    </row>
    <row r="381">
      <c r="F381" s="142"/>
      <c r="L381" s="142"/>
      <c r="R381" s="142"/>
      <c r="X381" s="142"/>
      <c r="AD381" s="142"/>
      <c r="AJ381" s="142"/>
      <c r="AP381" s="142"/>
      <c r="AV381" s="142"/>
      <c r="BB381" s="142"/>
      <c r="BH381" s="142"/>
      <c r="BN381" s="142"/>
      <c r="BT381" s="142"/>
      <c r="BZ381" s="142"/>
      <c r="CF381" s="142"/>
      <c r="CL381" s="142"/>
    </row>
    <row r="382">
      <c r="F382" s="142"/>
      <c r="L382" s="142"/>
      <c r="R382" s="142"/>
      <c r="X382" s="142"/>
      <c r="AD382" s="142"/>
      <c r="AJ382" s="142"/>
      <c r="AP382" s="142"/>
      <c r="AV382" s="142"/>
      <c r="BB382" s="142"/>
      <c r="BH382" s="142"/>
      <c r="BN382" s="142"/>
      <c r="BT382" s="142"/>
      <c r="BZ382" s="142"/>
      <c r="CF382" s="142"/>
      <c r="CL382" s="142"/>
    </row>
    <row r="383">
      <c r="F383" s="142"/>
      <c r="L383" s="142"/>
      <c r="R383" s="142"/>
      <c r="X383" s="142"/>
      <c r="AD383" s="142"/>
      <c r="AJ383" s="142"/>
      <c r="AP383" s="142"/>
      <c r="AV383" s="142"/>
      <c r="BB383" s="142"/>
      <c r="BH383" s="142"/>
      <c r="BN383" s="142"/>
      <c r="BT383" s="142"/>
      <c r="BZ383" s="142"/>
      <c r="CF383" s="142"/>
      <c r="CL383" s="142"/>
    </row>
    <row r="384">
      <c r="F384" s="142"/>
      <c r="L384" s="142"/>
      <c r="R384" s="142"/>
      <c r="X384" s="142"/>
      <c r="AD384" s="142"/>
      <c r="AJ384" s="142"/>
      <c r="AP384" s="142"/>
      <c r="AV384" s="142"/>
      <c r="BB384" s="142"/>
      <c r="BH384" s="142"/>
      <c r="BN384" s="142"/>
      <c r="BT384" s="142"/>
      <c r="BZ384" s="142"/>
      <c r="CF384" s="142"/>
      <c r="CL384" s="142"/>
    </row>
    <row r="385">
      <c r="F385" s="142"/>
      <c r="L385" s="142"/>
      <c r="R385" s="142"/>
      <c r="X385" s="142"/>
      <c r="AD385" s="142"/>
      <c r="AJ385" s="142"/>
      <c r="AP385" s="142"/>
      <c r="AV385" s="142"/>
      <c r="BB385" s="142"/>
      <c r="BH385" s="142"/>
      <c r="BN385" s="142"/>
      <c r="BT385" s="142"/>
      <c r="BZ385" s="142"/>
      <c r="CF385" s="142"/>
      <c r="CL385" s="142"/>
    </row>
    <row r="386">
      <c r="F386" s="142"/>
      <c r="L386" s="142"/>
      <c r="R386" s="142"/>
      <c r="X386" s="142"/>
      <c r="AD386" s="142"/>
      <c r="AJ386" s="142"/>
      <c r="AP386" s="142"/>
      <c r="AV386" s="142"/>
      <c r="BB386" s="142"/>
      <c r="BH386" s="142"/>
      <c r="BN386" s="142"/>
      <c r="BT386" s="142"/>
      <c r="BZ386" s="142"/>
      <c r="CF386" s="142"/>
      <c r="CL386" s="142"/>
    </row>
    <row r="387">
      <c r="F387" s="142"/>
      <c r="L387" s="142"/>
      <c r="R387" s="142"/>
      <c r="X387" s="142"/>
      <c r="AD387" s="142"/>
      <c r="AJ387" s="142"/>
      <c r="AP387" s="142"/>
      <c r="AV387" s="142"/>
      <c r="BB387" s="142"/>
      <c r="BH387" s="142"/>
      <c r="BN387" s="142"/>
      <c r="BT387" s="142"/>
      <c r="BZ387" s="142"/>
      <c r="CF387" s="142"/>
      <c r="CL387" s="142"/>
    </row>
    <row r="388">
      <c r="F388" s="142"/>
      <c r="L388" s="142"/>
      <c r="R388" s="142"/>
      <c r="X388" s="142"/>
      <c r="AD388" s="142"/>
      <c r="AJ388" s="142"/>
      <c r="AP388" s="142"/>
      <c r="AV388" s="142"/>
      <c r="BB388" s="142"/>
      <c r="BH388" s="142"/>
      <c r="BN388" s="142"/>
      <c r="BT388" s="142"/>
      <c r="BZ388" s="142"/>
      <c r="CF388" s="142"/>
      <c r="CL388" s="142"/>
    </row>
    <row r="389">
      <c r="F389" s="142"/>
      <c r="L389" s="142"/>
      <c r="R389" s="142"/>
      <c r="X389" s="142"/>
      <c r="AD389" s="142"/>
      <c r="AJ389" s="142"/>
      <c r="AP389" s="142"/>
      <c r="AV389" s="142"/>
      <c r="BB389" s="142"/>
      <c r="BH389" s="142"/>
      <c r="BN389" s="142"/>
      <c r="BT389" s="142"/>
      <c r="BZ389" s="142"/>
      <c r="CF389" s="142"/>
      <c r="CL389" s="142"/>
    </row>
    <row r="390">
      <c r="F390" s="142"/>
      <c r="L390" s="142"/>
      <c r="R390" s="142"/>
      <c r="X390" s="142"/>
      <c r="AD390" s="142"/>
      <c r="AJ390" s="142"/>
      <c r="AP390" s="142"/>
      <c r="AV390" s="142"/>
      <c r="BB390" s="142"/>
      <c r="BH390" s="142"/>
      <c r="BN390" s="142"/>
      <c r="BT390" s="142"/>
      <c r="BZ390" s="142"/>
      <c r="CF390" s="142"/>
      <c r="CL390" s="142"/>
    </row>
    <row r="391">
      <c r="F391" s="142"/>
      <c r="L391" s="142"/>
      <c r="R391" s="142"/>
      <c r="X391" s="142"/>
      <c r="AD391" s="142"/>
      <c r="AJ391" s="142"/>
      <c r="AP391" s="142"/>
      <c r="AV391" s="142"/>
      <c r="BB391" s="142"/>
      <c r="BH391" s="142"/>
      <c r="BN391" s="142"/>
      <c r="BT391" s="142"/>
      <c r="BZ391" s="142"/>
      <c r="CF391" s="142"/>
      <c r="CL391" s="142"/>
    </row>
    <row r="392">
      <c r="F392" s="142"/>
      <c r="L392" s="142"/>
      <c r="R392" s="142"/>
      <c r="X392" s="142"/>
      <c r="AD392" s="142"/>
      <c r="AJ392" s="142"/>
      <c r="AP392" s="142"/>
      <c r="AV392" s="142"/>
      <c r="BB392" s="142"/>
      <c r="BH392" s="142"/>
      <c r="BN392" s="142"/>
      <c r="BT392" s="142"/>
      <c r="BZ392" s="142"/>
      <c r="CF392" s="142"/>
      <c r="CL392" s="142"/>
    </row>
    <row r="393">
      <c r="F393" s="142"/>
      <c r="L393" s="142"/>
      <c r="R393" s="142"/>
      <c r="X393" s="142"/>
      <c r="AD393" s="142"/>
      <c r="AJ393" s="142"/>
      <c r="AP393" s="142"/>
      <c r="AV393" s="142"/>
      <c r="BB393" s="142"/>
      <c r="BH393" s="142"/>
      <c r="BN393" s="142"/>
      <c r="BT393" s="142"/>
      <c r="BZ393" s="142"/>
      <c r="CF393" s="142"/>
      <c r="CL393" s="142"/>
    </row>
    <row r="394">
      <c r="F394" s="142"/>
      <c r="L394" s="142"/>
      <c r="R394" s="142"/>
      <c r="X394" s="142"/>
      <c r="AD394" s="142"/>
      <c r="AJ394" s="142"/>
      <c r="AP394" s="142"/>
      <c r="AV394" s="142"/>
      <c r="BB394" s="142"/>
      <c r="BH394" s="142"/>
      <c r="BN394" s="142"/>
      <c r="BT394" s="142"/>
      <c r="BZ394" s="142"/>
      <c r="CF394" s="142"/>
      <c r="CL394" s="142"/>
    </row>
    <row r="395">
      <c r="F395" s="142"/>
      <c r="L395" s="142"/>
      <c r="R395" s="142"/>
      <c r="X395" s="142"/>
      <c r="AD395" s="142"/>
      <c r="AJ395" s="142"/>
      <c r="AP395" s="142"/>
      <c r="AV395" s="142"/>
      <c r="BB395" s="142"/>
      <c r="BH395" s="142"/>
      <c r="BN395" s="142"/>
      <c r="BT395" s="142"/>
      <c r="BZ395" s="142"/>
      <c r="CF395" s="142"/>
      <c r="CL395" s="142"/>
    </row>
    <row r="396">
      <c r="F396" s="142"/>
      <c r="L396" s="142"/>
      <c r="R396" s="142"/>
      <c r="X396" s="142"/>
      <c r="AD396" s="142"/>
      <c r="AJ396" s="142"/>
      <c r="AP396" s="142"/>
      <c r="AV396" s="142"/>
      <c r="BB396" s="142"/>
      <c r="BH396" s="142"/>
      <c r="BN396" s="142"/>
      <c r="BT396" s="142"/>
      <c r="BZ396" s="142"/>
      <c r="CF396" s="142"/>
      <c r="CL396" s="142"/>
    </row>
    <row r="397">
      <c r="F397" s="142"/>
      <c r="L397" s="142"/>
      <c r="R397" s="142"/>
      <c r="X397" s="142"/>
      <c r="AD397" s="142"/>
      <c r="AJ397" s="142"/>
      <c r="AP397" s="142"/>
      <c r="AV397" s="142"/>
      <c r="BB397" s="142"/>
      <c r="BH397" s="142"/>
      <c r="BN397" s="142"/>
      <c r="BT397" s="142"/>
      <c r="BZ397" s="142"/>
      <c r="CF397" s="142"/>
      <c r="CL397" s="142"/>
    </row>
    <row r="398">
      <c r="F398" s="142"/>
      <c r="L398" s="142"/>
      <c r="R398" s="142"/>
      <c r="X398" s="142"/>
      <c r="AD398" s="142"/>
      <c r="AJ398" s="142"/>
      <c r="AP398" s="142"/>
      <c r="AV398" s="142"/>
      <c r="BB398" s="142"/>
      <c r="BH398" s="142"/>
      <c r="BN398" s="142"/>
      <c r="BT398" s="142"/>
      <c r="BZ398" s="142"/>
      <c r="CF398" s="142"/>
      <c r="CL398" s="142"/>
    </row>
    <row r="399">
      <c r="F399" s="142"/>
      <c r="L399" s="142"/>
      <c r="R399" s="142"/>
      <c r="X399" s="142"/>
      <c r="AD399" s="142"/>
      <c r="AJ399" s="142"/>
      <c r="AP399" s="142"/>
      <c r="AV399" s="142"/>
      <c r="BB399" s="142"/>
      <c r="BH399" s="142"/>
      <c r="BN399" s="142"/>
      <c r="BT399" s="142"/>
      <c r="BZ399" s="142"/>
      <c r="CF399" s="142"/>
      <c r="CL399" s="142"/>
    </row>
    <row r="400">
      <c r="F400" s="142"/>
      <c r="L400" s="142"/>
      <c r="R400" s="142"/>
      <c r="X400" s="142"/>
      <c r="AD400" s="142"/>
      <c r="AJ400" s="142"/>
      <c r="AP400" s="142"/>
      <c r="AV400" s="142"/>
      <c r="BB400" s="142"/>
      <c r="BH400" s="142"/>
      <c r="BN400" s="142"/>
      <c r="BT400" s="142"/>
      <c r="BZ400" s="142"/>
      <c r="CF400" s="142"/>
      <c r="CL400" s="142"/>
    </row>
    <row r="401">
      <c r="F401" s="142"/>
      <c r="L401" s="142"/>
      <c r="R401" s="142"/>
      <c r="X401" s="142"/>
      <c r="AD401" s="142"/>
      <c r="AJ401" s="142"/>
      <c r="AP401" s="142"/>
      <c r="AV401" s="142"/>
      <c r="BB401" s="142"/>
      <c r="BH401" s="142"/>
      <c r="BN401" s="142"/>
      <c r="BT401" s="142"/>
      <c r="BZ401" s="142"/>
      <c r="CF401" s="142"/>
      <c r="CL401" s="142"/>
    </row>
    <row r="402">
      <c r="F402" s="142"/>
      <c r="L402" s="142"/>
      <c r="R402" s="142"/>
      <c r="X402" s="142"/>
      <c r="AD402" s="142"/>
      <c r="AJ402" s="142"/>
      <c r="AP402" s="142"/>
      <c r="AV402" s="142"/>
      <c r="BB402" s="142"/>
      <c r="BH402" s="142"/>
      <c r="BN402" s="142"/>
      <c r="BT402" s="142"/>
      <c r="BZ402" s="142"/>
      <c r="CF402" s="142"/>
      <c r="CL402" s="142"/>
    </row>
    <row r="403">
      <c r="F403" s="142"/>
      <c r="L403" s="142"/>
      <c r="R403" s="142"/>
      <c r="X403" s="142"/>
      <c r="AD403" s="142"/>
      <c r="AJ403" s="142"/>
      <c r="AP403" s="142"/>
      <c r="AV403" s="142"/>
      <c r="BB403" s="142"/>
      <c r="BH403" s="142"/>
      <c r="BN403" s="142"/>
      <c r="BT403" s="142"/>
      <c r="BZ403" s="142"/>
      <c r="CF403" s="142"/>
      <c r="CL403" s="142"/>
    </row>
    <row r="404">
      <c r="F404" s="142"/>
      <c r="L404" s="142"/>
      <c r="R404" s="142"/>
      <c r="X404" s="142"/>
      <c r="AD404" s="142"/>
      <c r="AJ404" s="142"/>
      <c r="AP404" s="142"/>
      <c r="AV404" s="142"/>
      <c r="BB404" s="142"/>
      <c r="BH404" s="142"/>
      <c r="BN404" s="142"/>
      <c r="BT404" s="142"/>
      <c r="BZ404" s="142"/>
      <c r="CF404" s="142"/>
      <c r="CL404" s="142"/>
    </row>
    <row r="405">
      <c r="F405" s="142"/>
      <c r="L405" s="142"/>
      <c r="R405" s="142"/>
      <c r="X405" s="142"/>
      <c r="AD405" s="142"/>
      <c r="AJ405" s="142"/>
      <c r="AP405" s="142"/>
      <c r="AV405" s="142"/>
      <c r="BB405" s="142"/>
      <c r="BH405" s="142"/>
      <c r="BN405" s="142"/>
      <c r="BT405" s="142"/>
      <c r="BZ405" s="142"/>
      <c r="CF405" s="142"/>
      <c r="CL405" s="142"/>
    </row>
    <row r="406">
      <c r="F406" s="142"/>
      <c r="L406" s="142"/>
      <c r="R406" s="142"/>
      <c r="X406" s="142"/>
      <c r="AD406" s="142"/>
      <c r="AJ406" s="142"/>
      <c r="AP406" s="142"/>
      <c r="AV406" s="142"/>
      <c r="BB406" s="142"/>
      <c r="BH406" s="142"/>
      <c r="BN406" s="142"/>
      <c r="BT406" s="142"/>
      <c r="BZ406" s="142"/>
      <c r="CF406" s="142"/>
      <c r="CL406" s="142"/>
    </row>
    <row r="407">
      <c r="F407" s="142"/>
      <c r="L407" s="142"/>
      <c r="R407" s="142"/>
      <c r="X407" s="142"/>
      <c r="AD407" s="142"/>
      <c r="AJ407" s="142"/>
      <c r="AP407" s="142"/>
      <c r="AV407" s="142"/>
      <c r="BB407" s="142"/>
      <c r="BH407" s="142"/>
      <c r="BN407" s="142"/>
      <c r="BT407" s="142"/>
      <c r="BZ407" s="142"/>
      <c r="CF407" s="142"/>
      <c r="CL407" s="142"/>
    </row>
    <row r="408">
      <c r="F408" s="142"/>
      <c r="L408" s="142"/>
      <c r="R408" s="142"/>
      <c r="X408" s="142"/>
      <c r="AD408" s="142"/>
      <c r="AJ408" s="142"/>
      <c r="AP408" s="142"/>
      <c r="AV408" s="142"/>
      <c r="BB408" s="142"/>
      <c r="BH408" s="142"/>
      <c r="BN408" s="142"/>
      <c r="BT408" s="142"/>
      <c r="BZ408" s="142"/>
      <c r="CF408" s="142"/>
      <c r="CL408" s="142"/>
    </row>
    <row r="409">
      <c r="F409" s="142"/>
      <c r="L409" s="142"/>
      <c r="R409" s="142"/>
      <c r="X409" s="142"/>
      <c r="AD409" s="142"/>
      <c r="AJ409" s="142"/>
      <c r="AP409" s="142"/>
      <c r="AV409" s="142"/>
      <c r="BB409" s="142"/>
      <c r="BH409" s="142"/>
      <c r="BN409" s="142"/>
      <c r="BT409" s="142"/>
      <c r="BZ409" s="142"/>
      <c r="CF409" s="142"/>
      <c r="CL409" s="142"/>
    </row>
    <row r="410">
      <c r="F410" s="142"/>
      <c r="L410" s="142"/>
      <c r="R410" s="142"/>
      <c r="X410" s="142"/>
      <c r="AD410" s="142"/>
      <c r="AJ410" s="142"/>
      <c r="AP410" s="142"/>
      <c r="AV410" s="142"/>
      <c r="BB410" s="142"/>
      <c r="BH410" s="142"/>
      <c r="BN410" s="142"/>
      <c r="BT410" s="142"/>
      <c r="BZ410" s="142"/>
      <c r="CF410" s="142"/>
      <c r="CL410" s="142"/>
    </row>
    <row r="411">
      <c r="F411" s="142"/>
      <c r="L411" s="142"/>
      <c r="R411" s="142"/>
      <c r="X411" s="142"/>
      <c r="AD411" s="142"/>
      <c r="AJ411" s="142"/>
      <c r="AP411" s="142"/>
      <c r="AV411" s="142"/>
      <c r="BB411" s="142"/>
      <c r="BH411" s="142"/>
      <c r="BN411" s="142"/>
      <c r="BT411" s="142"/>
      <c r="BZ411" s="142"/>
      <c r="CF411" s="142"/>
      <c r="CL411" s="142"/>
    </row>
    <row r="412">
      <c r="F412" s="142"/>
      <c r="L412" s="142"/>
      <c r="R412" s="142"/>
      <c r="X412" s="142"/>
      <c r="AD412" s="142"/>
      <c r="AJ412" s="142"/>
      <c r="AP412" s="142"/>
      <c r="AV412" s="142"/>
      <c r="BB412" s="142"/>
      <c r="BH412" s="142"/>
      <c r="BN412" s="142"/>
      <c r="BT412" s="142"/>
      <c r="BZ412" s="142"/>
      <c r="CF412" s="142"/>
      <c r="CL412" s="142"/>
    </row>
    <row r="413">
      <c r="F413" s="142"/>
      <c r="L413" s="142"/>
      <c r="R413" s="142"/>
      <c r="X413" s="142"/>
      <c r="AD413" s="142"/>
      <c r="AJ413" s="142"/>
      <c r="AP413" s="142"/>
      <c r="AV413" s="142"/>
      <c r="BB413" s="142"/>
      <c r="BH413" s="142"/>
      <c r="BN413" s="142"/>
      <c r="BT413" s="142"/>
      <c r="BZ413" s="142"/>
      <c r="CF413" s="142"/>
      <c r="CL413" s="142"/>
    </row>
    <row r="414">
      <c r="F414" s="142"/>
      <c r="L414" s="142"/>
      <c r="R414" s="142"/>
      <c r="X414" s="142"/>
      <c r="AD414" s="142"/>
      <c r="AJ414" s="142"/>
      <c r="AP414" s="142"/>
      <c r="AV414" s="142"/>
      <c r="BB414" s="142"/>
      <c r="BH414" s="142"/>
      <c r="BN414" s="142"/>
      <c r="BT414" s="142"/>
      <c r="BZ414" s="142"/>
      <c r="CF414" s="142"/>
      <c r="CL414" s="142"/>
    </row>
    <row r="415">
      <c r="F415" s="142"/>
      <c r="L415" s="142"/>
      <c r="R415" s="142"/>
      <c r="X415" s="142"/>
      <c r="AD415" s="142"/>
      <c r="AJ415" s="142"/>
      <c r="AP415" s="142"/>
      <c r="AV415" s="142"/>
      <c r="BB415" s="142"/>
      <c r="BH415" s="142"/>
      <c r="BN415" s="142"/>
      <c r="BT415" s="142"/>
      <c r="BZ415" s="142"/>
      <c r="CF415" s="142"/>
      <c r="CL415" s="142"/>
    </row>
    <row r="416">
      <c r="F416" s="142"/>
      <c r="L416" s="142"/>
      <c r="R416" s="142"/>
      <c r="X416" s="142"/>
      <c r="AD416" s="142"/>
      <c r="AJ416" s="142"/>
      <c r="AP416" s="142"/>
      <c r="AV416" s="142"/>
      <c r="BB416" s="142"/>
      <c r="BH416" s="142"/>
      <c r="BN416" s="142"/>
      <c r="BT416" s="142"/>
      <c r="BZ416" s="142"/>
      <c r="CF416" s="142"/>
      <c r="CL416" s="142"/>
    </row>
    <row r="417">
      <c r="F417" s="142"/>
      <c r="L417" s="142"/>
      <c r="R417" s="142"/>
      <c r="X417" s="142"/>
      <c r="AD417" s="142"/>
      <c r="AJ417" s="142"/>
      <c r="AP417" s="142"/>
      <c r="AV417" s="142"/>
      <c r="BB417" s="142"/>
      <c r="BH417" s="142"/>
      <c r="BN417" s="142"/>
      <c r="BT417" s="142"/>
      <c r="BZ417" s="142"/>
      <c r="CF417" s="142"/>
      <c r="CL417" s="142"/>
    </row>
    <row r="418">
      <c r="F418" s="142"/>
      <c r="L418" s="142"/>
      <c r="R418" s="142"/>
      <c r="X418" s="142"/>
      <c r="AD418" s="142"/>
      <c r="AJ418" s="142"/>
      <c r="AP418" s="142"/>
      <c r="AV418" s="142"/>
      <c r="BB418" s="142"/>
      <c r="BH418" s="142"/>
      <c r="BN418" s="142"/>
      <c r="BT418" s="142"/>
      <c r="BZ418" s="142"/>
      <c r="CF418" s="142"/>
      <c r="CL418" s="142"/>
    </row>
    <row r="419">
      <c r="F419" s="142"/>
      <c r="L419" s="142"/>
      <c r="R419" s="142"/>
      <c r="X419" s="142"/>
      <c r="AD419" s="142"/>
      <c r="AJ419" s="142"/>
      <c r="AP419" s="142"/>
      <c r="AV419" s="142"/>
      <c r="BB419" s="142"/>
      <c r="BH419" s="142"/>
      <c r="BN419" s="142"/>
      <c r="BT419" s="142"/>
      <c r="BZ419" s="142"/>
      <c r="CF419" s="142"/>
      <c r="CL419" s="142"/>
    </row>
    <row r="420">
      <c r="F420" s="142"/>
      <c r="L420" s="142"/>
      <c r="R420" s="142"/>
      <c r="X420" s="142"/>
      <c r="AD420" s="142"/>
      <c r="AJ420" s="142"/>
      <c r="AP420" s="142"/>
      <c r="AV420" s="142"/>
      <c r="BB420" s="142"/>
      <c r="BH420" s="142"/>
      <c r="BN420" s="142"/>
      <c r="BT420" s="142"/>
      <c r="BZ420" s="142"/>
      <c r="CF420" s="142"/>
      <c r="CL420" s="142"/>
    </row>
    <row r="421">
      <c r="F421" s="142"/>
      <c r="L421" s="142"/>
      <c r="R421" s="142"/>
      <c r="X421" s="142"/>
      <c r="AD421" s="142"/>
      <c r="AJ421" s="142"/>
      <c r="AP421" s="142"/>
      <c r="AV421" s="142"/>
      <c r="BB421" s="142"/>
      <c r="BH421" s="142"/>
      <c r="BN421" s="142"/>
      <c r="BT421" s="142"/>
      <c r="BZ421" s="142"/>
      <c r="CF421" s="142"/>
      <c r="CL421" s="142"/>
    </row>
    <row r="422">
      <c r="F422" s="142"/>
      <c r="L422" s="142"/>
      <c r="R422" s="142"/>
      <c r="X422" s="142"/>
      <c r="AD422" s="142"/>
      <c r="AJ422" s="142"/>
      <c r="AP422" s="142"/>
      <c r="AV422" s="142"/>
      <c r="BB422" s="142"/>
      <c r="BH422" s="142"/>
      <c r="BN422" s="142"/>
      <c r="BT422" s="142"/>
      <c r="BZ422" s="142"/>
      <c r="CF422" s="142"/>
      <c r="CL422" s="142"/>
    </row>
    <row r="423">
      <c r="F423" s="142"/>
      <c r="L423" s="142"/>
      <c r="R423" s="142"/>
      <c r="X423" s="142"/>
      <c r="AD423" s="142"/>
      <c r="AJ423" s="142"/>
      <c r="AP423" s="142"/>
      <c r="AV423" s="142"/>
      <c r="BB423" s="142"/>
      <c r="BH423" s="142"/>
      <c r="BN423" s="142"/>
      <c r="BT423" s="142"/>
      <c r="BZ423" s="142"/>
      <c r="CF423" s="142"/>
      <c r="CL423" s="142"/>
    </row>
    <row r="424">
      <c r="F424" s="142"/>
      <c r="L424" s="142"/>
      <c r="R424" s="142"/>
      <c r="X424" s="142"/>
      <c r="AD424" s="142"/>
      <c r="AJ424" s="142"/>
      <c r="AP424" s="142"/>
      <c r="AV424" s="142"/>
      <c r="BB424" s="142"/>
      <c r="BH424" s="142"/>
      <c r="BN424" s="142"/>
      <c r="BT424" s="142"/>
      <c r="BZ424" s="142"/>
      <c r="CF424" s="142"/>
      <c r="CL424" s="142"/>
    </row>
    <row r="425">
      <c r="F425" s="142"/>
      <c r="L425" s="142"/>
      <c r="R425" s="142"/>
      <c r="X425" s="142"/>
      <c r="AD425" s="142"/>
      <c r="AJ425" s="142"/>
      <c r="AP425" s="142"/>
      <c r="AV425" s="142"/>
      <c r="BB425" s="142"/>
      <c r="BH425" s="142"/>
      <c r="BN425" s="142"/>
      <c r="BT425" s="142"/>
      <c r="BZ425" s="142"/>
      <c r="CF425" s="142"/>
      <c r="CL425" s="142"/>
    </row>
    <row r="426">
      <c r="F426" s="142"/>
      <c r="L426" s="142"/>
      <c r="R426" s="142"/>
      <c r="X426" s="142"/>
      <c r="AD426" s="142"/>
      <c r="AJ426" s="142"/>
      <c r="AP426" s="142"/>
      <c r="AV426" s="142"/>
      <c r="BB426" s="142"/>
      <c r="BH426" s="142"/>
      <c r="BN426" s="142"/>
      <c r="BT426" s="142"/>
      <c r="BZ426" s="142"/>
      <c r="CF426" s="142"/>
      <c r="CL426" s="142"/>
    </row>
    <row r="427">
      <c r="F427" s="142"/>
      <c r="L427" s="142"/>
      <c r="R427" s="142"/>
      <c r="X427" s="142"/>
      <c r="AD427" s="142"/>
      <c r="AJ427" s="142"/>
      <c r="AP427" s="142"/>
      <c r="AV427" s="142"/>
      <c r="BB427" s="142"/>
      <c r="BH427" s="142"/>
      <c r="BN427" s="142"/>
      <c r="BT427" s="142"/>
      <c r="BZ427" s="142"/>
      <c r="CF427" s="142"/>
      <c r="CL427" s="142"/>
    </row>
    <row r="428">
      <c r="F428" s="142"/>
      <c r="L428" s="142"/>
      <c r="R428" s="142"/>
      <c r="X428" s="142"/>
      <c r="AD428" s="142"/>
      <c r="AJ428" s="142"/>
      <c r="AP428" s="142"/>
      <c r="AV428" s="142"/>
      <c r="BB428" s="142"/>
      <c r="BH428" s="142"/>
      <c r="BN428" s="142"/>
      <c r="BT428" s="142"/>
      <c r="BZ428" s="142"/>
      <c r="CF428" s="142"/>
      <c r="CL428" s="142"/>
    </row>
    <row r="429">
      <c r="F429" s="142"/>
      <c r="L429" s="142"/>
      <c r="R429" s="142"/>
      <c r="X429" s="142"/>
      <c r="AD429" s="142"/>
      <c r="AJ429" s="142"/>
      <c r="AP429" s="142"/>
      <c r="AV429" s="142"/>
      <c r="BB429" s="142"/>
      <c r="BH429" s="142"/>
      <c r="BN429" s="142"/>
      <c r="BT429" s="142"/>
      <c r="BZ429" s="142"/>
      <c r="CF429" s="142"/>
      <c r="CL429" s="142"/>
    </row>
    <row r="430">
      <c r="F430" s="142"/>
      <c r="L430" s="142"/>
      <c r="R430" s="142"/>
      <c r="X430" s="142"/>
      <c r="AD430" s="142"/>
      <c r="AJ430" s="142"/>
      <c r="AP430" s="142"/>
      <c r="AV430" s="142"/>
      <c r="BB430" s="142"/>
      <c r="BH430" s="142"/>
      <c r="BN430" s="142"/>
      <c r="BT430" s="142"/>
      <c r="BZ430" s="142"/>
      <c r="CF430" s="142"/>
      <c r="CL430" s="142"/>
    </row>
    <row r="431">
      <c r="F431" s="142"/>
      <c r="L431" s="142"/>
      <c r="R431" s="142"/>
      <c r="X431" s="142"/>
      <c r="AD431" s="142"/>
      <c r="AJ431" s="142"/>
      <c r="AP431" s="142"/>
      <c r="AV431" s="142"/>
      <c r="BB431" s="142"/>
      <c r="BH431" s="142"/>
      <c r="BN431" s="142"/>
      <c r="BT431" s="142"/>
      <c r="BZ431" s="142"/>
      <c r="CF431" s="142"/>
      <c r="CL431" s="142"/>
    </row>
    <row r="432">
      <c r="F432" s="142"/>
      <c r="L432" s="142"/>
      <c r="R432" s="142"/>
      <c r="X432" s="142"/>
      <c r="AD432" s="142"/>
      <c r="AJ432" s="142"/>
      <c r="AP432" s="142"/>
      <c r="AV432" s="142"/>
      <c r="BB432" s="142"/>
      <c r="BH432" s="142"/>
      <c r="BN432" s="142"/>
      <c r="BT432" s="142"/>
      <c r="BZ432" s="142"/>
      <c r="CF432" s="142"/>
      <c r="CL432" s="142"/>
    </row>
    <row r="433">
      <c r="F433" s="142"/>
      <c r="L433" s="142"/>
      <c r="R433" s="142"/>
      <c r="X433" s="142"/>
      <c r="AD433" s="142"/>
      <c r="AJ433" s="142"/>
      <c r="AP433" s="142"/>
      <c r="AV433" s="142"/>
      <c r="BB433" s="142"/>
      <c r="BH433" s="142"/>
      <c r="BN433" s="142"/>
      <c r="BT433" s="142"/>
      <c r="BZ433" s="142"/>
      <c r="CF433" s="142"/>
      <c r="CL433" s="142"/>
    </row>
    <row r="434">
      <c r="F434" s="142"/>
      <c r="L434" s="142"/>
      <c r="R434" s="142"/>
      <c r="X434" s="142"/>
      <c r="AD434" s="142"/>
      <c r="AJ434" s="142"/>
      <c r="AP434" s="142"/>
      <c r="AV434" s="142"/>
      <c r="BB434" s="142"/>
      <c r="BH434" s="142"/>
      <c r="BN434" s="142"/>
      <c r="BT434" s="142"/>
      <c r="BZ434" s="142"/>
      <c r="CF434" s="142"/>
      <c r="CL434" s="142"/>
    </row>
    <row r="435">
      <c r="F435" s="142"/>
      <c r="L435" s="142"/>
      <c r="R435" s="142"/>
      <c r="X435" s="142"/>
      <c r="AD435" s="142"/>
      <c r="AJ435" s="142"/>
      <c r="AP435" s="142"/>
      <c r="AV435" s="142"/>
      <c r="BB435" s="142"/>
      <c r="BH435" s="142"/>
      <c r="BN435" s="142"/>
      <c r="BT435" s="142"/>
      <c r="BZ435" s="142"/>
      <c r="CF435" s="142"/>
      <c r="CL435" s="142"/>
    </row>
    <row r="436">
      <c r="F436" s="142"/>
      <c r="L436" s="142"/>
      <c r="R436" s="142"/>
      <c r="X436" s="142"/>
      <c r="AD436" s="142"/>
      <c r="AJ436" s="142"/>
      <c r="AP436" s="142"/>
      <c r="AV436" s="142"/>
      <c r="BB436" s="142"/>
      <c r="BH436" s="142"/>
      <c r="BN436" s="142"/>
      <c r="BT436" s="142"/>
      <c r="BZ436" s="142"/>
      <c r="CF436" s="142"/>
      <c r="CL436" s="142"/>
    </row>
    <row r="437">
      <c r="F437" s="142"/>
      <c r="L437" s="142"/>
      <c r="R437" s="142"/>
      <c r="X437" s="142"/>
      <c r="AD437" s="142"/>
      <c r="AJ437" s="142"/>
      <c r="AP437" s="142"/>
      <c r="AV437" s="142"/>
      <c r="BB437" s="142"/>
      <c r="BH437" s="142"/>
      <c r="BN437" s="142"/>
      <c r="BT437" s="142"/>
      <c r="BZ437" s="142"/>
      <c r="CF437" s="142"/>
      <c r="CL437" s="142"/>
    </row>
    <row r="438">
      <c r="F438" s="142"/>
      <c r="L438" s="142"/>
      <c r="R438" s="142"/>
      <c r="X438" s="142"/>
      <c r="AD438" s="142"/>
      <c r="AJ438" s="142"/>
      <c r="AP438" s="142"/>
      <c r="AV438" s="142"/>
      <c r="BB438" s="142"/>
      <c r="BH438" s="142"/>
      <c r="BN438" s="142"/>
      <c r="BT438" s="142"/>
      <c r="BZ438" s="142"/>
      <c r="CF438" s="142"/>
      <c r="CL438" s="142"/>
    </row>
    <row r="439">
      <c r="F439" s="142"/>
      <c r="L439" s="142"/>
      <c r="R439" s="142"/>
      <c r="X439" s="142"/>
      <c r="AD439" s="142"/>
      <c r="AJ439" s="142"/>
      <c r="AP439" s="142"/>
      <c r="AV439" s="142"/>
      <c r="BB439" s="142"/>
      <c r="BH439" s="142"/>
      <c r="BN439" s="142"/>
      <c r="BT439" s="142"/>
      <c r="BZ439" s="142"/>
      <c r="CF439" s="142"/>
      <c r="CL439" s="142"/>
    </row>
    <row r="440">
      <c r="F440" s="142"/>
      <c r="L440" s="142"/>
      <c r="R440" s="142"/>
      <c r="X440" s="142"/>
      <c r="AD440" s="142"/>
      <c r="AJ440" s="142"/>
      <c r="AP440" s="142"/>
      <c r="AV440" s="142"/>
      <c r="BB440" s="142"/>
      <c r="BH440" s="142"/>
      <c r="BN440" s="142"/>
      <c r="BT440" s="142"/>
      <c r="BZ440" s="142"/>
      <c r="CF440" s="142"/>
      <c r="CL440" s="142"/>
    </row>
    <row r="441">
      <c r="F441" s="142"/>
      <c r="L441" s="142"/>
      <c r="R441" s="142"/>
      <c r="X441" s="142"/>
      <c r="AD441" s="142"/>
      <c r="AJ441" s="142"/>
      <c r="AP441" s="142"/>
      <c r="AV441" s="142"/>
      <c r="BB441" s="142"/>
      <c r="BH441" s="142"/>
      <c r="BN441" s="142"/>
      <c r="BT441" s="142"/>
      <c r="BZ441" s="142"/>
      <c r="CF441" s="142"/>
      <c r="CL441" s="142"/>
    </row>
    <row r="442">
      <c r="F442" s="142"/>
      <c r="L442" s="142"/>
      <c r="R442" s="142"/>
      <c r="X442" s="142"/>
      <c r="AD442" s="142"/>
      <c r="AJ442" s="142"/>
      <c r="AP442" s="142"/>
      <c r="AV442" s="142"/>
      <c r="BB442" s="142"/>
      <c r="BH442" s="142"/>
      <c r="BN442" s="142"/>
      <c r="BT442" s="142"/>
      <c r="BZ442" s="142"/>
      <c r="CF442" s="142"/>
      <c r="CL442" s="142"/>
    </row>
    <row r="443">
      <c r="F443" s="142"/>
      <c r="L443" s="142"/>
      <c r="R443" s="142"/>
      <c r="X443" s="142"/>
      <c r="AD443" s="142"/>
      <c r="AJ443" s="142"/>
      <c r="AP443" s="142"/>
      <c r="AV443" s="142"/>
      <c r="BB443" s="142"/>
      <c r="BH443" s="142"/>
      <c r="BN443" s="142"/>
      <c r="BT443" s="142"/>
      <c r="BZ443" s="142"/>
      <c r="CF443" s="142"/>
      <c r="CL443" s="142"/>
    </row>
    <row r="444">
      <c r="F444" s="142"/>
      <c r="L444" s="142"/>
      <c r="R444" s="142"/>
      <c r="X444" s="142"/>
      <c r="AD444" s="142"/>
      <c r="AJ444" s="142"/>
      <c r="AP444" s="142"/>
      <c r="AV444" s="142"/>
      <c r="BB444" s="142"/>
      <c r="BH444" s="142"/>
      <c r="BN444" s="142"/>
      <c r="BT444" s="142"/>
      <c r="BZ444" s="142"/>
      <c r="CF444" s="142"/>
      <c r="CL444" s="142"/>
    </row>
    <row r="445">
      <c r="F445" s="142"/>
      <c r="L445" s="142"/>
      <c r="R445" s="142"/>
      <c r="X445" s="142"/>
      <c r="AD445" s="142"/>
      <c r="AJ445" s="142"/>
      <c r="AP445" s="142"/>
      <c r="AV445" s="142"/>
      <c r="BB445" s="142"/>
      <c r="BH445" s="142"/>
      <c r="BN445" s="142"/>
      <c r="BT445" s="142"/>
      <c r="BZ445" s="142"/>
      <c r="CF445" s="142"/>
      <c r="CL445" s="142"/>
    </row>
    <row r="446">
      <c r="F446" s="142"/>
      <c r="L446" s="142"/>
      <c r="R446" s="142"/>
      <c r="X446" s="142"/>
      <c r="AD446" s="142"/>
      <c r="AJ446" s="142"/>
      <c r="AP446" s="142"/>
      <c r="AV446" s="142"/>
      <c r="BB446" s="142"/>
      <c r="BH446" s="142"/>
      <c r="BN446" s="142"/>
      <c r="BT446" s="142"/>
      <c r="BZ446" s="142"/>
      <c r="CF446" s="142"/>
      <c r="CL446" s="142"/>
    </row>
    <row r="447">
      <c r="F447" s="142"/>
      <c r="L447" s="142"/>
      <c r="R447" s="142"/>
      <c r="X447" s="142"/>
      <c r="AD447" s="142"/>
      <c r="AJ447" s="142"/>
      <c r="AP447" s="142"/>
      <c r="AV447" s="142"/>
      <c r="BB447" s="142"/>
      <c r="BH447" s="142"/>
      <c r="BN447" s="142"/>
      <c r="BT447" s="142"/>
      <c r="BZ447" s="142"/>
      <c r="CF447" s="142"/>
      <c r="CL447" s="142"/>
    </row>
    <row r="448">
      <c r="F448" s="142"/>
      <c r="L448" s="142"/>
      <c r="R448" s="142"/>
      <c r="X448" s="142"/>
      <c r="AD448" s="142"/>
      <c r="AJ448" s="142"/>
      <c r="AP448" s="142"/>
      <c r="AV448" s="142"/>
      <c r="BB448" s="142"/>
      <c r="BH448" s="142"/>
      <c r="BN448" s="142"/>
      <c r="BT448" s="142"/>
      <c r="BZ448" s="142"/>
      <c r="CF448" s="142"/>
      <c r="CL448" s="142"/>
    </row>
    <row r="449">
      <c r="F449" s="142"/>
      <c r="L449" s="142"/>
      <c r="R449" s="142"/>
      <c r="X449" s="142"/>
      <c r="AD449" s="142"/>
      <c r="AJ449" s="142"/>
      <c r="AP449" s="142"/>
      <c r="AV449" s="142"/>
      <c r="BB449" s="142"/>
      <c r="BH449" s="142"/>
      <c r="BN449" s="142"/>
      <c r="BT449" s="142"/>
      <c r="BZ449" s="142"/>
      <c r="CF449" s="142"/>
      <c r="CL449" s="142"/>
    </row>
    <row r="450">
      <c r="F450" s="142"/>
      <c r="L450" s="142"/>
      <c r="R450" s="142"/>
      <c r="X450" s="142"/>
      <c r="AD450" s="142"/>
      <c r="AJ450" s="142"/>
      <c r="AP450" s="142"/>
      <c r="AV450" s="142"/>
      <c r="BB450" s="142"/>
      <c r="BH450" s="142"/>
      <c r="BN450" s="142"/>
      <c r="BT450" s="142"/>
      <c r="BZ450" s="142"/>
      <c r="CF450" s="142"/>
      <c r="CL450" s="142"/>
    </row>
    <row r="451">
      <c r="F451" s="142"/>
      <c r="L451" s="142"/>
      <c r="R451" s="142"/>
      <c r="X451" s="142"/>
      <c r="AD451" s="142"/>
      <c r="AJ451" s="142"/>
      <c r="AP451" s="142"/>
      <c r="AV451" s="142"/>
      <c r="BB451" s="142"/>
      <c r="BH451" s="142"/>
      <c r="BN451" s="142"/>
      <c r="BT451" s="142"/>
      <c r="BZ451" s="142"/>
      <c r="CF451" s="142"/>
      <c r="CL451" s="142"/>
    </row>
    <row r="452">
      <c r="F452" s="142"/>
      <c r="L452" s="142"/>
      <c r="R452" s="142"/>
      <c r="X452" s="142"/>
      <c r="AD452" s="142"/>
      <c r="AJ452" s="142"/>
      <c r="AP452" s="142"/>
      <c r="AV452" s="142"/>
      <c r="BB452" s="142"/>
      <c r="BH452" s="142"/>
      <c r="BN452" s="142"/>
      <c r="BT452" s="142"/>
      <c r="BZ452" s="142"/>
      <c r="CF452" s="142"/>
      <c r="CL452" s="142"/>
    </row>
    <row r="453">
      <c r="F453" s="142"/>
      <c r="L453" s="142"/>
      <c r="R453" s="142"/>
      <c r="X453" s="142"/>
      <c r="AD453" s="142"/>
      <c r="AJ453" s="142"/>
      <c r="AP453" s="142"/>
      <c r="AV453" s="142"/>
      <c r="BB453" s="142"/>
      <c r="BH453" s="142"/>
      <c r="BN453" s="142"/>
      <c r="BT453" s="142"/>
      <c r="BZ453" s="142"/>
      <c r="CF453" s="142"/>
      <c r="CL453" s="142"/>
    </row>
    <row r="454">
      <c r="F454" s="142"/>
      <c r="L454" s="142"/>
      <c r="R454" s="142"/>
      <c r="X454" s="142"/>
      <c r="AD454" s="142"/>
      <c r="AJ454" s="142"/>
      <c r="AP454" s="142"/>
      <c r="AV454" s="142"/>
      <c r="BB454" s="142"/>
      <c r="BH454" s="142"/>
      <c r="BN454" s="142"/>
      <c r="BT454" s="142"/>
      <c r="BZ454" s="142"/>
      <c r="CF454" s="142"/>
      <c r="CL454" s="142"/>
    </row>
    <row r="455">
      <c r="F455" s="142"/>
      <c r="L455" s="142"/>
      <c r="R455" s="142"/>
      <c r="X455" s="142"/>
      <c r="AD455" s="142"/>
      <c r="AJ455" s="142"/>
      <c r="AP455" s="142"/>
      <c r="AV455" s="142"/>
      <c r="BB455" s="142"/>
      <c r="BH455" s="142"/>
      <c r="BN455" s="142"/>
      <c r="BT455" s="142"/>
      <c r="BZ455" s="142"/>
      <c r="CF455" s="142"/>
      <c r="CL455" s="142"/>
    </row>
    <row r="456">
      <c r="F456" s="142"/>
      <c r="L456" s="142"/>
      <c r="R456" s="142"/>
      <c r="X456" s="142"/>
      <c r="AD456" s="142"/>
      <c r="AJ456" s="142"/>
      <c r="AP456" s="142"/>
      <c r="AV456" s="142"/>
      <c r="BB456" s="142"/>
      <c r="BH456" s="142"/>
      <c r="BN456" s="142"/>
      <c r="BT456" s="142"/>
      <c r="BZ456" s="142"/>
      <c r="CF456" s="142"/>
      <c r="CL456" s="142"/>
    </row>
    <row r="457">
      <c r="F457" s="142"/>
      <c r="L457" s="142"/>
      <c r="R457" s="142"/>
      <c r="X457" s="142"/>
      <c r="AD457" s="142"/>
      <c r="AJ457" s="142"/>
      <c r="AP457" s="142"/>
      <c r="AV457" s="142"/>
      <c r="BB457" s="142"/>
      <c r="BH457" s="142"/>
      <c r="BN457" s="142"/>
      <c r="BT457" s="142"/>
      <c r="BZ457" s="142"/>
      <c r="CF457" s="142"/>
      <c r="CL457" s="142"/>
    </row>
    <row r="458">
      <c r="F458" s="142"/>
      <c r="L458" s="142"/>
      <c r="R458" s="142"/>
      <c r="X458" s="142"/>
      <c r="AD458" s="142"/>
      <c r="AJ458" s="142"/>
      <c r="AP458" s="142"/>
      <c r="AV458" s="142"/>
      <c r="BB458" s="142"/>
      <c r="BH458" s="142"/>
      <c r="BN458" s="142"/>
      <c r="BT458" s="142"/>
      <c r="BZ458" s="142"/>
      <c r="CF458" s="142"/>
      <c r="CL458" s="142"/>
    </row>
    <row r="459">
      <c r="F459" s="142"/>
      <c r="L459" s="142"/>
      <c r="R459" s="142"/>
      <c r="X459" s="142"/>
      <c r="AD459" s="142"/>
      <c r="AJ459" s="142"/>
      <c r="AP459" s="142"/>
      <c r="AV459" s="142"/>
      <c r="BB459" s="142"/>
      <c r="BH459" s="142"/>
      <c r="BN459" s="142"/>
      <c r="BT459" s="142"/>
      <c r="BZ459" s="142"/>
      <c r="CF459" s="142"/>
      <c r="CL459" s="142"/>
    </row>
    <row r="460">
      <c r="F460" s="142"/>
      <c r="L460" s="142"/>
      <c r="R460" s="142"/>
      <c r="X460" s="142"/>
      <c r="AD460" s="142"/>
      <c r="AJ460" s="142"/>
      <c r="AP460" s="142"/>
      <c r="AV460" s="142"/>
      <c r="BB460" s="142"/>
      <c r="BH460" s="142"/>
      <c r="BN460" s="142"/>
      <c r="BT460" s="142"/>
      <c r="BZ460" s="142"/>
      <c r="CF460" s="142"/>
      <c r="CL460" s="142"/>
    </row>
    <row r="461">
      <c r="F461" s="142"/>
      <c r="L461" s="142"/>
      <c r="R461" s="142"/>
      <c r="X461" s="142"/>
      <c r="AD461" s="142"/>
      <c r="AJ461" s="142"/>
      <c r="AP461" s="142"/>
      <c r="AV461" s="142"/>
      <c r="BB461" s="142"/>
      <c r="BH461" s="142"/>
      <c r="BN461" s="142"/>
      <c r="BT461" s="142"/>
      <c r="BZ461" s="142"/>
      <c r="CF461" s="142"/>
      <c r="CL461" s="142"/>
    </row>
    <row r="462">
      <c r="F462" s="142"/>
      <c r="L462" s="142"/>
      <c r="R462" s="142"/>
      <c r="X462" s="142"/>
      <c r="AD462" s="142"/>
      <c r="AJ462" s="142"/>
      <c r="AP462" s="142"/>
      <c r="AV462" s="142"/>
      <c r="BB462" s="142"/>
      <c r="BH462" s="142"/>
      <c r="BN462" s="142"/>
      <c r="BT462" s="142"/>
      <c r="BZ462" s="142"/>
      <c r="CF462" s="142"/>
      <c r="CL462" s="142"/>
    </row>
    <row r="463">
      <c r="F463" s="142"/>
      <c r="L463" s="142"/>
      <c r="R463" s="142"/>
      <c r="X463" s="142"/>
      <c r="AD463" s="142"/>
      <c r="AJ463" s="142"/>
      <c r="AP463" s="142"/>
      <c r="AV463" s="142"/>
      <c r="BB463" s="142"/>
      <c r="BH463" s="142"/>
      <c r="BN463" s="142"/>
      <c r="BT463" s="142"/>
      <c r="BZ463" s="142"/>
      <c r="CF463" s="142"/>
      <c r="CL463" s="142"/>
    </row>
    <row r="464">
      <c r="F464" s="142"/>
      <c r="L464" s="142"/>
      <c r="R464" s="142"/>
      <c r="X464" s="142"/>
      <c r="AD464" s="142"/>
      <c r="AJ464" s="142"/>
      <c r="AP464" s="142"/>
      <c r="AV464" s="142"/>
      <c r="BB464" s="142"/>
      <c r="BH464" s="142"/>
      <c r="BN464" s="142"/>
      <c r="BT464" s="142"/>
      <c r="BZ464" s="142"/>
      <c r="CF464" s="142"/>
      <c r="CL464" s="142"/>
    </row>
    <row r="465">
      <c r="F465" s="142"/>
      <c r="L465" s="142"/>
      <c r="R465" s="142"/>
      <c r="X465" s="142"/>
      <c r="AD465" s="142"/>
      <c r="AJ465" s="142"/>
      <c r="AP465" s="142"/>
      <c r="AV465" s="142"/>
      <c r="BB465" s="142"/>
      <c r="BH465" s="142"/>
      <c r="BN465" s="142"/>
      <c r="BT465" s="142"/>
      <c r="BZ465" s="142"/>
      <c r="CF465" s="142"/>
      <c r="CL465" s="142"/>
    </row>
    <row r="466">
      <c r="F466" s="142"/>
      <c r="L466" s="142"/>
      <c r="R466" s="142"/>
      <c r="X466" s="142"/>
      <c r="AD466" s="142"/>
      <c r="AJ466" s="142"/>
      <c r="AP466" s="142"/>
      <c r="AV466" s="142"/>
      <c r="BB466" s="142"/>
      <c r="BH466" s="142"/>
      <c r="BN466" s="142"/>
      <c r="BT466" s="142"/>
      <c r="BZ466" s="142"/>
      <c r="CF466" s="142"/>
      <c r="CL466" s="142"/>
    </row>
    <row r="467">
      <c r="F467" s="142"/>
      <c r="L467" s="142"/>
      <c r="R467" s="142"/>
      <c r="X467" s="142"/>
      <c r="AD467" s="142"/>
      <c r="AJ467" s="142"/>
      <c r="AP467" s="142"/>
      <c r="AV467" s="142"/>
      <c r="BB467" s="142"/>
      <c r="BH467" s="142"/>
      <c r="BN467" s="142"/>
      <c r="BT467" s="142"/>
      <c r="BZ467" s="142"/>
      <c r="CF467" s="142"/>
      <c r="CL467" s="142"/>
    </row>
    <row r="468">
      <c r="F468" s="142"/>
      <c r="L468" s="142"/>
      <c r="R468" s="142"/>
      <c r="X468" s="142"/>
      <c r="AD468" s="142"/>
      <c r="AJ468" s="142"/>
      <c r="AP468" s="142"/>
      <c r="AV468" s="142"/>
      <c r="BB468" s="142"/>
      <c r="BH468" s="142"/>
      <c r="BN468" s="142"/>
      <c r="BT468" s="142"/>
      <c r="BZ468" s="142"/>
      <c r="CF468" s="142"/>
      <c r="CL468" s="142"/>
    </row>
    <row r="469">
      <c r="F469" s="142"/>
      <c r="L469" s="142"/>
      <c r="R469" s="142"/>
      <c r="X469" s="142"/>
      <c r="AD469" s="142"/>
      <c r="AJ469" s="142"/>
      <c r="AP469" s="142"/>
      <c r="AV469" s="142"/>
      <c r="BB469" s="142"/>
      <c r="BH469" s="142"/>
      <c r="BN469" s="142"/>
      <c r="BT469" s="142"/>
      <c r="BZ469" s="142"/>
      <c r="CF469" s="142"/>
      <c r="CL469" s="142"/>
    </row>
    <row r="470">
      <c r="F470" s="142"/>
      <c r="L470" s="142"/>
      <c r="R470" s="142"/>
      <c r="X470" s="142"/>
      <c r="AD470" s="142"/>
      <c r="AJ470" s="142"/>
      <c r="AP470" s="142"/>
      <c r="AV470" s="142"/>
      <c r="BB470" s="142"/>
      <c r="BH470" s="142"/>
      <c r="BN470" s="142"/>
      <c r="BT470" s="142"/>
      <c r="BZ470" s="142"/>
      <c r="CF470" s="142"/>
      <c r="CL470" s="142"/>
    </row>
    <row r="471">
      <c r="F471" s="142"/>
      <c r="L471" s="142"/>
      <c r="R471" s="142"/>
      <c r="X471" s="142"/>
      <c r="AD471" s="142"/>
      <c r="AJ471" s="142"/>
      <c r="AP471" s="142"/>
      <c r="AV471" s="142"/>
      <c r="BB471" s="142"/>
      <c r="BH471" s="142"/>
      <c r="BN471" s="142"/>
      <c r="BT471" s="142"/>
      <c r="BZ471" s="142"/>
      <c r="CF471" s="142"/>
      <c r="CL471" s="142"/>
    </row>
    <row r="472">
      <c r="F472" s="142"/>
      <c r="L472" s="142"/>
      <c r="R472" s="142"/>
      <c r="X472" s="142"/>
      <c r="AD472" s="142"/>
      <c r="AJ472" s="142"/>
      <c r="AP472" s="142"/>
      <c r="AV472" s="142"/>
      <c r="BB472" s="142"/>
      <c r="BH472" s="142"/>
      <c r="BN472" s="142"/>
      <c r="BT472" s="142"/>
      <c r="BZ472" s="142"/>
      <c r="CF472" s="142"/>
      <c r="CL472" s="142"/>
    </row>
    <row r="473">
      <c r="F473" s="142"/>
      <c r="L473" s="142"/>
      <c r="R473" s="142"/>
      <c r="X473" s="142"/>
      <c r="AD473" s="142"/>
      <c r="AJ473" s="142"/>
      <c r="AP473" s="142"/>
      <c r="AV473" s="142"/>
      <c r="BB473" s="142"/>
      <c r="BH473" s="142"/>
      <c r="BN473" s="142"/>
      <c r="BT473" s="142"/>
      <c r="BZ473" s="142"/>
      <c r="CF473" s="142"/>
      <c r="CL473" s="142"/>
    </row>
    <row r="474">
      <c r="F474" s="142"/>
      <c r="L474" s="142"/>
      <c r="R474" s="142"/>
      <c r="X474" s="142"/>
      <c r="AD474" s="142"/>
      <c r="AJ474" s="142"/>
      <c r="AP474" s="142"/>
      <c r="AV474" s="142"/>
      <c r="BB474" s="142"/>
      <c r="BH474" s="142"/>
      <c r="BN474" s="142"/>
      <c r="BT474" s="142"/>
      <c r="BZ474" s="142"/>
      <c r="CF474" s="142"/>
      <c r="CL474" s="142"/>
    </row>
    <row r="475">
      <c r="F475" s="142"/>
      <c r="L475" s="142"/>
      <c r="R475" s="142"/>
      <c r="X475" s="142"/>
      <c r="AD475" s="142"/>
      <c r="AJ475" s="142"/>
      <c r="AP475" s="142"/>
      <c r="AV475" s="142"/>
      <c r="BB475" s="142"/>
      <c r="BH475" s="142"/>
      <c r="BN475" s="142"/>
      <c r="BT475" s="142"/>
      <c r="BZ475" s="142"/>
      <c r="CF475" s="142"/>
      <c r="CL475" s="142"/>
    </row>
    <row r="476">
      <c r="F476" s="142"/>
      <c r="L476" s="142"/>
      <c r="R476" s="142"/>
      <c r="X476" s="142"/>
      <c r="AD476" s="142"/>
      <c r="AJ476" s="142"/>
      <c r="AP476" s="142"/>
      <c r="AV476" s="142"/>
      <c r="BB476" s="142"/>
      <c r="BH476" s="142"/>
      <c r="BN476" s="142"/>
      <c r="BT476" s="142"/>
      <c r="BZ476" s="142"/>
      <c r="CF476" s="142"/>
      <c r="CL476" s="142"/>
    </row>
    <row r="477">
      <c r="F477" s="142"/>
      <c r="L477" s="142"/>
      <c r="R477" s="142"/>
      <c r="X477" s="142"/>
      <c r="AD477" s="142"/>
      <c r="AJ477" s="142"/>
      <c r="AP477" s="142"/>
      <c r="AV477" s="142"/>
      <c r="BB477" s="142"/>
      <c r="BH477" s="142"/>
      <c r="BN477" s="142"/>
      <c r="BT477" s="142"/>
      <c r="BZ477" s="142"/>
      <c r="CF477" s="142"/>
      <c r="CL477" s="142"/>
    </row>
    <row r="478">
      <c r="F478" s="142"/>
      <c r="L478" s="142"/>
      <c r="R478" s="142"/>
      <c r="X478" s="142"/>
      <c r="AD478" s="142"/>
      <c r="AJ478" s="142"/>
      <c r="AP478" s="142"/>
      <c r="AV478" s="142"/>
      <c r="BB478" s="142"/>
      <c r="BH478" s="142"/>
      <c r="BN478" s="142"/>
      <c r="BT478" s="142"/>
      <c r="BZ478" s="142"/>
      <c r="CF478" s="142"/>
      <c r="CL478" s="142"/>
    </row>
    <row r="479">
      <c r="F479" s="142"/>
      <c r="L479" s="142"/>
      <c r="R479" s="142"/>
      <c r="X479" s="142"/>
      <c r="AD479" s="142"/>
      <c r="AJ479" s="142"/>
      <c r="AP479" s="142"/>
      <c r="AV479" s="142"/>
      <c r="BB479" s="142"/>
      <c r="BH479" s="142"/>
      <c r="BN479" s="142"/>
      <c r="BT479" s="142"/>
      <c r="BZ479" s="142"/>
      <c r="CF479" s="142"/>
      <c r="CL479" s="142"/>
    </row>
    <row r="480">
      <c r="F480" s="142"/>
      <c r="L480" s="142"/>
      <c r="R480" s="142"/>
      <c r="X480" s="142"/>
      <c r="AD480" s="142"/>
      <c r="AJ480" s="142"/>
      <c r="AP480" s="142"/>
      <c r="AV480" s="142"/>
      <c r="BB480" s="142"/>
      <c r="BH480" s="142"/>
      <c r="BN480" s="142"/>
      <c r="BT480" s="142"/>
      <c r="BZ480" s="142"/>
      <c r="CF480" s="142"/>
      <c r="CL480" s="142"/>
    </row>
    <row r="481">
      <c r="F481" s="142"/>
      <c r="L481" s="142"/>
      <c r="R481" s="142"/>
      <c r="X481" s="142"/>
      <c r="AD481" s="142"/>
      <c r="AJ481" s="142"/>
      <c r="AP481" s="142"/>
      <c r="AV481" s="142"/>
      <c r="BB481" s="142"/>
      <c r="BH481" s="142"/>
      <c r="BN481" s="142"/>
      <c r="BT481" s="142"/>
      <c r="BZ481" s="142"/>
      <c r="CF481" s="142"/>
      <c r="CL481" s="142"/>
    </row>
    <row r="482">
      <c r="F482" s="142"/>
      <c r="L482" s="142"/>
      <c r="R482" s="142"/>
      <c r="X482" s="142"/>
      <c r="AD482" s="142"/>
      <c r="AJ482" s="142"/>
      <c r="AP482" s="142"/>
      <c r="AV482" s="142"/>
      <c r="BB482" s="142"/>
      <c r="BH482" s="142"/>
      <c r="BN482" s="142"/>
      <c r="BT482" s="142"/>
      <c r="BZ482" s="142"/>
      <c r="CF482" s="142"/>
      <c r="CL482" s="142"/>
    </row>
    <row r="483">
      <c r="F483" s="142"/>
      <c r="L483" s="142"/>
      <c r="R483" s="142"/>
      <c r="X483" s="142"/>
      <c r="AD483" s="142"/>
      <c r="AJ483" s="142"/>
      <c r="AP483" s="142"/>
      <c r="AV483" s="142"/>
      <c r="BB483" s="142"/>
      <c r="BH483" s="142"/>
      <c r="BN483" s="142"/>
      <c r="BT483" s="142"/>
      <c r="BZ483" s="142"/>
      <c r="CF483" s="142"/>
      <c r="CL483" s="142"/>
    </row>
    <row r="484">
      <c r="F484" s="142"/>
      <c r="L484" s="142"/>
      <c r="R484" s="142"/>
      <c r="X484" s="142"/>
      <c r="AD484" s="142"/>
      <c r="AJ484" s="142"/>
      <c r="AP484" s="142"/>
      <c r="AV484" s="142"/>
      <c r="BB484" s="142"/>
      <c r="BH484" s="142"/>
      <c r="BN484" s="142"/>
      <c r="BT484" s="142"/>
      <c r="BZ484" s="142"/>
      <c r="CF484" s="142"/>
      <c r="CL484" s="142"/>
    </row>
    <row r="485">
      <c r="F485" s="142"/>
      <c r="L485" s="142"/>
      <c r="R485" s="142"/>
      <c r="X485" s="142"/>
      <c r="AD485" s="142"/>
      <c r="AJ485" s="142"/>
      <c r="AP485" s="142"/>
      <c r="AV485" s="142"/>
      <c r="BB485" s="142"/>
      <c r="BH485" s="142"/>
      <c r="BN485" s="142"/>
      <c r="BT485" s="142"/>
      <c r="BZ485" s="142"/>
      <c r="CF485" s="142"/>
      <c r="CL485" s="142"/>
    </row>
    <row r="486">
      <c r="F486" s="142"/>
      <c r="L486" s="142"/>
      <c r="R486" s="142"/>
      <c r="X486" s="142"/>
      <c r="AD486" s="142"/>
      <c r="AJ486" s="142"/>
      <c r="AP486" s="142"/>
      <c r="AV486" s="142"/>
      <c r="BB486" s="142"/>
      <c r="BH486" s="142"/>
      <c r="BN486" s="142"/>
      <c r="BT486" s="142"/>
      <c r="BZ486" s="142"/>
      <c r="CF486" s="142"/>
      <c r="CL486" s="142"/>
    </row>
    <row r="487">
      <c r="F487" s="142"/>
      <c r="L487" s="142"/>
      <c r="R487" s="142"/>
      <c r="X487" s="142"/>
      <c r="AD487" s="142"/>
      <c r="AJ487" s="142"/>
      <c r="AP487" s="142"/>
      <c r="AV487" s="142"/>
      <c r="BB487" s="142"/>
      <c r="BH487" s="142"/>
      <c r="BN487" s="142"/>
      <c r="BT487" s="142"/>
      <c r="BZ487" s="142"/>
      <c r="CF487" s="142"/>
      <c r="CL487" s="142"/>
    </row>
    <row r="488">
      <c r="F488" s="142"/>
      <c r="L488" s="142"/>
      <c r="R488" s="142"/>
      <c r="X488" s="142"/>
      <c r="AD488" s="142"/>
      <c r="AJ488" s="142"/>
      <c r="AP488" s="142"/>
      <c r="AV488" s="142"/>
      <c r="BB488" s="142"/>
      <c r="BH488" s="142"/>
      <c r="BN488" s="142"/>
      <c r="BT488" s="142"/>
      <c r="BZ488" s="142"/>
      <c r="CF488" s="142"/>
      <c r="CL488" s="142"/>
    </row>
    <row r="489">
      <c r="F489" s="142"/>
      <c r="L489" s="142"/>
      <c r="R489" s="142"/>
      <c r="X489" s="142"/>
      <c r="AD489" s="142"/>
      <c r="AJ489" s="142"/>
      <c r="AP489" s="142"/>
      <c r="AV489" s="142"/>
      <c r="BB489" s="142"/>
      <c r="BH489" s="142"/>
      <c r="BN489" s="142"/>
      <c r="BT489" s="142"/>
      <c r="BZ489" s="142"/>
      <c r="CF489" s="142"/>
      <c r="CL489" s="142"/>
    </row>
    <row r="490">
      <c r="F490" s="142"/>
      <c r="L490" s="142"/>
      <c r="R490" s="142"/>
      <c r="X490" s="142"/>
      <c r="AD490" s="142"/>
      <c r="AJ490" s="142"/>
      <c r="AP490" s="142"/>
      <c r="AV490" s="142"/>
      <c r="BB490" s="142"/>
      <c r="BH490" s="142"/>
      <c r="BN490" s="142"/>
      <c r="BT490" s="142"/>
      <c r="BZ490" s="142"/>
      <c r="CF490" s="142"/>
      <c r="CL490" s="142"/>
    </row>
    <row r="491">
      <c r="F491" s="142"/>
      <c r="L491" s="142"/>
      <c r="R491" s="142"/>
      <c r="X491" s="142"/>
      <c r="AD491" s="142"/>
      <c r="AJ491" s="142"/>
      <c r="AP491" s="142"/>
      <c r="AV491" s="142"/>
      <c r="BB491" s="142"/>
      <c r="BH491" s="142"/>
      <c r="BN491" s="142"/>
      <c r="BT491" s="142"/>
      <c r="BZ491" s="142"/>
      <c r="CF491" s="142"/>
      <c r="CL491" s="142"/>
    </row>
    <row r="492">
      <c r="F492" s="142"/>
      <c r="L492" s="142"/>
      <c r="R492" s="142"/>
      <c r="X492" s="142"/>
      <c r="AD492" s="142"/>
      <c r="AJ492" s="142"/>
      <c r="AP492" s="142"/>
      <c r="AV492" s="142"/>
      <c r="BB492" s="142"/>
      <c r="BH492" s="142"/>
      <c r="BN492" s="142"/>
      <c r="BT492" s="142"/>
      <c r="BZ492" s="142"/>
      <c r="CF492" s="142"/>
      <c r="CL492" s="142"/>
    </row>
    <row r="493">
      <c r="F493" s="142"/>
      <c r="L493" s="142"/>
      <c r="R493" s="142"/>
      <c r="X493" s="142"/>
      <c r="AD493" s="142"/>
      <c r="AJ493" s="142"/>
      <c r="AP493" s="142"/>
      <c r="AV493" s="142"/>
      <c r="BB493" s="142"/>
      <c r="BH493" s="142"/>
      <c r="BN493" s="142"/>
      <c r="BT493" s="142"/>
      <c r="BZ493" s="142"/>
      <c r="CF493" s="142"/>
      <c r="CL493" s="142"/>
    </row>
    <row r="494">
      <c r="F494" s="142"/>
      <c r="L494" s="142"/>
      <c r="R494" s="142"/>
      <c r="X494" s="142"/>
      <c r="AD494" s="142"/>
      <c r="AJ494" s="142"/>
      <c r="AP494" s="142"/>
      <c r="AV494" s="142"/>
      <c r="BB494" s="142"/>
      <c r="BH494" s="142"/>
      <c r="BN494" s="142"/>
      <c r="BT494" s="142"/>
      <c r="BZ494" s="142"/>
      <c r="CF494" s="142"/>
      <c r="CL494" s="142"/>
    </row>
    <row r="495">
      <c r="F495" s="142"/>
      <c r="L495" s="142"/>
      <c r="R495" s="142"/>
      <c r="X495" s="142"/>
      <c r="AD495" s="142"/>
      <c r="AJ495" s="142"/>
      <c r="AP495" s="142"/>
      <c r="AV495" s="142"/>
      <c r="BB495" s="142"/>
      <c r="BH495" s="142"/>
      <c r="BN495" s="142"/>
      <c r="BT495" s="142"/>
      <c r="BZ495" s="142"/>
      <c r="CF495" s="142"/>
      <c r="CL495" s="142"/>
    </row>
    <row r="496">
      <c r="F496" s="142"/>
      <c r="L496" s="142"/>
      <c r="R496" s="142"/>
      <c r="X496" s="142"/>
      <c r="AD496" s="142"/>
      <c r="AJ496" s="142"/>
      <c r="AP496" s="142"/>
      <c r="AV496" s="142"/>
      <c r="BB496" s="142"/>
      <c r="BH496" s="142"/>
      <c r="BN496" s="142"/>
      <c r="BT496" s="142"/>
      <c r="BZ496" s="142"/>
      <c r="CF496" s="142"/>
      <c r="CL496" s="142"/>
    </row>
    <row r="497">
      <c r="F497" s="142"/>
      <c r="L497" s="142"/>
      <c r="R497" s="142"/>
      <c r="X497" s="142"/>
      <c r="AD497" s="142"/>
      <c r="AJ497" s="142"/>
      <c r="AP497" s="142"/>
      <c r="AV497" s="142"/>
      <c r="BB497" s="142"/>
      <c r="BH497" s="142"/>
      <c r="BN497" s="142"/>
      <c r="BT497" s="142"/>
      <c r="BZ497" s="142"/>
      <c r="CF497" s="142"/>
      <c r="CL497" s="142"/>
    </row>
    <row r="498">
      <c r="F498" s="142"/>
      <c r="L498" s="142"/>
      <c r="R498" s="142"/>
      <c r="X498" s="142"/>
      <c r="AD498" s="142"/>
      <c r="AJ498" s="142"/>
      <c r="AP498" s="142"/>
      <c r="AV498" s="142"/>
      <c r="BB498" s="142"/>
      <c r="BH498" s="142"/>
      <c r="BN498" s="142"/>
      <c r="BT498" s="142"/>
      <c r="BZ498" s="142"/>
      <c r="CF498" s="142"/>
      <c r="CL498" s="142"/>
    </row>
    <row r="499">
      <c r="F499" s="142"/>
      <c r="L499" s="142"/>
      <c r="R499" s="142"/>
      <c r="X499" s="142"/>
      <c r="AD499" s="142"/>
      <c r="AJ499" s="142"/>
      <c r="AP499" s="142"/>
      <c r="AV499" s="142"/>
      <c r="BB499" s="142"/>
      <c r="BH499" s="142"/>
      <c r="BN499" s="142"/>
      <c r="BT499" s="142"/>
      <c r="BZ499" s="142"/>
      <c r="CF499" s="142"/>
      <c r="CL499" s="142"/>
    </row>
    <row r="500">
      <c r="F500" s="142"/>
      <c r="L500" s="142"/>
      <c r="R500" s="142"/>
      <c r="X500" s="142"/>
      <c r="AD500" s="142"/>
      <c r="AJ500" s="142"/>
      <c r="AP500" s="142"/>
      <c r="AV500" s="142"/>
      <c r="BB500" s="142"/>
      <c r="BH500" s="142"/>
      <c r="BN500" s="142"/>
      <c r="BT500" s="142"/>
      <c r="BZ500" s="142"/>
      <c r="CF500" s="142"/>
      <c r="CL500" s="142"/>
    </row>
    <row r="501">
      <c r="F501" s="142"/>
      <c r="L501" s="142"/>
      <c r="R501" s="142"/>
      <c r="X501" s="142"/>
      <c r="AD501" s="142"/>
      <c r="AJ501" s="142"/>
      <c r="AP501" s="142"/>
      <c r="AV501" s="142"/>
      <c r="BB501" s="142"/>
      <c r="BH501" s="142"/>
      <c r="BN501" s="142"/>
      <c r="BT501" s="142"/>
      <c r="BZ501" s="142"/>
      <c r="CF501" s="142"/>
      <c r="CL501" s="142"/>
    </row>
    <row r="502">
      <c r="F502" s="142"/>
      <c r="L502" s="142"/>
      <c r="R502" s="142"/>
      <c r="X502" s="142"/>
      <c r="AD502" s="142"/>
      <c r="AJ502" s="142"/>
      <c r="AP502" s="142"/>
      <c r="AV502" s="142"/>
      <c r="BB502" s="142"/>
      <c r="BH502" s="142"/>
      <c r="BN502" s="142"/>
      <c r="BT502" s="142"/>
      <c r="BZ502" s="142"/>
      <c r="CF502" s="142"/>
      <c r="CL502" s="142"/>
    </row>
    <row r="503">
      <c r="F503" s="142"/>
      <c r="L503" s="142"/>
      <c r="R503" s="142"/>
      <c r="X503" s="142"/>
      <c r="AD503" s="142"/>
      <c r="AJ503" s="142"/>
      <c r="AP503" s="142"/>
      <c r="AV503" s="142"/>
      <c r="BB503" s="142"/>
      <c r="BH503" s="142"/>
      <c r="BN503" s="142"/>
      <c r="BT503" s="142"/>
      <c r="BZ503" s="142"/>
      <c r="CF503" s="142"/>
      <c r="CL503" s="142"/>
    </row>
    <row r="504">
      <c r="F504" s="142"/>
      <c r="L504" s="142"/>
      <c r="R504" s="142"/>
      <c r="X504" s="142"/>
      <c r="AD504" s="142"/>
      <c r="AJ504" s="142"/>
      <c r="AP504" s="142"/>
      <c r="AV504" s="142"/>
      <c r="BB504" s="142"/>
      <c r="BH504" s="142"/>
      <c r="BN504" s="142"/>
      <c r="BT504" s="142"/>
      <c r="BZ504" s="142"/>
      <c r="CF504" s="142"/>
      <c r="CL504" s="142"/>
    </row>
    <row r="505">
      <c r="F505" s="142"/>
      <c r="L505" s="142"/>
      <c r="R505" s="142"/>
      <c r="X505" s="142"/>
      <c r="AD505" s="142"/>
      <c r="AJ505" s="142"/>
      <c r="AP505" s="142"/>
      <c r="AV505" s="142"/>
      <c r="BB505" s="142"/>
      <c r="BH505" s="142"/>
      <c r="BN505" s="142"/>
      <c r="BT505" s="142"/>
      <c r="BZ505" s="142"/>
      <c r="CF505" s="142"/>
      <c r="CL505" s="142"/>
    </row>
    <row r="506">
      <c r="F506" s="142"/>
      <c r="L506" s="142"/>
      <c r="R506" s="142"/>
      <c r="X506" s="142"/>
      <c r="AD506" s="142"/>
      <c r="AJ506" s="142"/>
      <c r="AP506" s="142"/>
      <c r="AV506" s="142"/>
      <c r="BB506" s="142"/>
      <c r="BH506" s="142"/>
      <c r="BN506" s="142"/>
      <c r="BT506" s="142"/>
      <c r="BZ506" s="142"/>
      <c r="CF506" s="142"/>
      <c r="CL506" s="142"/>
    </row>
    <row r="507">
      <c r="F507" s="142"/>
      <c r="L507" s="142"/>
      <c r="R507" s="142"/>
      <c r="X507" s="142"/>
      <c r="AD507" s="142"/>
      <c r="AJ507" s="142"/>
      <c r="AP507" s="142"/>
      <c r="AV507" s="142"/>
      <c r="BB507" s="142"/>
      <c r="BH507" s="142"/>
      <c r="BN507" s="142"/>
      <c r="BT507" s="142"/>
      <c r="BZ507" s="142"/>
      <c r="CF507" s="142"/>
      <c r="CL507" s="142"/>
    </row>
    <row r="508">
      <c r="F508" s="142"/>
      <c r="L508" s="142"/>
      <c r="R508" s="142"/>
      <c r="X508" s="142"/>
      <c r="AD508" s="142"/>
      <c r="AJ508" s="142"/>
      <c r="AP508" s="142"/>
      <c r="AV508" s="142"/>
      <c r="BB508" s="142"/>
      <c r="BH508" s="142"/>
      <c r="BN508" s="142"/>
      <c r="BT508" s="142"/>
      <c r="BZ508" s="142"/>
      <c r="CF508" s="142"/>
      <c r="CL508" s="142"/>
    </row>
    <row r="509">
      <c r="F509" s="142"/>
      <c r="L509" s="142"/>
      <c r="R509" s="142"/>
      <c r="X509" s="142"/>
      <c r="AD509" s="142"/>
      <c r="AJ509" s="142"/>
      <c r="AP509" s="142"/>
      <c r="AV509" s="142"/>
      <c r="BB509" s="142"/>
      <c r="BH509" s="142"/>
      <c r="BN509" s="142"/>
      <c r="BT509" s="142"/>
      <c r="BZ509" s="142"/>
      <c r="CF509" s="142"/>
      <c r="CL509" s="142"/>
    </row>
    <row r="510">
      <c r="F510" s="142"/>
      <c r="L510" s="142"/>
      <c r="R510" s="142"/>
      <c r="X510" s="142"/>
      <c r="AD510" s="142"/>
      <c r="AJ510" s="142"/>
      <c r="AP510" s="142"/>
      <c r="AV510" s="142"/>
      <c r="BB510" s="142"/>
      <c r="BH510" s="142"/>
      <c r="BN510" s="142"/>
      <c r="BT510" s="142"/>
      <c r="BZ510" s="142"/>
      <c r="CF510" s="142"/>
      <c r="CL510" s="142"/>
    </row>
    <row r="511">
      <c r="F511" s="142"/>
      <c r="L511" s="142"/>
      <c r="R511" s="142"/>
      <c r="X511" s="142"/>
      <c r="AD511" s="142"/>
      <c r="AJ511" s="142"/>
      <c r="AP511" s="142"/>
      <c r="AV511" s="142"/>
      <c r="BB511" s="142"/>
      <c r="BH511" s="142"/>
      <c r="BN511" s="142"/>
      <c r="BT511" s="142"/>
      <c r="BZ511" s="142"/>
      <c r="CF511" s="142"/>
      <c r="CL511" s="142"/>
    </row>
    <row r="512">
      <c r="F512" s="142"/>
      <c r="L512" s="142"/>
      <c r="R512" s="142"/>
      <c r="X512" s="142"/>
      <c r="AD512" s="142"/>
      <c r="AJ512" s="142"/>
      <c r="AP512" s="142"/>
      <c r="AV512" s="142"/>
      <c r="BB512" s="142"/>
      <c r="BH512" s="142"/>
      <c r="BN512" s="142"/>
      <c r="BT512" s="142"/>
      <c r="BZ512" s="142"/>
      <c r="CF512" s="142"/>
      <c r="CL512" s="142"/>
    </row>
    <row r="513">
      <c r="F513" s="142"/>
      <c r="L513" s="142"/>
      <c r="R513" s="142"/>
      <c r="X513" s="142"/>
      <c r="AD513" s="142"/>
      <c r="AJ513" s="142"/>
      <c r="AP513" s="142"/>
      <c r="AV513" s="142"/>
      <c r="BB513" s="142"/>
      <c r="BH513" s="142"/>
      <c r="BN513" s="142"/>
      <c r="BT513" s="142"/>
      <c r="BZ513" s="142"/>
      <c r="CF513" s="142"/>
      <c r="CL513" s="142"/>
    </row>
    <row r="514">
      <c r="F514" s="142"/>
      <c r="L514" s="142"/>
      <c r="R514" s="142"/>
      <c r="X514" s="142"/>
      <c r="AD514" s="142"/>
      <c r="AJ514" s="142"/>
      <c r="AP514" s="142"/>
      <c r="AV514" s="142"/>
      <c r="BB514" s="142"/>
      <c r="BH514" s="142"/>
      <c r="BN514" s="142"/>
      <c r="BT514" s="142"/>
      <c r="BZ514" s="142"/>
      <c r="CF514" s="142"/>
      <c r="CL514" s="142"/>
    </row>
    <row r="515">
      <c r="F515" s="142"/>
      <c r="L515" s="142"/>
      <c r="R515" s="142"/>
      <c r="X515" s="142"/>
      <c r="AD515" s="142"/>
      <c r="AJ515" s="142"/>
      <c r="AP515" s="142"/>
      <c r="AV515" s="142"/>
      <c r="BB515" s="142"/>
      <c r="BH515" s="142"/>
      <c r="BN515" s="142"/>
      <c r="BT515" s="142"/>
      <c r="BZ515" s="142"/>
      <c r="CF515" s="142"/>
      <c r="CL515" s="142"/>
    </row>
    <row r="516">
      <c r="F516" s="142"/>
      <c r="L516" s="142"/>
      <c r="R516" s="142"/>
      <c r="X516" s="142"/>
      <c r="AD516" s="142"/>
      <c r="AJ516" s="142"/>
      <c r="AP516" s="142"/>
      <c r="AV516" s="142"/>
      <c r="BB516" s="142"/>
      <c r="BH516" s="142"/>
      <c r="BN516" s="142"/>
      <c r="BT516" s="142"/>
      <c r="BZ516" s="142"/>
      <c r="CF516" s="142"/>
      <c r="CL516" s="142"/>
    </row>
    <row r="517">
      <c r="F517" s="142"/>
      <c r="L517" s="142"/>
      <c r="R517" s="142"/>
      <c r="X517" s="142"/>
      <c r="AD517" s="142"/>
      <c r="AJ517" s="142"/>
      <c r="AP517" s="142"/>
      <c r="AV517" s="142"/>
      <c r="BB517" s="142"/>
      <c r="BH517" s="142"/>
      <c r="BN517" s="142"/>
      <c r="BT517" s="142"/>
      <c r="BZ517" s="142"/>
      <c r="CF517" s="142"/>
      <c r="CL517" s="142"/>
    </row>
    <row r="518">
      <c r="F518" s="142"/>
      <c r="L518" s="142"/>
      <c r="R518" s="142"/>
      <c r="X518" s="142"/>
      <c r="AD518" s="142"/>
      <c r="AJ518" s="142"/>
      <c r="AP518" s="142"/>
      <c r="AV518" s="142"/>
      <c r="BB518" s="142"/>
      <c r="BH518" s="142"/>
      <c r="BN518" s="142"/>
      <c r="BT518" s="142"/>
      <c r="BZ518" s="142"/>
      <c r="CF518" s="142"/>
      <c r="CL518" s="142"/>
    </row>
    <row r="519">
      <c r="F519" s="142"/>
      <c r="L519" s="142"/>
      <c r="R519" s="142"/>
      <c r="X519" s="142"/>
      <c r="AD519" s="142"/>
      <c r="AJ519" s="142"/>
      <c r="AP519" s="142"/>
      <c r="AV519" s="142"/>
      <c r="BB519" s="142"/>
      <c r="BH519" s="142"/>
      <c r="BN519" s="142"/>
      <c r="BT519" s="142"/>
      <c r="BZ519" s="142"/>
      <c r="CF519" s="142"/>
      <c r="CL519" s="142"/>
    </row>
    <row r="520">
      <c r="F520" s="142"/>
      <c r="L520" s="142"/>
      <c r="R520" s="142"/>
      <c r="X520" s="142"/>
      <c r="AD520" s="142"/>
      <c r="AJ520" s="142"/>
      <c r="AP520" s="142"/>
      <c r="AV520" s="142"/>
      <c r="BB520" s="142"/>
      <c r="BH520" s="142"/>
      <c r="BN520" s="142"/>
      <c r="BT520" s="142"/>
      <c r="BZ520" s="142"/>
      <c r="CF520" s="142"/>
      <c r="CL520" s="142"/>
    </row>
    <row r="521">
      <c r="F521" s="142"/>
      <c r="L521" s="142"/>
      <c r="R521" s="142"/>
      <c r="X521" s="142"/>
      <c r="AD521" s="142"/>
      <c r="AJ521" s="142"/>
      <c r="AP521" s="142"/>
      <c r="AV521" s="142"/>
      <c r="BB521" s="142"/>
      <c r="BH521" s="142"/>
      <c r="BN521" s="142"/>
      <c r="BT521" s="142"/>
      <c r="BZ521" s="142"/>
      <c r="CF521" s="142"/>
      <c r="CL521" s="142"/>
    </row>
    <row r="522">
      <c r="F522" s="142"/>
      <c r="L522" s="142"/>
      <c r="R522" s="142"/>
      <c r="X522" s="142"/>
      <c r="AD522" s="142"/>
      <c r="AJ522" s="142"/>
      <c r="AP522" s="142"/>
      <c r="AV522" s="142"/>
      <c r="BB522" s="142"/>
      <c r="BH522" s="142"/>
      <c r="BN522" s="142"/>
      <c r="BT522" s="142"/>
      <c r="BZ522" s="142"/>
      <c r="CF522" s="142"/>
      <c r="CL522" s="142"/>
    </row>
    <row r="523">
      <c r="F523" s="142"/>
      <c r="L523" s="142"/>
      <c r="R523" s="142"/>
      <c r="X523" s="142"/>
      <c r="AD523" s="142"/>
      <c r="AJ523" s="142"/>
      <c r="AP523" s="142"/>
      <c r="AV523" s="142"/>
      <c r="BB523" s="142"/>
      <c r="BH523" s="142"/>
      <c r="BN523" s="142"/>
      <c r="BT523" s="142"/>
      <c r="BZ523" s="142"/>
      <c r="CF523" s="142"/>
      <c r="CL523" s="142"/>
    </row>
    <row r="524">
      <c r="F524" s="142"/>
      <c r="L524" s="142"/>
      <c r="R524" s="142"/>
      <c r="X524" s="142"/>
      <c r="AD524" s="142"/>
      <c r="AJ524" s="142"/>
      <c r="AP524" s="142"/>
      <c r="AV524" s="142"/>
      <c r="BB524" s="142"/>
      <c r="BH524" s="142"/>
      <c r="BN524" s="142"/>
      <c r="BT524" s="142"/>
      <c r="BZ524" s="142"/>
      <c r="CF524" s="142"/>
      <c r="CL524" s="142"/>
    </row>
    <row r="525">
      <c r="F525" s="142"/>
      <c r="L525" s="142"/>
      <c r="R525" s="142"/>
      <c r="X525" s="142"/>
      <c r="AD525" s="142"/>
      <c r="AJ525" s="142"/>
      <c r="AP525" s="142"/>
      <c r="AV525" s="142"/>
      <c r="BB525" s="142"/>
      <c r="BH525" s="142"/>
      <c r="BN525" s="142"/>
      <c r="BT525" s="142"/>
      <c r="BZ525" s="142"/>
      <c r="CF525" s="142"/>
      <c r="CL525" s="142"/>
    </row>
    <row r="526">
      <c r="F526" s="142"/>
      <c r="L526" s="142"/>
      <c r="R526" s="142"/>
      <c r="X526" s="142"/>
      <c r="AD526" s="142"/>
      <c r="AJ526" s="142"/>
      <c r="AP526" s="142"/>
      <c r="AV526" s="142"/>
      <c r="BB526" s="142"/>
      <c r="BH526" s="142"/>
      <c r="BN526" s="142"/>
      <c r="BT526" s="142"/>
      <c r="BZ526" s="142"/>
      <c r="CF526" s="142"/>
      <c r="CL526" s="142"/>
    </row>
    <row r="527">
      <c r="F527" s="142"/>
      <c r="L527" s="142"/>
      <c r="R527" s="142"/>
      <c r="X527" s="142"/>
      <c r="AD527" s="142"/>
      <c r="AJ527" s="142"/>
      <c r="AP527" s="142"/>
      <c r="AV527" s="142"/>
      <c r="BB527" s="142"/>
      <c r="BH527" s="142"/>
      <c r="BN527" s="142"/>
      <c r="BT527" s="142"/>
      <c r="BZ527" s="142"/>
      <c r="CF527" s="142"/>
      <c r="CL527" s="142"/>
    </row>
    <row r="528">
      <c r="F528" s="142"/>
      <c r="L528" s="142"/>
      <c r="R528" s="142"/>
      <c r="X528" s="142"/>
      <c r="AD528" s="142"/>
      <c r="AJ528" s="142"/>
      <c r="AP528" s="142"/>
      <c r="AV528" s="142"/>
      <c r="BB528" s="142"/>
      <c r="BH528" s="142"/>
      <c r="BN528" s="142"/>
      <c r="BT528" s="142"/>
      <c r="BZ528" s="142"/>
      <c r="CF528" s="142"/>
      <c r="CL528" s="142"/>
    </row>
    <row r="529">
      <c r="F529" s="142"/>
      <c r="L529" s="142"/>
      <c r="R529" s="142"/>
      <c r="X529" s="142"/>
      <c r="AD529" s="142"/>
      <c r="AJ529" s="142"/>
      <c r="AP529" s="142"/>
      <c r="AV529" s="142"/>
      <c r="BB529" s="142"/>
      <c r="BH529" s="142"/>
      <c r="BN529" s="142"/>
      <c r="BT529" s="142"/>
      <c r="BZ529" s="142"/>
      <c r="CF529" s="142"/>
      <c r="CL529" s="142"/>
    </row>
    <row r="530">
      <c r="F530" s="142"/>
      <c r="L530" s="142"/>
      <c r="R530" s="142"/>
      <c r="X530" s="142"/>
      <c r="AD530" s="142"/>
      <c r="AJ530" s="142"/>
      <c r="AP530" s="142"/>
      <c r="AV530" s="142"/>
      <c r="BB530" s="142"/>
      <c r="BH530" s="142"/>
      <c r="BN530" s="142"/>
      <c r="BT530" s="142"/>
      <c r="BZ530" s="142"/>
      <c r="CF530" s="142"/>
      <c r="CL530" s="142"/>
    </row>
    <row r="531">
      <c r="F531" s="142"/>
      <c r="L531" s="142"/>
      <c r="R531" s="142"/>
      <c r="X531" s="142"/>
      <c r="AD531" s="142"/>
      <c r="AJ531" s="142"/>
      <c r="AP531" s="142"/>
      <c r="AV531" s="142"/>
      <c r="BB531" s="142"/>
      <c r="BH531" s="142"/>
      <c r="BN531" s="142"/>
      <c r="BT531" s="142"/>
      <c r="BZ531" s="142"/>
      <c r="CF531" s="142"/>
      <c r="CL531" s="142"/>
    </row>
    <row r="532">
      <c r="F532" s="142"/>
      <c r="L532" s="142"/>
      <c r="R532" s="142"/>
      <c r="X532" s="142"/>
      <c r="AD532" s="142"/>
      <c r="AJ532" s="142"/>
      <c r="AP532" s="142"/>
      <c r="AV532" s="142"/>
      <c r="BB532" s="142"/>
      <c r="BH532" s="142"/>
      <c r="BN532" s="142"/>
      <c r="BT532" s="142"/>
      <c r="BZ532" s="142"/>
      <c r="CF532" s="142"/>
      <c r="CL532" s="142"/>
    </row>
    <row r="533">
      <c r="F533" s="142"/>
      <c r="L533" s="142"/>
      <c r="R533" s="142"/>
      <c r="X533" s="142"/>
      <c r="AD533" s="142"/>
      <c r="AJ533" s="142"/>
      <c r="AP533" s="142"/>
      <c r="AV533" s="142"/>
      <c r="BB533" s="142"/>
      <c r="BH533" s="142"/>
      <c r="BN533" s="142"/>
      <c r="BT533" s="142"/>
      <c r="BZ533" s="142"/>
      <c r="CF533" s="142"/>
      <c r="CL533" s="142"/>
    </row>
    <row r="534">
      <c r="F534" s="142"/>
      <c r="L534" s="142"/>
      <c r="R534" s="142"/>
      <c r="X534" s="142"/>
      <c r="AD534" s="142"/>
      <c r="AJ534" s="142"/>
      <c r="AP534" s="142"/>
      <c r="AV534" s="142"/>
      <c r="BB534" s="142"/>
      <c r="BH534" s="142"/>
      <c r="BN534" s="142"/>
      <c r="BT534" s="142"/>
      <c r="BZ534" s="142"/>
      <c r="CF534" s="142"/>
      <c r="CL534" s="142"/>
    </row>
    <row r="535">
      <c r="F535" s="142"/>
      <c r="L535" s="142"/>
      <c r="R535" s="142"/>
      <c r="X535" s="142"/>
      <c r="AD535" s="142"/>
      <c r="AJ535" s="142"/>
      <c r="AP535" s="142"/>
      <c r="AV535" s="142"/>
      <c r="BB535" s="142"/>
      <c r="BH535" s="142"/>
      <c r="BN535" s="142"/>
      <c r="BT535" s="142"/>
      <c r="BZ535" s="142"/>
      <c r="CF535" s="142"/>
      <c r="CL535" s="142"/>
    </row>
    <row r="536">
      <c r="F536" s="142"/>
      <c r="L536" s="142"/>
      <c r="R536" s="142"/>
      <c r="X536" s="142"/>
      <c r="AD536" s="142"/>
      <c r="AJ536" s="142"/>
      <c r="AP536" s="142"/>
      <c r="AV536" s="142"/>
      <c r="BB536" s="142"/>
      <c r="BH536" s="142"/>
      <c r="BN536" s="142"/>
      <c r="BT536" s="142"/>
      <c r="BZ536" s="142"/>
      <c r="CF536" s="142"/>
      <c r="CL536" s="142"/>
    </row>
    <row r="537">
      <c r="F537" s="142"/>
      <c r="L537" s="142"/>
      <c r="R537" s="142"/>
      <c r="X537" s="142"/>
      <c r="AD537" s="142"/>
      <c r="AJ537" s="142"/>
      <c r="AP537" s="142"/>
      <c r="AV537" s="142"/>
      <c r="BB537" s="142"/>
      <c r="BH537" s="142"/>
      <c r="BN537" s="142"/>
      <c r="BT537" s="142"/>
      <c r="BZ537" s="142"/>
      <c r="CF537" s="142"/>
      <c r="CL537" s="142"/>
    </row>
    <row r="538">
      <c r="F538" s="142"/>
      <c r="L538" s="142"/>
      <c r="R538" s="142"/>
      <c r="X538" s="142"/>
      <c r="AD538" s="142"/>
      <c r="AJ538" s="142"/>
      <c r="AP538" s="142"/>
      <c r="AV538" s="142"/>
      <c r="BB538" s="142"/>
      <c r="BH538" s="142"/>
      <c r="BN538" s="142"/>
      <c r="BT538" s="142"/>
      <c r="BZ538" s="142"/>
      <c r="CF538" s="142"/>
      <c r="CL538" s="142"/>
    </row>
    <row r="539">
      <c r="F539" s="142"/>
      <c r="L539" s="142"/>
      <c r="R539" s="142"/>
      <c r="X539" s="142"/>
      <c r="AD539" s="142"/>
      <c r="AJ539" s="142"/>
      <c r="AP539" s="142"/>
      <c r="AV539" s="142"/>
      <c r="BB539" s="142"/>
      <c r="BH539" s="142"/>
      <c r="BN539" s="142"/>
      <c r="BT539" s="142"/>
      <c r="BZ539" s="142"/>
      <c r="CF539" s="142"/>
      <c r="CL539" s="142"/>
    </row>
    <row r="540">
      <c r="F540" s="142"/>
      <c r="L540" s="142"/>
      <c r="R540" s="142"/>
      <c r="X540" s="142"/>
      <c r="AD540" s="142"/>
      <c r="AJ540" s="142"/>
      <c r="AP540" s="142"/>
      <c r="AV540" s="142"/>
      <c r="BB540" s="142"/>
      <c r="BH540" s="142"/>
      <c r="BN540" s="142"/>
      <c r="BT540" s="142"/>
      <c r="BZ540" s="142"/>
      <c r="CF540" s="142"/>
      <c r="CL540" s="142"/>
    </row>
    <row r="541">
      <c r="F541" s="142"/>
      <c r="L541" s="142"/>
      <c r="R541" s="142"/>
      <c r="X541" s="142"/>
      <c r="AD541" s="142"/>
      <c r="AJ541" s="142"/>
      <c r="AP541" s="142"/>
      <c r="AV541" s="142"/>
      <c r="BB541" s="142"/>
      <c r="BH541" s="142"/>
      <c r="BN541" s="142"/>
      <c r="BT541" s="142"/>
      <c r="BZ541" s="142"/>
      <c r="CF541" s="142"/>
      <c r="CL541" s="142"/>
    </row>
    <row r="542">
      <c r="F542" s="142"/>
      <c r="L542" s="142"/>
      <c r="R542" s="142"/>
      <c r="X542" s="142"/>
      <c r="AD542" s="142"/>
      <c r="AJ542" s="142"/>
      <c r="AP542" s="142"/>
      <c r="AV542" s="142"/>
      <c r="BB542" s="142"/>
      <c r="BH542" s="142"/>
      <c r="BN542" s="142"/>
      <c r="BT542" s="142"/>
      <c r="BZ542" s="142"/>
      <c r="CF542" s="142"/>
      <c r="CL542" s="142"/>
    </row>
    <row r="543">
      <c r="F543" s="142"/>
      <c r="L543" s="142"/>
      <c r="R543" s="142"/>
      <c r="X543" s="142"/>
      <c r="AD543" s="142"/>
      <c r="AJ543" s="142"/>
      <c r="AP543" s="142"/>
      <c r="AV543" s="142"/>
      <c r="BB543" s="142"/>
      <c r="BH543" s="142"/>
      <c r="BN543" s="142"/>
      <c r="BT543" s="142"/>
      <c r="BZ543" s="142"/>
      <c r="CF543" s="142"/>
      <c r="CL543" s="142"/>
    </row>
    <row r="544">
      <c r="F544" s="142"/>
      <c r="L544" s="142"/>
      <c r="R544" s="142"/>
      <c r="X544" s="142"/>
      <c r="AD544" s="142"/>
      <c r="AJ544" s="142"/>
      <c r="AP544" s="142"/>
      <c r="AV544" s="142"/>
      <c r="BB544" s="142"/>
      <c r="BH544" s="142"/>
      <c r="BN544" s="142"/>
      <c r="BT544" s="142"/>
      <c r="BZ544" s="142"/>
      <c r="CF544" s="142"/>
      <c r="CL544" s="142"/>
    </row>
    <row r="545">
      <c r="F545" s="142"/>
      <c r="L545" s="142"/>
      <c r="R545" s="142"/>
      <c r="X545" s="142"/>
      <c r="AD545" s="142"/>
      <c r="AJ545" s="142"/>
      <c r="AP545" s="142"/>
      <c r="AV545" s="142"/>
      <c r="BB545" s="142"/>
      <c r="BH545" s="142"/>
      <c r="BN545" s="142"/>
      <c r="BT545" s="142"/>
      <c r="BZ545" s="142"/>
      <c r="CF545" s="142"/>
      <c r="CL545" s="142"/>
    </row>
    <row r="546">
      <c r="F546" s="142"/>
      <c r="L546" s="142"/>
      <c r="R546" s="142"/>
      <c r="X546" s="142"/>
      <c r="AD546" s="142"/>
      <c r="AJ546" s="142"/>
      <c r="AP546" s="142"/>
      <c r="AV546" s="142"/>
      <c r="BB546" s="142"/>
      <c r="BH546" s="142"/>
      <c r="BN546" s="142"/>
      <c r="BT546" s="142"/>
      <c r="BZ546" s="142"/>
      <c r="CF546" s="142"/>
      <c r="CL546" s="142"/>
    </row>
    <row r="547">
      <c r="F547" s="142"/>
      <c r="L547" s="142"/>
      <c r="R547" s="142"/>
      <c r="X547" s="142"/>
      <c r="AD547" s="142"/>
      <c r="AJ547" s="142"/>
      <c r="AP547" s="142"/>
      <c r="AV547" s="142"/>
      <c r="BB547" s="142"/>
      <c r="BH547" s="142"/>
      <c r="BN547" s="142"/>
      <c r="BT547" s="142"/>
      <c r="BZ547" s="142"/>
      <c r="CF547" s="142"/>
      <c r="CL547" s="142"/>
    </row>
    <row r="548">
      <c r="F548" s="142"/>
      <c r="L548" s="142"/>
      <c r="R548" s="142"/>
      <c r="X548" s="142"/>
      <c r="AD548" s="142"/>
      <c r="AJ548" s="142"/>
      <c r="AP548" s="142"/>
      <c r="AV548" s="142"/>
      <c r="BB548" s="142"/>
      <c r="BH548" s="142"/>
      <c r="BN548" s="142"/>
      <c r="BT548" s="142"/>
      <c r="BZ548" s="142"/>
      <c r="CF548" s="142"/>
      <c r="CL548" s="142"/>
    </row>
    <row r="549">
      <c r="F549" s="142"/>
      <c r="L549" s="142"/>
      <c r="R549" s="142"/>
      <c r="X549" s="142"/>
      <c r="AD549" s="142"/>
      <c r="AJ549" s="142"/>
      <c r="AP549" s="142"/>
      <c r="AV549" s="142"/>
      <c r="BB549" s="142"/>
      <c r="BH549" s="142"/>
      <c r="BN549" s="142"/>
      <c r="BT549" s="142"/>
      <c r="BZ549" s="142"/>
      <c r="CF549" s="142"/>
      <c r="CL549" s="142"/>
    </row>
    <row r="550">
      <c r="F550" s="142"/>
      <c r="L550" s="142"/>
      <c r="R550" s="142"/>
      <c r="X550" s="142"/>
      <c r="AD550" s="142"/>
      <c r="AJ550" s="142"/>
      <c r="AP550" s="142"/>
      <c r="AV550" s="142"/>
      <c r="BB550" s="142"/>
      <c r="BH550" s="142"/>
      <c r="BN550" s="142"/>
      <c r="BT550" s="142"/>
      <c r="BZ550" s="142"/>
      <c r="CF550" s="142"/>
      <c r="CL550" s="142"/>
    </row>
    <row r="551">
      <c r="F551" s="142"/>
      <c r="L551" s="142"/>
      <c r="R551" s="142"/>
      <c r="X551" s="142"/>
      <c r="AD551" s="142"/>
      <c r="AJ551" s="142"/>
      <c r="AP551" s="142"/>
      <c r="AV551" s="142"/>
      <c r="BB551" s="142"/>
      <c r="BH551" s="142"/>
      <c r="BN551" s="142"/>
      <c r="BT551" s="142"/>
      <c r="BZ551" s="142"/>
      <c r="CF551" s="142"/>
      <c r="CL551" s="142"/>
    </row>
    <row r="552">
      <c r="F552" s="142"/>
      <c r="L552" s="142"/>
      <c r="R552" s="142"/>
      <c r="X552" s="142"/>
      <c r="AD552" s="142"/>
      <c r="AJ552" s="142"/>
      <c r="AP552" s="142"/>
      <c r="AV552" s="142"/>
      <c r="BB552" s="142"/>
      <c r="BH552" s="142"/>
      <c r="BN552" s="142"/>
      <c r="BT552" s="142"/>
      <c r="BZ552" s="142"/>
      <c r="CF552" s="142"/>
      <c r="CL552" s="142"/>
    </row>
    <row r="553">
      <c r="F553" s="142"/>
      <c r="L553" s="142"/>
      <c r="R553" s="142"/>
      <c r="X553" s="142"/>
      <c r="AD553" s="142"/>
      <c r="AJ553" s="142"/>
      <c r="AP553" s="142"/>
      <c r="AV553" s="142"/>
      <c r="BB553" s="142"/>
      <c r="BH553" s="142"/>
      <c r="BN553" s="142"/>
      <c r="BT553" s="142"/>
      <c r="BZ553" s="142"/>
      <c r="CF553" s="142"/>
      <c r="CL553" s="142"/>
    </row>
    <row r="554">
      <c r="F554" s="142"/>
      <c r="L554" s="142"/>
      <c r="R554" s="142"/>
      <c r="X554" s="142"/>
      <c r="AD554" s="142"/>
      <c r="AJ554" s="142"/>
      <c r="AP554" s="142"/>
      <c r="AV554" s="142"/>
      <c r="BB554" s="142"/>
      <c r="BH554" s="142"/>
      <c r="BN554" s="142"/>
      <c r="BT554" s="142"/>
      <c r="BZ554" s="142"/>
      <c r="CF554" s="142"/>
      <c r="CL554" s="142"/>
    </row>
    <row r="555">
      <c r="F555" s="142"/>
      <c r="L555" s="142"/>
      <c r="R555" s="142"/>
      <c r="X555" s="142"/>
      <c r="AD555" s="142"/>
      <c r="AJ555" s="142"/>
      <c r="AP555" s="142"/>
      <c r="AV555" s="142"/>
      <c r="BB555" s="142"/>
      <c r="BH555" s="142"/>
      <c r="BN555" s="142"/>
      <c r="BT555" s="142"/>
      <c r="BZ555" s="142"/>
      <c r="CF555" s="142"/>
      <c r="CL555" s="142"/>
    </row>
    <row r="556">
      <c r="F556" s="142"/>
      <c r="L556" s="142"/>
      <c r="R556" s="142"/>
      <c r="X556" s="142"/>
      <c r="AD556" s="142"/>
      <c r="AJ556" s="142"/>
      <c r="AP556" s="142"/>
      <c r="AV556" s="142"/>
      <c r="BB556" s="142"/>
      <c r="BH556" s="142"/>
      <c r="BN556" s="142"/>
      <c r="BT556" s="142"/>
      <c r="BZ556" s="142"/>
      <c r="CF556" s="142"/>
      <c r="CL556" s="142"/>
    </row>
    <row r="557">
      <c r="F557" s="142"/>
      <c r="L557" s="142"/>
      <c r="R557" s="142"/>
      <c r="X557" s="142"/>
      <c r="AD557" s="142"/>
      <c r="AJ557" s="142"/>
      <c r="AP557" s="142"/>
      <c r="AV557" s="142"/>
      <c r="BB557" s="142"/>
      <c r="BH557" s="142"/>
      <c r="BN557" s="142"/>
      <c r="BT557" s="142"/>
      <c r="BZ557" s="142"/>
      <c r="CF557" s="142"/>
      <c r="CL557" s="142"/>
    </row>
    <row r="558">
      <c r="F558" s="142"/>
      <c r="L558" s="142"/>
      <c r="R558" s="142"/>
      <c r="X558" s="142"/>
      <c r="AD558" s="142"/>
      <c r="AJ558" s="142"/>
      <c r="AP558" s="142"/>
      <c r="AV558" s="142"/>
      <c r="BB558" s="142"/>
      <c r="BH558" s="142"/>
      <c r="BN558" s="142"/>
      <c r="BT558" s="142"/>
      <c r="BZ558" s="142"/>
      <c r="CF558" s="142"/>
      <c r="CL558" s="142"/>
    </row>
    <row r="559">
      <c r="F559" s="142"/>
      <c r="L559" s="142"/>
      <c r="R559" s="142"/>
      <c r="X559" s="142"/>
      <c r="AD559" s="142"/>
      <c r="AJ559" s="142"/>
      <c r="AP559" s="142"/>
      <c r="AV559" s="142"/>
      <c r="BB559" s="142"/>
      <c r="BH559" s="142"/>
      <c r="BN559" s="142"/>
      <c r="BT559" s="142"/>
      <c r="BZ559" s="142"/>
      <c r="CF559" s="142"/>
      <c r="CL559" s="142"/>
    </row>
    <row r="560">
      <c r="F560" s="142"/>
      <c r="L560" s="142"/>
      <c r="R560" s="142"/>
      <c r="X560" s="142"/>
      <c r="AD560" s="142"/>
      <c r="AJ560" s="142"/>
      <c r="AP560" s="142"/>
      <c r="AV560" s="142"/>
      <c r="BB560" s="142"/>
      <c r="BH560" s="142"/>
      <c r="BN560" s="142"/>
      <c r="BT560" s="142"/>
      <c r="BZ560" s="142"/>
      <c r="CF560" s="142"/>
      <c r="CL560" s="142"/>
    </row>
    <row r="561">
      <c r="F561" s="142"/>
      <c r="L561" s="142"/>
      <c r="R561" s="142"/>
      <c r="X561" s="142"/>
      <c r="AD561" s="142"/>
      <c r="AJ561" s="142"/>
      <c r="AP561" s="142"/>
      <c r="AV561" s="142"/>
      <c r="BB561" s="142"/>
      <c r="BH561" s="142"/>
      <c r="BN561" s="142"/>
      <c r="BT561" s="142"/>
      <c r="BZ561" s="142"/>
      <c r="CF561" s="142"/>
      <c r="CL561" s="142"/>
    </row>
    <row r="562">
      <c r="F562" s="142"/>
      <c r="L562" s="142"/>
      <c r="R562" s="142"/>
      <c r="X562" s="142"/>
      <c r="AD562" s="142"/>
      <c r="AJ562" s="142"/>
      <c r="AP562" s="142"/>
      <c r="AV562" s="142"/>
      <c r="BB562" s="142"/>
      <c r="BH562" s="142"/>
      <c r="BN562" s="142"/>
      <c r="BT562" s="142"/>
      <c r="BZ562" s="142"/>
      <c r="CF562" s="142"/>
      <c r="CL562" s="142"/>
    </row>
    <row r="563">
      <c r="F563" s="142"/>
      <c r="L563" s="142"/>
      <c r="R563" s="142"/>
      <c r="X563" s="142"/>
      <c r="AD563" s="142"/>
      <c r="AJ563" s="142"/>
      <c r="AP563" s="142"/>
      <c r="AV563" s="142"/>
      <c r="BB563" s="142"/>
      <c r="BH563" s="142"/>
      <c r="BN563" s="142"/>
      <c r="BT563" s="142"/>
      <c r="BZ563" s="142"/>
      <c r="CF563" s="142"/>
      <c r="CL563" s="142"/>
    </row>
    <row r="564">
      <c r="F564" s="142"/>
      <c r="L564" s="142"/>
      <c r="R564" s="142"/>
      <c r="X564" s="142"/>
      <c r="AD564" s="142"/>
      <c r="AJ564" s="142"/>
      <c r="AP564" s="142"/>
      <c r="AV564" s="142"/>
      <c r="BB564" s="142"/>
      <c r="BH564" s="142"/>
      <c r="BN564" s="142"/>
      <c r="BT564" s="142"/>
      <c r="BZ564" s="142"/>
      <c r="CF564" s="142"/>
      <c r="CL564" s="142"/>
    </row>
    <row r="565">
      <c r="F565" s="142"/>
      <c r="L565" s="142"/>
      <c r="R565" s="142"/>
      <c r="X565" s="142"/>
      <c r="AD565" s="142"/>
      <c r="AJ565" s="142"/>
      <c r="AP565" s="142"/>
      <c r="AV565" s="142"/>
      <c r="BB565" s="142"/>
      <c r="BH565" s="142"/>
      <c r="BN565" s="142"/>
      <c r="BT565" s="142"/>
      <c r="BZ565" s="142"/>
      <c r="CF565" s="142"/>
      <c r="CL565" s="142"/>
    </row>
    <row r="566">
      <c r="F566" s="142"/>
      <c r="L566" s="142"/>
      <c r="R566" s="142"/>
      <c r="X566" s="142"/>
      <c r="AD566" s="142"/>
      <c r="AJ566" s="142"/>
      <c r="AP566" s="142"/>
      <c r="AV566" s="142"/>
      <c r="BB566" s="142"/>
      <c r="BH566" s="142"/>
      <c r="BN566" s="142"/>
      <c r="BT566" s="142"/>
      <c r="BZ566" s="142"/>
      <c r="CF566" s="142"/>
      <c r="CL566" s="142"/>
    </row>
    <row r="567">
      <c r="F567" s="142"/>
      <c r="L567" s="142"/>
      <c r="R567" s="142"/>
      <c r="X567" s="142"/>
      <c r="AD567" s="142"/>
      <c r="AJ567" s="142"/>
      <c r="AP567" s="142"/>
      <c r="AV567" s="142"/>
      <c r="BB567" s="142"/>
      <c r="BH567" s="142"/>
      <c r="BN567" s="142"/>
      <c r="BT567" s="142"/>
      <c r="BZ567" s="142"/>
      <c r="CF567" s="142"/>
      <c r="CL567" s="142"/>
    </row>
    <row r="568">
      <c r="F568" s="142"/>
      <c r="L568" s="142"/>
      <c r="R568" s="142"/>
      <c r="X568" s="142"/>
      <c r="AD568" s="142"/>
      <c r="AJ568" s="142"/>
      <c r="AP568" s="142"/>
      <c r="AV568" s="142"/>
      <c r="BB568" s="142"/>
      <c r="BH568" s="142"/>
      <c r="BN568" s="142"/>
      <c r="BT568" s="142"/>
      <c r="BZ568" s="142"/>
      <c r="CF568" s="142"/>
      <c r="CL568" s="142"/>
    </row>
    <row r="569">
      <c r="F569" s="142"/>
      <c r="L569" s="142"/>
      <c r="R569" s="142"/>
      <c r="X569" s="142"/>
      <c r="AD569" s="142"/>
      <c r="AJ569" s="142"/>
      <c r="AP569" s="142"/>
      <c r="AV569" s="142"/>
      <c r="BB569" s="142"/>
      <c r="BH569" s="142"/>
      <c r="BN569" s="142"/>
      <c r="BT569" s="142"/>
      <c r="BZ569" s="142"/>
      <c r="CF569" s="142"/>
      <c r="CL569" s="142"/>
    </row>
    <row r="570">
      <c r="F570" s="142"/>
      <c r="L570" s="142"/>
      <c r="R570" s="142"/>
      <c r="X570" s="142"/>
      <c r="AD570" s="142"/>
      <c r="AJ570" s="142"/>
      <c r="AP570" s="142"/>
      <c r="AV570" s="142"/>
      <c r="BB570" s="142"/>
      <c r="BH570" s="142"/>
      <c r="BN570" s="142"/>
      <c r="BT570" s="142"/>
      <c r="BZ570" s="142"/>
      <c r="CF570" s="142"/>
      <c r="CL570" s="142"/>
    </row>
    <row r="571">
      <c r="F571" s="142"/>
      <c r="L571" s="142"/>
      <c r="R571" s="142"/>
      <c r="X571" s="142"/>
      <c r="AD571" s="142"/>
      <c r="AJ571" s="142"/>
      <c r="AP571" s="142"/>
      <c r="AV571" s="142"/>
      <c r="BB571" s="142"/>
      <c r="BH571" s="142"/>
      <c r="BN571" s="142"/>
      <c r="BT571" s="142"/>
      <c r="BZ571" s="142"/>
      <c r="CF571" s="142"/>
      <c r="CL571" s="142"/>
    </row>
    <row r="572">
      <c r="F572" s="142"/>
      <c r="L572" s="142"/>
      <c r="R572" s="142"/>
      <c r="X572" s="142"/>
      <c r="AD572" s="142"/>
      <c r="AJ572" s="142"/>
      <c r="AP572" s="142"/>
      <c r="AV572" s="142"/>
      <c r="BB572" s="142"/>
      <c r="BH572" s="142"/>
      <c r="BN572" s="142"/>
      <c r="BT572" s="142"/>
      <c r="BZ572" s="142"/>
      <c r="CF572" s="142"/>
      <c r="CL572" s="142"/>
    </row>
    <row r="573">
      <c r="F573" s="142"/>
      <c r="L573" s="142"/>
      <c r="R573" s="142"/>
      <c r="X573" s="142"/>
      <c r="AD573" s="142"/>
      <c r="AJ573" s="142"/>
      <c r="AP573" s="142"/>
      <c r="AV573" s="142"/>
      <c r="BB573" s="142"/>
      <c r="BH573" s="142"/>
      <c r="BN573" s="142"/>
      <c r="BT573" s="142"/>
      <c r="BZ573" s="142"/>
      <c r="CF573" s="142"/>
      <c r="CL573" s="142"/>
    </row>
    <row r="574">
      <c r="F574" s="142"/>
      <c r="L574" s="142"/>
      <c r="R574" s="142"/>
      <c r="X574" s="142"/>
      <c r="AD574" s="142"/>
      <c r="AJ574" s="142"/>
      <c r="AP574" s="142"/>
      <c r="AV574" s="142"/>
      <c r="BB574" s="142"/>
      <c r="BH574" s="142"/>
      <c r="BN574" s="142"/>
      <c r="BT574" s="142"/>
      <c r="BZ574" s="142"/>
      <c r="CF574" s="142"/>
      <c r="CL574" s="142"/>
    </row>
    <row r="575">
      <c r="F575" s="142"/>
      <c r="L575" s="142"/>
      <c r="R575" s="142"/>
      <c r="X575" s="142"/>
      <c r="AD575" s="142"/>
      <c r="AJ575" s="142"/>
      <c r="AP575" s="142"/>
      <c r="AV575" s="142"/>
      <c r="BB575" s="142"/>
      <c r="BH575" s="142"/>
      <c r="BN575" s="142"/>
      <c r="BT575" s="142"/>
      <c r="BZ575" s="142"/>
      <c r="CF575" s="142"/>
      <c r="CL575" s="142"/>
    </row>
    <row r="576">
      <c r="F576" s="142"/>
      <c r="L576" s="142"/>
      <c r="R576" s="142"/>
      <c r="X576" s="142"/>
      <c r="AD576" s="142"/>
      <c r="AJ576" s="142"/>
      <c r="AP576" s="142"/>
      <c r="AV576" s="142"/>
      <c r="BB576" s="142"/>
      <c r="BH576" s="142"/>
      <c r="BN576" s="142"/>
      <c r="BT576" s="142"/>
      <c r="BZ576" s="142"/>
      <c r="CF576" s="142"/>
      <c r="CL576" s="142"/>
    </row>
    <row r="577">
      <c r="F577" s="142"/>
      <c r="L577" s="142"/>
      <c r="R577" s="142"/>
      <c r="X577" s="142"/>
      <c r="AD577" s="142"/>
      <c r="AJ577" s="142"/>
      <c r="AP577" s="142"/>
      <c r="AV577" s="142"/>
      <c r="BB577" s="142"/>
      <c r="BH577" s="142"/>
      <c r="BN577" s="142"/>
      <c r="BT577" s="142"/>
      <c r="BZ577" s="142"/>
      <c r="CF577" s="142"/>
      <c r="CL577" s="142"/>
    </row>
    <row r="578">
      <c r="F578" s="142"/>
      <c r="L578" s="142"/>
      <c r="R578" s="142"/>
      <c r="X578" s="142"/>
      <c r="AD578" s="142"/>
      <c r="AJ578" s="142"/>
      <c r="AP578" s="142"/>
      <c r="AV578" s="142"/>
      <c r="BB578" s="142"/>
      <c r="BH578" s="142"/>
      <c r="BN578" s="142"/>
      <c r="BT578" s="142"/>
      <c r="BZ578" s="142"/>
      <c r="CF578" s="142"/>
      <c r="CL578" s="142"/>
    </row>
    <row r="579">
      <c r="F579" s="142"/>
      <c r="L579" s="142"/>
      <c r="R579" s="142"/>
      <c r="X579" s="142"/>
      <c r="AD579" s="142"/>
      <c r="AJ579" s="142"/>
      <c r="AP579" s="142"/>
      <c r="AV579" s="142"/>
      <c r="BB579" s="142"/>
      <c r="BH579" s="142"/>
      <c r="BN579" s="142"/>
      <c r="BT579" s="142"/>
      <c r="BZ579" s="142"/>
      <c r="CF579" s="142"/>
      <c r="CL579" s="142"/>
    </row>
    <row r="580">
      <c r="F580" s="142"/>
      <c r="L580" s="142"/>
      <c r="R580" s="142"/>
      <c r="X580" s="142"/>
      <c r="AD580" s="142"/>
      <c r="AJ580" s="142"/>
      <c r="AP580" s="142"/>
      <c r="AV580" s="142"/>
      <c r="BB580" s="142"/>
      <c r="BH580" s="142"/>
      <c r="BN580" s="142"/>
      <c r="BT580" s="142"/>
      <c r="BZ580" s="142"/>
      <c r="CF580" s="142"/>
      <c r="CL580" s="142"/>
    </row>
    <row r="581">
      <c r="F581" s="142"/>
      <c r="L581" s="142"/>
      <c r="R581" s="142"/>
      <c r="X581" s="142"/>
      <c r="AD581" s="142"/>
      <c r="AJ581" s="142"/>
      <c r="AP581" s="142"/>
      <c r="AV581" s="142"/>
      <c r="BB581" s="142"/>
      <c r="BH581" s="142"/>
      <c r="BN581" s="142"/>
      <c r="BT581" s="142"/>
      <c r="BZ581" s="142"/>
      <c r="CF581" s="142"/>
      <c r="CL581" s="142"/>
    </row>
    <row r="582">
      <c r="F582" s="142"/>
      <c r="L582" s="142"/>
      <c r="R582" s="142"/>
      <c r="X582" s="142"/>
      <c r="AD582" s="142"/>
      <c r="AJ582" s="142"/>
      <c r="AP582" s="142"/>
      <c r="AV582" s="142"/>
      <c r="BB582" s="142"/>
      <c r="BH582" s="142"/>
      <c r="BN582" s="142"/>
      <c r="BT582" s="142"/>
      <c r="BZ582" s="142"/>
      <c r="CF582" s="142"/>
      <c r="CL582" s="142"/>
    </row>
    <row r="583">
      <c r="F583" s="142"/>
      <c r="L583" s="142"/>
      <c r="R583" s="142"/>
      <c r="X583" s="142"/>
      <c r="AD583" s="142"/>
      <c r="AJ583" s="142"/>
      <c r="AP583" s="142"/>
      <c r="AV583" s="142"/>
      <c r="BB583" s="142"/>
      <c r="BH583" s="142"/>
      <c r="BN583" s="142"/>
      <c r="BT583" s="142"/>
      <c r="BZ583" s="142"/>
      <c r="CF583" s="142"/>
      <c r="CL583" s="142"/>
    </row>
    <row r="584">
      <c r="F584" s="142"/>
      <c r="L584" s="142"/>
      <c r="R584" s="142"/>
      <c r="X584" s="142"/>
      <c r="AD584" s="142"/>
      <c r="AJ584" s="142"/>
      <c r="AP584" s="142"/>
      <c r="AV584" s="142"/>
      <c r="BB584" s="142"/>
      <c r="BH584" s="142"/>
      <c r="BN584" s="142"/>
      <c r="BT584" s="142"/>
      <c r="BZ584" s="142"/>
      <c r="CF584" s="142"/>
      <c r="CL584" s="142"/>
    </row>
    <row r="585">
      <c r="F585" s="142"/>
      <c r="L585" s="142"/>
      <c r="R585" s="142"/>
      <c r="X585" s="142"/>
      <c r="AD585" s="142"/>
      <c r="AJ585" s="142"/>
      <c r="AP585" s="142"/>
      <c r="AV585" s="142"/>
      <c r="BB585" s="142"/>
      <c r="BH585" s="142"/>
      <c r="BN585" s="142"/>
      <c r="BT585" s="142"/>
      <c r="BZ585" s="142"/>
      <c r="CF585" s="142"/>
      <c r="CL585" s="142"/>
    </row>
    <row r="586">
      <c r="F586" s="142"/>
      <c r="L586" s="142"/>
      <c r="R586" s="142"/>
      <c r="X586" s="142"/>
      <c r="AD586" s="142"/>
      <c r="AJ586" s="142"/>
      <c r="AP586" s="142"/>
      <c r="AV586" s="142"/>
      <c r="BB586" s="142"/>
      <c r="BH586" s="142"/>
      <c r="BN586" s="142"/>
      <c r="BT586" s="142"/>
      <c r="BZ586" s="142"/>
      <c r="CF586" s="142"/>
      <c r="CL586" s="142"/>
    </row>
    <row r="587">
      <c r="F587" s="142"/>
      <c r="L587" s="142"/>
      <c r="R587" s="142"/>
      <c r="X587" s="142"/>
      <c r="AD587" s="142"/>
      <c r="AJ587" s="142"/>
      <c r="AP587" s="142"/>
      <c r="AV587" s="142"/>
      <c r="BB587" s="142"/>
      <c r="BH587" s="142"/>
      <c r="BN587" s="142"/>
      <c r="BT587" s="142"/>
      <c r="BZ587" s="142"/>
      <c r="CF587" s="142"/>
      <c r="CL587" s="142"/>
    </row>
    <row r="588">
      <c r="F588" s="142"/>
      <c r="L588" s="142"/>
      <c r="R588" s="142"/>
      <c r="X588" s="142"/>
      <c r="AD588" s="142"/>
      <c r="AJ588" s="142"/>
      <c r="AP588" s="142"/>
      <c r="AV588" s="142"/>
      <c r="BB588" s="142"/>
      <c r="BH588" s="142"/>
      <c r="BN588" s="142"/>
      <c r="BT588" s="142"/>
      <c r="BZ588" s="142"/>
      <c r="CF588" s="142"/>
      <c r="CL588" s="142"/>
    </row>
    <row r="589">
      <c r="F589" s="142"/>
      <c r="L589" s="142"/>
      <c r="R589" s="142"/>
      <c r="X589" s="142"/>
      <c r="AD589" s="142"/>
      <c r="AJ589" s="142"/>
      <c r="AP589" s="142"/>
      <c r="AV589" s="142"/>
      <c r="BB589" s="142"/>
      <c r="BH589" s="142"/>
      <c r="BN589" s="142"/>
      <c r="BT589" s="142"/>
      <c r="BZ589" s="142"/>
      <c r="CF589" s="142"/>
      <c r="CL589" s="142"/>
    </row>
    <row r="590">
      <c r="F590" s="142"/>
      <c r="L590" s="142"/>
      <c r="R590" s="142"/>
      <c r="X590" s="142"/>
      <c r="AD590" s="142"/>
      <c r="AJ590" s="142"/>
      <c r="AP590" s="142"/>
      <c r="AV590" s="142"/>
      <c r="BB590" s="142"/>
      <c r="BH590" s="142"/>
      <c r="BN590" s="142"/>
      <c r="BT590" s="142"/>
      <c r="BZ590" s="142"/>
      <c r="CF590" s="142"/>
      <c r="CL590" s="142"/>
    </row>
    <row r="591">
      <c r="F591" s="142"/>
      <c r="L591" s="142"/>
      <c r="R591" s="142"/>
      <c r="X591" s="142"/>
      <c r="AD591" s="142"/>
      <c r="AJ591" s="142"/>
      <c r="AP591" s="142"/>
      <c r="AV591" s="142"/>
      <c r="BB591" s="142"/>
      <c r="BH591" s="142"/>
      <c r="BN591" s="142"/>
      <c r="BT591" s="142"/>
      <c r="BZ591" s="142"/>
      <c r="CF591" s="142"/>
      <c r="CL591" s="142"/>
    </row>
    <row r="592">
      <c r="F592" s="142"/>
      <c r="L592" s="142"/>
      <c r="R592" s="142"/>
      <c r="X592" s="142"/>
      <c r="AD592" s="142"/>
      <c r="AJ592" s="142"/>
      <c r="AP592" s="142"/>
      <c r="AV592" s="142"/>
      <c r="BB592" s="142"/>
      <c r="BH592" s="142"/>
      <c r="BN592" s="142"/>
      <c r="BT592" s="142"/>
      <c r="BZ592" s="142"/>
      <c r="CF592" s="142"/>
      <c r="CL592" s="142"/>
    </row>
    <row r="593">
      <c r="F593" s="142"/>
      <c r="L593" s="142"/>
      <c r="R593" s="142"/>
      <c r="X593" s="142"/>
      <c r="AD593" s="142"/>
      <c r="AJ593" s="142"/>
      <c r="AP593" s="142"/>
      <c r="AV593" s="142"/>
      <c r="BB593" s="142"/>
      <c r="BH593" s="142"/>
      <c r="BN593" s="142"/>
      <c r="BT593" s="142"/>
      <c r="BZ593" s="142"/>
      <c r="CF593" s="142"/>
      <c r="CL593" s="142"/>
    </row>
    <row r="594">
      <c r="F594" s="142"/>
      <c r="L594" s="142"/>
      <c r="R594" s="142"/>
      <c r="X594" s="142"/>
      <c r="AD594" s="142"/>
      <c r="AJ594" s="142"/>
      <c r="AP594" s="142"/>
      <c r="AV594" s="142"/>
      <c r="BB594" s="142"/>
      <c r="BH594" s="142"/>
      <c r="BN594" s="142"/>
      <c r="BT594" s="142"/>
      <c r="BZ594" s="142"/>
      <c r="CF594" s="142"/>
      <c r="CL594" s="142"/>
    </row>
    <row r="595">
      <c r="F595" s="142"/>
      <c r="L595" s="142"/>
      <c r="R595" s="142"/>
      <c r="X595" s="142"/>
      <c r="AD595" s="142"/>
      <c r="AJ595" s="142"/>
      <c r="AP595" s="142"/>
      <c r="AV595" s="142"/>
      <c r="BB595" s="142"/>
      <c r="BH595" s="142"/>
      <c r="BN595" s="142"/>
      <c r="BT595" s="142"/>
      <c r="BZ595" s="142"/>
      <c r="CF595" s="142"/>
      <c r="CL595" s="142"/>
    </row>
    <row r="596">
      <c r="F596" s="142"/>
      <c r="L596" s="142"/>
      <c r="R596" s="142"/>
      <c r="X596" s="142"/>
      <c r="AD596" s="142"/>
      <c r="AJ596" s="142"/>
      <c r="AP596" s="142"/>
      <c r="AV596" s="142"/>
      <c r="BB596" s="142"/>
      <c r="BH596" s="142"/>
      <c r="BN596" s="142"/>
      <c r="BT596" s="142"/>
      <c r="BZ596" s="142"/>
      <c r="CF596" s="142"/>
      <c r="CL596" s="142"/>
    </row>
    <row r="597">
      <c r="F597" s="142"/>
      <c r="L597" s="142"/>
      <c r="R597" s="142"/>
      <c r="X597" s="142"/>
      <c r="AD597" s="142"/>
      <c r="AJ597" s="142"/>
      <c r="AP597" s="142"/>
      <c r="AV597" s="142"/>
      <c r="BB597" s="142"/>
      <c r="BH597" s="142"/>
      <c r="BN597" s="142"/>
      <c r="BT597" s="142"/>
      <c r="BZ597" s="142"/>
      <c r="CF597" s="142"/>
      <c r="CL597" s="142"/>
    </row>
    <row r="598">
      <c r="F598" s="142"/>
      <c r="L598" s="142"/>
      <c r="R598" s="142"/>
      <c r="X598" s="142"/>
      <c r="AD598" s="142"/>
      <c r="AJ598" s="142"/>
      <c r="AP598" s="142"/>
      <c r="AV598" s="142"/>
      <c r="BB598" s="142"/>
      <c r="BH598" s="142"/>
      <c r="BN598" s="142"/>
      <c r="BT598" s="142"/>
      <c r="BZ598" s="142"/>
      <c r="CF598" s="142"/>
      <c r="CL598" s="142"/>
    </row>
    <row r="599">
      <c r="F599" s="142"/>
      <c r="L599" s="142"/>
      <c r="R599" s="142"/>
      <c r="X599" s="142"/>
      <c r="AD599" s="142"/>
      <c r="AJ599" s="142"/>
      <c r="AP599" s="142"/>
      <c r="AV599" s="142"/>
      <c r="BB599" s="142"/>
      <c r="BH599" s="142"/>
      <c r="BN599" s="142"/>
      <c r="BT599" s="142"/>
      <c r="BZ599" s="142"/>
      <c r="CF599" s="142"/>
      <c r="CL599" s="142"/>
    </row>
    <row r="600">
      <c r="F600" s="142"/>
      <c r="L600" s="142"/>
      <c r="R600" s="142"/>
      <c r="X600" s="142"/>
      <c r="AD600" s="142"/>
      <c r="AJ600" s="142"/>
      <c r="AP600" s="142"/>
      <c r="AV600" s="142"/>
      <c r="BB600" s="142"/>
      <c r="BH600" s="142"/>
      <c r="BN600" s="142"/>
      <c r="BT600" s="142"/>
      <c r="BZ600" s="142"/>
      <c r="CF600" s="142"/>
      <c r="CL600" s="142"/>
    </row>
    <row r="601">
      <c r="F601" s="142"/>
      <c r="L601" s="142"/>
      <c r="R601" s="142"/>
      <c r="X601" s="142"/>
      <c r="AD601" s="142"/>
      <c r="AJ601" s="142"/>
      <c r="AP601" s="142"/>
      <c r="AV601" s="142"/>
      <c r="BB601" s="142"/>
      <c r="BH601" s="142"/>
      <c r="BN601" s="142"/>
      <c r="BT601" s="142"/>
      <c r="BZ601" s="142"/>
      <c r="CF601" s="142"/>
      <c r="CL601" s="142"/>
    </row>
    <row r="602">
      <c r="F602" s="142"/>
      <c r="L602" s="142"/>
      <c r="R602" s="142"/>
      <c r="X602" s="142"/>
      <c r="AD602" s="142"/>
      <c r="AJ602" s="142"/>
      <c r="AP602" s="142"/>
      <c r="AV602" s="142"/>
      <c r="BB602" s="142"/>
      <c r="BH602" s="142"/>
      <c r="BN602" s="142"/>
      <c r="BT602" s="142"/>
      <c r="BZ602" s="142"/>
      <c r="CF602" s="142"/>
      <c r="CL602" s="142"/>
    </row>
    <row r="603">
      <c r="F603" s="142"/>
      <c r="L603" s="142"/>
      <c r="R603" s="142"/>
      <c r="X603" s="142"/>
      <c r="AD603" s="142"/>
      <c r="AJ603" s="142"/>
      <c r="AP603" s="142"/>
      <c r="AV603" s="142"/>
      <c r="BB603" s="142"/>
      <c r="BH603" s="142"/>
      <c r="BN603" s="142"/>
      <c r="BT603" s="142"/>
      <c r="BZ603" s="142"/>
      <c r="CF603" s="142"/>
      <c r="CL603" s="142"/>
    </row>
    <row r="604">
      <c r="F604" s="142"/>
      <c r="L604" s="142"/>
      <c r="R604" s="142"/>
      <c r="X604" s="142"/>
      <c r="AD604" s="142"/>
      <c r="AJ604" s="142"/>
      <c r="AP604" s="142"/>
      <c r="AV604" s="142"/>
      <c r="BB604" s="142"/>
      <c r="BH604" s="142"/>
      <c r="BN604" s="142"/>
      <c r="BT604" s="142"/>
      <c r="BZ604" s="142"/>
      <c r="CF604" s="142"/>
      <c r="CL604" s="142"/>
    </row>
    <row r="605">
      <c r="F605" s="142"/>
      <c r="L605" s="142"/>
      <c r="R605" s="142"/>
      <c r="X605" s="142"/>
      <c r="AD605" s="142"/>
      <c r="AJ605" s="142"/>
      <c r="AP605" s="142"/>
      <c r="AV605" s="142"/>
      <c r="BB605" s="142"/>
      <c r="BH605" s="142"/>
      <c r="BN605" s="142"/>
      <c r="BT605" s="142"/>
      <c r="BZ605" s="142"/>
      <c r="CF605" s="142"/>
      <c r="CL605" s="142"/>
    </row>
    <row r="606">
      <c r="F606" s="142"/>
      <c r="L606" s="142"/>
      <c r="R606" s="142"/>
      <c r="X606" s="142"/>
      <c r="AD606" s="142"/>
      <c r="AJ606" s="142"/>
      <c r="AP606" s="142"/>
      <c r="AV606" s="142"/>
      <c r="BB606" s="142"/>
      <c r="BH606" s="142"/>
      <c r="BN606" s="142"/>
      <c r="BT606" s="142"/>
      <c r="BZ606" s="142"/>
      <c r="CF606" s="142"/>
      <c r="CL606" s="142"/>
    </row>
    <row r="607">
      <c r="F607" s="142"/>
      <c r="L607" s="142"/>
      <c r="R607" s="142"/>
      <c r="X607" s="142"/>
      <c r="AD607" s="142"/>
      <c r="AJ607" s="142"/>
      <c r="AP607" s="142"/>
      <c r="AV607" s="142"/>
      <c r="BB607" s="142"/>
      <c r="BH607" s="142"/>
      <c r="BN607" s="142"/>
      <c r="BT607" s="142"/>
      <c r="BZ607" s="142"/>
      <c r="CF607" s="142"/>
      <c r="CL607" s="142"/>
    </row>
    <row r="608">
      <c r="F608" s="142"/>
      <c r="L608" s="142"/>
      <c r="R608" s="142"/>
      <c r="X608" s="142"/>
      <c r="AD608" s="142"/>
      <c r="AJ608" s="142"/>
      <c r="AP608" s="142"/>
      <c r="AV608" s="142"/>
      <c r="BB608" s="142"/>
      <c r="BH608" s="142"/>
      <c r="BN608" s="142"/>
      <c r="BT608" s="142"/>
      <c r="BZ608" s="142"/>
      <c r="CF608" s="142"/>
      <c r="CL608" s="142"/>
    </row>
    <row r="609">
      <c r="F609" s="142"/>
      <c r="L609" s="142"/>
      <c r="R609" s="142"/>
      <c r="X609" s="142"/>
      <c r="AD609" s="142"/>
      <c r="AJ609" s="142"/>
      <c r="AP609" s="142"/>
      <c r="AV609" s="142"/>
      <c r="BB609" s="142"/>
      <c r="BH609" s="142"/>
      <c r="BN609" s="142"/>
      <c r="BT609" s="142"/>
      <c r="BZ609" s="142"/>
      <c r="CF609" s="142"/>
      <c r="CL609" s="142"/>
    </row>
    <row r="610">
      <c r="F610" s="142"/>
      <c r="L610" s="142"/>
      <c r="R610" s="142"/>
      <c r="X610" s="142"/>
      <c r="AD610" s="142"/>
      <c r="AJ610" s="142"/>
      <c r="AP610" s="142"/>
      <c r="AV610" s="142"/>
      <c r="BB610" s="142"/>
      <c r="BH610" s="142"/>
      <c r="BN610" s="142"/>
      <c r="BT610" s="142"/>
      <c r="BZ610" s="142"/>
      <c r="CF610" s="142"/>
      <c r="CL610" s="142"/>
    </row>
    <row r="611">
      <c r="F611" s="142"/>
      <c r="L611" s="142"/>
      <c r="R611" s="142"/>
      <c r="X611" s="142"/>
      <c r="AD611" s="142"/>
      <c r="AJ611" s="142"/>
      <c r="AP611" s="142"/>
      <c r="AV611" s="142"/>
      <c r="BB611" s="142"/>
      <c r="BH611" s="142"/>
      <c r="BN611" s="142"/>
      <c r="BT611" s="142"/>
      <c r="BZ611" s="142"/>
      <c r="CF611" s="142"/>
      <c r="CL611" s="142"/>
    </row>
    <row r="612">
      <c r="F612" s="142"/>
      <c r="L612" s="142"/>
      <c r="R612" s="142"/>
      <c r="X612" s="142"/>
      <c r="AD612" s="142"/>
      <c r="AJ612" s="142"/>
      <c r="AP612" s="142"/>
      <c r="AV612" s="142"/>
      <c r="BB612" s="142"/>
      <c r="BH612" s="142"/>
      <c r="BN612" s="142"/>
      <c r="BT612" s="142"/>
      <c r="BZ612" s="142"/>
      <c r="CF612" s="142"/>
      <c r="CL612" s="142"/>
    </row>
    <row r="613">
      <c r="F613" s="142"/>
      <c r="L613" s="142"/>
      <c r="R613" s="142"/>
      <c r="X613" s="142"/>
      <c r="AD613" s="142"/>
      <c r="AJ613" s="142"/>
      <c r="AP613" s="142"/>
      <c r="AV613" s="142"/>
      <c r="BB613" s="142"/>
      <c r="BH613" s="142"/>
      <c r="BN613" s="142"/>
      <c r="BT613" s="142"/>
      <c r="BZ613" s="142"/>
      <c r="CF613" s="142"/>
      <c r="CL613" s="142"/>
    </row>
    <row r="614">
      <c r="F614" s="142"/>
      <c r="L614" s="142"/>
      <c r="R614" s="142"/>
      <c r="X614" s="142"/>
      <c r="AD614" s="142"/>
      <c r="AJ614" s="142"/>
      <c r="AP614" s="142"/>
      <c r="AV614" s="142"/>
      <c r="BB614" s="142"/>
      <c r="BH614" s="142"/>
      <c r="BN614" s="142"/>
      <c r="BT614" s="142"/>
      <c r="BZ614" s="142"/>
      <c r="CF614" s="142"/>
      <c r="CL614" s="142"/>
    </row>
    <row r="615">
      <c r="F615" s="142"/>
      <c r="L615" s="142"/>
      <c r="R615" s="142"/>
      <c r="X615" s="142"/>
      <c r="AD615" s="142"/>
      <c r="AJ615" s="142"/>
      <c r="AP615" s="142"/>
      <c r="AV615" s="142"/>
      <c r="BB615" s="142"/>
      <c r="BH615" s="142"/>
      <c r="BN615" s="142"/>
      <c r="BT615" s="142"/>
      <c r="BZ615" s="142"/>
      <c r="CF615" s="142"/>
      <c r="CL615" s="142"/>
    </row>
    <row r="616">
      <c r="F616" s="142"/>
      <c r="L616" s="142"/>
      <c r="R616" s="142"/>
      <c r="X616" s="142"/>
      <c r="AD616" s="142"/>
      <c r="AJ616" s="142"/>
      <c r="AP616" s="142"/>
      <c r="AV616" s="142"/>
      <c r="BB616" s="142"/>
      <c r="BH616" s="142"/>
      <c r="BN616" s="142"/>
      <c r="BT616" s="142"/>
      <c r="BZ616" s="142"/>
      <c r="CF616" s="142"/>
      <c r="CL616" s="142"/>
    </row>
    <row r="617">
      <c r="F617" s="142"/>
      <c r="L617" s="142"/>
      <c r="R617" s="142"/>
      <c r="X617" s="142"/>
      <c r="AD617" s="142"/>
      <c r="AJ617" s="142"/>
      <c r="AP617" s="142"/>
      <c r="AV617" s="142"/>
      <c r="BB617" s="142"/>
      <c r="BH617" s="142"/>
      <c r="BN617" s="142"/>
      <c r="BT617" s="142"/>
      <c r="BZ617" s="142"/>
      <c r="CF617" s="142"/>
      <c r="CL617" s="142"/>
    </row>
    <row r="618">
      <c r="F618" s="142"/>
      <c r="L618" s="142"/>
      <c r="R618" s="142"/>
      <c r="X618" s="142"/>
      <c r="AD618" s="142"/>
      <c r="AJ618" s="142"/>
      <c r="AP618" s="142"/>
      <c r="AV618" s="142"/>
      <c r="BB618" s="142"/>
      <c r="BH618" s="142"/>
      <c r="BN618" s="142"/>
      <c r="BT618" s="142"/>
      <c r="BZ618" s="142"/>
      <c r="CF618" s="142"/>
      <c r="CL618" s="142"/>
    </row>
    <row r="619">
      <c r="F619" s="142"/>
      <c r="L619" s="142"/>
      <c r="R619" s="142"/>
      <c r="X619" s="142"/>
      <c r="AD619" s="142"/>
      <c r="AJ619" s="142"/>
      <c r="AP619" s="142"/>
      <c r="AV619" s="142"/>
      <c r="BB619" s="142"/>
      <c r="BH619" s="142"/>
      <c r="BN619" s="142"/>
      <c r="BT619" s="142"/>
      <c r="BZ619" s="142"/>
      <c r="CF619" s="142"/>
      <c r="CL619" s="142"/>
    </row>
    <row r="620">
      <c r="F620" s="142"/>
      <c r="L620" s="142"/>
      <c r="R620" s="142"/>
      <c r="X620" s="142"/>
      <c r="AD620" s="142"/>
      <c r="AJ620" s="142"/>
      <c r="AP620" s="142"/>
      <c r="AV620" s="142"/>
      <c r="BB620" s="142"/>
      <c r="BH620" s="142"/>
      <c r="BN620" s="142"/>
      <c r="BT620" s="142"/>
      <c r="BZ620" s="142"/>
      <c r="CF620" s="142"/>
      <c r="CL620" s="142"/>
    </row>
    <row r="621">
      <c r="F621" s="142"/>
      <c r="L621" s="142"/>
      <c r="R621" s="142"/>
      <c r="X621" s="142"/>
      <c r="AD621" s="142"/>
      <c r="AJ621" s="142"/>
      <c r="AP621" s="142"/>
      <c r="AV621" s="142"/>
      <c r="BB621" s="142"/>
      <c r="BH621" s="142"/>
      <c r="BN621" s="142"/>
      <c r="BT621" s="142"/>
      <c r="BZ621" s="142"/>
      <c r="CF621" s="142"/>
      <c r="CL621" s="142"/>
    </row>
    <row r="622">
      <c r="F622" s="142"/>
      <c r="L622" s="142"/>
      <c r="R622" s="142"/>
      <c r="X622" s="142"/>
      <c r="AD622" s="142"/>
      <c r="AJ622" s="142"/>
      <c r="AP622" s="142"/>
      <c r="AV622" s="142"/>
      <c r="BB622" s="142"/>
      <c r="BH622" s="142"/>
      <c r="BN622" s="142"/>
      <c r="BT622" s="142"/>
      <c r="BZ622" s="142"/>
      <c r="CF622" s="142"/>
      <c r="CL622" s="142"/>
    </row>
    <row r="623">
      <c r="F623" s="142"/>
      <c r="L623" s="142"/>
      <c r="R623" s="142"/>
      <c r="X623" s="142"/>
      <c r="AD623" s="142"/>
      <c r="AJ623" s="142"/>
      <c r="AP623" s="142"/>
      <c r="AV623" s="142"/>
      <c r="BB623" s="142"/>
      <c r="BH623" s="142"/>
      <c r="BN623" s="142"/>
      <c r="BT623" s="142"/>
      <c r="BZ623" s="142"/>
      <c r="CF623" s="142"/>
      <c r="CL623" s="142"/>
    </row>
    <row r="624">
      <c r="F624" s="142"/>
      <c r="L624" s="142"/>
      <c r="R624" s="142"/>
      <c r="X624" s="142"/>
      <c r="AD624" s="142"/>
      <c r="AJ624" s="142"/>
      <c r="AP624" s="142"/>
      <c r="AV624" s="142"/>
      <c r="BB624" s="142"/>
      <c r="BH624" s="142"/>
      <c r="BN624" s="142"/>
      <c r="BT624" s="142"/>
      <c r="BZ624" s="142"/>
      <c r="CF624" s="142"/>
      <c r="CL624" s="142"/>
    </row>
    <row r="625">
      <c r="F625" s="142"/>
      <c r="L625" s="142"/>
      <c r="R625" s="142"/>
      <c r="X625" s="142"/>
      <c r="AD625" s="142"/>
      <c r="AJ625" s="142"/>
      <c r="AP625" s="142"/>
      <c r="AV625" s="142"/>
      <c r="BB625" s="142"/>
      <c r="BH625" s="142"/>
      <c r="BN625" s="142"/>
      <c r="BT625" s="142"/>
      <c r="BZ625" s="142"/>
      <c r="CF625" s="142"/>
      <c r="CL625" s="142"/>
    </row>
    <row r="626">
      <c r="F626" s="142"/>
      <c r="L626" s="142"/>
      <c r="R626" s="142"/>
      <c r="X626" s="142"/>
      <c r="AD626" s="142"/>
      <c r="AJ626" s="142"/>
      <c r="AP626" s="142"/>
      <c r="AV626" s="142"/>
      <c r="BB626" s="142"/>
      <c r="BH626" s="142"/>
      <c r="BN626" s="142"/>
      <c r="BT626" s="142"/>
      <c r="BZ626" s="142"/>
      <c r="CF626" s="142"/>
      <c r="CL626" s="142"/>
    </row>
    <row r="627">
      <c r="F627" s="142"/>
      <c r="L627" s="142"/>
      <c r="R627" s="142"/>
      <c r="X627" s="142"/>
      <c r="AD627" s="142"/>
      <c r="AJ627" s="142"/>
      <c r="AP627" s="142"/>
      <c r="AV627" s="142"/>
      <c r="BB627" s="142"/>
      <c r="BH627" s="142"/>
      <c r="BN627" s="142"/>
      <c r="BT627" s="142"/>
      <c r="BZ627" s="142"/>
      <c r="CF627" s="142"/>
      <c r="CL627" s="142"/>
    </row>
    <row r="628">
      <c r="F628" s="142"/>
      <c r="L628" s="142"/>
      <c r="R628" s="142"/>
      <c r="X628" s="142"/>
      <c r="AD628" s="142"/>
      <c r="AJ628" s="142"/>
      <c r="AP628" s="142"/>
      <c r="AV628" s="142"/>
      <c r="BB628" s="142"/>
      <c r="BH628" s="142"/>
      <c r="BN628" s="142"/>
      <c r="BT628" s="142"/>
      <c r="BZ628" s="142"/>
      <c r="CF628" s="142"/>
      <c r="CL628" s="142"/>
    </row>
    <row r="629">
      <c r="F629" s="142"/>
      <c r="L629" s="142"/>
      <c r="R629" s="142"/>
      <c r="X629" s="142"/>
      <c r="AD629" s="142"/>
      <c r="AJ629" s="142"/>
      <c r="AP629" s="142"/>
      <c r="AV629" s="142"/>
      <c r="BB629" s="142"/>
      <c r="BH629" s="142"/>
      <c r="BN629" s="142"/>
      <c r="BT629" s="142"/>
      <c r="BZ629" s="142"/>
      <c r="CF629" s="142"/>
      <c r="CL629" s="142"/>
    </row>
    <row r="630">
      <c r="F630" s="142"/>
      <c r="L630" s="142"/>
      <c r="R630" s="142"/>
      <c r="X630" s="142"/>
      <c r="AD630" s="142"/>
      <c r="AJ630" s="142"/>
      <c r="AP630" s="142"/>
      <c r="AV630" s="142"/>
      <c r="BB630" s="142"/>
      <c r="BH630" s="142"/>
      <c r="BN630" s="142"/>
      <c r="BT630" s="142"/>
      <c r="BZ630" s="142"/>
      <c r="CF630" s="142"/>
      <c r="CL630" s="142"/>
    </row>
    <row r="631">
      <c r="F631" s="142"/>
      <c r="L631" s="142"/>
      <c r="R631" s="142"/>
      <c r="X631" s="142"/>
      <c r="AD631" s="142"/>
      <c r="AJ631" s="142"/>
      <c r="AP631" s="142"/>
      <c r="AV631" s="142"/>
      <c r="BB631" s="142"/>
      <c r="BH631" s="142"/>
      <c r="BN631" s="142"/>
      <c r="BT631" s="142"/>
      <c r="BZ631" s="142"/>
      <c r="CF631" s="142"/>
      <c r="CL631" s="142"/>
    </row>
    <row r="632">
      <c r="F632" s="142"/>
      <c r="L632" s="142"/>
      <c r="R632" s="142"/>
      <c r="X632" s="142"/>
      <c r="AD632" s="142"/>
      <c r="AJ632" s="142"/>
      <c r="AP632" s="142"/>
      <c r="AV632" s="142"/>
      <c r="BB632" s="142"/>
      <c r="BH632" s="142"/>
      <c r="BN632" s="142"/>
      <c r="BT632" s="142"/>
      <c r="BZ632" s="142"/>
      <c r="CF632" s="142"/>
      <c r="CL632" s="142"/>
    </row>
    <row r="633">
      <c r="F633" s="142"/>
      <c r="L633" s="142"/>
      <c r="R633" s="142"/>
      <c r="X633" s="142"/>
      <c r="AD633" s="142"/>
      <c r="AJ633" s="142"/>
      <c r="AP633" s="142"/>
      <c r="AV633" s="142"/>
      <c r="BB633" s="142"/>
      <c r="BH633" s="142"/>
      <c r="BN633" s="142"/>
      <c r="BT633" s="142"/>
      <c r="BZ633" s="142"/>
      <c r="CF633" s="142"/>
      <c r="CL633" s="142"/>
    </row>
    <row r="634">
      <c r="F634" s="142"/>
      <c r="L634" s="142"/>
      <c r="R634" s="142"/>
      <c r="X634" s="142"/>
      <c r="AD634" s="142"/>
      <c r="AJ634" s="142"/>
      <c r="AP634" s="142"/>
      <c r="AV634" s="142"/>
      <c r="BB634" s="142"/>
      <c r="BH634" s="142"/>
      <c r="BN634" s="142"/>
      <c r="BT634" s="142"/>
      <c r="BZ634" s="142"/>
      <c r="CF634" s="142"/>
      <c r="CL634" s="142"/>
    </row>
    <row r="635">
      <c r="F635" s="142"/>
      <c r="L635" s="142"/>
      <c r="R635" s="142"/>
      <c r="X635" s="142"/>
      <c r="AD635" s="142"/>
      <c r="AJ635" s="142"/>
      <c r="AP635" s="142"/>
      <c r="AV635" s="142"/>
      <c r="BB635" s="142"/>
      <c r="BH635" s="142"/>
      <c r="BN635" s="142"/>
      <c r="BT635" s="142"/>
      <c r="BZ635" s="142"/>
      <c r="CF635" s="142"/>
      <c r="CL635" s="142"/>
    </row>
    <row r="636">
      <c r="F636" s="142"/>
      <c r="L636" s="142"/>
      <c r="R636" s="142"/>
      <c r="X636" s="142"/>
      <c r="AD636" s="142"/>
      <c r="AJ636" s="142"/>
      <c r="AP636" s="142"/>
      <c r="AV636" s="142"/>
      <c r="BB636" s="142"/>
      <c r="BH636" s="142"/>
      <c r="BN636" s="142"/>
      <c r="BT636" s="142"/>
      <c r="BZ636" s="142"/>
      <c r="CF636" s="142"/>
      <c r="CL636" s="142"/>
    </row>
    <row r="637">
      <c r="F637" s="142"/>
      <c r="L637" s="142"/>
      <c r="R637" s="142"/>
      <c r="X637" s="142"/>
      <c r="AD637" s="142"/>
      <c r="AJ637" s="142"/>
      <c r="AP637" s="142"/>
      <c r="AV637" s="142"/>
      <c r="BB637" s="142"/>
      <c r="BH637" s="142"/>
      <c r="BN637" s="142"/>
      <c r="BT637" s="142"/>
      <c r="BZ637" s="142"/>
      <c r="CF637" s="142"/>
      <c r="CL637" s="142"/>
    </row>
    <row r="638">
      <c r="F638" s="142"/>
      <c r="L638" s="142"/>
      <c r="R638" s="142"/>
      <c r="X638" s="142"/>
      <c r="AD638" s="142"/>
      <c r="AJ638" s="142"/>
      <c r="AP638" s="142"/>
      <c r="AV638" s="142"/>
      <c r="BB638" s="142"/>
      <c r="BH638" s="142"/>
      <c r="BN638" s="142"/>
      <c r="BT638" s="142"/>
      <c r="BZ638" s="142"/>
      <c r="CF638" s="142"/>
      <c r="CL638" s="142"/>
    </row>
    <row r="639">
      <c r="F639" s="142"/>
      <c r="L639" s="142"/>
      <c r="R639" s="142"/>
      <c r="X639" s="142"/>
      <c r="AD639" s="142"/>
      <c r="AJ639" s="142"/>
      <c r="AP639" s="142"/>
      <c r="AV639" s="142"/>
      <c r="BB639" s="142"/>
      <c r="BH639" s="142"/>
      <c r="BN639" s="142"/>
      <c r="BT639" s="142"/>
      <c r="BZ639" s="142"/>
      <c r="CF639" s="142"/>
      <c r="CL639" s="142"/>
    </row>
    <row r="640">
      <c r="F640" s="142"/>
      <c r="L640" s="142"/>
      <c r="R640" s="142"/>
      <c r="X640" s="142"/>
      <c r="AD640" s="142"/>
      <c r="AJ640" s="142"/>
      <c r="AP640" s="142"/>
      <c r="AV640" s="142"/>
      <c r="BB640" s="142"/>
      <c r="BH640" s="142"/>
      <c r="BN640" s="142"/>
      <c r="BT640" s="142"/>
      <c r="BZ640" s="142"/>
      <c r="CF640" s="142"/>
      <c r="CL640" s="142"/>
    </row>
    <row r="641">
      <c r="F641" s="142"/>
      <c r="L641" s="142"/>
      <c r="R641" s="142"/>
      <c r="X641" s="142"/>
      <c r="AD641" s="142"/>
      <c r="AJ641" s="142"/>
      <c r="AP641" s="142"/>
      <c r="AV641" s="142"/>
      <c r="BB641" s="142"/>
      <c r="BH641" s="142"/>
      <c r="BN641" s="142"/>
      <c r="BT641" s="142"/>
      <c r="BZ641" s="142"/>
      <c r="CF641" s="142"/>
      <c r="CL641" s="142"/>
    </row>
    <row r="642">
      <c r="F642" s="142"/>
      <c r="L642" s="142"/>
      <c r="R642" s="142"/>
      <c r="X642" s="142"/>
      <c r="AD642" s="142"/>
      <c r="AJ642" s="142"/>
      <c r="AP642" s="142"/>
      <c r="AV642" s="142"/>
      <c r="BB642" s="142"/>
      <c r="BH642" s="142"/>
      <c r="BN642" s="142"/>
      <c r="BT642" s="142"/>
      <c r="BZ642" s="142"/>
      <c r="CF642" s="142"/>
      <c r="CL642" s="142"/>
    </row>
    <row r="643">
      <c r="F643" s="142"/>
      <c r="L643" s="142"/>
      <c r="R643" s="142"/>
      <c r="X643" s="142"/>
      <c r="AD643" s="142"/>
      <c r="AJ643" s="142"/>
      <c r="AP643" s="142"/>
      <c r="AV643" s="142"/>
      <c r="BB643" s="142"/>
      <c r="BH643" s="142"/>
      <c r="BN643" s="142"/>
      <c r="BT643" s="142"/>
      <c r="BZ643" s="142"/>
      <c r="CF643" s="142"/>
      <c r="CL643" s="142"/>
    </row>
    <row r="644">
      <c r="F644" s="142"/>
      <c r="L644" s="142"/>
      <c r="R644" s="142"/>
      <c r="X644" s="142"/>
      <c r="AD644" s="142"/>
      <c r="AJ644" s="142"/>
      <c r="AP644" s="142"/>
      <c r="AV644" s="142"/>
      <c r="BB644" s="142"/>
      <c r="BH644" s="142"/>
      <c r="BN644" s="142"/>
      <c r="BT644" s="142"/>
      <c r="BZ644" s="142"/>
      <c r="CF644" s="142"/>
      <c r="CL644" s="142"/>
    </row>
    <row r="645">
      <c r="F645" s="142"/>
      <c r="L645" s="142"/>
      <c r="R645" s="142"/>
      <c r="X645" s="142"/>
      <c r="AD645" s="142"/>
      <c r="AJ645" s="142"/>
      <c r="AP645" s="142"/>
      <c r="AV645" s="142"/>
      <c r="BB645" s="142"/>
      <c r="BH645" s="142"/>
      <c r="BN645" s="142"/>
      <c r="BT645" s="142"/>
      <c r="BZ645" s="142"/>
      <c r="CF645" s="142"/>
      <c r="CL645" s="142"/>
    </row>
    <row r="646">
      <c r="F646" s="142"/>
      <c r="L646" s="142"/>
      <c r="R646" s="142"/>
      <c r="X646" s="142"/>
      <c r="AD646" s="142"/>
      <c r="AJ646" s="142"/>
      <c r="AP646" s="142"/>
      <c r="AV646" s="142"/>
      <c r="BB646" s="142"/>
      <c r="BH646" s="142"/>
      <c r="BN646" s="142"/>
      <c r="BT646" s="142"/>
      <c r="BZ646" s="142"/>
      <c r="CF646" s="142"/>
      <c r="CL646" s="142"/>
    </row>
    <row r="647">
      <c r="F647" s="142"/>
      <c r="L647" s="142"/>
      <c r="R647" s="142"/>
      <c r="X647" s="142"/>
      <c r="AD647" s="142"/>
      <c r="AJ647" s="142"/>
      <c r="AP647" s="142"/>
      <c r="AV647" s="142"/>
      <c r="BB647" s="142"/>
      <c r="BH647" s="142"/>
      <c r="BN647" s="142"/>
      <c r="BT647" s="142"/>
      <c r="BZ647" s="142"/>
      <c r="CF647" s="142"/>
      <c r="CL647" s="142"/>
    </row>
    <row r="648">
      <c r="F648" s="142"/>
      <c r="L648" s="142"/>
      <c r="R648" s="142"/>
      <c r="X648" s="142"/>
      <c r="AD648" s="142"/>
      <c r="AJ648" s="142"/>
      <c r="AP648" s="142"/>
      <c r="AV648" s="142"/>
      <c r="BB648" s="142"/>
      <c r="BH648" s="142"/>
      <c r="BN648" s="142"/>
      <c r="BT648" s="142"/>
      <c r="BZ648" s="142"/>
      <c r="CF648" s="142"/>
      <c r="CL648" s="142"/>
    </row>
    <row r="649">
      <c r="F649" s="142"/>
      <c r="L649" s="142"/>
      <c r="R649" s="142"/>
      <c r="X649" s="142"/>
      <c r="AD649" s="142"/>
      <c r="AJ649" s="142"/>
      <c r="AP649" s="142"/>
      <c r="AV649" s="142"/>
      <c r="BB649" s="142"/>
      <c r="BH649" s="142"/>
      <c r="BN649" s="142"/>
      <c r="BT649" s="142"/>
      <c r="BZ649" s="142"/>
      <c r="CF649" s="142"/>
      <c r="CL649" s="142"/>
    </row>
    <row r="650">
      <c r="F650" s="142"/>
      <c r="L650" s="142"/>
      <c r="R650" s="142"/>
      <c r="X650" s="142"/>
      <c r="AD650" s="142"/>
      <c r="AJ650" s="142"/>
      <c r="AP650" s="142"/>
      <c r="AV650" s="142"/>
      <c r="BB650" s="142"/>
      <c r="BH650" s="142"/>
      <c r="BN650" s="142"/>
      <c r="BT650" s="142"/>
      <c r="BZ650" s="142"/>
      <c r="CF650" s="142"/>
      <c r="CL650" s="142"/>
    </row>
    <row r="651">
      <c r="F651" s="142"/>
      <c r="L651" s="142"/>
      <c r="R651" s="142"/>
      <c r="X651" s="142"/>
      <c r="AD651" s="142"/>
      <c r="AJ651" s="142"/>
      <c r="AP651" s="142"/>
      <c r="AV651" s="142"/>
      <c r="BB651" s="142"/>
      <c r="BH651" s="142"/>
      <c r="BN651" s="142"/>
      <c r="BT651" s="142"/>
      <c r="BZ651" s="142"/>
      <c r="CF651" s="142"/>
      <c r="CL651" s="142"/>
    </row>
    <row r="652">
      <c r="F652" s="142"/>
      <c r="L652" s="142"/>
      <c r="R652" s="142"/>
      <c r="X652" s="142"/>
      <c r="AD652" s="142"/>
      <c r="AJ652" s="142"/>
      <c r="AP652" s="142"/>
      <c r="AV652" s="142"/>
      <c r="BB652" s="142"/>
      <c r="BH652" s="142"/>
      <c r="BN652" s="142"/>
      <c r="BT652" s="142"/>
      <c r="BZ652" s="142"/>
      <c r="CF652" s="142"/>
      <c r="CL652" s="142"/>
    </row>
    <row r="653">
      <c r="F653" s="142"/>
      <c r="L653" s="142"/>
      <c r="R653" s="142"/>
      <c r="X653" s="142"/>
      <c r="AD653" s="142"/>
      <c r="AJ653" s="142"/>
      <c r="AP653" s="142"/>
      <c r="AV653" s="142"/>
      <c r="BB653" s="142"/>
      <c r="BH653" s="142"/>
      <c r="BN653" s="142"/>
      <c r="BT653" s="142"/>
      <c r="BZ653" s="142"/>
      <c r="CF653" s="142"/>
      <c r="CL653" s="142"/>
    </row>
    <row r="654">
      <c r="F654" s="142"/>
      <c r="L654" s="142"/>
      <c r="R654" s="142"/>
      <c r="X654" s="142"/>
      <c r="AD654" s="142"/>
      <c r="AJ654" s="142"/>
      <c r="AP654" s="142"/>
      <c r="AV654" s="142"/>
      <c r="BB654" s="142"/>
      <c r="BH654" s="142"/>
      <c r="BN654" s="142"/>
      <c r="BT654" s="142"/>
      <c r="BZ654" s="142"/>
      <c r="CF654" s="142"/>
      <c r="CL654" s="142"/>
    </row>
    <row r="655">
      <c r="F655" s="142"/>
      <c r="L655" s="142"/>
      <c r="R655" s="142"/>
      <c r="X655" s="142"/>
      <c r="AD655" s="142"/>
      <c r="AJ655" s="142"/>
      <c r="AP655" s="142"/>
      <c r="AV655" s="142"/>
      <c r="BB655" s="142"/>
      <c r="BH655" s="142"/>
      <c r="BN655" s="142"/>
      <c r="BT655" s="142"/>
      <c r="BZ655" s="142"/>
      <c r="CF655" s="142"/>
      <c r="CL655" s="142"/>
    </row>
    <row r="656">
      <c r="F656" s="142"/>
      <c r="L656" s="142"/>
      <c r="R656" s="142"/>
      <c r="X656" s="142"/>
      <c r="AD656" s="142"/>
      <c r="AJ656" s="142"/>
      <c r="AP656" s="142"/>
      <c r="AV656" s="142"/>
      <c r="BB656" s="142"/>
      <c r="BH656" s="142"/>
      <c r="BN656" s="142"/>
      <c r="BT656" s="142"/>
      <c r="BZ656" s="142"/>
      <c r="CF656" s="142"/>
      <c r="CL656" s="142"/>
    </row>
    <row r="657">
      <c r="F657" s="142"/>
      <c r="L657" s="142"/>
      <c r="R657" s="142"/>
      <c r="X657" s="142"/>
      <c r="AD657" s="142"/>
      <c r="AJ657" s="142"/>
      <c r="AP657" s="142"/>
      <c r="AV657" s="142"/>
      <c r="BB657" s="142"/>
      <c r="BH657" s="142"/>
      <c r="BN657" s="142"/>
      <c r="BT657" s="142"/>
      <c r="BZ657" s="142"/>
      <c r="CF657" s="142"/>
      <c r="CL657" s="142"/>
    </row>
    <row r="658">
      <c r="F658" s="142"/>
      <c r="L658" s="142"/>
      <c r="R658" s="142"/>
      <c r="X658" s="142"/>
      <c r="AD658" s="142"/>
      <c r="AJ658" s="142"/>
      <c r="AP658" s="142"/>
      <c r="AV658" s="142"/>
      <c r="BB658" s="142"/>
      <c r="BH658" s="142"/>
      <c r="BN658" s="142"/>
      <c r="BT658" s="142"/>
      <c r="BZ658" s="142"/>
      <c r="CF658" s="142"/>
      <c r="CL658" s="142"/>
    </row>
    <row r="659">
      <c r="F659" s="142"/>
      <c r="L659" s="142"/>
      <c r="R659" s="142"/>
      <c r="X659" s="142"/>
      <c r="AD659" s="142"/>
      <c r="AJ659" s="142"/>
      <c r="AP659" s="142"/>
      <c r="AV659" s="142"/>
      <c r="BB659" s="142"/>
      <c r="BH659" s="142"/>
      <c r="BN659" s="142"/>
      <c r="BT659" s="142"/>
      <c r="BZ659" s="142"/>
      <c r="CF659" s="142"/>
      <c r="CL659" s="142"/>
    </row>
    <row r="660">
      <c r="F660" s="142"/>
      <c r="L660" s="142"/>
      <c r="R660" s="142"/>
      <c r="X660" s="142"/>
      <c r="AD660" s="142"/>
      <c r="AJ660" s="142"/>
      <c r="AP660" s="142"/>
      <c r="AV660" s="142"/>
      <c r="BB660" s="142"/>
      <c r="BH660" s="142"/>
      <c r="BN660" s="142"/>
      <c r="BT660" s="142"/>
      <c r="BZ660" s="142"/>
      <c r="CF660" s="142"/>
      <c r="CL660" s="142"/>
    </row>
    <row r="661">
      <c r="F661" s="142"/>
      <c r="L661" s="142"/>
      <c r="R661" s="142"/>
      <c r="X661" s="142"/>
      <c r="AD661" s="142"/>
      <c r="AJ661" s="142"/>
      <c r="AP661" s="142"/>
      <c r="AV661" s="142"/>
      <c r="BB661" s="142"/>
      <c r="BH661" s="142"/>
      <c r="BN661" s="142"/>
      <c r="BT661" s="142"/>
      <c r="BZ661" s="142"/>
      <c r="CF661" s="142"/>
      <c r="CL661" s="142"/>
    </row>
    <row r="662">
      <c r="F662" s="142"/>
      <c r="L662" s="142"/>
      <c r="R662" s="142"/>
      <c r="X662" s="142"/>
      <c r="AD662" s="142"/>
      <c r="AJ662" s="142"/>
      <c r="AP662" s="142"/>
      <c r="AV662" s="142"/>
      <c r="BB662" s="142"/>
      <c r="BH662" s="142"/>
      <c r="BN662" s="142"/>
      <c r="BT662" s="142"/>
      <c r="BZ662" s="142"/>
      <c r="CF662" s="142"/>
      <c r="CL662" s="142"/>
    </row>
    <row r="663">
      <c r="F663" s="142"/>
      <c r="L663" s="142"/>
      <c r="R663" s="142"/>
      <c r="X663" s="142"/>
      <c r="AD663" s="142"/>
      <c r="AJ663" s="142"/>
      <c r="AP663" s="142"/>
      <c r="AV663" s="142"/>
      <c r="BB663" s="142"/>
      <c r="BH663" s="142"/>
      <c r="BN663" s="142"/>
      <c r="BT663" s="142"/>
      <c r="BZ663" s="142"/>
      <c r="CF663" s="142"/>
      <c r="CL663" s="142"/>
    </row>
    <row r="664">
      <c r="F664" s="142"/>
      <c r="L664" s="142"/>
      <c r="R664" s="142"/>
      <c r="X664" s="142"/>
      <c r="AD664" s="142"/>
      <c r="AJ664" s="142"/>
      <c r="AP664" s="142"/>
      <c r="AV664" s="142"/>
      <c r="BB664" s="142"/>
      <c r="BH664" s="142"/>
      <c r="BN664" s="142"/>
      <c r="BT664" s="142"/>
      <c r="BZ664" s="142"/>
      <c r="CF664" s="142"/>
      <c r="CL664" s="142"/>
    </row>
    <row r="665">
      <c r="F665" s="142"/>
      <c r="L665" s="142"/>
      <c r="R665" s="142"/>
      <c r="X665" s="142"/>
      <c r="AD665" s="142"/>
      <c r="AJ665" s="142"/>
      <c r="AP665" s="142"/>
      <c r="AV665" s="142"/>
      <c r="BB665" s="142"/>
      <c r="BH665" s="142"/>
      <c r="BN665" s="142"/>
      <c r="BT665" s="142"/>
      <c r="BZ665" s="142"/>
      <c r="CF665" s="142"/>
      <c r="CL665" s="142"/>
    </row>
    <row r="666">
      <c r="F666" s="142"/>
      <c r="L666" s="142"/>
      <c r="R666" s="142"/>
      <c r="X666" s="142"/>
      <c r="AD666" s="142"/>
      <c r="AJ666" s="142"/>
      <c r="AP666" s="142"/>
      <c r="AV666" s="142"/>
      <c r="BB666" s="142"/>
      <c r="BH666" s="142"/>
      <c r="BN666" s="142"/>
      <c r="BT666" s="142"/>
      <c r="BZ666" s="142"/>
      <c r="CF666" s="142"/>
      <c r="CL666" s="142"/>
    </row>
    <row r="667">
      <c r="F667" s="142"/>
      <c r="L667" s="142"/>
      <c r="R667" s="142"/>
      <c r="X667" s="142"/>
      <c r="AD667" s="142"/>
      <c r="AJ667" s="142"/>
      <c r="AP667" s="142"/>
      <c r="AV667" s="142"/>
      <c r="BB667" s="142"/>
      <c r="BH667" s="142"/>
      <c r="BN667" s="142"/>
      <c r="BT667" s="142"/>
      <c r="BZ667" s="142"/>
      <c r="CF667" s="142"/>
      <c r="CL667" s="142"/>
    </row>
    <row r="668">
      <c r="F668" s="142"/>
      <c r="L668" s="142"/>
      <c r="R668" s="142"/>
      <c r="X668" s="142"/>
      <c r="AD668" s="142"/>
      <c r="AJ668" s="142"/>
      <c r="AP668" s="142"/>
      <c r="AV668" s="142"/>
      <c r="BB668" s="142"/>
      <c r="BH668" s="142"/>
      <c r="BN668" s="142"/>
      <c r="BT668" s="142"/>
      <c r="BZ668" s="142"/>
      <c r="CF668" s="142"/>
      <c r="CL668" s="142"/>
    </row>
    <row r="669">
      <c r="F669" s="142"/>
      <c r="L669" s="142"/>
      <c r="R669" s="142"/>
      <c r="X669" s="142"/>
      <c r="AD669" s="142"/>
      <c r="AJ669" s="142"/>
      <c r="AP669" s="142"/>
      <c r="AV669" s="142"/>
      <c r="BB669" s="142"/>
      <c r="BH669" s="142"/>
      <c r="BN669" s="142"/>
      <c r="BT669" s="142"/>
      <c r="BZ669" s="142"/>
      <c r="CF669" s="142"/>
      <c r="CL669" s="142"/>
    </row>
    <row r="670">
      <c r="F670" s="142"/>
      <c r="L670" s="142"/>
      <c r="R670" s="142"/>
      <c r="X670" s="142"/>
      <c r="AD670" s="142"/>
      <c r="AJ670" s="142"/>
      <c r="AP670" s="142"/>
      <c r="AV670" s="142"/>
      <c r="BB670" s="142"/>
      <c r="BH670" s="142"/>
      <c r="BN670" s="142"/>
      <c r="BT670" s="142"/>
      <c r="BZ670" s="142"/>
      <c r="CF670" s="142"/>
      <c r="CL670" s="142"/>
    </row>
    <row r="671">
      <c r="F671" s="142"/>
      <c r="L671" s="142"/>
      <c r="R671" s="142"/>
      <c r="X671" s="142"/>
      <c r="AD671" s="142"/>
      <c r="AJ671" s="142"/>
      <c r="AP671" s="142"/>
      <c r="AV671" s="142"/>
      <c r="BB671" s="142"/>
      <c r="BH671" s="142"/>
      <c r="BN671" s="142"/>
      <c r="BT671" s="142"/>
      <c r="BZ671" s="142"/>
      <c r="CF671" s="142"/>
      <c r="CL671" s="142"/>
    </row>
    <row r="672">
      <c r="F672" s="142"/>
      <c r="L672" s="142"/>
      <c r="R672" s="142"/>
      <c r="X672" s="142"/>
      <c r="AD672" s="142"/>
      <c r="AJ672" s="142"/>
      <c r="AP672" s="142"/>
      <c r="AV672" s="142"/>
      <c r="BB672" s="142"/>
      <c r="BH672" s="142"/>
      <c r="BN672" s="142"/>
      <c r="BT672" s="142"/>
      <c r="BZ672" s="142"/>
      <c r="CF672" s="142"/>
      <c r="CL672" s="142"/>
    </row>
    <row r="673">
      <c r="F673" s="142"/>
      <c r="L673" s="142"/>
      <c r="R673" s="142"/>
      <c r="X673" s="142"/>
      <c r="AD673" s="142"/>
      <c r="AJ673" s="142"/>
      <c r="AP673" s="142"/>
      <c r="AV673" s="142"/>
      <c r="BB673" s="142"/>
      <c r="BH673" s="142"/>
      <c r="BN673" s="142"/>
      <c r="BT673" s="142"/>
      <c r="BZ673" s="142"/>
      <c r="CF673" s="142"/>
      <c r="CL673" s="142"/>
    </row>
    <row r="674">
      <c r="F674" s="142"/>
      <c r="L674" s="142"/>
      <c r="R674" s="142"/>
      <c r="X674" s="142"/>
      <c r="AD674" s="142"/>
      <c r="AJ674" s="142"/>
      <c r="AP674" s="142"/>
      <c r="AV674" s="142"/>
      <c r="BB674" s="142"/>
      <c r="BH674" s="142"/>
      <c r="BN674" s="142"/>
      <c r="BT674" s="142"/>
      <c r="BZ674" s="142"/>
      <c r="CF674" s="142"/>
      <c r="CL674" s="142"/>
    </row>
    <row r="675">
      <c r="F675" s="142"/>
      <c r="L675" s="142"/>
      <c r="R675" s="142"/>
      <c r="X675" s="142"/>
      <c r="AD675" s="142"/>
      <c r="AJ675" s="142"/>
      <c r="AP675" s="142"/>
      <c r="AV675" s="142"/>
      <c r="BB675" s="142"/>
      <c r="BH675" s="142"/>
      <c r="BN675" s="142"/>
      <c r="BT675" s="142"/>
      <c r="BZ675" s="142"/>
      <c r="CF675" s="142"/>
      <c r="CL675" s="142"/>
    </row>
    <row r="676">
      <c r="F676" s="142"/>
      <c r="L676" s="142"/>
      <c r="R676" s="142"/>
      <c r="X676" s="142"/>
      <c r="AD676" s="142"/>
      <c r="AJ676" s="142"/>
      <c r="AP676" s="142"/>
      <c r="AV676" s="142"/>
      <c r="BB676" s="142"/>
      <c r="BH676" s="142"/>
      <c r="BN676" s="142"/>
      <c r="BT676" s="142"/>
      <c r="BZ676" s="142"/>
      <c r="CF676" s="142"/>
      <c r="CL676" s="142"/>
    </row>
    <row r="677">
      <c r="F677" s="142"/>
      <c r="L677" s="142"/>
      <c r="R677" s="142"/>
      <c r="X677" s="142"/>
      <c r="AD677" s="142"/>
      <c r="AJ677" s="142"/>
      <c r="AP677" s="142"/>
      <c r="AV677" s="142"/>
      <c r="BB677" s="142"/>
      <c r="BH677" s="142"/>
      <c r="BN677" s="142"/>
      <c r="BT677" s="142"/>
      <c r="BZ677" s="142"/>
      <c r="CF677" s="142"/>
      <c r="CL677" s="142"/>
    </row>
    <row r="678">
      <c r="F678" s="142"/>
      <c r="L678" s="142"/>
      <c r="R678" s="142"/>
      <c r="X678" s="142"/>
      <c r="AD678" s="142"/>
      <c r="AJ678" s="142"/>
      <c r="AP678" s="142"/>
      <c r="AV678" s="142"/>
      <c r="BB678" s="142"/>
      <c r="BH678" s="142"/>
      <c r="BN678" s="142"/>
      <c r="BT678" s="142"/>
      <c r="BZ678" s="142"/>
      <c r="CF678" s="142"/>
      <c r="CL678" s="142"/>
    </row>
    <row r="679">
      <c r="F679" s="142"/>
      <c r="L679" s="142"/>
      <c r="R679" s="142"/>
      <c r="X679" s="142"/>
      <c r="AD679" s="142"/>
      <c r="AJ679" s="142"/>
      <c r="AP679" s="142"/>
      <c r="AV679" s="142"/>
      <c r="BB679" s="142"/>
      <c r="BH679" s="142"/>
      <c r="BN679" s="142"/>
      <c r="BT679" s="142"/>
      <c r="BZ679" s="142"/>
      <c r="CF679" s="142"/>
      <c r="CL679" s="142"/>
    </row>
    <row r="680">
      <c r="F680" s="142"/>
      <c r="L680" s="142"/>
      <c r="R680" s="142"/>
      <c r="X680" s="142"/>
      <c r="AD680" s="142"/>
      <c r="AJ680" s="142"/>
      <c r="AP680" s="142"/>
      <c r="AV680" s="142"/>
      <c r="BB680" s="142"/>
      <c r="BH680" s="142"/>
      <c r="BN680" s="142"/>
      <c r="BT680" s="142"/>
      <c r="BZ680" s="142"/>
      <c r="CF680" s="142"/>
      <c r="CL680" s="142"/>
    </row>
    <row r="681">
      <c r="F681" s="142"/>
      <c r="L681" s="142"/>
      <c r="R681" s="142"/>
      <c r="X681" s="142"/>
      <c r="AD681" s="142"/>
      <c r="AJ681" s="142"/>
      <c r="AP681" s="142"/>
      <c r="AV681" s="142"/>
      <c r="BB681" s="142"/>
      <c r="BH681" s="142"/>
      <c r="BN681" s="142"/>
      <c r="BT681" s="142"/>
      <c r="BZ681" s="142"/>
      <c r="CF681" s="142"/>
      <c r="CL681" s="142"/>
    </row>
    <row r="682">
      <c r="F682" s="142"/>
      <c r="L682" s="142"/>
      <c r="R682" s="142"/>
      <c r="X682" s="142"/>
      <c r="AD682" s="142"/>
      <c r="AJ682" s="142"/>
      <c r="AP682" s="142"/>
      <c r="AV682" s="142"/>
      <c r="BB682" s="142"/>
      <c r="BH682" s="142"/>
      <c r="BN682" s="142"/>
      <c r="BT682" s="142"/>
      <c r="BZ682" s="142"/>
      <c r="CF682" s="142"/>
      <c r="CL682" s="142"/>
    </row>
    <row r="683">
      <c r="F683" s="142"/>
      <c r="L683" s="142"/>
      <c r="R683" s="142"/>
      <c r="X683" s="142"/>
      <c r="AD683" s="142"/>
      <c r="AJ683" s="142"/>
      <c r="AP683" s="142"/>
      <c r="AV683" s="142"/>
      <c r="BB683" s="142"/>
      <c r="BH683" s="142"/>
      <c r="BN683" s="142"/>
      <c r="BT683" s="142"/>
      <c r="BZ683" s="142"/>
      <c r="CF683" s="142"/>
      <c r="CL683" s="142"/>
    </row>
    <row r="684">
      <c r="F684" s="142"/>
      <c r="L684" s="142"/>
      <c r="R684" s="142"/>
      <c r="X684" s="142"/>
      <c r="AD684" s="142"/>
      <c r="AJ684" s="142"/>
      <c r="AP684" s="142"/>
      <c r="AV684" s="142"/>
      <c r="BB684" s="142"/>
      <c r="BH684" s="142"/>
      <c r="BN684" s="142"/>
      <c r="BT684" s="142"/>
      <c r="BZ684" s="142"/>
      <c r="CF684" s="142"/>
      <c r="CL684" s="142"/>
    </row>
    <row r="685">
      <c r="F685" s="142"/>
      <c r="L685" s="142"/>
      <c r="R685" s="142"/>
      <c r="X685" s="142"/>
      <c r="AD685" s="142"/>
      <c r="AJ685" s="142"/>
      <c r="AP685" s="142"/>
      <c r="AV685" s="142"/>
      <c r="BB685" s="142"/>
      <c r="BH685" s="142"/>
      <c r="BN685" s="142"/>
      <c r="BT685" s="142"/>
      <c r="BZ685" s="142"/>
      <c r="CF685" s="142"/>
      <c r="CL685" s="142"/>
    </row>
    <row r="686">
      <c r="F686" s="142"/>
      <c r="L686" s="142"/>
      <c r="R686" s="142"/>
      <c r="X686" s="142"/>
      <c r="AD686" s="142"/>
      <c r="AJ686" s="142"/>
      <c r="AP686" s="142"/>
      <c r="AV686" s="142"/>
      <c r="BB686" s="142"/>
      <c r="BH686" s="142"/>
      <c r="BN686" s="142"/>
      <c r="BT686" s="142"/>
      <c r="BZ686" s="142"/>
      <c r="CF686" s="142"/>
      <c r="CL686" s="142"/>
    </row>
    <row r="687">
      <c r="F687" s="142"/>
      <c r="L687" s="142"/>
      <c r="R687" s="142"/>
      <c r="X687" s="142"/>
      <c r="AD687" s="142"/>
      <c r="AJ687" s="142"/>
      <c r="AP687" s="142"/>
      <c r="AV687" s="142"/>
      <c r="BB687" s="142"/>
      <c r="BH687" s="142"/>
      <c r="BN687" s="142"/>
      <c r="BT687" s="142"/>
      <c r="BZ687" s="142"/>
      <c r="CF687" s="142"/>
      <c r="CL687" s="142"/>
    </row>
    <row r="688">
      <c r="F688" s="142"/>
      <c r="L688" s="142"/>
      <c r="R688" s="142"/>
      <c r="X688" s="142"/>
      <c r="AD688" s="142"/>
      <c r="AJ688" s="142"/>
      <c r="AP688" s="142"/>
      <c r="AV688" s="142"/>
      <c r="BB688" s="142"/>
      <c r="BH688" s="142"/>
      <c r="BN688" s="142"/>
      <c r="BT688" s="142"/>
      <c r="BZ688" s="142"/>
      <c r="CF688" s="142"/>
      <c r="CL688" s="142"/>
    </row>
    <row r="689">
      <c r="F689" s="142"/>
      <c r="L689" s="142"/>
      <c r="R689" s="142"/>
      <c r="X689" s="142"/>
      <c r="AD689" s="142"/>
      <c r="AJ689" s="142"/>
      <c r="AP689" s="142"/>
      <c r="AV689" s="142"/>
      <c r="BB689" s="142"/>
      <c r="BH689" s="142"/>
      <c r="BN689" s="142"/>
      <c r="BT689" s="142"/>
      <c r="BZ689" s="142"/>
      <c r="CF689" s="142"/>
      <c r="CL689" s="142"/>
    </row>
    <row r="690">
      <c r="F690" s="142"/>
      <c r="L690" s="142"/>
      <c r="R690" s="142"/>
      <c r="X690" s="142"/>
      <c r="AD690" s="142"/>
      <c r="AJ690" s="142"/>
      <c r="AP690" s="142"/>
      <c r="AV690" s="142"/>
      <c r="BB690" s="142"/>
      <c r="BH690" s="142"/>
      <c r="BN690" s="142"/>
      <c r="BT690" s="142"/>
      <c r="BZ690" s="142"/>
      <c r="CF690" s="142"/>
      <c r="CL690" s="142"/>
    </row>
    <row r="691">
      <c r="F691" s="142"/>
      <c r="L691" s="142"/>
      <c r="R691" s="142"/>
      <c r="X691" s="142"/>
      <c r="AD691" s="142"/>
      <c r="AJ691" s="142"/>
      <c r="AP691" s="142"/>
      <c r="AV691" s="142"/>
      <c r="BB691" s="142"/>
      <c r="BH691" s="142"/>
      <c r="BN691" s="142"/>
      <c r="BT691" s="142"/>
      <c r="BZ691" s="142"/>
      <c r="CF691" s="142"/>
      <c r="CL691" s="142"/>
    </row>
    <row r="692">
      <c r="F692" s="142"/>
      <c r="L692" s="142"/>
      <c r="R692" s="142"/>
      <c r="X692" s="142"/>
      <c r="AD692" s="142"/>
      <c r="AJ692" s="142"/>
      <c r="AP692" s="142"/>
      <c r="AV692" s="142"/>
      <c r="BB692" s="142"/>
      <c r="BH692" s="142"/>
      <c r="BN692" s="142"/>
      <c r="BT692" s="142"/>
      <c r="BZ692" s="142"/>
      <c r="CF692" s="142"/>
      <c r="CL692" s="142"/>
    </row>
    <row r="693">
      <c r="F693" s="142"/>
      <c r="L693" s="142"/>
      <c r="R693" s="142"/>
      <c r="X693" s="142"/>
      <c r="AD693" s="142"/>
      <c r="AJ693" s="142"/>
      <c r="AP693" s="142"/>
      <c r="AV693" s="142"/>
      <c r="BB693" s="142"/>
      <c r="BH693" s="142"/>
      <c r="BN693" s="142"/>
      <c r="BT693" s="142"/>
      <c r="BZ693" s="142"/>
      <c r="CF693" s="142"/>
      <c r="CL693" s="142"/>
    </row>
    <row r="694">
      <c r="F694" s="142"/>
      <c r="L694" s="142"/>
      <c r="R694" s="142"/>
      <c r="X694" s="142"/>
      <c r="AD694" s="142"/>
      <c r="AJ694" s="142"/>
      <c r="AP694" s="142"/>
      <c r="AV694" s="142"/>
      <c r="BB694" s="142"/>
      <c r="BH694" s="142"/>
      <c r="BN694" s="142"/>
      <c r="BT694" s="142"/>
      <c r="BZ694" s="142"/>
      <c r="CF694" s="142"/>
      <c r="CL694" s="142"/>
    </row>
    <row r="695">
      <c r="F695" s="142"/>
      <c r="L695" s="142"/>
      <c r="R695" s="142"/>
      <c r="X695" s="142"/>
      <c r="AD695" s="142"/>
      <c r="AJ695" s="142"/>
      <c r="AP695" s="142"/>
      <c r="AV695" s="142"/>
      <c r="BB695" s="142"/>
      <c r="BH695" s="142"/>
      <c r="BN695" s="142"/>
      <c r="BT695" s="142"/>
      <c r="BZ695" s="142"/>
      <c r="CF695" s="142"/>
      <c r="CL695" s="142"/>
    </row>
    <row r="696">
      <c r="F696" s="142"/>
      <c r="L696" s="142"/>
      <c r="R696" s="142"/>
      <c r="X696" s="142"/>
      <c r="AD696" s="142"/>
      <c r="AJ696" s="142"/>
      <c r="AP696" s="142"/>
      <c r="AV696" s="142"/>
      <c r="BB696" s="142"/>
      <c r="BH696" s="142"/>
      <c r="BN696" s="142"/>
      <c r="BT696" s="142"/>
      <c r="BZ696" s="142"/>
      <c r="CF696" s="142"/>
      <c r="CL696" s="142"/>
    </row>
    <row r="697">
      <c r="F697" s="142"/>
      <c r="L697" s="142"/>
      <c r="R697" s="142"/>
      <c r="X697" s="142"/>
      <c r="AD697" s="142"/>
      <c r="AJ697" s="142"/>
      <c r="AP697" s="142"/>
      <c r="AV697" s="142"/>
      <c r="BB697" s="142"/>
      <c r="BH697" s="142"/>
      <c r="BN697" s="142"/>
      <c r="BT697" s="142"/>
      <c r="BZ697" s="142"/>
      <c r="CF697" s="142"/>
      <c r="CL697" s="142"/>
    </row>
    <row r="698">
      <c r="F698" s="142"/>
      <c r="L698" s="142"/>
      <c r="R698" s="142"/>
      <c r="X698" s="142"/>
      <c r="AD698" s="142"/>
      <c r="AJ698" s="142"/>
      <c r="AP698" s="142"/>
      <c r="AV698" s="142"/>
      <c r="BB698" s="142"/>
      <c r="BH698" s="142"/>
      <c r="BN698" s="142"/>
      <c r="BT698" s="142"/>
      <c r="BZ698" s="142"/>
      <c r="CF698" s="142"/>
      <c r="CL698" s="142"/>
    </row>
    <row r="699">
      <c r="F699" s="142"/>
      <c r="L699" s="142"/>
      <c r="R699" s="142"/>
      <c r="X699" s="142"/>
      <c r="AD699" s="142"/>
      <c r="AJ699" s="142"/>
      <c r="AP699" s="142"/>
      <c r="AV699" s="142"/>
      <c r="BB699" s="142"/>
      <c r="BH699" s="142"/>
      <c r="BN699" s="142"/>
      <c r="BT699" s="142"/>
      <c r="BZ699" s="142"/>
      <c r="CF699" s="142"/>
      <c r="CL699" s="142"/>
    </row>
    <row r="700">
      <c r="F700" s="142"/>
      <c r="L700" s="142"/>
      <c r="R700" s="142"/>
      <c r="X700" s="142"/>
      <c r="AD700" s="142"/>
      <c r="AJ700" s="142"/>
      <c r="AP700" s="142"/>
      <c r="AV700" s="142"/>
      <c r="BB700" s="142"/>
      <c r="BH700" s="142"/>
      <c r="BN700" s="142"/>
      <c r="BT700" s="142"/>
      <c r="BZ700" s="142"/>
      <c r="CF700" s="142"/>
      <c r="CL700" s="142"/>
    </row>
    <row r="701">
      <c r="F701" s="142"/>
      <c r="L701" s="142"/>
      <c r="R701" s="142"/>
      <c r="X701" s="142"/>
      <c r="AD701" s="142"/>
      <c r="AJ701" s="142"/>
      <c r="AP701" s="142"/>
      <c r="AV701" s="142"/>
      <c r="BB701" s="142"/>
      <c r="BH701" s="142"/>
      <c r="BN701" s="142"/>
      <c r="BT701" s="142"/>
      <c r="BZ701" s="142"/>
      <c r="CF701" s="142"/>
      <c r="CL701" s="142"/>
    </row>
    <row r="702">
      <c r="F702" s="142"/>
      <c r="L702" s="142"/>
      <c r="R702" s="142"/>
      <c r="X702" s="142"/>
      <c r="AD702" s="142"/>
      <c r="AJ702" s="142"/>
      <c r="AP702" s="142"/>
      <c r="AV702" s="142"/>
      <c r="BB702" s="142"/>
      <c r="BH702" s="142"/>
      <c r="BN702" s="142"/>
      <c r="BT702" s="142"/>
      <c r="BZ702" s="142"/>
      <c r="CF702" s="142"/>
      <c r="CL702" s="142"/>
    </row>
    <row r="703">
      <c r="F703" s="142"/>
      <c r="L703" s="142"/>
      <c r="R703" s="142"/>
      <c r="X703" s="142"/>
      <c r="AD703" s="142"/>
      <c r="AJ703" s="142"/>
      <c r="AP703" s="142"/>
      <c r="AV703" s="142"/>
      <c r="BB703" s="142"/>
      <c r="BH703" s="142"/>
      <c r="BN703" s="142"/>
      <c r="BT703" s="142"/>
      <c r="BZ703" s="142"/>
      <c r="CF703" s="142"/>
      <c r="CL703" s="142"/>
    </row>
    <row r="704">
      <c r="F704" s="142"/>
      <c r="L704" s="142"/>
      <c r="R704" s="142"/>
      <c r="X704" s="142"/>
      <c r="AD704" s="142"/>
      <c r="AJ704" s="142"/>
      <c r="AP704" s="142"/>
      <c r="AV704" s="142"/>
      <c r="BB704" s="142"/>
      <c r="BH704" s="142"/>
      <c r="BN704" s="142"/>
      <c r="BT704" s="142"/>
      <c r="BZ704" s="142"/>
      <c r="CF704" s="142"/>
      <c r="CL704" s="142"/>
    </row>
    <row r="705">
      <c r="F705" s="142"/>
      <c r="L705" s="142"/>
      <c r="R705" s="142"/>
      <c r="X705" s="142"/>
      <c r="AD705" s="142"/>
      <c r="AJ705" s="142"/>
      <c r="AP705" s="142"/>
      <c r="AV705" s="142"/>
      <c r="BB705" s="142"/>
      <c r="BH705" s="142"/>
      <c r="BN705" s="142"/>
      <c r="BT705" s="142"/>
      <c r="BZ705" s="142"/>
      <c r="CF705" s="142"/>
      <c r="CL705" s="142"/>
    </row>
    <row r="706">
      <c r="F706" s="142"/>
      <c r="L706" s="142"/>
      <c r="R706" s="142"/>
      <c r="X706" s="142"/>
      <c r="AD706" s="142"/>
      <c r="AJ706" s="142"/>
      <c r="AP706" s="142"/>
      <c r="AV706" s="142"/>
      <c r="BB706" s="142"/>
      <c r="BH706" s="142"/>
      <c r="BN706" s="142"/>
      <c r="BT706" s="142"/>
      <c r="BZ706" s="142"/>
      <c r="CF706" s="142"/>
      <c r="CL706" s="142"/>
    </row>
    <row r="707">
      <c r="F707" s="142"/>
      <c r="L707" s="142"/>
      <c r="R707" s="142"/>
      <c r="X707" s="142"/>
      <c r="AD707" s="142"/>
      <c r="AJ707" s="142"/>
      <c r="AP707" s="142"/>
      <c r="AV707" s="142"/>
      <c r="BB707" s="142"/>
      <c r="BH707" s="142"/>
      <c r="BN707" s="142"/>
      <c r="BT707" s="142"/>
      <c r="BZ707" s="142"/>
      <c r="CF707" s="142"/>
      <c r="CL707" s="142"/>
    </row>
    <row r="708">
      <c r="F708" s="142"/>
      <c r="L708" s="142"/>
      <c r="R708" s="142"/>
      <c r="X708" s="142"/>
      <c r="AD708" s="142"/>
      <c r="AJ708" s="142"/>
      <c r="AP708" s="142"/>
      <c r="AV708" s="142"/>
      <c r="BB708" s="142"/>
      <c r="BH708" s="142"/>
      <c r="BN708" s="142"/>
      <c r="BT708" s="142"/>
      <c r="BZ708" s="142"/>
      <c r="CF708" s="142"/>
      <c r="CL708" s="142"/>
    </row>
    <row r="709">
      <c r="F709" s="142"/>
      <c r="L709" s="142"/>
      <c r="R709" s="142"/>
      <c r="X709" s="142"/>
      <c r="AD709" s="142"/>
      <c r="AJ709" s="142"/>
      <c r="AP709" s="142"/>
      <c r="AV709" s="142"/>
      <c r="BB709" s="142"/>
      <c r="BH709" s="142"/>
      <c r="BN709" s="142"/>
      <c r="BT709" s="142"/>
      <c r="BZ709" s="142"/>
      <c r="CF709" s="142"/>
      <c r="CL709" s="142"/>
    </row>
    <row r="710">
      <c r="F710" s="142"/>
      <c r="L710" s="142"/>
      <c r="R710" s="142"/>
      <c r="X710" s="142"/>
      <c r="AD710" s="142"/>
      <c r="AJ710" s="142"/>
      <c r="AP710" s="142"/>
      <c r="AV710" s="142"/>
      <c r="BB710" s="142"/>
      <c r="BH710" s="142"/>
      <c r="BN710" s="142"/>
      <c r="BT710" s="142"/>
      <c r="BZ710" s="142"/>
      <c r="CF710" s="142"/>
      <c r="CL710" s="142"/>
    </row>
    <row r="711">
      <c r="F711" s="142"/>
      <c r="L711" s="142"/>
      <c r="R711" s="142"/>
      <c r="X711" s="142"/>
      <c r="AD711" s="142"/>
      <c r="AJ711" s="142"/>
      <c r="AP711" s="142"/>
      <c r="AV711" s="142"/>
      <c r="BB711" s="142"/>
      <c r="BH711" s="142"/>
      <c r="BN711" s="142"/>
      <c r="BT711" s="142"/>
      <c r="BZ711" s="142"/>
      <c r="CF711" s="142"/>
      <c r="CL711" s="142"/>
    </row>
    <row r="712">
      <c r="F712" s="142"/>
      <c r="L712" s="142"/>
      <c r="R712" s="142"/>
      <c r="X712" s="142"/>
      <c r="AD712" s="142"/>
      <c r="AJ712" s="142"/>
      <c r="AP712" s="142"/>
      <c r="AV712" s="142"/>
      <c r="BB712" s="142"/>
      <c r="BH712" s="142"/>
      <c r="BN712" s="142"/>
      <c r="BT712" s="142"/>
      <c r="BZ712" s="142"/>
      <c r="CF712" s="142"/>
      <c r="CL712" s="142"/>
    </row>
    <row r="713">
      <c r="F713" s="142"/>
      <c r="L713" s="142"/>
      <c r="R713" s="142"/>
      <c r="X713" s="142"/>
      <c r="AD713" s="142"/>
      <c r="AJ713" s="142"/>
      <c r="AP713" s="142"/>
      <c r="AV713" s="142"/>
      <c r="BB713" s="142"/>
      <c r="BH713" s="142"/>
      <c r="BN713" s="142"/>
      <c r="BT713" s="142"/>
      <c r="BZ713" s="142"/>
      <c r="CF713" s="142"/>
      <c r="CL713" s="142"/>
    </row>
    <row r="714">
      <c r="F714" s="142"/>
      <c r="L714" s="142"/>
      <c r="R714" s="142"/>
      <c r="X714" s="142"/>
      <c r="AD714" s="142"/>
      <c r="AJ714" s="142"/>
      <c r="AP714" s="142"/>
      <c r="AV714" s="142"/>
      <c r="BB714" s="142"/>
      <c r="BH714" s="142"/>
      <c r="BN714" s="142"/>
      <c r="BT714" s="142"/>
      <c r="BZ714" s="142"/>
      <c r="CF714" s="142"/>
      <c r="CL714" s="142"/>
    </row>
    <row r="715">
      <c r="F715" s="142"/>
      <c r="L715" s="142"/>
      <c r="R715" s="142"/>
      <c r="X715" s="142"/>
      <c r="AD715" s="142"/>
      <c r="AJ715" s="142"/>
      <c r="AP715" s="142"/>
      <c r="AV715" s="142"/>
      <c r="BB715" s="142"/>
      <c r="BH715" s="142"/>
      <c r="BN715" s="142"/>
      <c r="BT715" s="142"/>
      <c r="BZ715" s="142"/>
      <c r="CF715" s="142"/>
      <c r="CL715" s="142"/>
    </row>
    <row r="716">
      <c r="F716" s="142"/>
      <c r="L716" s="142"/>
      <c r="R716" s="142"/>
      <c r="X716" s="142"/>
      <c r="AD716" s="142"/>
      <c r="AJ716" s="142"/>
      <c r="AP716" s="142"/>
      <c r="AV716" s="142"/>
      <c r="BB716" s="142"/>
      <c r="BH716" s="142"/>
      <c r="BN716" s="142"/>
      <c r="BT716" s="142"/>
      <c r="BZ716" s="142"/>
      <c r="CF716" s="142"/>
      <c r="CL716" s="142"/>
    </row>
    <row r="717">
      <c r="F717" s="142"/>
      <c r="L717" s="142"/>
      <c r="R717" s="142"/>
      <c r="X717" s="142"/>
      <c r="AD717" s="142"/>
      <c r="AJ717" s="142"/>
      <c r="AP717" s="142"/>
      <c r="AV717" s="142"/>
      <c r="BB717" s="142"/>
      <c r="BH717" s="142"/>
      <c r="BN717" s="142"/>
      <c r="BT717" s="142"/>
      <c r="BZ717" s="142"/>
      <c r="CF717" s="142"/>
      <c r="CL717" s="142"/>
    </row>
    <row r="718">
      <c r="F718" s="142"/>
      <c r="L718" s="142"/>
      <c r="R718" s="142"/>
      <c r="X718" s="142"/>
      <c r="AD718" s="142"/>
      <c r="AJ718" s="142"/>
      <c r="AP718" s="142"/>
      <c r="AV718" s="142"/>
      <c r="BB718" s="142"/>
      <c r="BH718" s="142"/>
      <c r="BN718" s="142"/>
      <c r="BT718" s="142"/>
      <c r="BZ718" s="142"/>
      <c r="CF718" s="142"/>
      <c r="CL718" s="142"/>
    </row>
    <row r="719">
      <c r="F719" s="142"/>
      <c r="L719" s="142"/>
      <c r="R719" s="142"/>
      <c r="X719" s="142"/>
      <c r="AD719" s="142"/>
      <c r="AJ719" s="142"/>
      <c r="AP719" s="142"/>
      <c r="AV719" s="142"/>
      <c r="BB719" s="142"/>
      <c r="BH719" s="142"/>
      <c r="BN719" s="142"/>
      <c r="BT719" s="142"/>
      <c r="BZ719" s="142"/>
      <c r="CF719" s="142"/>
      <c r="CL719" s="142"/>
    </row>
    <row r="720">
      <c r="F720" s="142"/>
      <c r="L720" s="142"/>
      <c r="R720" s="142"/>
      <c r="X720" s="142"/>
      <c r="AD720" s="142"/>
      <c r="AJ720" s="142"/>
      <c r="AP720" s="142"/>
      <c r="AV720" s="142"/>
      <c r="BB720" s="142"/>
      <c r="BH720" s="142"/>
      <c r="BN720" s="142"/>
      <c r="BT720" s="142"/>
      <c r="BZ720" s="142"/>
      <c r="CF720" s="142"/>
      <c r="CL720" s="142"/>
    </row>
    <row r="721">
      <c r="F721" s="142"/>
      <c r="L721" s="142"/>
      <c r="R721" s="142"/>
      <c r="X721" s="142"/>
      <c r="AD721" s="142"/>
      <c r="AJ721" s="142"/>
      <c r="AP721" s="142"/>
      <c r="AV721" s="142"/>
      <c r="BB721" s="142"/>
      <c r="BH721" s="142"/>
      <c r="BN721" s="142"/>
      <c r="BT721" s="142"/>
      <c r="BZ721" s="142"/>
      <c r="CF721" s="142"/>
      <c r="CL721" s="142"/>
    </row>
    <row r="722">
      <c r="F722" s="142"/>
      <c r="L722" s="142"/>
      <c r="R722" s="142"/>
      <c r="X722" s="142"/>
      <c r="AD722" s="142"/>
      <c r="AJ722" s="142"/>
      <c r="AP722" s="142"/>
      <c r="AV722" s="142"/>
      <c r="BB722" s="142"/>
      <c r="BH722" s="142"/>
      <c r="BN722" s="142"/>
      <c r="BT722" s="142"/>
      <c r="BZ722" s="142"/>
      <c r="CF722" s="142"/>
      <c r="CL722" s="142"/>
    </row>
    <row r="723">
      <c r="F723" s="142"/>
      <c r="L723" s="142"/>
      <c r="R723" s="142"/>
      <c r="X723" s="142"/>
      <c r="AD723" s="142"/>
      <c r="AJ723" s="142"/>
      <c r="AP723" s="142"/>
      <c r="AV723" s="142"/>
      <c r="BB723" s="142"/>
      <c r="BH723" s="142"/>
      <c r="BN723" s="142"/>
      <c r="BT723" s="142"/>
      <c r="BZ723" s="142"/>
      <c r="CF723" s="142"/>
      <c r="CL723" s="142"/>
    </row>
    <row r="724">
      <c r="F724" s="142"/>
      <c r="L724" s="142"/>
      <c r="R724" s="142"/>
      <c r="X724" s="142"/>
      <c r="AD724" s="142"/>
      <c r="AJ724" s="142"/>
      <c r="AP724" s="142"/>
      <c r="AV724" s="142"/>
      <c r="BB724" s="142"/>
      <c r="BH724" s="142"/>
      <c r="BN724" s="142"/>
      <c r="BT724" s="142"/>
      <c r="BZ724" s="142"/>
      <c r="CF724" s="142"/>
      <c r="CL724" s="142"/>
    </row>
    <row r="725">
      <c r="F725" s="142"/>
      <c r="L725" s="142"/>
      <c r="R725" s="142"/>
      <c r="X725" s="142"/>
      <c r="AD725" s="142"/>
      <c r="AJ725" s="142"/>
      <c r="AP725" s="142"/>
      <c r="AV725" s="142"/>
      <c r="BB725" s="142"/>
      <c r="BH725" s="142"/>
      <c r="BN725" s="142"/>
      <c r="BT725" s="142"/>
      <c r="BZ725" s="142"/>
      <c r="CF725" s="142"/>
      <c r="CL725" s="142"/>
    </row>
    <row r="726">
      <c r="F726" s="142"/>
      <c r="L726" s="142"/>
      <c r="R726" s="142"/>
      <c r="X726" s="142"/>
      <c r="AD726" s="142"/>
      <c r="AJ726" s="142"/>
      <c r="AP726" s="142"/>
      <c r="AV726" s="142"/>
      <c r="BB726" s="142"/>
      <c r="BH726" s="142"/>
      <c r="BN726" s="142"/>
      <c r="BT726" s="142"/>
      <c r="BZ726" s="142"/>
      <c r="CF726" s="142"/>
      <c r="CL726" s="142"/>
    </row>
    <row r="727">
      <c r="F727" s="142"/>
      <c r="L727" s="142"/>
      <c r="R727" s="142"/>
      <c r="X727" s="142"/>
      <c r="AD727" s="142"/>
      <c r="AJ727" s="142"/>
      <c r="AP727" s="142"/>
      <c r="AV727" s="142"/>
      <c r="BB727" s="142"/>
      <c r="BH727" s="142"/>
      <c r="BN727" s="142"/>
      <c r="BT727" s="142"/>
      <c r="BZ727" s="142"/>
      <c r="CF727" s="142"/>
      <c r="CL727" s="142"/>
    </row>
    <row r="728">
      <c r="F728" s="142"/>
      <c r="L728" s="142"/>
      <c r="R728" s="142"/>
      <c r="X728" s="142"/>
      <c r="AD728" s="142"/>
      <c r="AJ728" s="142"/>
      <c r="AP728" s="142"/>
      <c r="AV728" s="142"/>
      <c r="BB728" s="142"/>
      <c r="BH728" s="142"/>
      <c r="BN728" s="142"/>
      <c r="BT728" s="142"/>
      <c r="BZ728" s="142"/>
      <c r="CF728" s="142"/>
      <c r="CL728" s="142"/>
    </row>
    <row r="729">
      <c r="F729" s="142"/>
      <c r="L729" s="142"/>
      <c r="R729" s="142"/>
      <c r="X729" s="142"/>
      <c r="AD729" s="142"/>
      <c r="AJ729" s="142"/>
      <c r="AP729" s="142"/>
      <c r="AV729" s="142"/>
      <c r="BB729" s="142"/>
      <c r="BH729" s="142"/>
      <c r="BN729" s="142"/>
      <c r="BT729" s="142"/>
      <c r="BZ729" s="142"/>
      <c r="CF729" s="142"/>
      <c r="CL729" s="142"/>
    </row>
    <row r="730">
      <c r="F730" s="142"/>
      <c r="L730" s="142"/>
      <c r="R730" s="142"/>
      <c r="X730" s="142"/>
      <c r="AD730" s="142"/>
      <c r="AJ730" s="142"/>
      <c r="AP730" s="142"/>
      <c r="AV730" s="142"/>
      <c r="BB730" s="142"/>
      <c r="BH730" s="142"/>
      <c r="BN730" s="142"/>
      <c r="BT730" s="142"/>
      <c r="BZ730" s="142"/>
      <c r="CF730" s="142"/>
      <c r="CL730" s="142"/>
    </row>
    <row r="731">
      <c r="F731" s="142"/>
      <c r="L731" s="142"/>
      <c r="R731" s="142"/>
      <c r="X731" s="142"/>
      <c r="AD731" s="142"/>
      <c r="AJ731" s="142"/>
      <c r="AP731" s="142"/>
      <c r="AV731" s="142"/>
      <c r="BB731" s="142"/>
      <c r="BH731" s="142"/>
      <c r="BN731" s="142"/>
      <c r="BT731" s="142"/>
      <c r="BZ731" s="142"/>
      <c r="CF731" s="142"/>
      <c r="CL731" s="142"/>
    </row>
    <row r="732">
      <c r="F732" s="142"/>
      <c r="L732" s="142"/>
      <c r="R732" s="142"/>
      <c r="X732" s="142"/>
      <c r="AD732" s="142"/>
      <c r="AJ732" s="142"/>
      <c r="AP732" s="142"/>
      <c r="AV732" s="142"/>
      <c r="BB732" s="142"/>
      <c r="BH732" s="142"/>
      <c r="BN732" s="142"/>
      <c r="BT732" s="142"/>
      <c r="BZ732" s="142"/>
      <c r="CF732" s="142"/>
      <c r="CL732" s="142"/>
    </row>
    <row r="733">
      <c r="F733" s="142"/>
      <c r="L733" s="142"/>
      <c r="R733" s="142"/>
      <c r="X733" s="142"/>
      <c r="AD733" s="142"/>
      <c r="AJ733" s="142"/>
      <c r="AP733" s="142"/>
      <c r="AV733" s="142"/>
      <c r="BB733" s="142"/>
      <c r="BH733" s="142"/>
      <c r="BN733" s="142"/>
      <c r="BT733" s="142"/>
      <c r="BZ733" s="142"/>
      <c r="CF733" s="142"/>
      <c r="CL733" s="142"/>
    </row>
    <row r="734">
      <c r="F734" s="142"/>
      <c r="L734" s="142"/>
      <c r="R734" s="142"/>
      <c r="X734" s="142"/>
      <c r="AD734" s="142"/>
      <c r="AJ734" s="142"/>
      <c r="AP734" s="142"/>
      <c r="AV734" s="142"/>
      <c r="BB734" s="142"/>
      <c r="BH734" s="142"/>
      <c r="BN734" s="142"/>
      <c r="BT734" s="142"/>
      <c r="BZ734" s="142"/>
      <c r="CF734" s="142"/>
      <c r="CL734" s="142"/>
    </row>
    <row r="735">
      <c r="F735" s="142"/>
      <c r="L735" s="142"/>
      <c r="R735" s="142"/>
      <c r="X735" s="142"/>
      <c r="AD735" s="142"/>
      <c r="AJ735" s="142"/>
      <c r="AP735" s="142"/>
      <c r="AV735" s="142"/>
      <c r="BB735" s="142"/>
      <c r="BH735" s="142"/>
      <c r="BN735" s="142"/>
      <c r="BT735" s="142"/>
      <c r="BZ735" s="142"/>
      <c r="CF735" s="142"/>
      <c r="CL735" s="142"/>
    </row>
    <row r="736">
      <c r="F736" s="142"/>
      <c r="L736" s="142"/>
      <c r="R736" s="142"/>
      <c r="X736" s="142"/>
      <c r="AD736" s="142"/>
      <c r="AJ736" s="142"/>
      <c r="AP736" s="142"/>
      <c r="AV736" s="142"/>
      <c r="BB736" s="142"/>
      <c r="BH736" s="142"/>
      <c r="BN736" s="142"/>
      <c r="BT736" s="142"/>
      <c r="BZ736" s="142"/>
      <c r="CF736" s="142"/>
      <c r="CL736" s="142"/>
    </row>
    <row r="737">
      <c r="F737" s="142"/>
      <c r="L737" s="142"/>
      <c r="R737" s="142"/>
      <c r="X737" s="142"/>
      <c r="AD737" s="142"/>
      <c r="AJ737" s="142"/>
      <c r="AP737" s="142"/>
      <c r="AV737" s="142"/>
      <c r="BB737" s="142"/>
      <c r="BH737" s="142"/>
      <c r="BN737" s="142"/>
      <c r="BT737" s="142"/>
      <c r="BZ737" s="142"/>
      <c r="CF737" s="142"/>
      <c r="CL737" s="142"/>
    </row>
    <row r="738">
      <c r="F738" s="142"/>
      <c r="L738" s="142"/>
      <c r="R738" s="142"/>
      <c r="X738" s="142"/>
      <c r="AD738" s="142"/>
      <c r="AJ738" s="142"/>
      <c r="AP738" s="142"/>
      <c r="AV738" s="142"/>
      <c r="BB738" s="142"/>
      <c r="BH738" s="142"/>
      <c r="BN738" s="142"/>
      <c r="BT738" s="142"/>
      <c r="BZ738" s="142"/>
      <c r="CF738" s="142"/>
      <c r="CL738" s="142"/>
    </row>
    <row r="739">
      <c r="F739" s="142"/>
      <c r="L739" s="142"/>
      <c r="R739" s="142"/>
      <c r="X739" s="142"/>
      <c r="AD739" s="142"/>
      <c r="AJ739" s="142"/>
      <c r="AP739" s="142"/>
      <c r="AV739" s="142"/>
      <c r="BB739" s="142"/>
      <c r="BH739" s="142"/>
      <c r="BN739" s="142"/>
      <c r="BT739" s="142"/>
      <c r="BZ739" s="142"/>
      <c r="CF739" s="142"/>
      <c r="CL739" s="142"/>
    </row>
    <row r="740">
      <c r="F740" s="142"/>
      <c r="L740" s="142"/>
      <c r="R740" s="142"/>
      <c r="X740" s="142"/>
      <c r="AD740" s="142"/>
      <c r="AJ740" s="142"/>
      <c r="AP740" s="142"/>
      <c r="AV740" s="142"/>
      <c r="BB740" s="142"/>
      <c r="BH740" s="142"/>
      <c r="BN740" s="142"/>
      <c r="BT740" s="142"/>
      <c r="BZ740" s="142"/>
      <c r="CF740" s="142"/>
      <c r="CL740" s="142"/>
    </row>
    <row r="741">
      <c r="F741" s="142"/>
      <c r="L741" s="142"/>
      <c r="R741" s="142"/>
      <c r="X741" s="142"/>
      <c r="AD741" s="142"/>
      <c r="AJ741" s="142"/>
      <c r="AP741" s="142"/>
      <c r="AV741" s="142"/>
      <c r="BB741" s="142"/>
      <c r="BH741" s="142"/>
      <c r="BN741" s="142"/>
      <c r="BT741" s="142"/>
      <c r="BZ741" s="142"/>
      <c r="CF741" s="142"/>
      <c r="CL741" s="142"/>
    </row>
    <row r="742">
      <c r="F742" s="142"/>
      <c r="L742" s="142"/>
      <c r="R742" s="142"/>
      <c r="X742" s="142"/>
      <c r="AD742" s="142"/>
      <c r="AJ742" s="142"/>
      <c r="AP742" s="142"/>
      <c r="AV742" s="142"/>
      <c r="BB742" s="142"/>
      <c r="BH742" s="142"/>
      <c r="BN742" s="142"/>
      <c r="BT742" s="142"/>
      <c r="BZ742" s="142"/>
      <c r="CF742" s="142"/>
      <c r="CL742" s="142"/>
    </row>
    <row r="743">
      <c r="F743" s="142"/>
      <c r="L743" s="142"/>
      <c r="R743" s="142"/>
      <c r="X743" s="142"/>
      <c r="AD743" s="142"/>
      <c r="AJ743" s="142"/>
      <c r="AP743" s="142"/>
      <c r="AV743" s="142"/>
      <c r="BB743" s="142"/>
      <c r="BH743" s="142"/>
      <c r="BN743" s="142"/>
      <c r="BT743" s="142"/>
      <c r="BZ743" s="142"/>
      <c r="CF743" s="142"/>
      <c r="CL743" s="142"/>
    </row>
    <row r="744">
      <c r="F744" s="142"/>
      <c r="L744" s="142"/>
      <c r="R744" s="142"/>
      <c r="X744" s="142"/>
      <c r="AD744" s="142"/>
      <c r="AJ744" s="142"/>
      <c r="AP744" s="142"/>
      <c r="AV744" s="142"/>
      <c r="BB744" s="142"/>
      <c r="BH744" s="142"/>
      <c r="BN744" s="142"/>
      <c r="BT744" s="142"/>
      <c r="BZ744" s="142"/>
      <c r="CF744" s="142"/>
      <c r="CL744" s="142"/>
    </row>
    <row r="745">
      <c r="F745" s="142"/>
      <c r="L745" s="142"/>
      <c r="R745" s="142"/>
      <c r="X745" s="142"/>
      <c r="AD745" s="142"/>
      <c r="AJ745" s="142"/>
      <c r="AP745" s="142"/>
      <c r="AV745" s="142"/>
      <c r="BB745" s="142"/>
      <c r="BH745" s="142"/>
      <c r="BN745" s="142"/>
      <c r="BT745" s="142"/>
      <c r="BZ745" s="142"/>
      <c r="CF745" s="142"/>
      <c r="CL745" s="142"/>
    </row>
    <row r="746">
      <c r="F746" s="142"/>
      <c r="L746" s="142"/>
      <c r="R746" s="142"/>
      <c r="X746" s="142"/>
      <c r="AD746" s="142"/>
      <c r="AJ746" s="142"/>
      <c r="AP746" s="142"/>
      <c r="AV746" s="142"/>
      <c r="BB746" s="142"/>
      <c r="BH746" s="142"/>
      <c r="BN746" s="142"/>
      <c r="BT746" s="142"/>
      <c r="BZ746" s="142"/>
      <c r="CF746" s="142"/>
      <c r="CL746" s="142"/>
    </row>
    <row r="747">
      <c r="F747" s="142"/>
      <c r="L747" s="142"/>
      <c r="R747" s="142"/>
      <c r="X747" s="142"/>
      <c r="AD747" s="142"/>
      <c r="AJ747" s="142"/>
      <c r="AP747" s="142"/>
      <c r="AV747" s="142"/>
      <c r="BB747" s="142"/>
      <c r="BH747" s="142"/>
      <c r="BN747" s="142"/>
      <c r="BT747" s="142"/>
      <c r="BZ747" s="142"/>
      <c r="CF747" s="142"/>
      <c r="CL747" s="142"/>
    </row>
    <row r="748">
      <c r="F748" s="142"/>
      <c r="L748" s="142"/>
      <c r="R748" s="142"/>
      <c r="X748" s="142"/>
      <c r="AD748" s="142"/>
      <c r="AJ748" s="142"/>
      <c r="AP748" s="142"/>
      <c r="AV748" s="142"/>
      <c r="BB748" s="142"/>
      <c r="BH748" s="142"/>
      <c r="BN748" s="142"/>
      <c r="BT748" s="142"/>
      <c r="BZ748" s="142"/>
      <c r="CF748" s="142"/>
      <c r="CL748" s="142"/>
    </row>
    <row r="749">
      <c r="F749" s="142"/>
      <c r="L749" s="142"/>
      <c r="R749" s="142"/>
      <c r="X749" s="142"/>
      <c r="AD749" s="142"/>
      <c r="AJ749" s="142"/>
      <c r="AP749" s="142"/>
      <c r="AV749" s="142"/>
      <c r="BB749" s="142"/>
      <c r="BH749" s="142"/>
      <c r="BN749" s="142"/>
      <c r="BT749" s="142"/>
      <c r="BZ749" s="142"/>
      <c r="CF749" s="142"/>
      <c r="CL749" s="142"/>
    </row>
    <row r="750">
      <c r="F750" s="142"/>
      <c r="L750" s="142"/>
      <c r="R750" s="142"/>
      <c r="X750" s="142"/>
      <c r="AD750" s="142"/>
      <c r="AJ750" s="142"/>
      <c r="AP750" s="142"/>
      <c r="AV750" s="142"/>
      <c r="BB750" s="142"/>
      <c r="BH750" s="142"/>
      <c r="BN750" s="142"/>
      <c r="BT750" s="142"/>
      <c r="BZ750" s="142"/>
      <c r="CF750" s="142"/>
      <c r="CL750" s="142"/>
    </row>
    <row r="751">
      <c r="F751" s="142"/>
      <c r="L751" s="142"/>
      <c r="R751" s="142"/>
      <c r="X751" s="142"/>
      <c r="AD751" s="142"/>
      <c r="AJ751" s="142"/>
      <c r="AP751" s="142"/>
      <c r="AV751" s="142"/>
      <c r="BB751" s="142"/>
      <c r="BH751" s="142"/>
      <c r="BN751" s="142"/>
      <c r="BT751" s="142"/>
      <c r="BZ751" s="142"/>
      <c r="CF751" s="142"/>
      <c r="CL751" s="142"/>
    </row>
    <row r="752">
      <c r="F752" s="142"/>
      <c r="L752" s="142"/>
      <c r="R752" s="142"/>
      <c r="X752" s="142"/>
      <c r="AD752" s="142"/>
      <c r="AJ752" s="142"/>
      <c r="AP752" s="142"/>
      <c r="AV752" s="142"/>
      <c r="BB752" s="142"/>
      <c r="BH752" s="142"/>
      <c r="BN752" s="142"/>
      <c r="BT752" s="142"/>
      <c r="BZ752" s="142"/>
      <c r="CF752" s="142"/>
      <c r="CL752" s="142"/>
    </row>
    <row r="753">
      <c r="F753" s="142"/>
      <c r="L753" s="142"/>
      <c r="R753" s="142"/>
      <c r="X753" s="142"/>
      <c r="AD753" s="142"/>
      <c r="AJ753" s="142"/>
      <c r="AP753" s="142"/>
      <c r="AV753" s="142"/>
      <c r="BB753" s="142"/>
      <c r="BH753" s="142"/>
      <c r="BN753" s="142"/>
      <c r="BT753" s="142"/>
      <c r="BZ753" s="142"/>
      <c r="CF753" s="142"/>
      <c r="CL753" s="142"/>
    </row>
    <row r="754">
      <c r="F754" s="142"/>
      <c r="L754" s="142"/>
      <c r="R754" s="142"/>
      <c r="X754" s="142"/>
      <c r="AD754" s="142"/>
      <c r="AJ754" s="142"/>
      <c r="AP754" s="142"/>
      <c r="AV754" s="142"/>
      <c r="BB754" s="142"/>
      <c r="BH754" s="142"/>
      <c r="BN754" s="142"/>
      <c r="BT754" s="142"/>
      <c r="BZ754" s="142"/>
      <c r="CF754" s="142"/>
      <c r="CL754" s="142"/>
    </row>
    <row r="755">
      <c r="F755" s="142"/>
      <c r="L755" s="142"/>
      <c r="R755" s="142"/>
      <c r="X755" s="142"/>
      <c r="AD755" s="142"/>
      <c r="AJ755" s="142"/>
      <c r="AP755" s="142"/>
      <c r="AV755" s="142"/>
      <c r="BB755" s="142"/>
      <c r="BH755" s="142"/>
      <c r="BN755" s="142"/>
      <c r="BT755" s="142"/>
      <c r="BZ755" s="142"/>
      <c r="CF755" s="142"/>
      <c r="CL755" s="142"/>
    </row>
    <row r="756">
      <c r="F756" s="142"/>
      <c r="L756" s="142"/>
      <c r="R756" s="142"/>
      <c r="X756" s="142"/>
      <c r="AD756" s="142"/>
      <c r="AJ756" s="142"/>
      <c r="AP756" s="142"/>
      <c r="AV756" s="142"/>
      <c r="BB756" s="142"/>
      <c r="BH756" s="142"/>
      <c r="BN756" s="142"/>
      <c r="BT756" s="142"/>
      <c r="BZ756" s="142"/>
      <c r="CF756" s="142"/>
      <c r="CL756" s="142"/>
    </row>
    <row r="757">
      <c r="F757" s="142"/>
      <c r="L757" s="142"/>
      <c r="R757" s="142"/>
      <c r="X757" s="142"/>
      <c r="AD757" s="142"/>
      <c r="AJ757" s="142"/>
      <c r="AP757" s="142"/>
      <c r="AV757" s="142"/>
      <c r="BB757" s="142"/>
      <c r="BH757" s="142"/>
      <c r="BN757" s="142"/>
      <c r="BT757" s="142"/>
      <c r="BZ757" s="142"/>
      <c r="CF757" s="142"/>
      <c r="CL757" s="142"/>
    </row>
    <row r="758">
      <c r="F758" s="142"/>
      <c r="L758" s="142"/>
      <c r="R758" s="142"/>
      <c r="X758" s="142"/>
      <c r="AD758" s="142"/>
      <c r="AJ758" s="142"/>
      <c r="AP758" s="142"/>
      <c r="AV758" s="142"/>
      <c r="BB758" s="142"/>
      <c r="BH758" s="142"/>
      <c r="BN758" s="142"/>
      <c r="BT758" s="142"/>
      <c r="BZ758" s="142"/>
      <c r="CF758" s="142"/>
      <c r="CL758" s="142"/>
    </row>
    <row r="759">
      <c r="F759" s="142"/>
      <c r="L759" s="142"/>
      <c r="R759" s="142"/>
      <c r="X759" s="142"/>
      <c r="AD759" s="142"/>
      <c r="AJ759" s="142"/>
      <c r="AP759" s="142"/>
      <c r="AV759" s="142"/>
      <c r="BB759" s="142"/>
      <c r="BH759" s="142"/>
      <c r="BN759" s="142"/>
      <c r="BT759" s="142"/>
      <c r="BZ759" s="142"/>
      <c r="CF759" s="142"/>
      <c r="CL759" s="142"/>
    </row>
    <row r="760">
      <c r="F760" s="142"/>
      <c r="L760" s="142"/>
      <c r="R760" s="142"/>
      <c r="X760" s="142"/>
      <c r="AD760" s="142"/>
      <c r="AJ760" s="142"/>
      <c r="AP760" s="142"/>
      <c r="AV760" s="142"/>
      <c r="BB760" s="142"/>
      <c r="BH760" s="142"/>
      <c r="BN760" s="142"/>
      <c r="BT760" s="142"/>
      <c r="BZ760" s="142"/>
      <c r="CF760" s="142"/>
      <c r="CL760" s="142"/>
    </row>
    <row r="761">
      <c r="F761" s="142"/>
      <c r="L761" s="142"/>
      <c r="R761" s="142"/>
      <c r="X761" s="142"/>
      <c r="AD761" s="142"/>
      <c r="AJ761" s="142"/>
      <c r="AP761" s="142"/>
      <c r="AV761" s="142"/>
      <c r="BB761" s="142"/>
      <c r="BH761" s="142"/>
      <c r="BN761" s="142"/>
      <c r="BT761" s="142"/>
      <c r="BZ761" s="142"/>
      <c r="CF761" s="142"/>
      <c r="CL761" s="142"/>
    </row>
    <row r="762">
      <c r="F762" s="142"/>
      <c r="L762" s="142"/>
      <c r="R762" s="142"/>
      <c r="X762" s="142"/>
      <c r="AD762" s="142"/>
      <c r="AJ762" s="142"/>
      <c r="AP762" s="142"/>
      <c r="AV762" s="142"/>
      <c r="BB762" s="142"/>
      <c r="BH762" s="142"/>
      <c r="BN762" s="142"/>
      <c r="BT762" s="142"/>
      <c r="BZ762" s="142"/>
      <c r="CF762" s="142"/>
      <c r="CL762" s="142"/>
    </row>
    <row r="763">
      <c r="F763" s="142"/>
      <c r="L763" s="142"/>
      <c r="R763" s="142"/>
      <c r="X763" s="142"/>
      <c r="AD763" s="142"/>
      <c r="AJ763" s="142"/>
      <c r="AP763" s="142"/>
      <c r="AV763" s="142"/>
      <c r="BB763" s="142"/>
      <c r="BH763" s="142"/>
      <c r="BN763" s="142"/>
      <c r="BT763" s="142"/>
      <c r="BZ763" s="142"/>
      <c r="CF763" s="142"/>
      <c r="CL763" s="142"/>
    </row>
    <row r="764">
      <c r="F764" s="142"/>
      <c r="L764" s="142"/>
      <c r="R764" s="142"/>
      <c r="X764" s="142"/>
      <c r="AD764" s="142"/>
      <c r="AJ764" s="142"/>
      <c r="AP764" s="142"/>
      <c r="AV764" s="142"/>
      <c r="BB764" s="142"/>
      <c r="BH764" s="142"/>
      <c r="BN764" s="142"/>
      <c r="BT764" s="142"/>
      <c r="BZ764" s="142"/>
      <c r="CF764" s="142"/>
      <c r="CL764" s="142"/>
    </row>
    <row r="765">
      <c r="F765" s="142"/>
      <c r="L765" s="142"/>
      <c r="R765" s="142"/>
      <c r="X765" s="142"/>
      <c r="AD765" s="142"/>
      <c r="AJ765" s="142"/>
      <c r="AP765" s="142"/>
      <c r="AV765" s="142"/>
      <c r="BB765" s="142"/>
      <c r="BH765" s="142"/>
      <c r="BN765" s="142"/>
      <c r="BT765" s="142"/>
      <c r="BZ765" s="142"/>
      <c r="CF765" s="142"/>
      <c r="CL765" s="142"/>
    </row>
    <row r="766">
      <c r="F766" s="142"/>
      <c r="L766" s="142"/>
      <c r="R766" s="142"/>
      <c r="X766" s="142"/>
      <c r="AD766" s="142"/>
      <c r="AJ766" s="142"/>
      <c r="AP766" s="142"/>
      <c r="AV766" s="142"/>
      <c r="BB766" s="142"/>
      <c r="BH766" s="142"/>
      <c r="BN766" s="142"/>
      <c r="BT766" s="142"/>
      <c r="BZ766" s="142"/>
      <c r="CF766" s="142"/>
      <c r="CL766" s="142"/>
    </row>
    <row r="767">
      <c r="F767" s="142"/>
      <c r="L767" s="142"/>
      <c r="R767" s="142"/>
      <c r="X767" s="142"/>
      <c r="AD767" s="142"/>
      <c r="AJ767" s="142"/>
      <c r="AP767" s="142"/>
      <c r="AV767" s="142"/>
      <c r="BB767" s="142"/>
      <c r="BH767" s="142"/>
      <c r="BN767" s="142"/>
      <c r="BT767" s="142"/>
      <c r="BZ767" s="142"/>
      <c r="CF767" s="142"/>
      <c r="CL767" s="142"/>
    </row>
    <row r="768">
      <c r="F768" s="142"/>
      <c r="L768" s="142"/>
      <c r="R768" s="142"/>
      <c r="X768" s="142"/>
      <c r="AD768" s="142"/>
      <c r="AJ768" s="142"/>
      <c r="AP768" s="142"/>
      <c r="AV768" s="142"/>
      <c r="BB768" s="142"/>
      <c r="BH768" s="142"/>
      <c r="BN768" s="142"/>
      <c r="BT768" s="142"/>
      <c r="BZ768" s="142"/>
      <c r="CF768" s="142"/>
      <c r="CL768" s="142"/>
    </row>
    <row r="769">
      <c r="F769" s="142"/>
      <c r="L769" s="142"/>
      <c r="R769" s="142"/>
      <c r="X769" s="142"/>
      <c r="AD769" s="142"/>
      <c r="AJ769" s="142"/>
      <c r="AP769" s="142"/>
      <c r="AV769" s="142"/>
      <c r="BB769" s="142"/>
      <c r="BH769" s="142"/>
      <c r="BN769" s="142"/>
      <c r="BT769" s="142"/>
      <c r="BZ769" s="142"/>
      <c r="CF769" s="142"/>
      <c r="CL769" s="142"/>
    </row>
    <row r="770">
      <c r="F770" s="142"/>
      <c r="L770" s="142"/>
      <c r="R770" s="142"/>
      <c r="X770" s="142"/>
      <c r="AD770" s="142"/>
      <c r="AJ770" s="142"/>
      <c r="AP770" s="142"/>
      <c r="AV770" s="142"/>
      <c r="BB770" s="142"/>
      <c r="BH770" s="142"/>
      <c r="BN770" s="142"/>
      <c r="BT770" s="142"/>
      <c r="BZ770" s="142"/>
      <c r="CF770" s="142"/>
      <c r="CL770" s="142"/>
    </row>
    <row r="771">
      <c r="F771" s="142"/>
      <c r="L771" s="142"/>
      <c r="R771" s="142"/>
      <c r="X771" s="142"/>
      <c r="AD771" s="142"/>
      <c r="AJ771" s="142"/>
      <c r="AP771" s="142"/>
      <c r="AV771" s="142"/>
      <c r="BB771" s="142"/>
      <c r="BH771" s="142"/>
      <c r="BN771" s="142"/>
      <c r="BT771" s="142"/>
      <c r="BZ771" s="142"/>
      <c r="CF771" s="142"/>
      <c r="CL771" s="142"/>
    </row>
    <row r="772">
      <c r="F772" s="142"/>
      <c r="L772" s="142"/>
      <c r="R772" s="142"/>
      <c r="X772" s="142"/>
      <c r="AD772" s="142"/>
      <c r="AJ772" s="142"/>
      <c r="AP772" s="142"/>
      <c r="AV772" s="142"/>
      <c r="BB772" s="142"/>
      <c r="BH772" s="142"/>
      <c r="BN772" s="142"/>
      <c r="BT772" s="142"/>
      <c r="BZ772" s="142"/>
      <c r="CF772" s="142"/>
      <c r="CL772" s="142"/>
    </row>
    <row r="773">
      <c r="F773" s="142"/>
      <c r="L773" s="142"/>
      <c r="R773" s="142"/>
      <c r="X773" s="142"/>
      <c r="AD773" s="142"/>
      <c r="AJ773" s="142"/>
      <c r="AP773" s="142"/>
      <c r="AV773" s="142"/>
      <c r="BB773" s="142"/>
      <c r="BH773" s="142"/>
      <c r="BN773" s="142"/>
      <c r="BT773" s="142"/>
      <c r="BZ773" s="142"/>
      <c r="CF773" s="142"/>
      <c r="CL773" s="142"/>
    </row>
    <row r="774">
      <c r="F774" s="142"/>
      <c r="L774" s="142"/>
      <c r="R774" s="142"/>
      <c r="X774" s="142"/>
      <c r="AD774" s="142"/>
      <c r="AJ774" s="142"/>
      <c r="AP774" s="142"/>
      <c r="AV774" s="142"/>
      <c r="BB774" s="142"/>
      <c r="BH774" s="142"/>
      <c r="BN774" s="142"/>
      <c r="BT774" s="142"/>
      <c r="BZ774" s="142"/>
      <c r="CF774" s="142"/>
      <c r="CL774" s="142"/>
    </row>
    <row r="775">
      <c r="F775" s="142"/>
      <c r="L775" s="142"/>
      <c r="R775" s="142"/>
      <c r="X775" s="142"/>
      <c r="AD775" s="142"/>
      <c r="AJ775" s="142"/>
      <c r="AP775" s="142"/>
      <c r="AV775" s="142"/>
      <c r="BB775" s="142"/>
      <c r="BH775" s="142"/>
      <c r="BN775" s="142"/>
      <c r="BT775" s="142"/>
      <c r="BZ775" s="142"/>
      <c r="CF775" s="142"/>
      <c r="CL775" s="142"/>
    </row>
    <row r="776">
      <c r="F776" s="142"/>
      <c r="L776" s="142"/>
      <c r="R776" s="142"/>
      <c r="X776" s="142"/>
      <c r="AD776" s="142"/>
      <c r="AJ776" s="142"/>
      <c r="AP776" s="142"/>
      <c r="AV776" s="142"/>
      <c r="BB776" s="142"/>
      <c r="BH776" s="142"/>
      <c r="BN776" s="142"/>
      <c r="BT776" s="142"/>
      <c r="BZ776" s="142"/>
      <c r="CF776" s="142"/>
      <c r="CL776" s="142"/>
    </row>
    <row r="777">
      <c r="F777" s="142"/>
      <c r="L777" s="142"/>
      <c r="R777" s="142"/>
      <c r="X777" s="142"/>
      <c r="AD777" s="142"/>
      <c r="AJ777" s="142"/>
      <c r="AP777" s="142"/>
      <c r="AV777" s="142"/>
      <c r="BB777" s="142"/>
      <c r="BH777" s="142"/>
      <c r="BN777" s="142"/>
      <c r="BT777" s="142"/>
      <c r="BZ777" s="142"/>
      <c r="CF777" s="142"/>
      <c r="CL777" s="142"/>
    </row>
    <row r="778">
      <c r="F778" s="142"/>
      <c r="L778" s="142"/>
      <c r="R778" s="142"/>
      <c r="X778" s="142"/>
      <c r="AD778" s="142"/>
      <c r="AJ778" s="142"/>
      <c r="AP778" s="142"/>
      <c r="AV778" s="142"/>
      <c r="BB778" s="142"/>
      <c r="BH778" s="142"/>
      <c r="BN778" s="142"/>
      <c r="BT778" s="142"/>
      <c r="BZ778" s="142"/>
      <c r="CF778" s="142"/>
      <c r="CL778" s="142"/>
    </row>
    <row r="779">
      <c r="F779" s="142"/>
      <c r="L779" s="142"/>
      <c r="R779" s="142"/>
      <c r="X779" s="142"/>
      <c r="AD779" s="142"/>
      <c r="AJ779" s="142"/>
      <c r="AP779" s="142"/>
      <c r="AV779" s="142"/>
      <c r="BB779" s="142"/>
      <c r="BH779" s="142"/>
      <c r="BN779" s="142"/>
      <c r="BT779" s="142"/>
      <c r="BZ779" s="142"/>
      <c r="CF779" s="142"/>
      <c r="CL779" s="142"/>
    </row>
    <row r="780">
      <c r="F780" s="142"/>
      <c r="L780" s="142"/>
      <c r="R780" s="142"/>
      <c r="X780" s="142"/>
      <c r="AD780" s="142"/>
      <c r="AJ780" s="142"/>
      <c r="AP780" s="142"/>
      <c r="AV780" s="142"/>
      <c r="BB780" s="142"/>
      <c r="BH780" s="142"/>
      <c r="BN780" s="142"/>
      <c r="BT780" s="142"/>
      <c r="BZ780" s="142"/>
      <c r="CF780" s="142"/>
      <c r="CL780" s="142"/>
    </row>
    <row r="781">
      <c r="F781" s="142"/>
      <c r="L781" s="142"/>
      <c r="R781" s="142"/>
      <c r="X781" s="142"/>
      <c r="AD781" s="142"/>
      <c r="AJ781" s="142"/>
      <c r="AP781" s="142"/>
      <c r="AV781" s="142"/>
      <c r="BB781" s="142"/>
      <c r="BH781" s="142"/>
      <c r="BN781" s="142"/>
      <c r="BT781" s="142"/>
      <c r="BZ781" s="142"/>
      <c r="CF781" s="142"/>
      <c r="CL781" s="142"/>
    </row>
    <row r="782">
      <c r="F782" s="142"/>
      <c r="L782" s="142"/>
      <c r="R782" s="142"/>
      <c r="X782" s="142"/>
      <c r="AD782" s="142"/>
      <c r="AJ782" s="142"/>
      <c r="AP782" s="142"/>
      <c r="AV782" s="142"/>
      <c r="BB782" s="142"/>
      <c r="BH782" s="142"/>
      <c r="BN782" s="142"/>
      <c r="BT782" s="142"/>
      <c r="BZ782" s="142"/>
      <c r="CF782" s="142"/>
      <c r="CL782" s="142"/>
    </row>
    <row r="783">
      <c r="F783" s="142"/>
      <c r="L783" s="142"/>
      <c r="R783" s="142"/>
      <c r="X783" s="142"/>
      <c r="AD783" s="142"/>
      <c r="AJ783" s="142"/>
      <c r="AP783" s="142"/>
      <c r="AV783" s="142"/>
      <c r="BB783" s="142"/>
      <c r="BH783" s="142"/>
      <c r="BN783" s="142"/>
      <c r="BT783" s="142"/>
      <c r="BZ783" s="142"/>
      <c r="CF783" s="142"/>
      <c r="CL783" s="142"/>
    </row>
    <row r="784">
      <c r="F784" s="142"/>
      <c r="L784" s="142"/>
      <c r="R784" s="142"/>
      <c r="X784" s="142"/>
      <c r="AD784" s="142"/>
      <c r="AJ784" s="142"/>
      <c r="AP784" s="142"/>
      <c r="AV784" s="142"/>
      <c r="BB784" s="142"/>
      <c r="BH784" s="142"/>
      <c r="BN784" s="142"/>
      <c r="BT784" s="142"/>
      <c r="BZ784" s="142"/>
      <c r="CF784" s="142"/>
      <c r="CL784" s="142"/>
    </row>
    <row r="785">
      <c r="F785" s="142"/>
      <c r="L785" s="142"/>
      <c r="R785" s="142"/>
      <c r="X785" s="142"/>
      <c r="AD785" s="142"/>
      <c r="AJ785" s="142"/>
      <c r="AP785" s="142"/>
      <c r="AV785" s="142"/>
      <c r="BB785" s="142"/>
      <c r="BH785" s="142"/>
      <c r="BN785" s="142"/>
      <c r="BT785" s="142"/>
      <c r="BZ785" s="142"/>
      <c r="CF785" s="142"/>
      <c r="CL785" s="142"/>
    </row>
    <row r="786">
      <c r="F786" s="142"/>
      <c r="L786" s="142"/>
      <c r="R786" s="142"/>
      <c r="X786" s="142"/>
      <c r="AD786" s="142"/>
      <c r="AJ786" s="142"/>
      <c r="AP786" s="142"/>
      <c r="AV786" s="142"/>
      <c r="BB786" s="142"/>
      <c r="BH786" s="142"/>
      <c r="BN786" s="142"/>
      <c r="BT786" s="142"/>
      <c r="BZ786" s="142"/>
      <c r="CF786" s="142"/>
      <c r="CL786" s="142"/>
    </row>
    <row r="787">
      <c r="F787" s="142"/>
      <c r="L787" s="142"/>
      <c r="R787" s="142"/>
      <c r="X787" s="142"/>
      <c r="AD787" s="142"/>
      <c r="AJ787" s="142"/>
      <c r="AP787" s="142"/>
      <c r="AV787" s="142"/>
      <c r="BB787" s="142"/>
      <c r="BH787" s="142"/>
      <c r="BN787" s="142"/>
      <c r="BT787" s="142"/>
      <c r="BZ787" s="142"/>
      <c r="CF787" s="142"/>
      <c r="CL787" s="142"/>
    </row>
    <row r="788">
      <c r="F788" s="142"/>
      <c r="L788" s="142"/>
      <c r="R788" s="142"/>
      <c r="X788" s="142"/>
      <c r="AD788" s="142"/>
      <c r="AJ788" s="142"/>
      <c r="AP788" s="142"/>
      <c r="AV788" s="142"/>
      <c r="BB788" s="142"/>
      <c r="BH788" s="142"/>
      <c r="BN788" s="142"/>
      <c r="BT788" s="142"/>
      <c r="BZ788" s="142"/>
      <c r="CF788" s="142"/>
      <c r="CL788" s="142"/>
    </row>
    <row r="789">
      <c r="F789" s="142"/>
      <c r="L789" s="142"/>
      <c r="R789" s="142"/>
      <c r="X789" s="142"/>
      <c r="AD789" s="142"/>
      <c r="AJ789" s="142"/>
      <c r="AP789" s="142"/>
      <c r="AV789" s="142"/>
      <c r="BB789" s="142"/>
      <c r="BH789" s="142"/>
      <c r="BN789" s="142"/>
      <c r="BT789" s="142"/>
      <c r="BZ789" s="142"/>
      <c r="CF789" s="142"/>
      <c r="CL789" s="142"/>
    </row>
    <row r="790">
      <c r="F790" s="142"/>
      <c r="L790" s="142"/>
      <c r="R790" s="142"/>
      <c r="X790" s="142"/>
      <c r="AD790" s="142"/>
      <c r="AJ790" s="142"/>
      <c r="AP790" s="142"/>
      <c r="AV790" s="142"/>
      <c r="BB790" s="142"/>
      <c r="BH790" s="142"/>
      <c r="BN790" s="142"/>
      <c r="BT790" s="142"/>
      <c r="BZ790" s="142"/>
      <c r="CF790" s="142"/>
      <c r="CL790" s="142"/>
    </row>
    <row r="791">
      <c r="F791" s="142"/>
      <c r="L791" s="142"/>
      <c r="R791" s="142"/>
      <c r="X791" s="142"/>
      <c r="AD791" s="142"/>
      <c r="AJ791" s="142"/>
      <c r="AP791" s="142"/>
      <c r="AV791" s="142"/>
      <c r="BB791" s="142"/>
      <c r="BH791" s="142"/>
      <c r="BN791" s="142"/>
      <c r="BT791" s="142"/>
      <c r="BZ791" s="142"/>
      <c r="CF791" s="142"/>
      <c r="CL791" s="142"/>
    </row>
    <row r="792">
      <c r="F792" s="142"/>
      <c r="L792" s="142"/>
      <c r="R792" s="142"/>
      <c r="X792" s="142"/>
      <c r="AD792" s="142"/>
      <c r="AJ792" s="142"/>
      <c r="AP792" s="142"/>
      <c r="AV792" s="142"/>
      <c r="BB792" s="142"/>
      <c r="BH792" s="142"/>
      <c r="BN792" s="142"/>
      <c r="BT792" s="142"/>
      <c r="BZ792" s="142"/>
      <c r="CF792" s="142"/>
      <c r="CL792" s="142"/>
    </row>
    <row r="793">
      <c r="F793" s="142"/>
      <c r="L793" s="142"/>
      <c r="R793" s="142"/>
      <c r="X793" s="142"/>
      <c r="AD793" s="142"/>
      <c r="AJ793" s="142"/>
      <c r="AP793" s="142"/>
      <c r="AV793" s="142"/>
      <c r="BB793" s="142"/>
      <c r="BH793" s="142"/>
      <c r="BN793" s="142"/>
      <c r="BT793" s="142"/>
      <c r="BZ793" s="142"/>
      <c r="CF793" s="142"/>
      <c r="CL793" s="142"/>
    </row>
    <row r="794">
      <c r="F794" s="142"/>
      <c r="L794" s="142"/>
      <c r="R794" s="142"/>
      <c r="X794" s="142"/>
      <c r="AD794" s="142"/>
      <c r="AJ794" s="142"/>
      <c r="AP794" s="142"/>
      <c r="AV794" s="142"/>
      <c r="BB794" s="142"/>
      <c r="BH794" s="142"/>
      <c r="BN794" s="142"/>
      <c r="BT794" s="142"/>
      <c r="BZ794" s="142"/>
      <c r="CF794" s="142"/>
      <c r="CL794" s="142"/>
    </row>
    <row r="795">
      <c r="F795" s="142"/>
      <c r="L795" s="142"/>
      <c r="R795" s="142"/>
      <c r="X795" s="142"/>
      <c r="AD795" s="142"/>
      <c r="AJ795" s="142"/>
      <c r="AP795" s="142"/>
      <c r="AV795" s="142"/>
      <c r="BB795" s="142"/>
      <c r="BH795" s="142"/>
      <c r="BN795" s="142"/>
      <c r="BT795" s="142"/>
      <c r="BZ795" s="142"/>
      <c r="CF795" s="142"/>
      <c r="CL795" s="142"/>
    </row>
    <row r="796">
      <c r="F796" s="142"/>
      <c r="L796" s="142"/>
      <c r="R796" s="142"/>
      <c r="X796" s="142"/>
      <c r="AD796" s="142"/>
      <c r="AJ796" s="142"/>
      <c r="AP796" s="142"/>
      <c r="AV796" s="142"/>
      <c r="BB796" s="142"/>
      <c r="BH796" s="142"/>
      <c r="BN796" s="142"/>
      <c r="BT796" s="142"/>
      <c r="BZ796" s="142"/>
      <c r="CF796" s="142"/>
      <c r="CL796" s="142"/>
    </row>
    <row r="797">
      <c r="F797" s="142"/>
      <c r="L797" s="142"/>
      <c r="R797" s="142"/>
      <c r="X797" s="142"/>
      <c r="AD797" s="142"/>
      <c r="AJ797" s="142"/>
      <c r="AP797" s="142"/>
      <c r="AV797" s="142"/>
      <c r="BB797" s="142"/>
      <c r="BH797" s="142"/>
      <c r="BN797" s="142"/>
      <c r="BT797" s="142"/>
      <c r="BZ797" s="142"/>
      <c r="CF797" s="142"/>
      <c r="CL797" s="142"/>
    </row>
    <row r="798">
      <c r="F798" s="142"/>
      <c r="L798" s="142"/>
      <c r="R798" s="142"/>
      <c r="X798" s="142"/>
      <c r="AD798" s="142"/>
      <c r="AJ798" s="142"/>
      <c r="AP798" s="142"/>
      <c r="AV798" s="142"/>
      <c r="BB798" s="142"/>
      <c r="BH798" s="142"/>
      <c r="BN798" s="142"/>
      <c r="BT798" s="142"/>
      <c r="BZ798" s="142"/>
      <c r="CF798" s="142"/>
      <c r="CL798" s="142"/>
    </row>
    <row r="799">
      <c r="F799" s="142"/>
      <c r="L799" s="142"/>
      <c r="R799" s="142"/>
      <c r="X799" s="142"/>
      <c r="AD799" s="142"/>
      <c r="AJ799" s="142"/>
      <c r="AP799" s="142"/>
      <c r="AV799" s="142"/>
      <c r="BB799" s="142"/>
      <c r="BH799" s="142"/>
      <c r="BN799" s="142"/>
      <c r="BT799" s="142"/>
      <c r="BZ799" s="142"/>
      <c r="CF799" s="142"/>
      <c r="CL799" s="142"/>
    </row>
    <row r="800">
      <c r="F800" s="142"/>
      <c r="L800" s="142"/>
      <c r="R800" s="142"/>
      <c r="X800" s="142"/>
      <c r="AD800" s="142"/>
      <c r="AJ800" s="142"/>
      <c r="AP800" s="142"/>
      <c r="AV800" s="142"/>
      <c r="BB800" s="142"/>
      <c r="BH800" s="142"/>
      <c r="BN800" s="142"/>
      <c r="BT800" s="142"/>
      <c r="BZ800" s="142"/>
      <c r="CF800" s="142"/>
      <c r="CL800" s="142"/>
    </row>
    <row r="801">
      <c r="F801" s="142"/>
      <c r="L801" s="142"/>
      <c r="R801" s="142"/>
      <c r="X801" s="142"/>
      <c r="AD801" s="142"/>
      <c r="AJ801" s="142"/>
      <c r="AP801" s="142"/>
      <c r="AV801" s="142"/>
      <c r="BB801" s="142"/>
      <c r="BH801" s="142"/>
      <c r="BN801" s="142"/>
      <c r="BT801" s="142"/>
      <c r="BZ801" s="142"/>
      <c r="CF801" s="142"/>
      <c r="CL801" s="142"/>
    </row>
    <row r="802">
      <c r="F802" s="142"/>
      <c r="L802" s="142"/>
      <c r="R802" s="142"/>
      <c r="X802" s="142"/>
      <c r="AD802" s="142"/>
      <c r="AJ802" s="142"/>
      <c r="AP802" s="142"/>
      <c r="AV802" s="142"/>
      <c r="BB802" s="142"/>
      <c r="BH802" s="142"/>
      <c r="BN802" s="142"/>
      <c r="BT802" s="142"/>
      <c r="BZ802" s="142"/>
      <c r="CF802" s="142"/>
      <c r="CL802" s="142"/>
    </row>
    <row r="803">
      <c r="F803" s="142"/>
      <c r="L803" s="142"/>
      <c r="R803" s="142"/>
      <c r="X803" s="142"/>
      <c r="AD803" s="142"/>
      <c r="AJ803" s="142"/>
      <c r="AP803" s="142"/>
      <c r="AV803" s="142"/>
      <c r="BB803" s="142"/>
      <c r="BH803" s="142"/>
      <c r="BN803" s="142"/>
      <c r="BT803" s="142"/>
      <c r="BZ803" s="142"/>
      <c r="CF803" s="142"/>
      <c r="CL803" s="142"/>
    </row>
    <row r="804">
      <c r="F804" s="142"/>
      <c r="L804" s="142"/>
      <c r="R804" s="142"/>
      <c r="X804" s="142"/>
      <c r="AD804" s="142"/>
      <c r="AJ804" s="142"/>
      <c r="AP804" s="142"/>
      <c r="AV804" s="142"/>
      <c r="BB804" s="142"/>
      <c r="BH804" s="142"/>
      <c r="BN804" s="142"/>
      <c r="BT804" s="142"/>
      <c r="BZ804" s="142"/>
      <c r="CF804" s="142"/>
      <c r="CL804" s="142"/>
    </row>
    <row r="805">
      <c r="F805" s="142"/>
      <c r="L805" s="142"/>
      <c r="R805" s="142"/>
      <c r="X805" s="142"/>
      <c r="AD805" s="142"/>
      <c r="AJ805" s="142"/>
      <c r="AP805" s="142"/>
      <c r="AV805" s="142"/>
      <c r="BB805" s="142"/>
      <c r="BH805" s="142"/>
      <c r="BN805" s="142"/>
      <c r="BT805" s="142"/>
      <c r="BZ805" s="142"/>
      <c r="CF805" s="142"/>
      <c r="CL805" s="142"/>
    </row>
    <row r="806">
      <c r="F806" s="142"/>
      <c r="L806" s="142"/>
      <c r="R806" s="142"/>
      <c r="X806" s="142"/>
      <c r="AD806" s="142"/>
      <c r="AJ806" s="142"/>
      <c r="AP806" s="142"/>
      <c r="AV806" s="142"/>
      <c r="BB806" s="142"/>
      <c r="BH806" s="142"/>
      <c r="BN806" s="142"/>
      <c r="BT806" s="142"/>
      <c r="BZ806" s="142"/>
      <c r="CF806" s="142"/>
      <c r="CL806" s="142"/>
    </row>
    <row r="807">
      <c r="F807" s="142"/>
      <c r="L807" s="142"/>
      <c r="R807" s="142"/>
      <c r="X807" s="142"/>
      <c r="AD807" s="142"/>
      <c r="AJ807" s="142"/>
      <c r="AP807" s="142"/>
      <c r="AV807" s="142"/>
      <c r="BB807" s="142"/>
      <c r="BH807" s="142"/>
      <c r="BN807" s="142"/>
      <c r="BT807" s="142"/>
      <c r="BZ807" s="142"/>
      <c r="CF807" s="142"/>
      <c r="CL807" s="142"/>
    </row>
    <row r="808">
      <c r="F808" s="142"/>
      <c r="L808" s="142"/>
      <c r="R808" s="142"/>
      <c r="X808" s="142"/>
      <c r="AD808" s="142"/>
      <c r="AJ808" s="142"/>
      <c r="AP808" s="142"/>
      <c r="AV808" s="142"/>
      <c r="BB808" s="142"/>
      <c r="BH808" s="142"/>
      <c r="BN808" s="142"/>
      <c r="BT808" s="142"/>
      <c r="BZ808" s="142"/>
      <c r="CF808" s="142"/>
      <c r="CL808" s="142"/>
    </row>
    <row r="809">
      <c r="F809" s="142"/>
      <c r="L809" s="142"/>
      <c r="R809" s="142"/>
      <c r="X809" s="142"/>
      <c r="AD809" s="142"/>
      <c r="AJ809" s="142"/>
      <c r="AP809" s="142"/>
      <c r="AV809" s="142"/>
      <c r="BB809" s="142"/>
      <c r="BH809" s="142"/>
      <c r="BN809" s="142"/>
      <c r="BT809" s="142"/>
      <c r="BZ809" s="142"/>
      <c r="CF809" s="142"/>
      <c r="CL809" s="142"/>
    </row>
    <row r="810">
      <c r="F810" s="142"/>
      <c r="L810" s="142"/>
      <c r="R810" s="142"/>
      <c r="X810" s="142"/>
      <c r="AD810" s="142"/>
      <c r="AJ810" s="142"/>
      <c r="AP810" s="142"/>
      <c r="AV810" s="142"/>
      <c r="BB810" s="142"/>
      <c r="BH810" s="142"/>
      <c r="BN810" s="142"/>
      <c r="BT810" s="142"/>
      <c r="BZ810" s="142"/>
      <c r="CF810" s="142"/>
      <c r="CL810" s="142"/>
    </row>
    <row r="811">
      <c r="F811" s="142"/>
      <c r="L811" s="142"/>
      <c r="R811" s="142"/>
      <c r="X811" s="142"/>
      <c r="AD811" s="142"/>
      <c r="AJ811" s="142"/>
      <c r="AP811" s="142"/>
      <c r="AV811" s="142"/>
      <c r="BB811" s="142"/>
      <c r="BH811" s="142"/>
      <c r="BN811" s="142"/>
      <c r="BT811" s="142"/>
      <c r="BZ811" s="142"/>
      <c r="CF811" s="142"/>
      <c r="CL811" s="142"/>
    </row>
    <row r="812">
      <c r="F812" s="142"/>
      <c r="L812" s="142"/>
      <c r="R812" s="142"/>
      <c r="X812" s="142"/>
      <c r="AD812" s="142"/>
      <c r="AJ812" s="142"/>
      <c r="AP812" s="142"/>
      <c r="AV812" s="142"/>
      <c r="BB812" s="142"/>
      <c r="BH812" s="142"/>
      <c r="BN812" s="142"/>
      <c r="BT812" s="142"/>
      <c r="BZ812" s="142"/>
      <c r="CF812" s="142"/>
      <c r="CL812" s="142"/>
    </row>
    <row r="813">
      <c r="F813" s="142"/>
      <c r="L813" s="142"/>
      <c r="R813" s="142"/>
      <c r="X813" s="142"/>
      <c r="AD813" s="142"/>
      <c r="AJ813" s="142"/>
      <c r="AP813" s="142"/>
      <c r="AV813" s="142"/>
      <c r="BB813" s="142"/>
      <c r="BH813" s="142"/>
      <c r="BN813" s="142"/>
      <c r="BT813" s="142"/>
      <c r="BZ813" s="142"/>
      <c r="CF813" s="142"/>
      <c r="CL813" s="142"/>
    </row>
    <row r="814">
      <c r="F814" s="142"/>
      <c r="L814" s="142"/>
      <c r="R814" s="142"/>
      <c r="X814" s="142"/>
      <c r="AD814" s="142"/>
      <c r="AJ814" s="142"/>
      <c r="AP814" s="142"/>
      <c r="AV814" s="142"/>
      <c r="BB814" s="142"/>
      <c r="BH814" s="142"/>
      <c r="BN814" s="142"/>
      <c r="BT814" s="142"/>
      <c r="BZ814" s="142"/>
      <c r="CF814" s="142"/>
      <c r="CL814" s="142"/>
    </row>
    <row r="815">
      <c r="F815" s="142"/>
      <c r="L815" s="142"/>
      <c r="R815" s="142"/>
      <c r="X815" s="142"/>
      <c r="AD815" s="142"/>
      <c r="AJ815" s="142"/>
      <c r="AP815" s="142"/>
      <c r="AV815" s="142"/>
      <c r="BB815" s="142"/>
      <c r="BH815" s="142"/>
      <c r="BN815" s="142"/>
      <c r="BT815" s="142"/>
      <c r="BZ815" s="142"/>
      <c r="CF815" s="142"/>
      <c r="CL815" s="142"/>
    </row>
    <row r="816">
      <c r="F816" s="142"/>
      <c r="L816" s="142"/>
      <c r="R816" s="142"/>
      <c r="X816" s="142"/>
      <c r="AD816" s="142"/>
      <c r="AJ816" s="142"/>
      <c r="AP816" s="142"/>
      <c r="AV816" s="142"/>
      <c r="BB816" s="142"/>
      <c r="BH816" s="142"/>
      <c r="BN816" s="142"/>
      <c r="BT816" s="142"/>
      <c r="BZ816" s="142"/>
      <c r="CF816" s="142"/>
      <c r="CL816" s="142"/>
    </row>
    <row r="817">
      <c r="F817" s="142"/>
      <c r="L817" s="142"/>
      <c r="R817" s="142"/>
      <c r="X817" s="142"/>
      <c r="AD817" s="142"/>
      <c r="AJ817" s="142"/>
      <c r="AP817" s="142"/>
      <c r="AV817" s="142"/>
      <c r="BB817" s="142"/>
      <c r="BH817" s="142"/>
      <c r="BN817" s="142"/>
      <c r="BT817" s="142"/>
      <c r="BZ817" s="142"/>
      <c r="CF817" s="142"/>
      <c r="CL817" s="142"/>
    </row>
    <row r="818">
      <c r="F818" s="142"/>
      <c r="L818" s="142"/>
      <c r="R818" s="142"/>
      <c r="X818" s="142"/>
      <c r="AD818" s="142"/>
      <c r="AJ818" s="142"/>
      <c r="AP818" s="142"/>
      <c r="AV818" s="142"/>
      <c r="BB818" s="142"/>
      <c r="BH818" s="142"/>
      <c r="BN818" s="142"/>
      <c r="BT818" s="142"/>
      <c r="BZ818" s="142"/>
      <c r="CF818" s="142"/>
      <c r="CL818" s="142"/>
    </row>
    <row r="819">
      <c r="F819" s="142"/>
      <c r="L819" s="142"/>
      <c r="R819" s="142"/>
      <c r="X819" s="142"/>
      <c r="AD819" s="142"/>
      <c r="AJ819" s="142"/>
      <c r="AP819" s="142"/>
      <c r="AV819" s="142"/>
      <c r="BB819" s="142"/>
      <c r="BH819" s="142"/>
      <c r="BN819" s="142"/>
      <c r="BT819" s="142"/>
      <c r="BZ819" s="142"/>
      <c r="CF819" s="142"/>
      <c r="CL819" s="142"/>
    </row>
    <row r="820">
      <c r="F820" s="142"/>
      <c r="L820" s="142"/>
      <c r="R820" s="142"/>
      <c r="X820" s="142"/>
      <c r="AD820" s="142"/>
      <c r="AJ820" s="142"/>
      <c r="AP820" s="142"/>
      <c r="AV820" s="142"/>
      <c r="BB820" s="142"/>
      <c r="BH820" s="142"/>
      <c r="BN820" s="142"/>
      <c r="BT820" s="142"/>
      <c r="BZ820" s="142"/>
      <c r="CF820" s="142"/>
      <c r="CL820" s="142"/>
    </row>
    <row r="821">
      <c r="F821" s="142"/>
      <c r="L821" s="142"/>
      <c r="R821" s="142"/>
      <c r="X821" s="142"/>
      <c r="AD821" s="142"/>
      <c r="AJ821" s="142"/>
      <c r="AP821" s="142"/>
      <c r="AV821" s="142"/>
      <c r="BB821" s="142"/>
      <c r="BH821" s="142"/>
      <c r="BN821" s="142"/>
      <c r="BT821" s="142"/>
      <c r="BZ821" s="142"/>
      <c r="CF821" s="142"/>
      <c r="CL821" s="142"/>
    </row>
    <row r="822">
      <c r="F822" s="142"/>
      <c r="L822" s="142"/>
      <c r="R822" s="142"/>
      <c r="X822" s="142"/>
      <c r="AD822" s="142"/>
      <c r="AJ822" s="142"/>
      <c r="AP822" s="142"/>
      <c r="AV822" s="142"/>
      <c r="BB822" s="142"/>
      <c r="BH822" s="142"/>
      <c r="BN822" s="142"/>
      <c r="BT822" s="142"/>
      <c r="BZ822" s="142"/>
      <c r="CF822" s="142"/>
      <c r="CL822" s="142"/>
    </row>
    <row r="823">
      <c r="F823" s="142"/>
      <c r="L823" s="142"/>
      <c r="R823" s="142"/>
      <c r="X823" s="142"/>
      <c r="AD823" s="142"/>
      <c r="AJ823" s="142"/>
      <c r="AP823" s="142"/>
      <c r="AV823" s="142"/>
      <c r="BB823" s="142"/>
      <c r="BH823" s="142"/>
      <c r="BN823" s="142"/>
      <c r="BT823" s="142"/>
      <c r="BZ823" s="142"/>
      <c r="CF823" s="142"/>
      <c r="CL823" s="142"/>
    </row>
    <row r="824">
      <c r="F824" s="142"/>
      <c r="L824" s="142"/>
      <c r="R824" s="142"/>
      <c r="X824" s="142"/>
      <c r="AD824" s="142"/>
      <c r="AJ824" s="142"/>
      <c r="AP824" s="142"/>
      <c r="AV824" s="142"/>
      <c r="BB824" s="142"/>
      <c r="BH824" s="142"/>
      <c r="BN824" s="142"/>
      <c r="BT824" s="142"/>
      <c r="BZ824" s="142"/>
      <c r="CF824" s="142"/>
      <c r="CL824" s="142"/>
    </row>
    <row r="825">
      <c r="F825" s="142"/>
      <c r="L825" s="142"/>
      <c r="R825" s="142"/>
      <c r="X825" s="142"/>
      <c r="AD825" s="142"/>
      <c r="AJ825" s="142"/>
      <c r="AP825" s="142"/>
      <c r="AV825" s="142"/>
      <c r="BB825" s="142"/>
      <c r="BH825" s="142"/>
      <c r="BN825" s="142"/>
      <c r="BT825" s="142"/>
      <c r="BZ825" s="142"/>
      <c r="CF825" s="142"/>
      <c r="CL825" s="142"/>
    </row>
    <row r="826">
      <c r="F826" s="142"/>
      <c r="L826" s="142"/>
      <c r="R826" s="142"/>
      <c r="X826" s="142"/>
      <c r="AD826" s="142"/>
      <c r="AJ826" s="142"/>
      <c r="AP826" s="142"/>
      <c r="AV826" s="142"/>
      <c r="BB826" s="142"/>
      <c r="BH826" s="142"/>
      <c r="BN826" s="142"/>
      <c r="BT826" s="142"/>
      <c r="BZ826" s="142"/>
      <c r="CF826" s="142"/>
      <c r="CL826" s="142"/>
    </row>
    <row r="827">
      <c r="F827" s="142"/>
      <c r="L827" s="142"/>
      <c r="R827" s="142"/>
      <c r="X827" s="142"/>
      <c r="AD827" s="142"/>
      <c r="AJ827" s="142"/>
      <c r="AP827" s="142"/>
      <c r="AV827" s="142"/>
      <c r="BB827" s="142"/>
      <c r="BH827" s="142"/>
      <c r="BN827" s="142"/>
      <c r="BT827" s="142"/>
      <c r="BZ827" s="142"/>
      <c r="CF827" s="142"/>
      <c r="CL827" s="142"/>
    </row>
    <row r="828">
      <c r="F828" s="142"/>
      <c r="L828" s="142"/>
      <c r="R828" s="142"/>
      <c r="X828" s="142"/>
      <c r="AD828" s="142"/>
      <c r="AJ828" s="142"/>
      <c r="AP828" s="142"/>
      <c r="AV828" s="142"/>
      <c r="BB828" s="142"/>
      <c r="BH828" s="142"/>
      <c r="BN828" s="142"/>
      <c r="BT828" s="142"/>
      <c r="BZ828" s="142"/>
      <c r="CF828" s="142"/>
      <c r="CL828" s="142"/>
    </row>
    <row r="829">
      <c r="F829" s="142"/>
      <c r="L829" s="142"/>
      <c r="R829" s="142"/>
      <c r="X829" s="142"/>
      <c r="AD829" s="142"/>
      <c r="AJ829" s="142"/>
      <c r="AP829" s="142"/>
      <c r="AV829" s="142"/>
      <c r="BB829" s="142"/>
      <c r="BH829" s="142"/>
      <c r="BN829" s="142"/>
      <c r="BT829" s="142"/>
      <c r="BZ829" s="142"/>
      <c r="CF829" s="142"/>
      <c r="CL829" s="142"/>
    </row>
    <row r="830">
      <c r="F830" s="142"/>
      <c r="L830" s="142"/>
      <c r="R830" s="142"/>
      <c r="X830" s="142"/>
      <c r="AD830" s="142"/>
      <c r="AJ830" s="142"/>
      <c r="AP830" s="142"/>
      <c r="AV830" s="142"/>
      <c r="BB830" s="142"/>
      <c r="BH830" s="142"/>
      <c r="BN830" s="142"/>
      <c r="BT830" s="142"/>
      <c r="BZ830" s="142"/>
      <c r="CF830" s="142"/>
      <c r="CL830" s="142"/>
    </row>
    <row r="831">
      <c r="F831" s="142"/>
      <c r="L831" s="142"/>
      <c r="R831" s="142"/>
      <c r="X831" s="142"/>
      <c r="AD831" s="142"/>
      <c r="AJ831" s="142"/>
      <c r="AP831" s="142"/>
      <c r="AV831" s="142"/>
      <c r="BB831" s="142"/>
      <c r="BH831" s="142"/>
      <c r="BN831" s="142"/>
      <c r="BT831" s="142"/>
      <c r="BZ831" s="142"/>
      <c r="CF831" s="142"/>
      <c r="CL831" s="142"/>
    </row>
    <row r="832">
      <c r="F832" s="142"/>
      <c r="L832" s="142"/>
      <c r="R832" s="142"/>
      <c r="X832" s="142"/>
      <c r="AD832" s="142"/>
      <c r="AJ832" s="142"/>
      <c r="AP832" s="142"/>
      <c r="AV832" s="142"/>
      <c r="BB832" s="142"/>
      <c r="BH832" s="142"/>
      <c r="BN832" s="142"/>
      <c r="BT832" s="142"/>
      <c r="BZ832" s="142"/>
      <c r="CF832" s="142"/>
      <c r="CL832" s="142"/>
    </row>
    <row r="833">
      <c r="F833" s="142"/>
      <c r="L833" s="142"/>
      <c r="R833" s="142"/>
      <c r="X833" s="142"/>
      <c r="AD833" s="142"/>
      <c r="AJ833" s="142"/>
      <c r="AP833" s="142"/>
      <c r="AV833" s="142"/>
      <c r="BB833" s="142"/>
      <c r="BH833" s="142"/>
      <c r="BN833" s="142"/>
      <c r="BT833" s="142"/>
      <c r="BZ833" s="142"/>
      <c r="CF833" s="142"/>
      <c r="CL833" s="142"/>
    </row>
    <row r="834">
      <c r="F834" s="142"/>
      <c r="L834" s="142"/>
      <c r="R834" s="142"/>
      <c r="X834" s="142"/>
      <c r="AD834" s="142"/>
      <c r="AJ834" s="142"/>
      <c r="AP834" s="142"/>
      <c r="AV834" s="142"/>
      <c r="BB834" s="142"/>
      <c r="BH834" s="142"/>
      <c r="BN834" s="142"/>
      <c r="BT834" s="142"/>
      <c r="BZ834" s="142"/>
      <c r="CF834" s="142"/>
      <c r="CL834" s="142"/>
    </row>
    <row r="835">
      <c r="F835" s="142"/>
      <c r="L835" s="142"/>
      <c r="R835" s="142"/>
      <c r="X835" s="142"/>
      <c r="AD835" s="142"/>
      <c r="AJ835" s="142"/>
      <c r="AP835" s="142"/>
      <c r="AV835" s="142"/>
      <c r="BB835" s="142"/>
      <c r="BH835" s="142"/>
      <c r="BN835" s="142"/>
      <c r="BT835" s="142"/>
      <c r="BZ835" s="142"/>
      <c r="CF835" s="142"/>
      <c r="CL835" s="142"/>
    </row>
    <row r="836">
      <c r="F836" s="142"/>
      <c r="L836" s="142"/>
      <c r="R836" s="142"/>
      <c r="X836" s="142"/>
      <c r="AD836" s="142"/>
      <c r="AJ836" s="142"/>
      <c r="AP836" s="142"/>
      <c r="AV836" s="142"/>
      <c r="BB836" s="142"/>
      <c r="BH836" s="142"/>
      <c r="BN836" s="142"/>
      <c r="BT836" s="142"/>
      <c r="BZ836" s="142"/>
      <c r="CF836" s="142"/>
      <c r="CL836" s="142"/>
    </row>
    <row r="837">
      <c r="F837" s="142"/>
      <c r="L837" s="142"/>
      <c r="R837" s="142"/>
      <c r="X837" s="142"/>
      <c r="AD837" s="142"/>
      <c r="AJ837" s="142"/>
      <c r="AP837" s="142"/>
      <c r="AV837" s="142"/>
      <c r="BB837" s="142"/>
      <c r="BH837" s="142"/>
      <c r="BN837" s="142"/>
      <c r="BT837" s="142"/>
      <c r="BZ837" s="142"/>
      <c r="CF837" s="142"/>
      <c r="CL837" s="142"/>
    </row>
    <row r="838">
      <c r="F838" s="142"/>
      <c r="L838" s="142"/>
      <c r="R838" s="142"/>
      <c r="X838" s="142"/>
      <c r="AD838" s="142"/>
      <c r="AJ838" s="142"/>
      <c r="AP838" s="142"/>
      <c r="AV838" s="142"/>
      <c r="BB838" s="142"/>
      <c r="BH838" s="142"/>
      <c r="BN838" s="142"/>
      <c r="BT838" s="142"/>
      <c r="BZ838" s="142"/>
      <c r="CF838" s="142"/>
      <c r="CL838" s="142"/>
    </row>
    <row r="839">
      <c r="F839" s="142"/>
      <c r="L839" s="142"/>
      <c r="R839" s="142"/>
      <c r="X839" s="142"/>
      <c r="AD839" s="142"/>
      <c r="AJ839" s="142"/>
      <c r="AP839" s="142"/>
      <c r="AV839" s="142"/>
      <c r="BB839" s="142"/>
      <c r="BH839" s="142"/>
      <c r="BN839" s="142"/>
      <c r="BT839" s="142"/>
      <c r="BZ839" s="142"/>
      <c r="CF839" s="142"/>
      <c r="CL839" s="142"/>
    </row>
    <row r="840">
      <c r="F840" s="142"/>
      <c r="L840" s="142"/>
      <c r="R840" s="142"/>
      <c r="X840" s="142"/>
      <c r="AD840" s="142"/>
      <c r="AJ840" s="142"/>
      <c r="AP840" s="142"/>
      <c r="AV840" s="142"/>
      <c r="BB840" s="142"/>
      <c r="BH840" s="142"/>
      <c r="BN840" s="142"/>
      <c r="BT840" s="142"/>
      <c r="BZ840" s="142"/>
      <c r="CF840" s="142"/>
      <c r="CL840" s="142"/>
    </row>
    <row r="841">
      <c r="F841" s="142"/>
      <c r="L841" s="142"/>
      <c r="R841" s="142"/>
      <c r="X841" s="142"/>
      <c r="AD841" s="142"/>
      <c r="AJ841" s="142"/>
      <c r="AP841" s="142"/>
      <c r="AV841" s="142"/>
      <c r="BB841" s="142"/>
      <c r="BH841" s="142"/>
      <c r="BN841" s="142"/>
      <c r="BT841" s="142"/>
      <c r="BZ841" s="142"/>
      <c r="CF841" s="142"/>
      <c r="CL841" s="142"/>
    </row>
    <row r="842">
      <c r="F842" s="142"/>
      <c r="L842" s="142"/>
      <c r="R842" s="142"/>
      <c r="X842" s="142"/>
      <c r="AD842" s="142"/>
      <c r="AJ842" s="142"/>
      <c r="AP842" s="142"/>
      <c r="AV842" s="142"/>
      <c r="BB842" s="142"/>
      <c r="BH842" s="142"/>
      <c r="BN842" s="142"/>
      <c r="BT842" s="142"/>
      <c r="BZ842" s="142"/>
      <c r="CF842" s="142"/>
      <c r="CL842" s="142"/>
    </row>
    <row r="843">
      <c r="F843" s="142"/>
      <c r="L843" s="142"/>
      <c r="R843" s="142"/>
      <c r="X843" s="142"/>
      <c r="AD843" s="142"/>
      <c r="AJ843" s="142"/>
      <c r="AP843" s="142"/>
      <c r="AV843" s="142"/>
      <c r="BB843" s="142"/>
      <c r="BH843" s="142"/>
      <c r="BN843" s="142"/>
      <c r="BT843" s="142"/>
      <c r="BZ843" s="142"/>
      <c r="CF843" s="142"/>
      <c r="CL843" s="142"/>
    </row>
    <row r="844">
      <c r="F844" s="142"/>
      <c r="L844" s="142"/>
      <c r="R844" s="142"/>
      <c r="X844" s="142"/>
      <c r="AD844" s="142"/>
      <c r="AJ844" s="142"/>
      <c r="AP844" s="142"/>
      <c r="AV844" s="142"/>
      <c r="BB844" s="142"/>
      <c r="BH844" s="142"/>
      <c r="BN844" s="142"/>
      <c r="BT844" s="142"/>
      <c r="BZ844" s="142"/>
      <c r="CF844" s="142"/>
      <c r="CL844" s="142"/>
    </row>
    <row r="845">
      <c r="F845" s="142"/>
      <c r="L845" s="142"/>
      <c r="R845" s="142"/>
      <c r="X845" s="142"/>
      <c r="AD845" s="142"/>
      <c r="AJ845" s="142"/>
      <c r="AP845" s="142"/>
      <c r="AV845" s="142"/>
      <c r="BB845" s="142"/>
      <c r="BH845" s="142"/>
      <c r="BN845" s="142"/>
      <c r="BT845" s="142"/>
      <c r="BZ845" s="142"/>
      <c r="CF845" s="142"/>
      <c r="CL845" s="142"/>
    </row>
    <row r="846">
      <c r="F846" s="142"/>
      <c r="L846" s="142"/>
      <c r="R846" s="142"/>
      <c r="X846" s="142"/>
      <c r="AD846" s="142"/>
      <c r="AJ846" s="142"/>
      <c r="AP846" s="142"/>
      <c r="AV846" s="142"/>
      <c r="BB846" s="142"/>
      <c r="BH846" s="142"/>
      <c r="BN846" s="142"/>
      <c r="BT846" s="142"/>
      <c r="BZ846" s="142"/>
      <c r="CF846" s="142"/>
      <c r="CL846" s="142"/>
    </row>
    <row r="847">
      <c r="F847" s="142"/>
      <c r="L847" s="142"/>
      <c r="R847" s="142"/>
      <c r="X847" s="142"/>
      <c r="AD847" s="142"/>
      <c r="AJ847" s="142"/>
      <c r="AP847" s="142"/>
      <c r="AV847" s="142"/>
      <c r="BB847" s="142"/>
      <c r="BH847" s="142"/>
      <c r="BN847" s="142"/>
      <c r="BT847" s="142"/>
      <c r="BZ847" s="142"/>
      <c r="CF847" s="142"/>
      <c r="CL847" s="142"/>
    </row>
    <row r="848">
      <c r="F848" s="142"/>
      <c r="L848" s="142"/>
      <c r="R848" s="142"/>
      <c r="X848" s="142"/>
      <c r="AD848" s="142"/>
      <c r="AJ848" s="142"/>
      <c r="AP848" s="142"/>
      <c r="AV848" s="142"/>
      <c r="BB848" s="142"/>
      <c r="BH848" s="142"/>
      <c r="BN848" s="142"/>
      <c r="BT848" s="142"/>
      <c r="BZ848" s="142"/>
      <c r="CF848" s="142"/>
      <c r="CL848" s="142"/>
    </row>
    <row r="849">
      <c r="F849" s="142"/>
      <c r="L849" s="142"/>
      <c r="R849" s="142"/>
      <c r="X849" s="142"/>
      <c r="AD849" s="142"/>
      <c r="AJ849" s="142"/>
      <c r="AP849" s="142"/>
      <c r="AV849" s="142"/>
      <c r="BB849" s="142"/>
      <c r="BH849" s="142"/>
      <c r="BN849" s="142"/>
      <c r="BT849" s="142"/>
      <c r="BZ849" s="142"/>
      <c r="CF849" s="142"/>
      <c r="CL849" s="142"/>
    </row>
    <row r="850">
      <c r="F850" s="142"/>
      <c r="L850" s="142"/>
      <c r="R850" s="142"/>
      <c r="X850" s="142"/>
      <c r="AD850" s="142"/>
      <c r="AJ850" s="142"/>
      <c r="AP850" s="142"/>
      <c r="AV850" s="142"/>
      <c r="BB850" s="142"/>
      <c r="BH850" s="142"/>
      <c r="BN850" s="142"/>
      <c r="BT850" s="142"/>
      <c r="BZ850" s="142"/>
      <c r="CF850" s="142"/>
      <c r="CL850" s="142"/>
    </row>
    <row r="851">
      <c r="F851" s="142"/>
      <c r="L851" s="142"/>
      <c r="R851" s="142"/>
      <c r="X851" s="142"/>
      <c r="AD851" s="142"/>
      <c r="AJ851" s="142"/>
      <c r="AP851" s="142"/>
      <c r="AV851" s="142"/>
      <c r="BB851" s="142"/>
      <c r="BH851" s="142"/>
      <c r="BN851" s="142"/>
      <c r="BT851" s="142"/>
      <c r="BZ851" s="142"/>
      <c r="CF851" s="142"/>
      <c r="CL851" s="142"/>
    </row>
    <row r="852">
      <c r="F852" s="142"/>
      <c r="L852" s="142"/>
      <c r="R852" s="142"/>
      <c r="X852" s="142"/>
      <c r="AD852" s="142"/>
      <c r="AJ852" s="142"/>
      <c r="AP852" s="142"/>
      <c r="AV852" s="142"/>
      <c r="BB852" s="142"/>
      <c r="BH852" s="142"/>
      <c r="BN852" s="142"/>
      <c r="BT852" s="142"/>
      <c r="BZ852" s="142"/>
      <c r="CF852" s="142"/>
      <c r="CL852" s="142"/>
    </row>
    <row r="853">
      <c r="F853" s="142"/>
      <c r="L853" s="142"/>
      <c r="R853" s="142"/>
      <c r="X853" s="142"/>
      <c r="AD853" s="142"/>
      <c r="AJ853" s="142"/>
      <c r="AP853" s="142"/>
      <c r="AV853" s="142"/>
      <c r="BB853" s="142"/>
      <c r="BH853" s="142"/>
      <c r="BN853" s="142"/>
      <c r="BT853" s="142"/>
      <c r="BZ853" s="142"/>
      <c r="CF853" s="142"/>
      <c r="CL853" s="142"/>
    </row>
    <row r="854">
      <c r="F854" s="142"/>
      <c r="L854" s="142"/>
      <c r="R854" s="142"/>
      <c r="X854" s="142"/>
      <c r="AD854" s="142"/>
      <c r="AJ854" s="142"/>
      <c r="AP854" s="142"/>
      <c r="AV854" s="142"/>
      <c r="BB854" s="142"/>
      <c r="BH854" s="142"/>
      <c r="BN854" s="142"/>
      <c r="BT854" s="142"/>
      <c r="BZ854" s="142"/>
      <c r="CF854" s="142"/>
      <c r="CL854" s="142"/>
    </row>
    <row r="855">
      <c r="F855" s="142"/>
      <c r="L855" s="142"/>
      <c r="R855" s="142"/>
      <c r="X855" s="142"/>
      <c r="AD855" s="142"/>
      <c r="AJ855" s="142"/>
      <c r="AP855" s="142"/>
      <c r="AV855" s="142"/>
      <c r="BB855" s="142"/>
      <c r="BH855" s="142"/>
      <c r="BN855" s="142"/>
      <c r="BT855" s="142"/>
      <c r="BZ855" s="142"/>
      <c r="CF855" s="142"/>
      <c r="CL855" s="142"/>
    </row>
    <row r="856">
      <c r="F856" s="142"/>
      <c r="L856" s="142"/>
      <c r="R856" s="142"/>
      <c r="X856" s="142"/>
      <c r="AD856" s="142"/>
      <c r="AJ856" s="142"/>
      <c r="AP856" s="142"/>
      <c r="AV856" s="142"/>
      <c r="BB856" s="142"/>
      <c r="BH856" s="142"/>
      <c r="BN856" s="142"/>
      <c r="BT856" s="142"/>
      <c r="BZ856" s="142"/>
      <c r="CF856" s="142"/>
      <c r="CL856" s="142"/>
    </row>
    <row r="857">
      <c r="F857" s="142"/>
      <c r="L857" s="142"/>
      <c r="R857" s="142"/>
      <c r="X857" s="142"/>
      <c r="AD857" s="142"/>
      <c r="AJ857" s="142"/>
      <c r="AP857" s="142"/>
      <c r="AV857" s="142"/>
      <c r="BB857" s="142"/>
      <c r="BH857" s="142"/>
      <c r="BN857" s="142"/>
      <c r="BT857" s="142"/>
      <c r="BZ857" s="142"/>
      <c r="CF857" s="142"/>
      <c r="CL857" s="142"/>
    </row>
    <row r="858">
      <c r="F858" s="142"/>
      <c r="L858" s="142"/>
      <c r="R858" s="142"/>
      <c r="X858" s="142"/>
      <c r="AD858" s="142"/>
      <c r="AJ858" s="142"/>
      <c r="AP858" s="142"/>
      <c r="AV858" s="142"/>
      <c r="BB858" s="142"/>
      <c r="BH858" s="142"/>
      <c r="BN858" s="142"/>
      <c r="BT858" s="142"/>
      <c r="BZ858" s="142"/>
      <c r="CF858" s="142"/>
      <c r="CL858" s="142"/>
    </row>
    <row r="859">
      <c r="F859" s="142"/>
      <c r="L859" s="142"/>
      <c r="R859" s="142"/>
      <c r="X859" s="142"/>
      <c r="AD859" s="142"/>
      <c r="AJ859" s="142"/>
      <c r="AP859" s="142"/>
      <c r="AV859" s="142"/>
      <c r="BB859" s="142"/>
      <c r="BH859" s="142"/>
      <c r="BN859" s="142"/>
      <c r="BT859" s="142"/>
      <c r="BZ859" s="142"/>
      <c r="CF859" s="142"/>
      <c r="CL859" s="142"/>
    </row>
    <row r="860">
      <c r="F860" s="142"/>
      <c r="L860" s="142"/>
      <c r="R860" s="142"/>
      <c r="X860" s="142"/>
      <c r="AD860" s="142"/>
      <c r="AJ860" s="142"/>
      <c r="AP860" s="142"/>
      <c r="AV860" s="142"/>
      <c r="BB860" s="142"/>
      <c r="BH860" s="142"/>
      <c r="BN860" s="142"/>
      <c r="BT860" s="142"/>
      <c r="BZ860" s="142"/>
      <c r="CF860" s="142"/>
      <c r="CL860" s="142"/>
    </row>
    <row r="861">
      <c r="F861" s="142"/>
      <c r="L861" s="142"/>
      <c r="R861" s="142"/>
      <c r="X861" s="142"/>
      <c r="AD861" s="142"/>
      <c r="AJ861" s="142"/>
      <c r="AP861" s="142"/>
      <c r="AV861" s="142"/>
      <c r="BB861" s="142"/>
      <c r="BH861" s="142"/>
      <c r="BN861" s="142"/>
      <c r="BT861" s="142"/>
      <c r="BZ861" s="142"/>
      <c r="CF861" s="142"/>
      <c r="CL861" s="142"/>
    </row>
    <row r="862">
      <c r="F862" s="142"/>
      <c r="L862" s="142"/>
      <c r="R862" s="142"/>
      <c r="X862" s="142"/>
      <c r="AD862" s="142"/>
      <c r="AJ862" s="142"/>
      <c r="AP862" s="142"/>
      <c r="AV862" s="142"/>
      <c r="BB862" s="142"/>
      <c r="BH862" s="142"/>
      <c r="BN862" s="142"/>
      <c r="BT862" s="142"/>
      <c r="BZ862" s="142"/>
      <c r="CF862" s="142"/>
      <c r="CL862" s="142"/>
    </row>
    <row r="863">
      <c r="F863" s="142"/>
      <c r="L863" s="142"/>
      <c r="R863" s="142"/>
      <c r="X863" s="142"/>
      <c r="AD863" s="142"/>
      <c r="AJ863" s="142"/>
      <c r="AP863" s="142"/>
      <c r="AV863" s="142"/>
      <c r="BB863" s="142"/>
      <c r="BH863" s="142"/>
      <c r="BN863" s="142"/>
      <c r="BT863" s="142"/>
      <c r="BZ863" s="142"/>
      <c r="CF863" s="142"/>
      <c r="CL863" s="142"/>
    </row>
    <row r="864">
      <c r="F864" s="142"/>
      <c r="L864" s="142"/>
      <c r="R864" s="142"/>
      <c r="X864" s="142"/>
      <c r="AD864" s="142"/>
      <c r="AJ864" s="142"/>
      <c r="AP864" s="142"/>
      <c r="AV864" s="142"/>
      <c r="BB864" s="142"/>
      <c r="BH864" s="142"/>
      <c r="BN864" s="142"/>
      <c r="BT864" s="142"/>
      <c r="BZ864" s="142"/>
      <c r="CF864" s="142"/>
      <c r="CL864" s="142"/>
    </row>
    <row r="865">
      <c r="F865" s="142"/>
      <c r="L865" s="142"/>
      <c r="R865" s="142"/>
      <c r="X865" s="142"/>
      <c r="AD865" s="142"/>
      <c r="AJ865" s="142"/>
      <c r="AP865" s="142"/>
      <c r="AV865" s="142"/>
      <c r="BB865" s="142"/>
      <c r="BH865" s="142"/>
      <c r="BN865" s="142"/>
      <c r="BT865" s="142"/>
      <c r="BZ865" s="142"/>
      <c r="CF865" s="142"/>
      <c r="CL865" s="142"/>
    </row>
    <row r="866">
      <c r="F866" s="142"/>
      <c r="L866" s="142"/>
      <c r="R866" s="142"/>
      <c r="X866" s="142"/>
      <c r="AD866" s="142"/>
      <c r="AJ866" s="142"/>
      <c r="AP866" s="142"/>
      <c r="AV866" s="142"/>
      <c r="BB866" s="142"/>
      <c r="BH866" s="142"/>
      <c r="BN866" s="142"/>
      <c r="BT866" s="142"/>
      <c r="BZ866" s="142"/>
      <c r="CF866" s="142"/>
      <c r="CL866" s="142"/>
    </row>
    <row r="867">
      <c r="F867" s="142"/>
      <c r="L867" s="142"/>
      <c r="R867" s="142"/>
      <c r="X867" s="142"/>
      <c r="AD867" s="142"/>
      <c r="AJ867" s="142"/>
      <c r="AP867" s="142"/>
      <c r="AV867" s="142"/>
      <c r="BB867" s="142"/>
      <c r="BH867" s="142"/>
      <c r="BN867" s="142"/>
      <c r="BT867" s="142"/>
      <c r="BZ867" s="142"/>
      <c r="CF867" s="142"/>
      <c r="CL867" s="142"/>
    </row>
    <row r="868">
      <c r="F868" s="142"/>
      <c r="L868" s="142"/>
      <c r="R868" s="142"/>
      <c r="X868" s="142"/>
      <c r="AD868" s="142"/>
      <c r="AJ868" s="142"/>
      <c r="AP868" s="142"/>
      <c r="AV868" s="142"/>
      <c r="BB868" s="142"/>
      <c r="BH868" s="142"/>
      <c r="BN868" s="142"/>
      <c r="BT868" s="142"/>
      <c r="BZ868" s="142"/>
      <c r="CF868" s="142"/>
      <c r="CL868" s="142"/>
    </row>
    <row r="869">
      <c r="F869" s="142"/>
      <c r="L869" s="142"/>
      <c r="R869" s="142"/>
      <c r="X869" s="142"/>
      <c r="AD869" s="142"/>
      <c r="AJ869" s="142"/>
      <c r="AP869" s="142"/>
      <c r="AV869" s="142"/>
      <c r="BB869" s="142"/>
      <c r="BH869" s="142"/>
      <c r="BN869" s="142"/>
      <c r="BT869" s="142"/>
      <c r="BZ869" s="142"/>
      <c r="CF869" s="142"/>
      <c r="CL869" s="142"/>
    </row>
    <row r="870">
      <c r="F870" s="142"/>
      <c r="L870" s="142"/>
      <c r="R870" s="142"/>
      <c r="X870" s="142"/>
      <c r="AD870" s="142"/>
      <c r="AJ870" s="142"/>
      <c r="AP870" s="142"/>
      <c r="AV870" s="142"/>
      <c r="BB870" s="142"/>
      <c r="BH870" s="142"/>
      <c r="BN870" s="142"/>
      <c r="BT870" s="142"/>
      <c r="BZ870" s="142"/>
      <c r="CF870" s="142"/>
      <c r="CL870" s="142"/>
    </row>
    <row r="871">
      <c r="F871" s="142"/>
      <c r="L871" s="142"/>
      <c r="R871" s="142"/>
      <c r="X871" s="142"/>
      <c r="AD871" s="142"/>
      <c r="AJ871" s="142"/>
      <c r="AP871" s="142"/>
      <c r="AV871" s="142"/>
      <c r="BB871" s="142"/>
      <c r="BH871" s="142"/>
      <c r="BN871" s="142"/>
      <c r="BT871" s="142"/>
      <c r="BZ871" s="142"/>
      <c r="CF871" s="142"/>
      <c r="CL871" s="142"/>
    </row>
    <row r="872">
      <c r="F872" s="142"/>
      <c r="L872" s="142"/>
      <c r="R872" s="142"/>
      <c r="X872" s="142"/>
      <c r="AD872" s="142"/>
      <c r="AJ872" s="142"/>
      <c r="AP872" s="142"/>
      <c r="AV872" s="142"/>
      <c r="BB872" s="142"/>
      <c r="BH872" s="142"/>
      <c r="BN872" s="142"/>
      <c r="BT872" s="142"/>
      <c r="BZ872" s="142"/>
      <c r="CF872" s="142"/>
      <c r="CL872" s="142"/>
    </row>
    <row r="873">
      <c r="F873" s="142"/>
      <c r="L873" s="142"/>
      <c r="R873" s="142"/>
      <c r="X873" s="142"/>
      <c r="AD873" s="142"/>
      <c r="AJ873" s="142"/>
      <c r="AP873" s="142"/>
      <c r="AV873" s="142"/>
      <c r="BB873" s="142"/>
      <c r="BH873" s="142"/>
      <c r="BN873" s="142"/>
      <c r="BT873" s="142"/>
      <c r="BZ873" s="142"/>
      <c r="CF873" s="142"/>
      <c r="CL873" s="142"/>
    </row>
    <row r="874">
      <c r="F874" s="142"/>
      <c r="L874" s="142"/>
      <c r="R874" s="142"/>
      <c r="X874" s="142"/>
      <c r="AD874" s="142"/>
      <c r="AJ874" s="142"/>
      <c r="AP874" s="142"/>
      <c r="AV874" s="142"/>
      <c r="BB874" s="142"/>
      <c r="BH874" s="142"/>
      <c r="BN874" s="142"/>
      <c r="BT874" s="142"/>
      <c r="BZ874" s="142"/>
      <c r="CF874" s="142"/>
      <c r="CL874" s="142"/>
    </row>
    <row r="875">
      <c r="F875" s="142"/>
      <c r="L875" s="142"/>
      <c r="R875" s="142"/>
      <c r="X875" s="142"/>
      <c r="AD875" s="142"/>
      <c r="AJ875" s="142"/>
      <c r="AP875" s="142"/>
      <c r="AV875" s="142"/>
      <c r="BB875" s="142"/>
      <c r="BH875" s="142"/>
      <c r="BN875" s="142"/>
      <c r="BT875" s="142"/>
      <c r="BZ875" s="142"/>
      <c r="CF875" s="142"/>
      <c r="CL875" s="142"/>
    </row>
    <row r="876">
      <c r="F876" s="142"/>
      <c r="L876" s="142"/>
      <c r="R876" s="142"/>
      <c r="X876" s="142"/>
      <c r="AD876" s="142"/>
      <c r="AJ876" s="142"/>
      <c r="AP876" s="142"/>
      <c r="AV876" s="142"/>
      <c r="BB876" s="142"/>
      <c r="BH876" s="142"/>
      <c r="BN876" s="142"/>
      <c r="BT876" s="142"/>
      <c r="BZ876" s="142"/>
      <c r="CF876" s="142"/>
      <c r="CL876" s="142"/>
    </row>
    <row r="877">
      <c r="F877" s="142"/>
      <c r="L877" s="142"/>
      <c r="R877" s="142"/>
      <c r="X877" s="142"/>
      <c r="AD877" s="142"/>
      <c r="AJ877" s="142"/>
      <c r="AP877" s="142"/>
      <c r="AV877" s="142"/>
      <c r="BB877" s="142"/>
      <c r="BH877" s="142"/>
      <c r="BN877" s="142"/>
      <c r="BT877" s="142"/>
      <c r="BZ877" s="142"/>
      <c r="CF877" s="142"/>
      <c r="CL877" s="142"/>
    </row>
    <row r="878">
      <c r="F878" s="142"/>
      <c r="L878" s="142"/>
      <c r="R878" s="142"/>
      <c r="X878" s="142"/>
      <c r="AD878" s="142"/>
      <c r="AJ878" s="142"/>
      <c r="AP878" s="142"/>
      <c r="AV878" s="142"/>
      <c r="BB878" s="142"/>
      <c r="BH878" s="142"/>
      <c r="BN878" s="142"/>
      <c r="BT878" s="142"/>
      <c r="BZ878" s="142"/>
      <c r="CF878" s="142"/>
      <c r="CL878" s="142"/>
    </row>
    <row r="879">
      <c r="F879" s="142"/>
      <c r="L879" s="142"/>
      <c r="R879" s="142"/>
      <c r="X879" s="142"/>
      <c r="AD879" s="142"/>
      <c r="AJ879" s="142"/>
      <c r="AP879" s="142"/>
      <c r="AV879" s="142"/>
      <c r="BB879" s="142"/>
      <c r="BH879" s="142"/>
      <c r="BN879" s="142"/>
      <c r="BT879" s="142"/>
      <c r="BZ879" s="142"/>
      <c r="CF879" s="142"/>
      <c r="CL879" s="142"/>
    </row>
    <row r="880">
      <c r="F880" s="142"/>
      <c r="L880" s="142"/>
      <c r="R880" s="142"/>
      <c r="X880" s="142"/>
      <c r="AD880" s="142"/>
      <c r="AJ880" s="142"/>
      <c r="AP880" s="142"/>
      <c r="AV880" s="142"/>
      <c r="BB880" s="142"/>
      <c r="BH880" s="142"/>
      <c r="BN880" s="142"/>
      <c r="BT880" s="142"/>
      <c r="BZ880" s="142"/>
      <c r="CF880" s="142"/>
      <c r="CL880" s="142"/>
    </row>
    <row r="881">
      <c r="F881" s="142"/>
      <c r="L881" s="142"/>
      <c r="R881" s="142"/>
      <c r="X881" s="142"/>
      <c r="AD881" s="142"/>
      <c r="AJ881" s="142"/>
      <c r="AP881" s="142"/>
      <c r="AV881" s="142"/>
      <c r="BB881" s="142"/>
      <c r="BH881" s="142"/>
      <c r="BN881" s="142"/>
      <c r="BT881" s="142"/>
      <c r="BZ881" s="142"/>
      <c r="CF881" s="142"/>
      <c r="CL881" s="142"/>
    </row>
    <row r="882">
      <c r="F882" s="142"/>
      <c r="L882" s="142"/>
      <c r="R882" s="142"/>
      <c r="X882" s="142"/>
      <c r="AD882" s="142"/>
      <c r="AJ882" s="142"/>
      <c r="AP882" s="142"/>
      <c r="AV882" s="142"/>
      <c r="BB882" s="142"/>
      <c r="BH882" s="142"/>
      <c r="BN882" s="142"/>
      <c r="BT882" s="142"/>
      <c r="BZ882" s="142"/>
      <c r="CF882" s="142"/>
      <c r="CL882" s="142"/>
    </row>
    <row r="883">
      <c r="F883" s="142"/>
      <c r="L883" s="142"/>
      <c r="R883" s="142"/>
      <c r="X883" s="142"/>
      <c r="AD883" s="142"/>
      <c r="AJ883" s="142"/>
      <c r="AP883" s="142"/>
      <c r="AV883" s="142"/>
      <c r="BB883" s="142"/>
      <c r="BH883" s="142"/>
      <c r="BN883" s="142"/>
      <c r="BT883" s="142"/>
      <c r="BZ883" s="142"/>
      <c r="CF883" s="142"/>
      <c r="CL883" s="142"/>
    </row>
    <row r="884">
      <c r="F884" s="142"/>
      <c r="L884" s="142"/>
      <c r="R884" s="142"/>
      <c r="X884" s="142"/>
      <c r="AD884" s="142"/>
      <c r="AJ884" s="142"/>
      <c r="AP884" s="142"/>
      <c r="AV884" s="142"/>
      <c r="BB884" s="142"/>
      <c r="BH884" s="142"/>
      <c r="BN884" s="142"/>
      <c r="BT884" s="142"/>
      <c r="BZ884" s="142"/>
      <c r="CF884" s="142"/>
      <c r="CL884" s="142"/>
    </row>
    <row r="885">
      <c r="F885" s="142"/>
      <c r="L885" s="142"/>
      <c r="R885" s="142"/>
      <c r="X885" s="142"/>
      <c r="AD885" s="142"/>
      <c r="AJ885" s="142"/>
      <c r="AP885" s="142"/>
      <c r="AV885" s="142"/>
      <c r="BB885" s="142"/>
      <c r="BH885" s="142"/>
      <c r="BN885" s="142"/>
      <c r="BT885" s="142"/>
      <c r="BZ885" s="142"/>
      <c r="CF885" s="142"/>
      <c r="CL885" s="142"/>
    </row>
    <row r="886">
      <c r="F886" s="142"/>
      <c r="L886" s="142"/>
      <c r="R886" s="142"/>
      <c r="X886" s="142"/>
      <c r="AD886" s="142"/>
      <c r="AJ886" s="142"/>
      <c r="AP886" s="142"/>
      <c r="AV886" s="142"/>
      <c r="BB886" s="142"/>
      <c r="BH886" s="142"/>
      <c r="BN886" s="142"/>
      <c r="BT886" s="142"/>
      <c r="BZ886" s="142"/>
      <c r="CF886" s="142"/>
      <c r="CL886" s="142"/>
    </row>
    <row r="887">
      <c r="F887" s="142"/>
      <c r="L887" s="142"/>
      <c r="R887" s="142"/>
      <c r="X887" s="142"/>
      <c r="AD887" s="142"/>
      <c r="AJ887" s="142"/>
      <c r="AP887" s="142"/>
      <c r="AV887" s="142"/>
      <c r="BB887" s="142"/>
      <c r="BH887" s="142"/>
      <c r="BN887" s="142"/>
      <c r="BT887" s="142"/>
      <c r="BZ887" s="142"/>
      <c r="CF887" s="142"/>
      <c r="CL887" s="142"/>
    </row>
    <row r="888">
      <c r="F888" s="142"/>
      <c r="L888" s="142"/>
      <c r="R888" s="142"/>
      <c r="X888" s="142"/>
      <c r="AD888" s="142"/>
      <c r="AJ888" s="142"/>
      <c r="AP888" s="142"/>
      <c r="AV888" s="142"/>
      <c r="BB888" s="142"/>
      <c r="BH888" s="142"/>
      <c r="BN888" s="142"/>
      <c r="BT888" s="142"/>
      <c r="BZ888" s="142"/>
      <c r="CF888" s="142"/>
      <c r="CL888" s="142"/>
    </row>
    <row r="889">
      <c r="F889" s="142"/>
      <c r="L889" s="142"/>
      <c r="R889" s="142"/>
      <c r="X889" s="142"/>
      <c r="AD889" s="142"/>
      <c r="AJ889" s="142"/>
      <c r="AP889" s="142"/>
      <c r="AV889" s="142"/>
      <c r="BB889" s="142"/>
      <c r="BH889" s="142"/>
      <c r="BN889" s="142"/>
      <c r="BT889" s="142"/>
      <c r="BZ889" s="142"/>
      <c r="CF889" s="142"/>
      <c r="CL889" s="142"/>
    </row>
    <row r="890">
      <c r="F890" s="142"/>
      <c r="L890" s="142"/>
      <c r="R890" s="142"/>
      <c r="X890" s="142"/>
      <c r="AD890" s="142"/>
      <c r="AJ890" s="142"/>
      <c r="AP890" s="142"/>
      <c r="AV890" s="142"/>
      <c r="BB890" s="142"/>
      <c r="BH890" s="142"/>
      <c r="BN890" s="142"/>
      <c r="BT890" s="142"/>
      <c r="BZ890" s="142"/>
      <c r="CF890" s="142"/>
      <c r="CL890" s="142"/>
    </row>
    <row r="891">
      <c r="F891" s="142"/>
      <c r="L891" s="142"/>
      <c r="R891" s="142"/>
      <c r="X891" s="142"/>
      <c r="AD891" s="142"/>
      <c r="AJ891" s="142"/>
      <c r="AP891" s="142"/>
      <c r="AV891" s="142"/>
      <c r="BB891" s="142"/>
      <c r="BH891" s="142"/>
      <c r="BN891" s="142"/>
      <c r="BT891" s="142"/>
      <c r="BZ891" s="142"/>
      <c r="CF891" s="142"/>
      <c r="CL891" s="142"/>
    </row>
    <row r="892">
      <c r="F892" s="142"/>
      <c r="L892" s="142"/>
      <c r="R892" s="142"/>
      <c r="X892" s="142"/>
      <c r="AD892" s="142"/>
      <c r="AJ892" s="142"/>
      <c r="AP892" s="142"/>
      <c r="AV892" s="142"/>
      <c r="BB892" s="142"/>
      <c r="BH892" s="142"/>
      <c r="BN892" s="142"/>
      <c r="BT892" s="142"/>
      <c r="BZ892" s="142"/>
      <c r="CF892" s="142"/>
      <c r="CL892" s="142"/>
    </row>
    <row r="893">
      <c r="F893" s="142"/>
      <c r="L893" s="142"/>
      <c r="R893" s="142"/>
      <c r="X893" s="142"/>
      <c r="AD893" s="142"/>
      <c r="AJ893" s="142"/>
      <c r="AP893" s="142"/>
      <c r="AV893" s="142"/>
      <c r="BB893" s="142"/>
      <c r="BH893" s="142"/>
      <c r="BN893" s="142"/>
      <c r="BT893" s="142"/>
      <c r="BZ893" s="142"/>
      <c r="CF893" s="142"/>
      <c r="CL893" s="142"/>
    </row>
    <row r="894">
      <c r="F894" s="142"/>
      <c r="L894" s="142"/>
      <c r="R894" s="142"/>
      <c r="X894" s="142"/>
      <c r="AD894" s="142"/>
      <c r="AJ894" s="142"/>
      <c r="AP894" s="142"/>
      <c r="AV894" s="142"/>
      <c r="BB894" s="142"/>
      <c r="BH894" s="142"/>
      <c r="BN894" s="142"/>
      <c r="BT894" s="142"/>
      <c r="BZ894" s="142"/>
      <c r="CF894" s="142"/>
      <c r="CL894" s="142"/>
    </row>
    <row r="895">
      <c r="F895" s="142"/>
      <c r="L895" s="142"/>
      <c r="R895" s="142"/>
      <c r="X895" s="142"/>
      <c r="AD895" s="142"/>
      <c r="AJ895" s="142"/>
      <c r="AP895" s="142"/>
      <c r="AV895" s="142"/>
      <c r="BB895" s="142"/>
      <c r="BH895" s="142"/>
      <c r="BN895" s="142"/>
      <c r="BT895" s="142"/>
      <c r="BZ895" s="142"/>
      <c r="CF895" s="142"/>
      <c r="CL895" s="142"/>
    </row>
    <row r="896">
      <c r="F896" s="142"/>
      <c r="L896" s="142"/>
      <c r="R896" s="142"/>
      <c r="X896" s="142"/>
      <c r="AD896" s="142"/>
      <c r="AJ896" s="142"/>
      <c r="AP896" s="142"/>
      <c r="AV896" s="142"/>
      <c r="BB896" s="142"/>
      <c r="BH896" s="142"/>
      <c r="BN896" s="142"/>
      <c r="BT896" s="142"/>
      <c r="BZ896" s="142"/>
      <c r="CF896" s="142"/>
      <c r="CL896" s="142"/>
    </row>
    <row r="897">
      <c r="F897" s="142"/>
      <c r="L897" s="142"/>
      <c r="R897" s="142"/>
      <c r="X897" s="142"/>
      <c r="AD897" s="142"/>
      <c r="AJ897" s="142"/>
      <c r="AP897" s="142"/>
      <c r="AV897" s="142"/>
      <c r="BB897" s="142"/>
      <c r="BH897" s="142"/>
      <c r="BN897" s="142"/>
      <c r="BT897" s="142"/>
      <c r="BZ897" s="142"/>
      <c r="CF897" s="142"/>
      <c r="CL897" s="142"/>
    </row>
    <row r="898">
      <c r="F898" s="142"/>
      <c r="L898" s="142"/>
      <c r="R898" s="142"/>
      <c r="X898" s="142"/>
      <c r="AD898" s="142"/>
      <c r="AJ898" s="142"/>
      <c r="AP898" s="142"/>
      <c r="AV898" s="142"/>
      <c r="BB898" s="142"/>
      <c r="BH898" s="142"/>
      <c r="BN898" s="142"/>
      <c r="BT898" s="142"/>
      <c r="BZ898" s="142"/>
      <c r="CF898" s="142"/>
      <c r="CL898" s="142"/>
    </row>
    <row r="899">
      <c r="F899" s="142"/>
      <c r="L899" s="142"/>
      <c r="R899" s="142"/>
      <c r="X899" s="142"/>
      <c r="AD899" s="142"/>
      <c r="AJ899" s="142"/>
      <c r="AP899" s="142"/>
      <c r="AV899" s="142"/>
      <c r="BB899" s="142"/>
      <c r="BH899" s="142"/>
      <c r="BN899" s="142"/>
      <c r="BT899" s="142"/>
      <c r="BZ899" s="142"/>
      <c r="CF899" s="142"/>
      <c r="CL899" s="142"/>
    </row>
    <row r="900">
      <c r="F900" s="142"/>
      <c r="L900" s="142"/>
      <c r="R900" s="142"/>
      <c r="X900" s="142"/>
      <c r="AD900" s="142"/>
      <c r="AJ900" s="142"/>
      <c r="AP900" s="142"/>
      <c r="AV900" s="142"/>
      <c r="BB900" s="142"/>
      <c r="BH900" s="142"/>
      <c r="BN900" s="142"/>
      <c r="BT900" s="142"/>
      <c r="BZ900" s="142"/>
      <c r="CF900" s="142"/>
      <c r="CL900" s="142"/>
    </row>
    <row r="901">
      <c r="F901" s="142"/>
      <c r="L901" s="142"/>
      <c r="R901" s="142"/>
      <c r="X901" s="142"/>
      <c r="AD901" s="142"/>
      <c r="AJ901" s="142"/>
      <c r="AP901" s="142"/>
      <c r="AV901" s="142"/>
      <c r="BB901" s="142"/>
      <c r="BH901" s="142"/>
      <c r="BN901" s="142"/>
      <c r="BT901" s="142"/>
      <c r="BZ901" s="142"/>
      <c r="CF901" s="142"/>
      <c r="CL901" s="142"/>
    </row>
    <row r="902">
      <c r="F902" s="142"/>
      <c r="L902" s="142"/>
      <c r="R902" s="142"/>
      <c r="X902" s="142"/>
      <c r="AD902" s="142"/>
      <c r="AJ902" s="142"/>
      <c r="AP902" s="142"/>
      <c r="AV902" s="142"/>
      <c r="BB902" s="142"/>
      <c r="BH902" s="142"/>
      <c r="BN902" s="142"/>
      <c r="BT902" s="142"/>
      <c r="BZ902" s="142"/>
      <c r="CF902" s="142"/>
      <c r="CL902" s="142"/>
    </row>
    <row r="903">
      <c r="F903" s="142"/>
      <c r="L903" s="142"/>
      <c r="R903" s="142"/>
      <c r="X903" s="142"/>
      <c r="AD903" s="142"/>
      <c r="AJ903" s="142"/>
      <c r="AP903" s="142"/>
      <c r="AV903" s="142"/>
      <c r="BB903" s="142"/>
      <c r="BH903" s="142"/>
      <c r="BN903" s="142"/>
      <c r="BT903" s="142"/>
      <c r="BZ903" s="142"/>
      <c r="CF903" s="142"/>
      <c r="CL903" s="142"/>
    </row>
    <row r="904">
      <c r="F904" s="142"/>
      <c r="L904" s="142"/>
      <c r="R904" s="142"/>
      <c r="X904" s="142"/>
      <c r="AD904" s="142"/>
      <c r="AJ904" s="142"/>
      <c r="AP904" s="142"/>
      <c r="AV904" s="142"/>
      <c r="BB904" s="142"/>
      <c r="BH904" s="142"/>
      <c r="BN904" s="142"/>
      <c r="BT904" s="142"/>
      <c r="BZ904" s="142"/>
      <c r="CF904" s="142"/>
      <c r="CL904" s="142"/>
    </row>
    <row r="905">
      <c r="F905" s="142"/>
      <c r="L905" s="142"/>
      <c r="R905" s="142"/>
      <c r="X905" s="142"/>
      <c r="AD905" s="142"/>
      <c r="AJ905" s="142"/>
      <c r="AP905" s="142"/>
      <c r="AV905" s="142"/>
      <c r="BB905" s="142"/>
      <c r="BH905" s="142"/>
      <c r="BN905" s="142"/>
      <c r="BT905" s="142"/>
      <c r="BZ905" s="142"/>
      <c r="CF905" s="142"/>
      <c r="CL905" s="142"/>
    </row>
    <row r="906">
      <c r="F906" s="142"/>
      <c r="L906" s="142"/>
      <c r="R906" s="142"/>
      <c r="X906" s="142"/>
      <c r="AD906" s="142"/>
      <c r="AJ906" s="142"/>
      <c r="AP906" s="142"/>
      <c r="AV906" s="142"/>
      <c r="BB906" s="142"/>
      <c r="BH906" s="142"/>
      <c r="BN906" s="142"/>
      <c r="BT906" s="142"/>
      <c r="BZ906" s="142"/>
      <c r="CF906" s="142"/>
      <c r="CL906" s="142"/>
    </row>
    <row r="907">
      <c r="F907" s="142"/>
      <c r="L907" s="142"/>
      <c r="R907" s="142"/>
      <c r="X907" s="142"/>
      <c r="AD907" s="142"/>
      <c r="AJ907" s="142"/>
      <c r="AP907" s="142"/>
      <c r="AV907" s="142"/>
      <c r="BB907" s="142"/>
      <c r="BH907" s="142"/>
      <c r="BN907" s="142"/>
      <c r="BT907" s="142"/>
      <c r="BZ907" s="142"/>
      <c r="CF907" s="142"/>
      <c r="CL907" s="142"/>
    </row>
    <row r="908">
      <c r="F908" s="142"/>
      <c r="L908" s="142"/>
      <c r="R908" s="142"/>
      <c r="X908" s="142"/>
      <c r="AD908" s="142"/>
      <c r="AJ908" s="142"/>
      <c r="AP908" s="142"/>
      <c r="AV908" s="142"/>
      <c r="BB908" s="142"/>
      <c r="BH908" s="142"/>
      <c r="BN908" s="142"/>
      <c r="BT908" s="142"/>
      <c r="BZ908" s="142"/>
      <c r="CF908" s="142"/>
      <c r="CL908" s="142"/>
    </row>
    <row r="909">
      <c r="F909" s="142"/>
      <c r="L909" s="142"/>
      <c r="R909" s="142"/>
      <c r="X909" s="142"/>
      <c r="AD909" s="142"/>
      <c r="AJ909" s="142"/>
      <c r="AP909" s="142"/>
      <c r="AV909" s="142"/>
      <c r="BB909" s="142"/>
      <c r="BH909" s="142"/>
      <c r="BN909" s="142"/>
      <c r="BT909" s="142"/>
      <c r="BZ909" s="142"/>
      <c r="CF909" s="142"/>
      <c r="CL909" s="142"/>
    </row>
    <row r="910">
      <c r="F910" s="142"/>
      <c r="L910" s="142"/>
      <c r="R910" s="142"/>
      <c r="X910" s="142"/>
      <c r="AD910" s="142"/>
      <c r="AJ910" s="142"/>
      <c r="AP910" s="142"/>
      <c r="AV910" s="142"/>
      <c r="BB910" s="142"/>
      <c r="BH910" s="142"/>
      <c r="BN910" s="142"/>
      <c r="BT910" s="142"/>
      <c r="BZ910" s="142"/>
      <c r="CF910" s="142"/>
      <c r="CL910" s="142"/>
    </row>
    <row r="911">
      <c r="F911" s="142"/>
      <c r="L911" s="142"/>
      <c r="R911" s="142"/>
      <c r="X911" s="142"/>
      <c r="AD911" s="142"/>
      <c r="AJ911" s="142"/>
      <c r="AP911" s="142"/>
      <c r="AV911" s="142"/>
      <c r="BB911" s="142"/>
      <c r="BH911" s="142"/>
      <c r="BN911" s="142"/>
      <c r="BT911" s="142"/>
      <c r="BZ911" s="142"/>
      <c r="CF911" s="142"/>
      <c r="CL911" s="142"/>
    </row>
    <row r="912">
      <c r="F912" s="142"/>
      <c r="L912" s="142"/>
      <c r="R912" s="142"/>
      <c r="X912" s="142"/>
      <c r="AD912" s="142"/>
      <c r="AJ912" s="142"/>
      <c r="AP912" s="142"/>
      <c r="AV912" s="142"/>
      <c r="BB912" s="142"/>
      <c r="BH912" s="142"/>
      <c r="BN912" s="142"/>
      <c r="BT912" s="142"/>
      <c r="BZ912" s="142"/>
      <c r="CF912" s="142"/>
      <c r="CL912" s="142"/>
    </row>
    <row r="913">
      <c r="F913" s="142"/>
      <c r="L913" s="142"/>
      <c r="R913" s="142"/>
      <c r="X913" s="142"/>
      <c r="AD913" s="142"/>
      <c r="AJ913" s="142"/>
      <c r="AP913" s="142"/>
      <c r="AV913" s="142"/>
      <c r="BB913" s="142"/>
      <c r="BH913" s="142"/>
      <c r="BN913" s="142"/>
      <c r="BT913" s="142"/>
      <c r="BZ913" s="142"/>
      <c r="CF913" s="142"/>
      <c r="CL913" s="142"/>
    </row>
    <row r="914">
      <c r="F914" s="142"/>
      <c r="L914" s="142"/>
      <c r="R914" s="142"/>
      <c r="X914" s="142"/>
      <c r="AD914" s="142"/>
      <c r="AJ914" s="142"/>
      <c r="AP914" s="142"/>
      <c r="AV914" s="142"/>
      <c r="BB914" s="142"/>
      <c r="BH914" s="142"/>
      <c r="BN914" s="142"/>
      <c r="BT914" s="142"/>
      <c r="BZ914" s="142"/>
      <c r="CF914" s="142"/>
      <c r="CL914" s="142"/>
    </row>
    <row r="915">
      <c r="F915" s="142"/>
      <c r="L915" s="142"/>
      <c r="R915" s="142"/>
      <c r="X915" s="142"/>
      <c r="AD915" s="142"/>
      <c r="AJ915" s="142"/>
      <c r="AP915" s="142"/>
      <c r="AV915" s="142"/>
      <c r="BB915" s="142"/>
      <c r="BH915" s="142"/>
      <c r="BN915" s="142"/>
      <c r="BT915" s="142"/>
      <c r="BZ915" s="142"/>
      <c r="CF915" s="142"/>
      <c r="CL915" s="142"/>
    </row>
    <row r="916">
      <c r="F916" s="142"/>
      <c r="L916" s="142"/>
      <c r="R916" s="142"/>
      <c r="X916" s="142"/>
      <c r="AD916" s="142"/>
      <c r="AJ916" s="142"/>
      <c r="AP916" s="142"/>
      <c r="AV916" s="142"/>
      <c r="BB916" s="142"/>
      <c r="BH916" s="142"/>
      <c r="BN916" s="142"/>
      <c r="BT916" s="142"/>
      <c r="BZ916" s="142"/>
      <c r="CF916" s="142"/>
      <c r="CL916" s="142"/>
    </row>
    <row r="917">
      <c r="F917" s="142"/>
      <c r="L917" s="142"/>
      <c r="R917" s="142"/>
      <c r="X917" s="142"/>
      <c r="AD917" s="142"/>
      <c r="AJ917" s="142"/>
      <c r="AP917" s="142"/>
      <c r="AV917" s="142"/>
      <c r="BB917" s="142"/>
      <c r="BH917" s="142"/>
      <c r="BN917" s="142"/>
      <c r="BT917" s="142"/>
      <c r="BZ917" s="142"/>
      <c r="CF917" s="142"/>
      <c r="CL917" s="142"/>
    </row>
    <row r="918">
      <c r="F918" s="142"/>
      <c r="L918" s="142"/>
      <c r="R918" s="142"/>
      <c r="X918" s="142"/>
      <c r="AD918" s="142"/>
      <c r="AJ918" s="142"/>
      <c r="AP918" s="142"/>
      <c r="AV918" s="142"/>
      <c r="BB918" s="142"/>
      <c r="BH918" s="142"/>
      <c r="BN918" s="142"/>
      <c r="BT918" s="142"/>
      <c r="BZ918" s="142"/>
      <c r="CF918" s="142"/>
      <c r="CL918" s="142"/>
    </row>
    <row r="919">
      <c r="F919" s="142"/>
      <c r="L919" s="142"/>
      <c r="R919" s="142"/>
      <c r="X919" s="142"/>
      <c r="AD919" s="142"/>
      <c r="AJ919" s="142"/>
      <c r="AP919" s="142"/>
      <c r="AV919" s="142"/>
      <c r="BB919" s="142"/>
      <c r="BH919" s="142"/>
      <c r="BN919" s="142"/>
      <c r="BT919" s="142"/>
      <c r="BZ919" s="142"/>
      <c r="CF919" s="142"/>
      <c r="CL919" s="142"/>
    </row>
    <row r="920">
      <c r="F920" s="142"/>
      <c r="L920" s="142"/>
      <c r="R920" s="142"/>
      <c r="X920" s="142"/>
      <c r="AD920" s="142"/>
      <c r="AJ920" s="142"/>
      <c r="AP920" s="142"/>
      <c r="AV920" s="142"/>
      <c r="BB920" s="142"/>
      <c r="BH920" s="142"/>
      <c r="BN920" s="142"/>
      <c r="BT920" s="142"/>
      <c r="BZ920" s="142"/>
      <c r="CF920" s="142"/>
      <c r="CL920" s="142"/>
    </row>
    <row r="921">
      <c r="F921" s="142"/>
      <c r="L921" s="142"/>
      <c r="R921" s="142"/>
      <c r="X921" s="142"/>
      <c r="AD921" s="142"/>
      <c r="AJ921" s="142"/>
      <c r="AP921" s="142"/>
      <c r="AV921" s="142"/>
      <c r="BB921" s="142"/>
      <c r="BH921" s="142"/>
      <c r="BN921" s="142"/>
      <c r="BT921" s="142"/>
      <c r="BZ921" s="142"/>
      <c r="CF921" s="142"/>
      <c r="CL921" s="142"/>
    </row>
    <row r="922">
      <c r="F922" s="142"/>
      <c r="L922" s="142"/>
      <c r="R922" s="142"/>
      <c r="X922" s="142"/>
      <c r="AD922" s="142"/>
      <c r="AJ922" s="142"/>
      <c r="AP922" s="142"/>
      <c r="AV922" s="142"/>
      <c r="BB922" s="142"/>
      <c r="BH922" s="142"/>
      <c r="BN922" s="142"/>
      <c r="BT922" s="142"/>
      <c r="BZ922" s="142"/>
      <c r="CF922" s="142"/>
      <c r="CL922" s="142"/>
    </row>
    <row r="923">
      <c r="F923" s="142"/>
      <c r="L923" s="142"/>
      <c r="R923" s="142"/>
      <c r="X923" s="142"/>
      <c r="AD923" s="142"/>
      <c r="AJ923" s="142"/>
      <c r="AP923" s="142"/>
      <c r="AV923" s="142"/>
      <c r="BB923" s="142"/>
      <c r="BH923" s="142"/>
      <c r="BN923" s="142"/>
      <c r="BT923" s="142"/>
      <c r="BZ923" s="142"/>
      <c r="CF923" s="142"/>
      <c r="CL923" s="142"/>
    </row>
    <row r="924">
      <c r="F924" s="142"/>
      <c r="L924" s="142"/>
      <c r="R924" s="142"/>
      <c r="X924" s="142"/>
      <c r="AD924" s="142"/>
      <c r="AJ924" s="142"/>
      <c r="AP924" s="142"/>
      <c r="AV924" s="142"/>
      <c r="BB924" s="142"/>
      <c r="BH924" s="142"/>
      <c r="BN924" s="142"/>
      <c r="BT924" s="142"/>
      <c r="BZ924" s="142"/>
      <c r="CF924" s="142"/>
      <c r="CL924" s="142"/>
    </row>
    <row r="925">
      <c r="F925" s="142"/>
      <c r="L925" s="142"/>
      <c r="R925" s="142"/>
      <c r="X925" s="142"/>
      <c r="AD925" s="142"/>
      <c r="AJ925" s="142"/>
      <c r="AP925" s="142"/>
      <c r="AV925" s="142"/>
      <c r="BB925" s="142"/>
      <c r="BH925" s="142"/>
      <c r="BN925" s="142"/>
      <c r="BT925" s="142"/>
      <c r="BZ925" s="142"/>
      <c r="CF925" s="142"/>
      <c r="CL925" s="142"/>
    </row>
    <row r="926">
      <c r="F926" s="142"/>
      <c r="L926" s="142"/>
      <c r="R926" s="142"/>
      <c r="X926" s="142"/>
      <c r="AD926" s="142"/>
      <c r="AJ926" s="142"/>
      <c r="AP926" s="142"/>
      <c r="AV926" s="142"/>
      <c r="BB926" s="142"/>
      <c r="BH926" s="142"/>
      <c r="BN926" s="142"/>
      <c r="BT926" s="142"/>
      <c r="BZ926" s="142"/>
      <c r="CF926" s="142"/>
      <c r="CL926" s="142"/>
    </row>
    <row r="927">
      <c r="F927" s="142"/>
      <c r="L927" s="142"/>
      <c r="R927" s="142"/>
      <c r="X927" s="142"/>
      <c r="AD927" s="142"/>
      <c r="AJ927" s="142"/>
      <c r="AP927" s="142"/>
      <c r="AV927" s="142"/>
      <c r="BB927" s="142"/>
      <c r="BH927" s="142"/>
      <c r="BN927" s="142"/>
      <c r="BT927" s="142"/>
      <c r="BZ927" s="142"/>
      <c r="CF927" s="142"/>
      <c r="CL927" s="142"/>
    </row>
    <row r="928">
      <c r="F928" s="142"/>
      <c r="L928" s="142"/>
      <c r="R928" s="142"/>
      <c r="X928" s="142"/>
      <c r="AD928" s="142"/>
      <c r="AJ928" s="142"/>
      <c r="AP928" s="142"/>
      <c r="AV928" s="142"/>
      <c r="BB928" s="142"/>
      <c r="BH928" s="142"/>
      <c r="BN928" s="142"/>
      <c r="BT928" s="142"/>
      <c r="BZ928" s="142"/>
      <c r="CF928" s="142"/>
      <c r="CL928" s="142"/>
    </row>
    <row r="929">
      <c r="F929" s="142"/>
      <c r="L929" s="142"/>
      <c r="R929" s="142"/>
      <c r="X929" s="142"/>
      <c r="AD929" s="142"/>
      <c r="AJ929" s="142"/>
      <c r="AP929" s="142"/>
      <c r="AV929" s="142"/>
      <c r="BB929" s="142"/>
      <c r="BH929" s="142"/>
      <c r="BN929" s="142"/>
      <c r="BT929" s="142"/>
      <c r="BZ929" s="142"/>
      <c r="CF929" s="142"/>
      <c r="CL929" s="142"/>
    </row>
    <row r="930">
      <c r="F930" s="142"/>
      <c r="L930" s="142"/>
      <c r="R930" s="142"/>
      <c r="X930" s="142"/>
      <c r="AD930" s="142"/>
      <c r="AJ930" s="142"/>
      <c r="AP930" s="142"/>
      <c r="AV930" s="142"/>
      <c r="BB930" s="142"/>
      <c r="BH930" s="142"/>
      <c r="BN930" s="142"/>
      <c r="BT930" s="142"/>
      <c r="BZ930" s="142"/>
      <c r="CF930" s="142"/>
      <c r="CL930" s="142"/>
    </row>
    <row r="931">
      <c r="F931" s="142"/>
      <c r="L931" s="142"/>
      <c r="R931" s="142"/>
      <c r="X931" s="142"/>
      <c r="AD931" s="142"/>
      <c r="AJ931" s="142"/>
      <c r="AP931" s="142"/>
      <c r="AV931" s="142"/>
      <c r="BB931" s="142"/>
      <c r="BH931" s="142"/>
      <c r="BN931" s="142"/>
      <c r="BT931" s="142"/>
      <c r="BZ931" s="142"/>
      <c r="CF931" s="142"/>
      <c r="CL931" s="142"/>
    </row>
    <row r="932">
      <c r="F932" s="142"/>
      <c r="L932" s="142"/>
      <c r="R932" s="142"/>
      <c r="X932" s="142"/>
      <c r="AD932" s="142"/>
      <c r="AJ932" s="142"/>
      <c r="AP932" s="142"/>
      <c r="AV932" s="142"/>
      <c r="BB932" s="142"/>
      <c r="BH932" s="142"/>
      <c r="BN932" s="142"/>
      <c r="BT932" s="142"/>
      <c r="BZ932" s="142"/>
      <c r="CF932" s="142"/>
      <c r="CL932" s="142"/>
    </row>
    <row r="933">
      <c r="F933" s="142"/>
      <c r="L933" s="142"/>
      <c r="R933" s="142"/>
      <c r="X933" s="142"/>
      <c r="AD933" s="142"/>
      <c r="AJ933" s="142"/>
      <c r="AP933" s="142"/>
      <c r="AV933" s="142"/>
      <c r="BB933" s="142"/>
      <c r="BH933" s="142"/>
      <c r="BN933" s="142"/>
      <c r="BT933" s="142"/>
      <c r="BZ933" s="142"/>
      <c r="CF933" s="142"/>
      <c r="CL933" s="142"/>
    </row>
    <row r="934">
      <c r="F934" s="142"/>
      <c r="L934" s="142"/>
      <c r="R934" s="142"/>
      <c r="X934" s="142"/>
      <c r="AD934" s="142"/>
      <c r="AJ934" s="142"/>
      <c r="AP934" s="142"/>
      <c r="AV934" s="142"/>
      <c r="BB934" s="142"/>
      <c r="BH934" s="142"/>
      <c r="BN934" s="142"/>
      <c r="BT934" s="142"/>
      <c r="BZ934" s="142"/>
      <c r="CF934" s="142"/>
      <c r="CL934" s="142"/>
    </row>
    <row r="935">
      <c r="F935" s="142"/>
      <c r="L935" s="142"/>
      <c r="R935" s="142"/>
      <c r="X935" s="142"/>
      <c r="AD935" s="142"/>
      <c r="AJ935" s="142"/>
      <c r="AP935" s="142"/>
      <c r="AV935" s="142"/>
      <c r="BB935" s="142"/>
      <c r="BH935" s="142"/>
      <c r="BN935" s="142"/>
      <c r="BT935" s="142"/>
      <c r="BZ935" s="142"/>
      <c r="CF935" s="142"/>
      <c r="CL935" s="142"/>
    </row>
    <row r="936">
      <c r="F936" s="142"/>
      <c r="L936" s="142"/>
      <c r="R936" s="142"/>
      <c r="X936" s="142"/>
      <c r="AD936" s="142"/>
      <c r="AJ936" s="142"/>
      <c r="AP936" s="142"/>
      <c r="AV936" s="142"/>
      <c r="BB936" s="142"/>
      <c r="BH936" s="142"/>
      <c r="BN936" s="142"/>
      <c r="BT936" s="142"/>
      <c r="BZ936" s="142"/>
      <c r="CF936" s="142"/>
      <c r="CL936" s="142"/>
    </row>
    <row r="937">
      <c r="F937" s="142"/>
      <c r="L937" s="142"/>
      <c r="R937" s="142"/>
      <c r="X937" s="142"/>
      <c r="AD937" s="142"/>
      <c r="AJ937" s="142"/>
      <c r="AP937" s="142"/>
      <c r="AV937" s="142"/>
      <c r="BB937" s="142"/>
      <c r="BH937" s="142"/>
      <c r="BN937" s="142"/>
      <c r="BT937" s="142"/>
      <c r="BZ937" s="142"/>
      <c r="CF937" s="142"/>
      <c r="CL937" s="142"/>
    </row>
    <row r="938">
      <c r="F938" s="142"/>
      <c r="L938" s="142"/>
      <c r="R938" s="142"/>
      <c r="X938" s="142"/>
      <c r="AD938" s="142"/>
      <c r="AJ938" s="142"/>
      <c r="AP938" s="142"/>
      <c r="AV938" s="142"/>
      <c r="BB938" s="142"/>
      <c r="BH938" s="142"/>
      <c r="BN938" s="142"/>
      <c r="BT938" s="142"/>
      <c r="BZ938" s="142"/>
      <c r="CF938" s="142"/>
      <c r="CL938" s="142"/>
    </row>
    <row r="939">
      <c r="F939" s="142"/>
      <c r="L939" s="142"/>
      <c r="R939" s="142"/>
      <c r="X939" s="142"/>
      <c r="AD939" s="142"/>
      <c r="AJ939" s="142"/>
      <c r="AP939" s="142"/>
      <c r="AV939" s="142"/>
      <c r="BB939" s="142"/>
      <c r="BH939" s="142"/>
      <c r="BN939" s="142"/>
      <c r="BT939" s="142"/>
      <c r="BZ939" s="142"/>
      <c r="CF939" s="142"/>
      <c r="CL939" s="142"/>
    </row>
    <row r="940">
      <c r="F940" s="142"/>
      <c r="L940" s="142"/>
      <c r="R940" s="142"/>
      <c r="X940" s="142"/>
      <c r="AD940" s="142"/>
      <c r="AJ940" s="142"/>
      <c r="AP940" s="142"/>
      <c r="AV940" s="142"/>
      <c r="BB940" s="142"/>
      <c r="BH940" s="142"/>
      <c r="BN940" s="142"/>
      <c r="BT940" s="142"/>
      <c r="BZ940" s="142"/>
      <c r="CF940" s="142"/>
      <c r="CL940" s="142"/>
    </row>
    <row r="941">
      <c r="F941" s="142"/>
      <c r="L941" s="142"/>
      <c r="R941" s="142"/>
      <c r="X941" s="142"/>
      <c r="AD941" s="142"/>
      <c r="AJ941" s="142"/>
      <c r="AP941" s="142"/>
      <c r="AV941" s="142"/>
      <c r="BB941" s="142"/>
      <c r="BH941" s="142"/>
      <c r="BN941" s="142"/>
      <c r="BT941" s="142"/>
      <c r="BZ941" s="142"/>
      <c r="CF941" s="142"/>
      <c r="CL941" s="142"/>
    </row>
    <row r="942">
      <c r="F942" s="142"/>
      <c r="L942" s="142"/>
      <c r="R942" s="142"/>
      <c r="X942" s="142"/>
      <c r="AD942" s="142"/>
      <c r="AJ942" s="142"/>
      <c r="AP942" s="142"/>
      <c r="AV942" s="142"/>
      <c r="BB942" s="142"/>
      <c r="BH942" s="142"/>
      <c r="BN942" s="142"/>
      <c r="BT942" s="142"/>
      <c r="BZ942" s="142"/>
      <c r="CF942" s="142"/>
      <c r="CL942" s="142"/>
    </row>
    <row r="943">
      <c r="F943" s="142"/>
      <c r="L943" s="142"/>
      <c r="R943" s="142"/>
      <c r="X943" s="142"/>
      <c r="AD943" s="142"/>
      <c r="AJ943" s="142"/>
      <c r="AP943" s="142"/>
      <c r="AV943" s="142"/>
      <c r="BB943" s="142"/>
      <c r="BH943" s="142"/>
      <c r="BN943" s="142"/>
      <c r="BT943" s="142"/>
      <c r="BZ943" s="142"/>
      <c r="CF943" s="142"/>
      <c r="CL943" s="142"/>
    </row>
    <row r="944">
      <c r="F944" s="142"/>
      <c r="L944" s="142"/>
      <c r="R944" s="142"/>
      <c r="X944" s="142"/>
      <c r="AD944" s="142"/>
      <c r="AJ944" s="142"/>
      <c r="AP944" s="142"/>
      <c r="AV944" s="142"/>
      <c r="BB944" s="142"/>
      <c r="BH944" s="142"/>
      <c r="BN944" s="142"/>
      <c r="BT944" s="142"/>
      <c r="BZ944" s="142"/>
      <c r="CF944" s="142"/>
      <c r="CL944" s="142"/>
    </row>
    <row r="945">
      <c r="F945" s="142"/>
      <c r="L945" s="142"/>
      <c r="R945" s="142"/>
      <c r="X945" s="142"/>
      <c r="AD945" s="142"/>
      <c r="AJ945" s="142"/>
      <c r="AP945" s="142"/>
      <c r="AV945" s="142"/>
      <c r="BB945" s="142"/>
      <c r="BH945" s="142"/>
      <c r="BN945" s="142"/>
      <c r="BT945" s="142"/>
      <c r="BZ945" s="142"/>
      <c r="CF945" s="142"/>
      <c r="CL945" s="142"/>
    </row>
    <row r="946">
      <c r="F946" s="142"/>
      <c r="L946" s="142"/>
      <c r="R946" s="142"/>
      <c r="X946" s="142"/>
      <c r="AD946" s="142"/>
      <c r="AJ946" s="142"/>
      <c r="AP946" s="142"/>
      <c r="AV946" s="142"/>
      <c r="BB946" s="142"/>
      <c r="BH946" s="142"/>
      <c r="BN946" s="142"/>
      <c r="BT946" s="142"/>
      <c r="BZ946" s="142"/>
      <c r="CF946" s="142"/>
      <c r="CL946" s="142"/>
    </row>
    <row r="947">
      <c r="F947" s="142"/>
      <c r="L947" s="142"/>
      <c r="R947" s="142"/>
      <c r="X947" s="142"/>
      <c r="AD947" s="142"/>
      <c r="AJ947" s="142"/>
      <c r="AP947" s="142"/>
      <c r="AV947" s="142"/>
      <c r="BB947" s="142"/>
      <c r="BH947" s="142"/>
      <c r="BN947" s="142"/>
      <c r="BT947" s="142"/>
      <c r="BZ947" s="142"/>
      <c r="CF947" s="142"/>
      <c r="CL947" s="142"/>
    </row>
    <row r="948">
      <c r="F948" s="142"/>
      <c r="L948" s="142"/>
      <c r="R948" s="142"/>
      <c r="X948" s="142"/>
      <c r="AD948" s="142"/>
      <c r="AJ948" s="142"/>
      <c r="AP948" s="142"/>
      <c r="AV948" s="142"/>
      <c r="BB948" s="142"/>
      <c r="BH948" s="142"/>
      <c r="BN948" s="142"/>
      <c r="BT948" s="142"/>
      <c r="BZ948" s="142"/>
      <c r="CF948" s="142"/>
      <c r="CL948" s="142"/>
    </row>
    <row r="949">
      <c r="F949" s="142"/>
      <c r="L949" s="142"/>
      <c r="R949" s="142"/>
      <c r="X949" s="142"/>
      <c r="AD949" s="142"/>
      <c r="AJ949" s="142"/>
      <c r="AP949" s="142"/>
      <c r="AV949" s="142"/>
      <c r="BB949" s="142"/>
      <c r="BH949" s="142"/>
      <c r="BN949" s="142"/>
      <c r="BT949" s="142"/>
      <c r="BZ949" s="142"/>
      <c r="CF949" s="142"/>
      <c r="CL949" s="142"/>
    </row>
    <row r="950">
      <c r="F950" s="142"/>
      <c r="L950" s="142"/>
      <c r="R950" s="142"/>
      <c r="X950" s="142"/>
      <c r="AD950" s="142"/>
      <c r="AJ950" s="142"/>
      <c r="AP950" s="142"/>
      <c r="AV950" s="142"/>
      <c r="BB950" s="142"/>
      <c r="BH950" s="142"/>
      <c r="BN950" s="142"/>
      <c r="BT950" s="142"/>
      <c r="BZ950" s="142"/>
      <c r="CF950" s="142"/>
      <c r="CL950" s="142"/>
    </row>
    <row r="951">
      <c r="F951" s="142"/>
      <c r="L951" s="142"/>
      <c r="R951" s="142"/>
      <c r="X951" s="142"/>
      <c r="AD951" s="142"/>
      <c r="AJ951" s="142"/>
      <c r="AP951" s="142"/>
      <c r="AV951" s="142"/>
      <c r="BB951" s="142"/>
      <c r="BH951" s="142"/>
      <c r="BN951" s="142"/>
      <c r="BT951" s="142"/>
      <c r="BZ951" s="142"/>
      <c r="CF951" s="142"/>
      <c r="CL951" s="142"/>
    </row>
    <row r="952">
      <c r="F952" s="142"/>
      <c r="L952" s="142"/>
      <c r="R952" s="142"/>
      <c r="X952" s="142"/>
      <c r="AD952" s="142"/>
      <c r="AJ952" s="142"/>
      <c r="AP952" s="142"/>
      <c r="AV952" s="142"/>
      <c r="BB952" s="142"/>
      <c r="BH952" s="142"/>
      <c r="BN952" s="142"/>
      <c r="BT952" s="142"/>
      <c r="BZ952" s="142"/>
      <c r="CF952" s="142"/>
      <c r="CL952" s="142"/>
    </row>
    <row r="953">
      <c r="F953" s="142"/>
      <c r="L953" s="142"/>
      <c r="R953" s="142"/>
      <c r="X953" s="142"/>
      <c r="AD953" s="142"/>
      <c r="AJ953" s="142"/>
      <c r="AP953" s="142"/>
      <c r="AV953" s="142"/>
      <c r="BB953" s="142"/>
      <c r="BH953" s="142"/>
      <c r="BN953" s="142"/>
      <c r="BT953" s="142"/>
      <c r="BZ953" s="142"/>
      <c r="CF953" s="142"/>
      <c r="CL953" s="142"/>
    </row>
    <row r="954">
      <c r="F954" s="142"/>
      <c r="L954" s="142"/>
      <c r="R954" s="142"/>
      <c r="X954" s="142"/>
      <c r="AD954" s="142"/>
      <c r="AJ954" s="142"/>
      <c r="AP954" s="142"/>
      <c r="AV954" s="142"/>
      <c r="BB954" s="142"/>
      <c r="BH954" s="142"/>
      <c r="BN954" s="142"/>
      <c r="BT954" s="142"/>
      <c r="BZ954" s="142"/>
      <c r="CF954" s="142"/>
      <c r="CL954" s="142"/>
    </row>
    <row r="955">
      <c r="F955" s="142"/>
      <c r="L955" s="142"/>
      <c r="R955" s="142"/>
      <c r="X955" s="142"/>
      <c r="AD955" s="142"/>
      <c r="AJ955" s="142"/>
      <c r="AP955" s="142"/>
      <c r="AV955" s="142"/>
      <c r="BB955" s="142"/>
      <c r="BH955" s="142"/>
      <c r="BN955" s="142"/>
      <c r="BT955" s="142"/>
      <c r="BZ955" s="142"/>
      <c r="CF955" s="142"/>
      <c r="CL955" s="142"/>
    </row>
    <row r="956">
      <c r="F956" s="142"/>
      <c r="L956" s="142"/>
      <c r="R956" s="142"/>
      <c r="X956" s="142"/>
      <c r="AD956" s="142"/>
      <c r="AJ956" s="142"/>
      <c r="AP956" s="142"/>
      <c r="AV956" s="142"/>
      <c r="BB956" s="142"/>
      <c r="BH956" s="142"/>
      <c r="BN956" s="142"/>
      <c r="BT956" s="142"/>
      <c r="BZ956" s="142"/>
      <c r="CF956" s="142"/>
      <c r="CL956" s="142"/>
    </row>
    <row r="957">
      <c r="F957" s="142"/>
      <c r="L957" s="142"/>
      <c r="R957" s="142"/>
      <c r="X957" s="142"/>
      <c r="AD957" s="142"/>
      <c r="AJ957" s="142"/>
      <c r="AP957" s="142"/>
      <c r="AV957" s="142"/>
      <c r="BB957" s="142"/>
      <c r="BH957" s="142"/>
      <c r="BN957" s="142"/>
      <c r="BT957" s="142"/>
      <c r="BZ957" s="142"/>
      <c r="CF957" s="142"/>
      <c r="CL957" s="142"/>
    </row>
    <row r="958">
      <c r="F958" s="142"/>
      <c r="L958" s="142"/>
      <c r="R958" s="142"/>
      <c r="X958" s="142"/>
      <c r="AD958" s="142"/>
      <c r="AJ958" s="142"/>
      <c r="AP958" s="142"/>
      <c r="AV958" s="142"/>
      <c r="BB958" s="142"/>
      <c r="BH958" s="142"/>
      <c r="BN958" s="142"/>
      <c r="BT958" s="142"/>
      <c r="BZ958" s="142"/>
      <c r="CF958" s="142"/>
      <c r="CL958" s="142"/>
    </row>
    <row r="959">
      <c r="F959" s="142"/>
      <c r="L959" s="142"/>
      <c r="R959" s="142"/>
      <c r="X959" s="142"/>
      <c r="AD959" s="142"/>
      <c r="AJ959" s="142"/>
      <c r="AP959" s="142"/>
      <c r="AV959" s="142"/>
      <c r="BB959" s="142"/>
      <c r="BH959" s="142"/>
      <c r="BN959" s="142"/>
      <c r="BT959" s="142"/>
      <c r="BZ959" s="142"/>
      <c r="CF959" s="142"/>
      <c r="CL959" s="142"/>
    </row>
    <row r="960">
      <c r="F960" s="142"/>
      <c r="L960" s="142"/>
      <c r="R960" s="142"/>
      <c r="X960" s="142"/>
      <c r="AD960" s="142"/>
      <c r="AJ960" s="142"/>
      <c r="AP960" s="142"/>
      <c r="AV960" s="142"/>
      <c r="BB960" s="142"/>
      <c r="BH960" s="142"/>
      <c r="BN960" s="142"/>
      <c r="BT960" s="142"/>
      <c r="BZ960" s="142"/>
      <c r="CF960" s="142"/>
      <c r="CL960" s="142"/>
    </row>
    <row r="961">
      <c r="F961" s="142"/>
      <c r="L961" s="142"/>
      <c r="R961" s="142"/>
      <c r="X961" s="142"/>
      <c r="AD961" s="142"/>
      <c r="AJ961" s="142"/>
      <c r="AP961" s="142"/>
      <c r="AV961" s="142"/>
      <c r="BB961" s="142"/>
      <c r="BH961" s="142"/>
      <c r="BN961" s="142"/>
      <c r="BT961" s="142"/>
      <c r="BZ961" s="142"/>
      <c r="CF961" s="142"/>
      <c r="CL961" s="142"/>
    </row>
    <row r="962">
      <c r="F962" s="142"/>
      <c r="L962" s="142"/>
      <c r="R962" s="142"/>
      <c r="X962" s="142"/>
      <c r="AD962" s="142"/>
      <c r="AJ962" s="142"/>
      <c r="AP962" s="142"/>
      <c r="AV962" s="142"/>
      <c r="BB962" s="142"/>
      <c r="BH962" s="142"/>
      <c r="BN962" s="142"/>
      <c r="BT962" s="142"/>
      <c r="BZ962" s="142"/>
      <c r="CF962" s="142"/>
      <c r="CL962" s="142"/>
    </row>
    <row r="963">
      <c r="F963" s="142"/>
      <c r="L963" s="142"/>
      <c r="R963" s="142"/>
      <c r="X963" s="142"/>
      <c r="AD963" s="142"/>
      <c r="AJ963" s="142"/>
      <c r="AP963" s="142"/>
      <c r="AV963" s="142"/>
      <c r="BB963" s="142"/>
      <c r="BH963" s="142"/>
      <c r="BN963" s="142"/>
      <c r="BT963" s="142"/>
      <c r="BZ963" s="142"/>
      <c r="CF963" s="142"/>
      <c r="CL963" s="142"/>
    </row>
    <row r="964">
      <c r="F964" s="142"/>
      <c r="L964" s="142"/>
      <c r="R964" s="142"/>
      <c r="X964" s="142"/>
      <c r="AD964" s="142"/>
      <c r="AJ964" s="142"/>
      <c r="AP964" s="142"/>
      <c r="AV964" s="142"/>
      <c r="BB964" s="142"/>
      <c r="BH964" s="142"/>
      <c r="BN964" s="142"/>
      <c r="BT964" s="142"/>
      <c r="BZ964" s="142"/>
      <c r="CF964" s="142"/>
      <c r="CL964" s="142"/>
    </row>
    <row r="965">
      <c r="F965" s="142"/>
      <c r="L965" s="142"/>
      <c r="R965" s="142"/>
      <c r="X965" s="142"/>
      <c r="AD965" s="142"/>
      <c r="AJ965" s="142"/>
      <c r="AP965" s="142"/>
      <c r="AV965" s="142"/>
      <c r="BB965" s="142"/>
      <c r="BH965" s="142"/>
      <c r="BN965" s="142"/>
      <c r="BT965" s="142"/>
      <c r="BZ965" s="142"/>
      <c r="CF965" s="142"/>
      <c r="CL965" s="142"/>
    </row>
    <row r="966">
      <c r="F966" s="142"/>
      <c r="L966" s="142"/>
      <c r="R966" s="142"/>
      <c r="X966" s="142"/>
      <c r="AD966" s="142"/>
      <c r="AJ966" s="142"/>
      <c r="AP966" s="142"/>
      <c r="AV966" s="142"/>
      <c r="BB966" s="142"/>
      <c r="BH966" s="142"/>
      <c r="BN966" s="142"/>
      <c r="BT966" s="142"/>
      <c r="BZ966" s="142"/>
      <c r="CF966" s="142"/>
      <c r="CL966" s="142"/>
    </row>
    <row r="967">
      <c r="F967" s="142"/>
      <c r="L967" s="142"/>
      <c r="R967" s="142"/>
      <c r="X967" s="142"/>
      <c r="AD967" s="142"/>
      <c r="AJ967" s="142"/>
      <c r="AP967" s="142"/>
      <c r="AV967" s="142"/>
      <c r="BB967" s="142"/>
      <c r="BH967" s="142"/>
      <c r="BN967" s="142"/>
      <c r="BT967" s="142"/>
      <c r="BZ967" s="142"/>
      <c r="CF967" s="142"/>
      <c r="CL967" s="142"/>
    </row>
    <row r="968">
      <c r="F968" s="142"/>
      <c r="L968" s="142"/>
      <c r="R968" s="142"/>
      <c r="X968" s="142"/>
      <c r="AD968" s="142"/>
      <c r="AJ968" s="142"/>
      <c r="AP968" s="142"/>
      <c r="AV968" s="142"/>
      <c r="BB968" s="142"/>
      <c r="BH968" s="142"/>
      <c r="BN968" s="142"/>
      <c r="BT968" s="142"/>
      <c r="BZ968" s="142"/>
      <c r="CF968" s="142"/>
      <c r="CL968" s="142"/>
    </row>
    <row r="969">
      <c r="F969" s="142"/>
      <c r="L969" s="142"/>
      <c r="R969" s="142"/>
      <c r="X969" s="142"/>
      <c r="AD969" s="142"/>
      <c r="AJ969" s="142"/>
      <c r="AP969" s="142"/>
      <c r="AV969" s="142"/>
      <c r="BB969" s="142"/>
      <c r="BH969" s="142"/>
      <c r="BN969" s="142"/>
      <c r="BT969" s="142"/>
      <c r="BZ969" s="142"/>
      <c r="CF969" s="142"/>
      <c r="CL969" s="142"/>
    </row>
    <row r="970">
      <c r="F970" s="142"/>
      <c r="L970" s="142"/>
      <c r="R970" s="142"/>
      <c r="X970" s="142"/>
      <c r="AD970" s="142"/>
      <c r="AJ970" s="142"/>
      <c r="AP970" s="142"/>
      <c r="AV970" s="142"/>
      <c r="BB970" s="142"/>
      <c r="BH970" s="142"/>
      <c r="BN970" s="142"/>
      <c r="BT970" s="142"/>
      <c r="BZ970" s="142"/>
      <c r="CF970" s="142"/>
      <c r="CL970" s="142"/>
    </row>
    <row r="971">
      <c r="F971" s="142"/>
      <c r="L971" s="142"/>
      <c r="R971" s="142"/>
      <c r="X971" s="142"/>
      <c r="AD971" s="142"/>
      <c r="AJ971" s="142"/>
      <c r="AP971" s="142"/>
      <c r="AV971" s="142"/>
      <c r="BB971" s="142"/>
      <c r="BH971" s="142"/>
      <c r="BN971" s="142"/>
      <c r="BT971" s="142"/>
      <c r="BZ971" s="142"/>
      <c r="CF971" s="142"/>
      <c r="CL971" s="142"/>
    </row>
    <row r="972">
      <c r="F972" s="142"/>
      <c r="L972" s="142"/>
      <c r="R972" s="142"/>
      <c r="X972" s="142"/>
      <c r="AD972" s="142"/>
      <c r="AJ972" s="142"/>
      <c r="AP972" s="142"/>
      <c r="AV972" s="142"/>
      <c r="BB972" s="142"/>
      <c r="BH972" s="142"/>
      <c r="BN972" s="142"/>
      <c r="BT972" s="142"/>
      <c r="BZ972" s="142"/>
      <c r="CF972" s="142"/>
      <c r="CL972" s="142"/>
    </row>
    <row r="973">
      <c r="F973" s="142"/>
      <c r="L973" s="142"/>
      <c r="R973" s="142"/>
      <c r="X973" s="142"/>
      <c r="AD973" s="142"/>
      <c r="AJ973" s="142"/>
      <c r="AP973" s="142"/>
      <c r="AV973" s="142"/>
      <c r="BB973" s="142"/>
      <c r="BH973" s="142"/>
      <c r="BN973" s="142"/>
      <c r="BT973" s="142"/>
      <c r="BZ973" s="142"/>
      <c r="CF973" s="142"/>
      <c r="CL973" s="142"/>
    </row>
    <row r="974">
      <c r="F974" s="142"/>
      <c r="L974" s="142"/>
      <c r="R974" s="142"/>
      <c r="X974" s="142"/>
      <c r="AD974" s="142"/>
      <c r="AJ974" s="142"/>
      <c r="AP974" s="142"/>
      <c r="AV974" s="142"/>
      <c r="BB974" s="142"/>
      <c r="BH974" s="142"/>
      <c r="BN974" s="142"/>
      <c r="BT974" s="142"/>
      <c r="BZ974" s="142"/>
      <c r="CF974" s="142"/>
      <c r="CL974" s="142"/>
    </row>
    <row r="975">
      <c r="F975" s="142"/>
      <c r="L975" s="142"/>
      <c r="R975" s="142"/>
      <c r="X975" s="142"/>
      <c r="AD975" s="142"/>
      <c r="AJ975" s="142"/>
      <c r="AP975" s="142"/>
      <c r="AV975" s="142"/>
      <c r="BB975" s="142"/>
      <c r="BH975" s="142"/>
      <c r="BN975" s="142"/>
      <c r="BT975" s="142"/>
      <c r="BZ975" s="142"/>
      <c r="CF975" s="142"/>
      <c r="CL975" s="142"/>
    </row>
    <row r="976">
      <c r="F976" s="142"/>
      <c r="L976" s="142"/>
      <c r="R976" s="142"/>
      <c r="X976" s="142"/>
      <c r="AD976" s="142"/>
      <c r="AJ976" s="142"/>
      <c r="AP976" s="142"/>
      <c r="AV976" s="142"/>
      <c r="BB976" s="142"/>
      <c r="BH976" s="142"/>
      <c r="BN976" s="142"/>
      <c r="BT976" s="142"/>
      <c r="BZ976" s="142"/>
      <c r="CF976" s="142"/>
      <c r="CL976" s="142"/>
    </row>
    <row r="977">
      <c r="F977" s="142"/>
      <c r="L977" s="142"/>
      <c r="R977" s="142"/>
      <c r="X977" s="142"/>
      <c r="AD977" s="142"/>
      <c r="AJ977" s="142"/>
      <c r="AP977" s="142"/>
      <c r="AV977" s="142"/>
      <c r="BB977" s="142"/>
      <c r="BH977" s="142"/>
      <c r="BN977" s="142"/>
      <c r="BT977" s="142"/>
      <c r="BZ977" s="142"/>
      <c r="CF977" s="142"/>
      <c r="CL977" s="142"/>
    </row>
    <row r="978">
      <c r="F978" s="142"/>
      <c r="L978" s="142"/>
      <c r="R978" s="142"/>
      <c r="X978" s="142"/>
      <c r="AD978" s="142"/>
      <c r="AJ978" s="142"/>
      <c r="AP978" s="142"/>
      <c r="AV978" s="142"/>
      <c r="BB978" s="142"/>
      <c r="BH978" s="142"/>
      <c r="BN978" s="142"/>
      <c r="BT978" s="142"/>
      <c r="BZ978" s="142"/>
      <c r="CF978" s="142"/>
      <c r="CL978" s="142"/>
    </row>
    <row r="979">
      <c r="F979" s="142"/>
      <c r="L979" s="142"/>
      <c r="R979" s="142"/>
      <c r="X979" s="142"/>
      <c r="AD979" s="142"/>
      <c r="AJ979" s="142"/>
      <c r="AP979" s="142"/>
      <c r="AV979" s="142"/>
      <c r="BB979" s="142"/>
      <c r="BH979" s="142"/>
      <c r="BN979" s="142"/>
      <c r="BT979" s="142"/>
      <c r="BZ979" s="142"/>
      <c r="CF979" s="142"/>
      <c r="CL979" s="142"/>
    </row>
    <row r="980">
      <c r="F980" s="142"/>
      <c r="L980" s="142"/>
      <c r="R980" s="142"/>
      <c r="X980" s="142"/>
      <c r="AD980" s="142"/>
      <c r="AJ980" s="142"/>
      <c r="AP980" s="142"/>
      <c r="AV980" s="142"/>
      <c r="BB980" s="142"/>
      <c r="BH980" s="142"/>
      <c r="BN980" s="142"/>
      <c r="BT980" s="142"/>
      <c r="BZ980" s="142"/>
      <c r="CF980" s="142"/>
      <c r="CL980" s="142"/>
    </row>
    <row r="981">
      <c r="F981" s="142"/>
      <c r="L981" s="142"/>
      <c r="R981" s="142"/>
      <c r="X981" s="142"/>
      <c r="AD981" s="142"/>
      <c r="AJ981" s="142"/>
      <c r="AP981" s="142"/>
      <c r="AV981" s="142"/>
      <c r="BB981" s="142"/>
      <c r="BH981" s="142"/>
      <c r="BN981" s="142"/>
      <c r="BT981" s="142"/>
      <c r="BZ981" s="142"/>
      <c r="CF981" s="142"/>
      <c r="CL981" s="142"/>
    </row>
    <row r="982">
      <c r="F982" s="142"/>
      <c r="L982" s="142"/>
      <c r="R982" s="142"/>
      <c r="X982" s="142"/>
      <c r="AD982" s="142"/>
      <c r="AJ982" s="142"/>
      <c r="AP982" s="142"/>
      <c r="AV982" s="142"/>
      <c r="BB982" s="142"/>
      <c r="BH982" s="142"/>
      <c r="BN982" s="142"/>
      <c r="BT982" s="142"/>
      <c r="BZ982" s="142"/>
      <c r="CF982" s="142"/>
      <c r="CL982" s="142"/>
    </row>
    <row r="983">
      <c r="F983" s="142"/>
      <c r="L983" s="142"/>
      <c r="R983" s="142"/>
      <c r="X983" s="142"/>
      <c r="AD983" s="142"/>
      <c r="AJ983" s="142"/>
      <c r="AP983" s="142"/>
      <c r="AV983" s="142"/>
      <c r="BB983" s="142"/>
      <c r="BH983" s="142"/>
      <c r="BN983" s="142"/>
      <c r="BT983" s="142"/>
      <c r="BZ983" s="142"/>
      <c r="CF983" s="142"/>
      <c r="CL983" s="142"/>
    </row>
    <row r="984">
      <c r="F984" s="142"/>
      <c r="L984" s="142"/>
      <c r="R984" s="142"/>
      <c r="X984" s="142"/>
      <c r="AD984" s="142"/>
      <c r="AJ984" s="142"/>
      <c r="AP984" s="142"/>
      <c r="AV984" s="142"/>
      <c r="BB984" s="142"/>
      <c r="BH984" s="142"/>
      <c r="BN984" s="142"/>
      <c r="BT984" s="142"/>
      <c r="BZ984" s="142"/>
      <c r="CF984" s="142"/>
      <c r="CL984" s="142"/>
    </row>
    <row r="985">
      <c r="F985" s="142"/>
      <c r="L985" s="142"/>
      <c r="R985" s="142"/>
      <c r="X985" s="142"/>
      <c r="AD985" s="142"/>
      <c r="AJ985" s="142"/>
      <c r="AP985" s="142"/>
      <c r="AV985" s="142"/>
      <c r="BB985" s="142"/>
      <c r="BH985" s="142"/>
      <c r="BN985" s="142"/>
      <c r="BT985" s="142"/>
      <c r="BZ985" s="142"/>
      <c r="CF985" s="142"/>
      <c r="CL985" s="142"/>
    </row>
    <row r="986">
      <c r="F986" s="142"/>
      <c r="L986" s="142"/>
      <c r="R986" s="142"/>
      <c r="X986" s="142"/>
      <c r="AD986" s="142"/>
      <c r="AJ986" s="142"/>
      <c r="AP986" s="142"/>
      <c r="AV986" s="142"/>
      <c r="BB986" s="142"/>
      <c r="BH986" s="142"/>
      <c r="BN986" s="142"/>
      <c r="BT986" s="142"/>
      <c r="BZ986" s="142"/>
      <c r="CF986" s="142"/>
      <c r="CL986" s="142"/>
    </row>
    <row r="987">
      <c r="F987" s="142"/>
      <c r="L987" s="142"/>
      <c r="R987" s="142"/>
      <c r="X987" s="142"/>
      <c r="AD987" s="142"/>
      <c r="AJ987" s="142"/>
      <c r="AP987" s="142"/>
      <c r="AV987" s="142"/>
      <c r="BB987" s="142"/>
      <c r="BH987" s="142"/>
      <c r="BN987" s="142"/>
      <c r="BT987" s="142"/>
      <c r="BZ987" s="142"/>
      <c r="CF987" s="142"/>
      <c r="CL987" s="142"/>
    </row>
    <row r="988">
      <c r="F988" s="142"/>
      <c r="L988" s="142"/>
      <c r="R988" s="142"/>
      <c r="X988" s="142"/>
      <c r="AD988" s="142"/>
      <c r="AJ988" s="142"/>
      <c r="AP988" s="142"/>
      <c r="AV988" s="142"/>
      <c r="BB988" s="142"/>
      <c r="BH988" s="142"/>
      <c r="BN988" s="142"/>
      <c r="BT988" s="142"/>
      <c r="BZ988" s="142"/>
      <c r="CF988" s="142"/>
      <c r="CL988" s="142"/>
    </row>
    <row r="989">
      <c r="F989" s="142"/>
      <c r="L989" s="142"/>
      <c r="R989" s="142"/>
      <c r="X989" s="142"/>
      <c r="AD989" s="142"/>
      <c r="AJ989" s="142"/>
      <c r="AP989" s="142"/>
      <c r="AV989" s="142"/>
      <c r="BB989" s="142"/>
      <c r="BH989" s="142"/>
      <c r="BN989" s="142"/>
      <c r="BT989" s="142"/>
      <c r="BZ989" s="142"/>
      <c r="CF989" s="142"/>
      <c r="CL989" s="142"/>
    </row>
    <row r="990">
      <c r="F990" s="142"/>
      <c r="L990" s="142"/>
      <c r="R990" s="142"/>
      <c r="X990" s="142"/>
      <c r="AD990" s="142"/>
      <c r="AJ990" s="142"/>
      <c r="AP990" s="142"/>
      <c r="AV990" s="142"/>
      <c r="BB990" s="142"/>
      <c r="BH990" s="142"/>
      <c r="BN990" s="142"/>
      <c r="BT990" s="142"/>
      <c r="BZ990" s="142"/>
      <c r="CF990" s="142"/>
      <c r="CL990" s="142"/>
    </row>
    <row r="991">
      <c r="F991" s="142"/>
      <c r="L991" s="142"/>
      <c r="R991" s="142"/>
      <c r="X991" s="142"/>
      <c r="AD991" s="142"/>
      <c r="AJ991" s="142"/>
      <c r="AP991" s="142"/>
      <c r="AV991" s="142"/>
      <c r="BB991" s="142"/>
      <c r="BH991" s="142"/>
      <c r="BN991" s="142"/>
      <c r="BT991" s="142"/>
      <c r="BZ991" s="142"/>
      <c r="CF991" s="142"/>
      <c r="CL991" s="142"/>
    </row>
    <row r="992">
      <c r="F992" s="142"/>
      <c r="L992" s="142"/>
      <c r="R992" s="142"/>
      <c r="X992" s="142"/>
      <c r="AD992" s="142"/>
      <c r="AJ992" s="142"/>
      <c r="AP992" s="142"/>
      <c r="AV992" s="142"/>
      <c r="BB992" s="142"/>
      <c r="BH992" s="142"/>
      <c r="BN992" s="142"/>
      <c r="BT992" s="142"/>
      <c r="BZ992" s="142"/>
      <c r="CF992" s="142"/>
      <c r="CL992" s="142"/>
    </row>
    <row r="993">
      <c r="F993" s="142"/>
      <c r="L993" s="142"/>
      <c r="R993" s="142"/>
      <c r="X993" s="142"/>
      <c r="AD993" s="142"/>
      <c r="AJ993" s="142"/>
      <c r="AP993" s="142"/>
      <c r="AV993" s="142"/>
      <c r="BB993" s="142"/>
      <c r="BH993" s="142"/>
      <c r="BN993" s="142"/>
      <c r="BT993" s="142"/>
      <c r="BZ993" s="142"/>
      <c r="CF993" s="142"/>
      <c r="CL993" s="142"/>
    </row>
    <row r="994">
      <c r="F994" s="142"/>
      <c r="L994" s="142"/>
      <c r="R994" s="142"/>
      <c r="X994" s="142"/>
      <c r="AD994" s="142"/>
      <c r="AJ994" s="142"/>
      <c r="AP994" s="142"/>
      <c r="AV994" s="142"/>
      <c r="BB994" s="142"/>
      <c r="BH994" s="142"/>
      <c r="BN994" s="142"/>
      <c r="BT994" s="142"/>
      <c r="BZ994" s="142"/>
      <c r="CF994" s="142"/>
      <c r="CL994" s="142"/>
    </row>
    <row r="995">
      <c r="F995" s="142"/>
      <c r="L995" s="142"/>
      <c r="R995" s="142"/>
      <c r="X995" s="142"/>
      <c r="AD995" s="142"/>
      <c r="AJ995" s="142"/>
      <c r="AP995" s="142"/>
      <c r="AV995" s="142"/>
      <c r="BB995" s="142"/>
      <c r="BH995" s="142"/>
      <c r="BN995" s="142"/>
      <c r="BT995" s="142"/>
      <c r="BZ995" s="142"/>
      <c r="CF995" s="142"/>
      <c r="CL995" s="142"/>
    </row>
    <row r="996">
      <c r="F996" s="142"/>
      <c r="L996" s="142"/>
      <c r="R996" s="142"/>
      <c r="X996" s="142"/>
      <c r="AD996" s="142"/>
      <c r="AJ996" s="142"/>
      <c r="AP996" s="142"/>
      <c r="AV996" s="142"/>
      <c r="BB996" s="142"/>
      <c r="BH996" s="142"/>
      <c r="BN996" s="142"/>
      <c r="BT996" s="142"/>
      <c r="BZ996" s="142"/>
      <c r="CF996" s="142"/>
      <c r="CL996" s="142"/>
    </row>
    <row r="997">
      <c r="F997" s="142"/>
      <c r="L997" s="142"/>
      <c r="R997" s="142"/>
      <c r="X997" s="142"/>
      <c r="AD997" s="142"/>
      <c r="AJ997" s="142"/>
      <c r="AP997" s="142"/>
      <c r="AV997" s="142"/>
      <c r="BB997" s="142"/>
      <c r="BH997" s="142"/>
      <c r="BN997" s="142"/>
      <c r="BT997" s="142"/>
      <c r="BZ997" s="142"/>
      <c r="CF997" s="142"/>
      <c r="CL997" s="142"/>
    </row>
    <row r="998">
      <c r="F998" s="142"/>
      <c r="L998" s="142"/>
      <c r="R998" s="142"/>
      <c r="X998" s="142"/>
      <c r="AD998" s="142"/>
      <c r="AJ998" s="142"/>
      <c r="AP998" s="142"/>
      <c r="AV998" s="142"/>
      <c r="BB998" s="142"/>
      <c r="BH998" s="142"/>
      <c r="BN998" s="142"/>
      <c r="BT998" s="142"/>
      <c r="BZ998" s="142"/>
      <c r="CF998" s="142"/>
      <c r="CL998" s="142"/>
    </row>
    <row r="999">
      <c r="F999" s="142"/>
      <c r="L999" s="142"/>
      <c r="R999" s="142"/>
      <c r="X999" s="142"/>
      <c r="AD999" s="142"/>
      <c r="AJ999" s="142"/>
      <c r="AP999" s="142"/>
      <c r="AV999" s="142"/>
      <c r="BB999" s="142"/>
      <c r="BH999" s="142"/>
      <c r="BN999" s="142"/>
      <c r="BT999" s="142"/>
      <c r="BZ999" s="142"/>
      <c r="CF999" s="142"/>
      <c r="CL999" s="142"/>
    </row>
    <row r="1000">
      <c r="F1000" s="142"/>
      <c r="L1000" s="142"/>
      <c r="R1000" s="142"/>
      <c r="X1000" s="142"/>
      <c r="AD1000" s="142"/>
      <c r="AJ1000" s="142"/>
      <c r="AP1000" s="142"/>
      <c r="AV1000" s="142"/>
      <c r="BB1000" s="142"/>
      <c r="BH1000" s="142"/>
      <c r="BN1000" s="142"/>
      <c r="BT1000" s="142"/>
      <c r="BZ1000" s="142"/>
      <c r="CF1000" s="142"/>
      <c r="CL1000" s="14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</cols>
  <sheetData>
    <row r="1">
      <c r="A1" s="176" t="s">
        <v>201</v>
      </c>
      <c r="B1" s="176" t="s">
        <v>202</v>
      </c>
      <c r="C1" s="176" t="s">
        <v>203</v>
      </c>
      <c r="D1" s="176" t="s">
        <v>204</v>
      </c>
      <c r="E1" s="176" t="s">
        <v>205</v>
      </c>
      <c r="F1" s="176" t="s">
        <v>206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</row>
    <row r="2">
      <c r="A2" s="177"/>
      <c r="B2" s="177"/>
      <c r="C2" s="177" t="s">
        <v>23</v>
      </c>
      <c r="D2" s="177" t="s">
        <v>207</v>
      </c>
      <c r="E2" s="178">
        <v>27.0</v>
      </c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</row>
    <row r="3">
      <c r="A3" s="177"/>
      <c r="B3" s="177" t="s">
        <v>208</v>
      </c>
      <c r="C3" s="177"/>
      <c r="D3" s="177"/>
      <c r="E3" s="178">
        <v>135.0</v>
      </c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</row>
    <row r="4">
      <c r="A4" s="177"/>
      <c r="B4" s="177"/>
      <c r="C4" s="177" t="s">
        <v>209</v>
      </c>
      <c r="D4" s="177"/>
      <c r="E4" s="178">
        <v>11.0</v>
      </c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</row>
    <row r="5">
      <c r="A5" s="177"/>
      <c r="B5" s="177"/>
      <c r="C5" s="177" t="s">
        <v>40</v>
      </c>
      <c r="D5" s="177"/>
      <c r="E5" s="178">
        <v>150.0</v>
      </c>
      <c r="F5" s="177" t="s">
        <v>210</v>
      </c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</row>
    <row r="6">
      <c r="A6" s="177"/>
      <c r="B6" s="177"/>
      <c r="C6" s="177" t="s">
        <v>43</v>
      </c>
      <c r="D6" s="177"/>
      <c r="E6" s="178">
        <v>148.0</v>
      </c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</row>
    <row r="7">
      <c r="A7" s="177"/>
      <c r="B7" s="177"/>
      <c r="C7" s="177" t="s">
        <v>44</v>
      </c>
      <c r="D7" s="177"/>
      <c r="E7" s="178">
        <v>12.0</v>
      </c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</row>
    <row r="8">
      <c r="A8" s="177"/>
      <c r="B8" s="177" t="s">
        <v>211</v>
      </c>
      <c r="C8" s="177"/>
      <c r="D8" s="177" t="s">
        <v>212</v>
      </c>
      <c r="E8" s="178">
        <v>60.0</v>
      </c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</row>
    <row r="9">
      <c r="A9" s="177"/>
      <c r="B9" s="177" t="s">
        <v>22</v>
      </c>
      <c r="C9" s="177" t="s">
        <v>213</v>
      </c>
      <c r="D9" s="177" t="s">
        <v>207</v>
      </c>
      <c r="E9" s="178">
        <v>40.0</v>
      </c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</row>
    <row r="10">
      <c r="A10" s="177"/>
      <c r="B10" s="177" t="s">
        <v>214</v>
      </c>
      <c r="C10" s="177"/>
      <c r="D10" s="177"/>
      <c r="E10" s="178">
        <v>57.0</v>
      </c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</row>
    <row r="11">
      <c r="A11" s="177"/>
      <c r="B11" s="177"/>
      <c r="C11" s="177" t="s">
        <v>215</v>
      </c>
      <c r="D11" s="177"/>
      <c r="E11" s="178">
        <v>12.0</v>
      </c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</row>
    <row r="12">
      <c r="A12" s="177"/>
      <c r="B12" s="177"/>
      <c r="C12" s="177" t="s">
        <v>151</v>
      </c>
      <c r="D12" s="177"/>
      <c r="E12" s="178">
        <v>9.0</v>
      </c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</row>
    <row r="13">
      <c r="A13" s="177"/>
      <c r="B13" s="177"/>
      <c r="C13" s="177" t="s">
        <v>216</v>
      </c>
      <c r="D13" s="177" t="s">
        <v>212</v>
      </c>
      <c r="E13" s="178">
        <v>45.0</v>
      </c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</row>
    <row r="14">
      <c r="A14" s="177"/>
      <c r="B14" s="177"/>
      <c r="C14" s="177" t="s">
        <v>153</v>
      </c>
      <c r="D14" s="177"/>
      <c r="E14" s="178">
        <v>15.0</v>
      </c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</row>
    <row r="15">
      <c r="A15" s="177"/>
      <c r="B15" s="177" t="s">
        <v>217</v>
      </c>
      <c r="C15" s="177"/>
      <c r="D15" s="177"/>
      <c r="E15" s="178">
        <v>365.0</v>
      </c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</row>
    <row r="16">
      <c r="A16" s="177"/>
      <c r="B16" s="177" t="s">
        <v>183</v>
      </c>
      <c r="C16" s="177"/>
      <c r="D16" s="177"/>
      <c r="E16" s="178">
        <v>187.0</v>
      </c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</row>
    <row r="17">
      <c r="A17" s="177"/>
      <c r="B17" s="177" t="s">
        <v>22</v>
      </c>
      <c r="C17" s="177" t="s">
        <v>218</v>
      </c>
      <c r="D17" s="177" t="s">
        <v>207</v>
      </c>
      <c r="E17" s="178">
        <v>75.0</v>
      </c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</row>
    <row r="18">
      <c r="A18" s="177"/>
      <c r="B18" s="177" t="s">
        <v>219</v>
      </c>
      <c r="C18" s="177"/>
      <c r="D18" s="177"/>
      <c r="E18" s="178">
        <v>38.0</v>
      </c>
      <c r="F18" s="177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</row>
    <row r="19">
      <c r="A19" s="177"/>
      <c r="B19" s="177"/>
      <c r="C19" s="177" t="s">
        <v>220</v>
      </c>
      <c r="D19" s="179" t="s">
        <v>221</v>
      </c>
      <c r="E19" s="178">
        <v>116.0</v>
      </c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</row>
    <row r="20">
      <c r="A20" s="177"/>
      <c r="B20" s="177"/>
      <c r="C20" s="177" t="s">
        <v>35</v>
      </c>
      <c r="D20" s="179" t="s">
        <v>221</v>
      </c>
      <c r="E20" s="178">
        <v>48.0</v>
      </c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</row>
    <row r="21">
      <c r="A21" s="177" t="s">
        <v>222</v>
      </c>
      <c r="B21" s="177"/>
      <c r="C21" s="177"/>
      <c r="D21" s="177"/>
      <c r="E21" s="178">
        <v>31.0</v>
      </c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</row>
    <row r="22">
      <c r="A22" s="177"/>
      <c r="B22" s="177"/>
      <c r="C22" s="177" t="s">
        <v>156</v>
      </c>
      <c r="D22" s="177"/>
      <c r="E22" s="178">
        <v>28.0</v>
      </c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</row>
    <row r="23">
      <c r="A23" s="177"/>
      <c r="B23" s="177" t="s">
        <v>223</v>
      </c>
      <c r="C23" s="177"/>
      <c r="D23" s="177"/>
      <c r="E23" s="178">
        <v>88.0</v>
      </c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</row>
    <row r="24">
      <c r="A24" s="177"/>
      <c r="B24" s="177" t="s">
        <v>224</v>
      </c>
      <c r="C24" s="177"/>
      <c r="D24" s="177" t="s">
        <v>207</v>
      </c>
      <c r="E24" s="178">
        <v>90.0</v>
      </c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177"/>
      <c r="AB24" s="177"/>
    </row>
    <row r="25">
      <c r="A25" s="177"/>
      <c r="B25" s="177" t="s">
        <v>225</v>
      </c>
      <c r="C25" s="177" t="s">
        <v>226</v>
      </c>
      <c r="D25" s="177"/>
      <c r="E25" s="178">
        <v>214.0</v>
      </c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  <c r="AA25" s="177"/>
      <c r="AB25" s="177"/>
    </row>
    <row r="26">
      <c r="A26" s="177"/>
      <c r="B26" s="177"/>
      <c r="C26" s="177" t="s">
        <v>177</v>
      </c>
      <c r="D26" s="177" t="s">
        <v>207</v>
      </c>
      <c r="E26" s="178">
        <v>18.0</v>
      </c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</row>
    <row r="27">
      <c r="A27" s="177"/>
      <c r="B27" s="177"/>
      <c r="C27" s="177" t="s">
        <v>93</v>
      </c>
      <c r="D27" s="177"/>
      <c r="E27" s="178">
        <v>56.0</v>
      </c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</row>
    <row r="28">
      <c r="A28" s="177"/>
      <c r="B28" s="177"/>
      <c r="C28" s="177" t="s">
        <v>227</v>
      </c>
      <c r="D28" s="177"/>
      <c r="E28" s="178">
        <v>9.0</v>
      </c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  <c r="AA28" s="177"/>
      <c r="AB28" s="177"/>
    </row>
    <row r="29">
      <c r="A29" s="177"/>
      <c r="B29" s="177" t="s">
        <v>228</v>
      </c>
      <c r="C29" s="177"/>
      <c r="D29" s="177" t="s">
        <v>207</v>
      </c>
      <c r="E29" s="178">
        <v>458.0</v>
      </c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  <c r="AA29" s="177"/>
      <c r="AB29" s="177"/>
    </row>
    <row r="30">
      <c r="A30" s="177"/>
      <c r="B30" s="177" t="s">
        <v>229</v>
      </c>
      <c r="C30" s="177"/>
      <c r="D30" s="177"/>
      <c r="E30" s="178">
        <v>154.0</v>
      </c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  <c r="AA30" s="177"/>
      <c r="AB30" s="177"/>
    </row>
    <row r="31">
      <c r="A31" s="177"/>
      <c r="B31" s="177"/>
      <c r="C31" s="177" t="s">
        <v>110</v>
      </c>
      <c r="D31" s="177"/>
      <c r="E31" s="178">
        <v>98.0</v>
      </c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</row>
    <row r="32">
      <c r="A32" s="177"/>
      <c r="B32" s="177"/>
      <c r="C32" s="177" t="s">
        <v>230</v>
      </c>
      <c r="D32" s="177"/>
      <c r="E32" s="178">
        <v>28.0</v>
      </c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</row>
    <row r="33">
      <c r="A33" s="177" t="s">
        <v>231</v>
      </c>
      <c r="B33" s="177"/>
      <c r="C33" s="177"/>
      <c r="D33" s="177"/>
      <c r="E33" s="178">
        <v>98.0</v>
      </c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</row>
    <row r="34">
      <c r="A34" s="177"/>
      <c r="B34" s="177" t="s">
        <v>115</v>
      </c>
      <c r="C34" s="177"/>
      <c r="D34" s="177"/>
      <c r="E34" s="178">
        <v>14.0</v>
      </c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  <c r="AA34" s="177"/>
      <c r="AB34" s="177"/>
    </row>
    <row r="35">
      <c r="A35" s="177"/>
      <c r="B35" s="177" t="s">
        <v>232</v>
      </c>
      <c r="C35" s="177"/>
      <c r="D35" s="177"/>
      <c r="E35" s="178">
        <v>79.0</v>
      </c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</row>
    <row r="36">
      <c r="A36" s="177"/>
      <c r="B36" s="177" t="s">
        <v>233</v>
      </c>
      <c r="C36" s="177"/>
      <c r="D36" s="177" t="s">
        <v>207</v>
      </c>
      <c r="E36" s="178">
        <v>31.0</v>
      </c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</row>
    <row r="37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</row>
    <row r="38">
      <c r="A38" s="180" t="s">
        <v>234</v>
      </c>
      <c r="B38" s="178">
        <f>SUM(E4,E5,E6,E11,E12,E14,E22,E27,E28,E31,E32)</f>
        <v>564</v>
      </c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</row>
    <row r="39">
      <c r="A39" s="180" t="s">
        <v>235</v>
      </c>
      <c r="B39" s="178">
        <f>SUM(E2,E7,E9,E17,E20,E26,E19)</f>
        <v>336</v>
      </c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</row>
    <row r="40">
      <c r="A40" s="180" t="s">
        <v>236</v>
      </c>
      <c r="B40" s="178">
        <f>SUM(E8,E15,E16,E18,E23,E24,E25,E29,E30,E34,E35,E36)</f>
        <v>1778</v>
      </c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</row>
    <row r="4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</row>
    <row r="42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  <c r="AA42" s="177"/>
      <c r="AB42" s="177"/>
    </row>
    <row r="43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</row>
    <row r="44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</row>
    <row r="45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</row>
    <row r="46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</row>
    <row r="47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</row>
    <row r="48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</row>
    <row r="49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</row>
    <row r="50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</row>
    <row r="5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</row>
    <row r="52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</row>
    <row r="53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</row>
    <row r="54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</row>
    <row r="55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</row>
    <row r="56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</row>
    <row r="57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</row>
    <row r="58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</row>
    <row r="59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</row>
    <row r="60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</row>
    <row r="6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</row>
    <row r="62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</row>
    <row r="63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</row>
    <row r="64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</row>
    <row r="65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</row>
    <row r="66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</row>
    <row r="67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</row>
    <row r="68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</row>
    <row r="69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</row>
    <row r="70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</row>
    <row r="7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</row>
    <row r="72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</row>
    <row r="73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</row>
    <row r="74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  <c r="AA135" s="177"/>
      <c r="AB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  <c r="AA142" s="177"/>
      <c r="AB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  <c r="AA144" s="177"/>
      <c r="AB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  <c r="AA146" s="177"/>
      <c r="AB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  <c r="AA150" s="177"/>
      <c r="AB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  <c r="AA152" s="177"/>
      <c r="AB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  <c r="AA164" s="177"/>
      <c r="AB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  <c r="AA166" s="177"/>
      <c r="AB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  <c r="AA168" s="177"/>
      <c r="AB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  <c r="AA172" s="177"/>
      <c r="AB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  <c r="AA173" s="177"/>
      <c r="AB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  <c r="AA174" s="177"/>
      <c r="AB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  <c r="AA176" s="177"/>
      <c r="AB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  <c r="AA177" s="177"/>
      <c r="AB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  <c r="AA179" s="177"/>
      <c r="AB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  <c r="AA180" s="177"/>
      <c r="AB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  <c r="AA181" s="177"/>
      <c r="AB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  <c r="AA182" s="177"/>
      <c r="AB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  <c r="AB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  <c r="AB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  <c r="AA193" s="177"/>
      <c r="AB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  <c r="AB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  <c r="AB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  <c r="AA201" s="177"/>
      <c r="AB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  <c r="AB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  <c r="AB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  <c r="AB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  <c r="AA210" s="177"/>
      <c r="AB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  <c r="AB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  <c r="AA213" s="177"/>
      <c r="AB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  <c r="AA214" s="177"/>
      <c r="AB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  <c r="AA215" s="177"/>
      <c r="AB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  <c r="AA216" s="177"/>
      <c r="AB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  <c r="AB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  <c r="AB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  <c r="AB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  <c r="AA227" s="177"/>
      <c r="AB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  <c r="AB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A230" s="177"/>
      <c r="AB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  <c r="AA232" s="177"/>
      <c r="AB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  <c r="AB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  <c r="AB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  <c r="AB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  <c r="AA236" s="177"/>
      <c r="AB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  <c r="AB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  <c r="AB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  <c r="AB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  <c r="AB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  <c r="AB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  <c r="AB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  <c r="AA246" s="177"/>
      <c r="AB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  <c r="AA248" s="177"/>
      <c r="AB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  <c r="AA252" s="177"/>
      <c r="AB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  <c r="AA253" s="177"/>
      <c r="AB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  <c r="AA254" s="177"/>
      <c r="AB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  <c r="AA255" s="177"/>
      <c r="AB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177"/>
      <c r="AB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  <c r="AA258" s="177"/>
      <c r="AB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  <c r="AA259" s="177"/>
      <c r="AB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  <c r="AA260" s="177"/>
      <c r="AB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  <c r="AA261" s="177"/>
      <c r="AB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  <c r="AA262" s="177"/>
      <c r="AB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  <c r="AA263" s="177"/>
      <c r="AB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  <c r="AA264" s="177"/>
      <c r="AB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  <c r="AA265" s="177"/>
      <c r="AB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  <c r="AA266" s="177"/>
      <c r="AB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  <c r="AA267" s="177"/>
      <c r="AB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  <c r="AA268" s="177"/>
      <c r="AB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  <c r="AA269" s="177"/>
      <c r="AB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  <c r="AA270" s="177"/>
      <c r="AB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  <c r="AA271" s="177"/>
      <c r="AB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  <c r="AA272" s="177"/>
      <c r="AB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  <c r="AA273" s="177"/>
      <c r="AB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  <c r="AA277" s="177"/>
      <c r="AB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  <c r="AA278" s="177"/>
      <c r="AB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  <c r="AA279" s="177"/>
      <c r="AB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7"/>
      <c r="AB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  <c r="AA282" s="177"/>
      <c r="AB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  <c r="AA283" s="177"/>
      <c r="AB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7"/>
      <c r="AB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  <c r="AA285" s="177"/>
      <c r="AB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  <c r="AA286" s="177"/>
      <c r="AB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  <c r="AA287" s="177"/>
      <c r="AB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  <c r="AA288" s="177"/>
      <c r="AB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  <c r="AA289" s="177"/>
      <c r="AB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  <c r="AA291" s="177"/>
      <c r="AB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  <c r="AA292" s="177"/>
      <c r="AB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  <c r="AA293" s="177"/>
      <c r="AB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  <c r="AA294" s="177"/>
      <c r="AB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  <c r="AA295" s="177"/>
      <c r="AB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  <c r="AA297" s="177"/>
      <c r="AB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  <c r="AA298" s="177"/>
      <c r="AB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  <c r="AA299" s="177"/>
      <c r="AB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  <c r="AA300" s="177"/>
      <c r="AB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  <c r="AA301" s="177"/>
      <c r="AB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  <c r="AA302" s="177"/>
      <c r="AB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  <c r="AA303" s="177"/>
      <c r="AB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  <c r="AA304" s="177"/>
      <c r="AB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  <c r="AA305" s="177"/>
      <c r="AB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  <c r="AA306" s="177"/>
      <c r="AB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  <c r="AA307" s="177"/>
      <c r="AB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  <c r="AA308" s="177"/>
      <c r="AB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  <c r="AA310" s="177"/>
      <c r="AB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  <c r="AA311" s="177"/>
      <c r="AB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  <c r="AA312" s="177"/>
      <c r="AB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  <c r="AA313" s="177"/>
      <c r="AB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  <c r="AA314" s="177"/>
      <c r="AB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  <c r="AA315" s="177"/>
      <c r="AB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  <c r="AA317" s="177"/>
      <c r="AB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  <c r="AA318" s="177"/>
      <c r="AB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  <c r="AA319" s="177"/>
      <c r="AB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  <c r="AA320" s="177"/>
      <c r="AB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  <c r="AA321" s="177"/>
      <c r="AB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  <c r="AA322" s="177"/>
      <c r="AB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  <c r="AA323" s="177"/>
      <c r="AB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  <c r="AA324" s="177"/>
      <c r="AB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  <c r="AA325" s="177"/>
      <c r="AB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  <c r="AA326" s="177"/>
      <c r="AB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  <c r="AA327" s="177"/>
      <c r="AB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  <c r="AA328" s="177"/>
      <c r="AB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  <c r="AA329" s="177"/>
      <c r="AB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  <c r="AA330" s="177"/>
      <c r="AB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  <c r="AA331" s="177"/>
      <c r="AB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  <c r="AA332" s="177"/>
      <c r="AB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  <c r="AA333" s="177"/>
      <c r="AB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  <c r="AA334" s="177"/>
      <c r="AB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  <c r="AA343" s="177"/>
      <c r="AB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  <c r="AA345" s="177"/>
      <c r="AB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  <c r="AA346" s="177"/>
      <c r="AB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  <c r="AA347" s="177"/>
      <c r="AB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  <c r="AA352" s="177"/>
      <c r="AB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  <c r="AA353" s="177"/>
      <c r="AB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  <c r="AA354" s="177"/>
      <c r="AB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  <c r="AA355" s="177"/>
      <c r="AB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  <c r="AA357" s="177"/>
      <c r="AB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  <c r="AA371" s="177"/>
      <c r="AB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177"/>
      <c r="AB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  <c r="AA373" s="177"/>
      <c r="AB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  <c r="AA374" s="177"/>
      <c r="AB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  <c r="AA375" s="177"/>
      <c r="AB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  <c r="AA376" s="177"/>
      <c r="AB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  <c r="AA377" s="177"/>
      <c r="AB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  <c r="AA378" s="177"/>
      <c r="AB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  <c r="AA391" s="177"/>
      <c r="AB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  <c r="AA393" s="177"/>
      <c r="AB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177"/>
      <c r="AB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  <c r="AA413" s="177"/>
      <c r="AB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  <c r="AA415" s="177"/>
      <c r="AB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  <c r="AB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  <c r="AB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  <c r="AB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  <c r="AB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  <c r="AB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  <c r="AB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  <c r="AB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  <c r="AB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  <c r="AB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  <c r="AB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  <c r="AA433" s="177"/>
      <c r="AB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  <c r="AA439" s="177"/>
      <c r="AB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  <c r="AA469" s="177"/>
      <c r="AB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  <c r="AB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  <c r="AB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  <c r="AB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  <c r="AB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  <c r="AA481" s="177"/>
      <c r="AB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  <c r="AA483" s="177"/>
      <c r="AB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  <c r="AA485" s="177"/>
      <c r="AB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  <c r="AB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  <c r="AB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  <c r="AB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  <c r="AB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  <c r="AB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  <c r="AB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  <c r="AB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  <c r="AA521" s="177"/>
      <c r="AB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  <c r="AB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  <c r="AB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  <c r="AB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  <c r="AB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  <c r="AB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  <c r="AB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  <c r="AB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  <c r="AB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  <c r="AB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  <c r="AB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  <c r="AB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  <c r="AB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  <c r="AB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  <c r="AB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  <c r="AB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  <c r="AB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  <c r="AB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  <c r="AB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  <c r="AB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  <c r="AB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  <c r="AB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  <c r="AB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  <c r="AB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  <c r="AB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  <c r="AB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  <c r="AB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  <c r="AB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  <c r="AB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  <c r="AB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  <c r="AB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  <c r="AA635" s="177"/>
      <c r="AB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  <c r="AB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  <c r="AB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  <c r="AB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  <c r="AB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  <c r="AB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  <c r="AB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  <c r="AB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  <c r="AB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  <c r="AB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  <c r="AB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  <c r="AB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  <c r="AB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  <c r="AB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  <c r="AB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  <c r="AA673" s="177"/>
      <c r="AB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  <c r="AB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  <c r="AB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  <c r="AB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  <c r="AB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  <c r="AB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  <c r="AB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  <c r="AB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  <c r="AB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  <c r="AB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  <c r="AB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  <c r="AB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  <c r="AB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  <c r="AB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  <c r="AB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  <c r="AB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  <c r="AB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  <c r="AB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  <c r="AB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  <c r="AB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  <c r="AB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  <c r="AB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  <c r="AA749" s="177"/>
      <c r="AB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  <c r="AB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  <c r="AB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  <c r="AB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  <c r="AB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  <c r="AB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  <c r="AB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  <c r="AB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  <c r="AB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  <c r="AB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  <c r="AA787" s="177"/>
      <c r="AB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  <c r="AB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  <c r="AB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  <c r="AB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  <c r="AB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  <c r="AB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  <c r="AB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  <c r="AB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  <c r="AB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  <c r="AB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  <c r="AB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  <c r="AB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  <c r="AB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  <c r="AB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  <c r="AB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  <c r="AB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  <c r="AB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  <c r="AB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  <c r="AB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  <c r="AB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  <c r="AB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  <c r="AB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  <c r="AB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  <c r="AB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  <c r="AB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  <c r="AB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  <c r="AB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  <c r="AB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  <c r="AB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  <c r="AB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  <c r="AB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  <c r="AB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  <c r="AB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  <c r="AB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  <c r="AB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  <c r="AB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  <c r="AB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  <c r="AB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  <c r="AB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  <c r="AB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  <c r="AB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  <c r="AB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  <c r="AB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  <c r="AB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  <c r="AB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  <c r="AB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  <c r="AB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  <c r="AB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  <c r="AB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  <c r="AB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  <c r="AB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  <c r="AA882" s="177"/>
      <c r="AB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  <c r="AB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  <c r="AB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  <c r="AB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  <c r="AB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  <c r="AB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  <c r="AB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  <c r="AB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  <c r="AB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  <c r="AB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  <c r="AB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  <c r="AB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  <c r="AB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  <c r="AB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  <c r="AB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  <c r="AB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  <c r="AB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  <c r="AB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  <c r="AA920" s="177"/>
      <c r="AB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  <c r="AB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  <c r="AB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  <c r="AB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  <c r="AB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  <c r="AB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  <c r="AB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  <c r="AB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  <c r="AB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  <c r="AB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  <c r="AB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  <c r="AB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  <c r="AB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  <c r="AB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  <c r="AB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  <c r="AB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  <c r="AB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  <c r="AB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  <c r="AB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  <c r="AB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  <c r="AB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  <c r="AB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  <c r="AB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  <c r="AB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  <c r="AB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  <c r="AB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  <c r="AB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  <c r="AB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  <c r="AB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  <c r="AA977" s="177"/>
      <c r="AB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  <c r="AB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  <c r="AB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  <c r="AB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  <c r="AB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  <c r="AB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  <c r="AB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  <c r="AB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  <c r="AA996" s="177"/>
      <c r="AB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  <c r="AA999" s="177"/>
      <c r="AB999" s="17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2" width="20.88"/>
    <col customWidth="1" min="3" max="3" width="9.25"/>
    <col customWidth="1" min="6" max="6" width="23.25"/>
    <col hidden="1" min="7" max="7" width="12.63"/>
    <col customWidth="1" min="8" max="8" width="11.38"/>
    <col customWidth="1" min="9" max="9" width="11.5"/>
    <col customWidth="1" min="10" max="10" width="10.88"/>
    <col customWidth="1" min="11" max="11" width="9.5"/>
    <col customWidth="1" min="13" max="13" width="8.13"/>
    <col customWidth="1" min="14" max="14" width="14.25"/>
    <col customWidth="1" min="16" max="16" width="33.0"/>
    <col customWidth="1" min="17" max="17" width="10.5"/>
    <col customWidth="1" min="18" max="18" width="6.75"/>
    <col customWidth="1" min="20" max="20" width="15.0"/>
  </cols>
  <sheetData>
    <row r="1">
      <c r="A1" s="181" t="s">
        <v>237</v>
      </c>
      <c r="B1" s="182" t="str">
        <f>IFERROR(__xludf.DUMMYFUNCTION("IMPORTRANGE(""https://docs.google.com/spreadsheets/d/1EBDY6Xi1f5DsqHSuyCPfbqh3LwA2MhVykx2BBelvGBA/edit#gid=1840285446"",""Pat notes!A:B"")"),"")</f>
        <v/>
      </c>
      <c r="C1" s="183" t="str">
        <f>IFERROR(__xludf.DUMMYFUNCTION("""COMPUTED_VALUE"""),"Acres (planted 22)")</f>
        <v>Acres (planted 22)</v>
      </c>
      <c r="D1" s="184">
        <f>IFERROR(__xludf.DUMMYFUNCTION("IMPORTRANGE(""https://docs.google.com/spreadsheets/d/1EBDY6Xi1f5DsqHSuyCPfbqh3LwA2MhVykx2BBelvGBA/edit#gid=1840285446"",""Pat notes!aj:aj"")"),2025.0)</f>
        <v>2025</v>
      </c>
      <c r="E1" s="185">
        <f>IFERROR(__xludf.DUMMYFUNCTION("IMPORTRANGE(""https://docs.google.com/spreadsheets/d/1EBDY6Xi1f5DsqHSuyCPfbqh3LwA2MhVykx2BBelvGBA/edit#gid=1840285446"",""Pat notes!al:al"")"),2026.0)</f>
        <v>2026</v>
      </c>
      <c r="F1" s="106" t="s">
        <v>238</v>
      </c>
      <c r="G1" s="106" t="s">
        <v>239</v>
      </c>
      <c r="H1" s="106" t="s">
        <v>240</v>
      </c>
      <c r="I1" s="106" t="s">
        <v>241</v>
      </c>
      <c r="J1" s="106" t="s">
        <v>242</v>
      </c>
      <c r="K1" s="186" t="s">
        <v>243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>
      <c r="A2" s="115"/>
      <c r="B2" s="188" t="str">
        <f>IFERROR(__xludf.DUMMYFUNCTION("""COMPUTED_VALUE"""),"airport, hips, knilans, and Jrs big field ")</f>
        <v>airport, hips, knilans, and Jrs big field </v>
      </c>
      <c r="C2" s="189">
        <f>IFERROR(__xludf.DUMMYFUNCTION("""COMPUTED_VALUE"""),230.0)</f>
        <v>230</v>
      </c>
      <c r="D2" s="189" t="str">
        <f>IFERROR(__xludf.DUMMYFUNCTION("""COMPUTED_VALUE"""),"Rye")</f>
        <v>Rye</v>
      </c>
      <c r="E2" s="189" t="str">
        <f>IFERROR(__xludf.DUMMYFUNCTION("""COMPUTED_VALUE"""),"Soybeans")</f>
        <v>Soybeans</v>
      </c>
      <c r="F2" s="9" t="s">
        <v>244</v>
      </c>
      <c r="G2" s="190" t="b">
        <v>0</v>
      </c>
      <c r="H2" s="190">
        <v>140000.0</v>
      </c>
      <c r="I2" s="115">
        <f t="shared" ref="I2:I51" si="1">C2*H2</f>
        <v>32200000</v>
      </c>
      <c r="J2" s="115">
        <f t="shared" ref="J2:J51" si="2">IFERROR(VLOOKUP(F2, $N$4:$O$24, 2, FALSE), "")
</f>
        <v>140000</v>
      </c>
      <c r="K2" s="191">
        <f t="shared" ref="K2:K51" si="3">I2/J2</f>
        <v>230</v>
      </c>
      <c r="S2" s="25"/>
      <c r="T2" s="25"/>
      <c r="U2" s="25"/>
      <c r="V2" s="25"/>
      <c r="W2" s="25"/>
      <c r="X2" s="25"/>
      <c r="Y2" s="25"/>
    </row>
    <row r="3">
      <c r="A3" s="192" t="s">
        <v>245</v>
      </c>
      <c r="B3" s="193" t="str">
        <f>IFERROR(__xludf.DUMMYFUNCTION("""COMPUTED_VALUE"""),"bakke")</f>
        <v>bakke</v>
      </c>
      <c r="C3" s="189">
        <f>IFERROR(__xludf.DUMMYFUNCTION("""COMPUTED_VALUE"""),26.9)</f>
        <v>26.9</v>
      </c>
      <c r="D3" s="189" t="str">
        <f>IFERROR(__xludf.DUMMYFUNCTION("""COMPUTED_VALUE"""),"Corn")</f>
        <v>Corn</v>
      </c>
      <c r="E3" s="189" t="str">
        <f>IFERROR(__xludf.DUMMYFUNCTION("""COMPUTED_VALUE"""),"Soybeans")</f>
        <v>Soybeans</v>
      </c>
      <c r="F3" s="194" t="s">
        <v>246</v>
      </c>
      <c r="G3" s="190" t="b">
        <v>0</v>
      </c>
      <c r="H3" s="190">
        <v>140000.0</v>
      </c>
      <c r="I3" s="115">
        <f t="shared" si="1"/>
        <v>3766000</v>
      </c>
      <c r="J3" s="115">
        <f t="shared" si="2"/>
        <v>140000</v>
      </c>
      <c r="K3" s="191">
        <f t="shared" si="3"/>
        <v>26.9</v>
      </c>
      <c r="L3" s="195" t="s">
        <v>247</v>
      </c>
      <c r="M3" s="196" t="s">
        <v>248</v>
      </c>
      <c r="N3" s="197" t="s">
        <v>249</v>
      </c>
      <c r="O3" s="198" t="s">
        <v>250</v>
      </c>
      <c r="P3" s="199" t="s">
        <v>251</v>
      </c>
      <c r="Q3" s="200" t="s">
        <v>205</v>
      </c>
      <c r="R3" s="7" t="s">
        <v>252</v>
      </c>
      <c r="S3" s="25"/>
      <c r="T3" s="25"/>
      <c r="U3" s="25"/>
      <c r="V3" s="25"/>
      <c r="W3" s="25"/>
      <c r="X3" s="25"/>
      <c r="Y3" s="25"/>
    </row>
    <row r="4">
      <c r="A4" s="192"/>
      <c r="B4" s="193" t="str">
        <f>IFERROR(__xludf.DUMMYFUNCTION("""COMPUTED_VALUE"""),"Blues ")</f>
        <v>Blues </v>
      </c>
      <c r="C4" s="201">
        <f>IFERROR(__xludf.DUMMYFUNCTION("""COMPUTED_VALUE"""),134.6)</f>
        <v>134.6</v>
      </c>
      <c r="D4" s="201" t="str">
        <f>IFERROR(__xludf.DUMMYFUNCTION("""COMPUTED_VALUE"""),"Rye")</f>
        <v>Rye</v>
      </c>
      <c r="E4" s="201" t="str">
        <f>IFERROR(__xludf.DUMMYFUNCTION("""COMPUTED_VALUE"""),"Corn")</f>
        <v>Corn</v>
      </c>
      <c r="F4" s="9" t="s">
        <v>253</v>
      </c>
      <c r="G4" s="190" t="b">
        <v>0</v>
      </c>
      <c r="H4" s="190">
        <v>34000.0</v>
      </c>
      <c r="I4" s="115">
        <f t="shared" si="1"/>
        <v>4576400</v>
      </c>
      <c r="J4" s="115">
        <f t="shared" si="2"/>
        <v>80000</v>
      </c>
      <c r="K4" s="191">
        <f t="shared" si="3"/>
        <v>57.205</v>
      </c>
      <c r="L4" s="202" t="s">
        <v>24</v>
      </c>
      <c r="M4" s="203" t="s">
        <v>254</v>
      </c>
      <c r="N4" s="204" t="s">
        <v>253</v>
      </c>
      <c r="O4" s="205">
        <v>80000.0</v>
      </c>
      <c r="P4" s="206">
        <f t="shared" ref="P4:P24" si="4">sumif($F$2:$F$52,N4,$K$2:$K$59)</f>
        <v>162.7325</v>
      </c>
      <c r="Q4" s="207">
        <f t="shared" ref="Q4:Q24" si="5">sumif($F$2:$F$52,N4,$C$2:$C$55)</f>
        <v>382.9</v>
      </c>
      <c r="R4" s="7">
        <v>200.0</v>
      </c>
      <c r="S4" s="25"/>
      <c r="T4" s="25"/>
      <c r="U4" s="25"/>
      <c r="V4" s="25"/>
      <c r="W4" s="25"/>
      <c r="X4" s="25"/>
      <c r="Y4" s="25"/>
    </row>
    <row r="5">
      <c r="A5" s="115"/>
      <c r="B5" s="208" t="str">
        <f>IFERROR(__xludf.DUMMYFUNCTION("""COMPUTED_VALUE"""),"blue south")</f>
        <v>blue south</v>
      </c>
      <c r="C5" s="209"/>
      <c r="D5" s="210" t="str">
        <f>IFERROR(__xludf.DUMMYFUNCTION("""COMPUTED_VALUE"""),"Rye")</f>
        <v>Rye</v>
      </c>
      <c r="E5" s="210"/>
      <c r="F5" s="211"/>
      <c r="G5" s="212" t="b">
        <v>0</v>
      </c>
      <c r="H5" s="212"/>
      <c r="I5" s="213">
        <f t="shared" si="1"/>
        <v>0</v>
      </c>
      <c r="J5" s="213" t="str">
        <f t="shared" si="2"/>
        <v/>
      </c>
      <c r="K5" s="214" t="str">
        <f t="shared" si="3"/>
        <v>#DIV/0!</v>
      </c>
      <c r="L5" s="202" t="s">
        <v>24</v>
      </c>
      <c r="M5" s="203" t="s">
        <v>254</v>
      </c>
      <c r="N5" s="215" t="s">
        <v>255</v>
      </c>
      <c r="O5" s="205">
        <v>80000.0</v>
      </c>
      <c r="P5" s="206">
        <f t="shared" si="4"/>
        <v>114.981625</v>
      </c>
      <c r="Q5" s="216">
        <f t="shared" si="5"/>
        <v>270.545</v>
      </c>
      <c r="R5" s="7">
        <v>250.0</v>
      </c>
      <c r="S5" s="25"/>
      <c r="T5" s="28"/>
      <c r="U5" s="25"/>
      <c r="V5" s="25"/>
      <c r="W5" s="25"/>
      <c r="X5" s="25"/>
      <c r="Y5" s="25"/>
    </row>
    <row r="6">
      <c r="A6" s="115"/>
      <c r="B6" s="188" t="str">
        <f>IFERROR(__xludf.DUMMYFUNCTION("""COMPUTED_VALUE"""),"Brads")</f>
        <v>Brads</v>
      </c>
      <c r="C6" s="189">
        <f>IFERROR(__xludf.DUMMYFUNCTION("""COMPUTED_VALUE"""),47.9)</f>
        <v>47.9</v>
      </c>
      <c r="D6" s="189" t="str">
        <f>IFERROR(__xludf.DUMMYFUNCTION("""COMPUTED_VALUE"""),"Corn")</f>
        <v>Corn</v>
      </c>
      <c r="E6" s="189" t="str">
        <f>IFERROR(__xludf.DUMMYFUNCTION("""COMPUTED_VALUE"""),"Soybeans")</f>
        <v>Soybeans</v>
      </c>
      <c r="F6" s="194" t="s">
        <v>246</v>
      </c>
      <c r="G6" s="190" t="b">
        <v>0</v>
      </c>
      <c r="H6" s="190">
        <v>140000.0</v>
      </c>
      <c r="I6" s="115">
        <f t="shared" si="1"/>
        <v>6706000</v>
      </c>
      <c r="J6" s="115">
        <f t="shared" si="2"/>
        <v>140000</v>
      </c>
      <c r="K6" s="191">
        <f t="shared" si="3"/>
        <v>47.9</v>
      </c>
      <c r="L6" s="202" t="s">
        <v>24</v>
      </c>
      <c r="M6" s="203" t="s">
        <v>254</v>
      </c>
      <c r="N6" s="215" t="s">
        <v>256</v>
      </c>
      <c r="O6" s="205">
        <v>80000.0</v>
      </c>
      <c r="P6" s="206">
        <f t="shared" si="4"/>
        <v>55.67075</v>
      </c>
      <c r="Q6" s="216">
        <f t="shared" si="5"/>
        <v>130.99</v>
      </c>
      <c r="R6" s="7">
        <v>100.0</v>
      </c>
      <c r="S6" s="25"/>
      <c r="T6" s="25"/>
      <c r="U6" s="25"/>
      <c r="V6" s="25"/>
      <c r="W6" s="25"/>
      <c r="X6" s="25"/>
      <c r="Y6" s="25"/>
    </row>
    <row r="7">
      <c r="A7" s="115"/>
      <c r="B7" s="188" t="str">
        <f>IFERROR(__xludf.DUMMYFUNCTION("""COMPUTED_VALUE"""),"buchanan big")</f>
        <v>buchanan big</v>
      </c>
      <c r="C7" s="189">
        <f>IFERROR(__xludf.DUMMYFUNCTION("""COMPUTED_VALUE"""),38.96)</f>
        <v>38.96</v>
      </c>
      <c r="D7" s="189" t="str">
        <f>IFERROR(__xludf.DUMMYFUNCTION("""COMPUTED_VALUE"""),"Lima Beans")</f>
        <v>Lima Beans</v>
      </c>
      <c r="E7" s="189" t="str">
        <f>IFERROR(__xludf.DUMMYFUNCTION("""COMPUTED_VALUE"""),"rye")</f>
        <v>rye</v>
      </c>
      <c r="F7" s="9" t="s">
        <v>257</v>
      </c>
      <c r="G7" s="190" t="b">
        <v>0</v>
      </c>
      <c r="H7" s="190">
        <v>750000.0</v>
      </c>
      <c r="I7" s="115">
        <f t="shared" si="1"/>
        <v>29220000</v>
      </c>
      <c r="J7" s="115">
        <f t="shared" si="2"/>
        <v>1000000</v>
      </c>
      <c r="K7" s="191">
        <f t="shared" si="3"/>
        <v>29.22</v>
      </c>
      <c r="L7" s="202" t="s">
        <v>24</v>
      </c>
      <c r="M7" s="203" t="s">
        <v>254</v>
      </c>
      <c r="N7" s="215" t="s">
        <v>258</v>
      </c>
      <c r="O7" s="205">
        <v>80000.0</v>
      </c>
      <c r="P7" s="206">
        <f t="shared" si="4"/>
        <v>168.97575</v>
      </c>
      <c r="Q7" s="216">
        <f t="shared" si="5"/>
        <v>397.59</v>
      </c>
      <c r="R7" s="7">
        <v>150.0</v>
      </c>
      <c r="S7" s="25"/>
      <c r="T7" s="25"/>
      <c r="U7" s="25"/>
      <c r="V7" s="25"/>
      <c r="W7" s="25"/>
      <c r="X7" s="25"/>
      <c r="Y7" s="25"/>
    </row>
    <row r="8">
      <c r="A8" s="192" t="s">
        <v>245</v>
      </c>
      <c r="B8" s="188" t="str">
        <f>IFERROR(__xludf.DUMMYFUNCTION("""COMPUTED_VALUE"""),"Buchanan little")</f>
        <v>Buchanan little</v>
      </c>
      <c r="C8" s="189">
        <f>IFERROR(__xludf.DUMMYFUNCTION("""COMPUTED_VALUE"""),11.4)</f>
        <v>11.4</v>
      </c>
      <c r="D8" s="189" t="str">
        <f>IFERROR(__xludf.DUMMYFUNCTION("""COMPUTED_VALUE"""),"Soybeans")</f>
        <v>Soybeans</v>
      </c>
      <c r="E8" s="189" t="str">
        <f>IFERROR(__xludf.DUMMYFUNCTION("""COMPUTED_VALUE"""),"Corn")</f>
        <v>Corn</v>
      </c>
      <c r="F8" s="9" t="s">
        <v>255</v>
      </c>
      <c r="G8" s="190" t="b">
        <v>0</v>
      </c>
      <c r="H8" s="190">
        <v>34000.0</v>
      </c>
      <c r="I8" s="115">
        <f t="shared" si="1"/>
        <v>387600</v>
      </c>
      <c r="J8" s="115">
        <f t="shared" si="2"/>
        <v>80000</v>
      </c>
      <c r="K8" s="191">
        <f t="shared" si="3"/>
        <v>4.845</v>
      </c>
      <c r="L8" s="202" t="s">
        <v>32</v>
      </c>
      <c r="M8" s="217" t="s">
        <v>259</v>
      </c>
      <c r="N8" s="215" t="s">
        <v>260</v>
      </c>
      <c r="O8" s="218">
        <v>1000.0</v>
      </c>
      <c r="P8" s="206">
        <f t="shared" si="4"/>
        <v>22001</v>
      </c>
      <c r="Q8" s="216">
        <f t="shared" si="5"/>
        <v>305.75</v>
      </c>
      <c r="S8" s="25"/>
      <c r="T8" s="25"/>
      <c r="U8" s="25"/>
      <c r="V8" s="25"/>
      <c r="W8" s="25"/>
      <c r="X8" s="25"/>
      <c r="Y8" s="25"/>
    </row>
    <row r="9">
      <c r="A9" s="192"/>
      <c r="B9" s="188" t="str">
        <f>IFERROR(__xludf.DUMMYFUNCTION("""COMPUTED_VALUE"""),"carrol")</f>
        <v>carrol</v>
      </c>
      <c r="C9" s="189">
        <f>IFERROR(__xludf.DUMMYFUNCTION("""COMPUTED_VALUE"""),151.67)</f>
        <v>151.67</v>
      </c>
      <c r="D9" s="189" t="str">
        <f>IFERROR(__xludf.DUMMYFUNCTION("""COMPUTED_VALUE"""),"Soybeans")</f>
        <v>Soybeans</v>
      </c>
      <c r="E9" s="189" t="str">
        <f>IFERROR(__xludf.DUMMYFUNCTION("""COMPUTED_VALUE"""),"White Corn")</f>
        <v>White Corn</v>
      </c>
      <c r="F9" s="9" t="s">
        <v>255</v>
      </c>
      <c r="G9" s="190" t="b">
        <v>0</v>
      </c>
      <c r="H9" s="190">
        <v>34000.0</v>
      </c>
      <c r="I9" s="115">
        <f t="shared" si="1"/>
        <v>5156780</v>
      </c>
      <c r="J9" s="115">
        <f t="shared" si="2"/>
        <v>80000</v>
      </c>
      <c r="K9" s="191">
        <f t="shared" si="3"/>
        <v>64.45975</v>
      </c>
      <c r="L9" s="202" t="s">
        <v>261</v>
      </c>
      <c r="M9" s="217" t="s">
        <v>259</v>
      </c>
      <c r="N9" s="215" t="s">
        <v>262</v>
      </c>
      <c r="O9" s="218">
        <v>1000.0</v>
      </c>
      <c r="P9" s="206">
        <f t="shared" si="4"/>
        <v>0</v>
      </c>
      <c r="Q9" s="216">
        <f t="shared" si="5"/>
        <v>0</v>
      </c>
      <c r="S9" s="25"/>
      <c r="T9" s="25"/>
      <c r="U9" s="25"/>
      <c r="V9" s="25"/>
      <c r="W9" s="25"/>
      <c r="X9" s="25"/>
      <c r="Y9" s="25"/>
    </row>
    <row r="10">
      <c r="A10" s="192" t="s">
        <v>245</v>
      </c>
      <c r="B10" s="188" t="str">
        <f>IFERROR(__xludf.DUMMYFUNCTION("""COMPUTED_VALUE"""),"cuff")</f>
        <v>cuff</v>
      </c>
      <c r="C10" s="189">
        <f>IFERROR(__xludf.DUMMYFUNCTION("""COMPUTED_VALUE"""),148.1)</f>
        <v>148.1</v>
      </c>
      <c r="D10" s="189" t="str">
        <f>IFERROR(__xludf.DUMMYFUNCTION("""COMPUTED_VALUE"""),"Soybeans")</f>
        <v>Soybeans</v>
      </c>
      <c r="E10" s="189" t="str">
        <f>IFERROR(__xludf.DUMMYFUNCTION("""COMPUTED_VALUE"""),"Corn")</f>
        <v>Corn</v>
      </c>
      <c r="F10" s="9" t="s">
        <v>253</v>
      </c>
      <c r="G10" s="190" t="b">
        <v>0</v>
      </c>
      <c r="H10" s="190">
        <v>34000.0</v>
      </c>
      <c r="I10" s="115">
        <f t="shared" si="1"/>
        <v>5035400</v>
      </c>
      <c r="J10" s="115">
        <f t="shared" si="2"/>
        <v>80000</v>
      </c>
      <c r="K10" s="191">
        <f t="shared" si="3"/>
        <v>62.9425</v>
      </c>
      <c r="L10" s="202" t="s">
        <v>140</v>
      </c>
      <c r="M10" s="217" t="s">
        <v>259</v>
      </c>
      <c r="N10" s="215" t="s">
        <v>263</v>
      </c>
      <c r="O10" s="218">
        <v>1000.0</v>
      </c>
      <c r="P10" s="206">
        <f t="shared" si="4"/>
        <v>0</v>
      </c>
      <c r="Q10" s="216">
        <f t="shared" si="5"/>
        <v>0</v>
      </c>
      <c r="S10" s="25"/>
      <c r="T10" s="25"/>
      <c r="U10" s="25"/>
      <c r="V10" s="25"/>
      <c r="W10" s="25"/>
      <c r="X10" s="25"/>
      <c r="Y10" s="25"/>
    </row>
    <row r="11">
      <c r="A11" s="192" t="s">
        <v>245</v>
      </c>
      <c r="B11" s="193" t="str">
        <f>IFERROR(__xludf.DUMMYFUNCTION("""COMPUTED_VALUE"""),"Daun")</f>
        <v>Daun</v>
      </c>
      <c r="C11" s="189">
        <f>IFERROR(__xludf.DUMMYFUNCTION("""COMPUTED_VALUE"""),10.9)</f>
        <v>10.9</v>
      </c>
      <c r="D11" s="189" t="str">
        <f>IFERROR(__xludf.DUMMYFUNCTION("""COMPUTED_VALUE"""),"Corn")</f>
        <v>Corn</v>
      </c>
      <c r="E11" s="189" t="str">
        <f>IFERROR(__xludf.DUMMYFUNCTION("""COMPUTED_VALUE"""),"Soybeans")</f>
        <v>Soybeans</v>
      </c>
      <c r="F11" s="194" t="s">
        <v>246</v>
      </c>
      <c r="G11" s="190" t="b">
        <v>0</v>
      </c>
      <c r="H11" s="190">
        <v>140000.0</v>
      </c>
      <c r="I11" s="115">
        <f t="shared" si="1"/>
        <v>1526000</v>
      </c>
      <c r="J11" s="115">
        <f t="shared" si="2"/>
        <v>140000</v>
      </c>
      <c r="K11" s="191">
        <f t="shared" si="3"/>
        <v>10.9</v>
      </c>
      <c r="L11" s="202" t="s">
        <v>14</v>
      </c>
      <c r="M11" s="217" t="s">
        <v>264</v>
      </c>
      <c r="N11" s="215" t="s">
        <v>265</v>
      </c>
      <c r="O11" s="218">
        <v>140000.0</v>
      </c>
      <c r="P11" s="206">
        <f t="shared" si="4"/>
        <v>74.3</v>
      </c>
      <c r="Q11" s="216">
        <f t="shared" si="5"/>
        <v>74.3</v>
      </c>
      <c r="S11" s="25"/>
      <c r="T11" s="25"/>
      <c r="U11" s="25"/>
      <c r="V11" s="25"/>
      <c r="W11" s="25"/>
      <c r="X11" s="25"/>
      <c r="Y11" s="25"/>
    </row>
    <row r="12">
      <c r="A12" s="192"/>
      <c r="B12" s="219" t="str">
        <f>IFERROR(__xludf.DUMMYFUNCTION("""COMPUTED_VALUE"""),"delong avon")</f>
        <v>delong avon</v>
      </c>
      <c r="C12" s="210">
        <f>IFERROR(__xludf.DUMMYFUNCTION("""COMPUTED_VALUE"""),41.77)</f>
        <v>41.77</v>
      </c>
      <c r="D12" s="210" t="str">
        <f>IFERROR(__xludf.DUMMYFUNCTION("""COMPUTED_VALUE"""),"Corn")</f>
        <v>Corn</v>
      </c>
      <c r="E12" s="210" t="str">
        <f>IFERROR(__xludf.DUMMYFUNCTION("""COMPUTED_VALUE"""),"Corn")</f>
        <v>Corn</v>
      </c>
      <c r="F12" s="211"/>
      <c r="G12" s="212" t="b">
        <v>0</v>
      </c>
      <c r="H12" s="212"/>
      <c r="I12" s="213">
        <f t="shared" si="1"/>
        <v>0</v>
      </c>
      <c r="J12" s="213" t="str">
        <f t="shared" si="2"/>
        <v/>
      </c>
      <c r="K12" s="214" t="str">
        <f t="shared" si="3"/>
        <v>#DIV/0!</v>
      </c>
      <c r="L12" s="202" t="s">
        <v>14</v>
      </c>
      <c r="M12" s="217" t="s">
        <v>264</v>
      </c>
      <c r="N12" s="215" t="s">
        <v>266</v>
      </c>
      <c r="O12" s="218">
        <v>140000.0</v>
      </c>
      <c r="P12" s="206">
        <f t="shared" si="4"/>
        <v>0</v>
      </c>
      <c r="Q12" s="216">
        <f t="shared" si="5"/>
        <v>0</v>
      </c>
      <c r="S12" s="25"/>
      <c r="T12" s="25"/>
      <c r="U12" s="220"/>
      <c r="V12" s="25"/>
      <c r="W12" s="25"/>
      <c r="X12" s="25"/>
      <c r="Y12" s="25"/>
    </row>
    <row r="13">
      <c r="A13" s="192" t="s">
        <v>267</v>
      </c>
      <c r="B13" s="188" t="str">
        <f>IFERROR(__xludf.DUMMYFUNCTION("""COMPUTED_VALUE"""),"delong christopherson")</f>
        <v>delong christopherson</v>
      </c>
      <c r="C13" s="189">
        <f>IFERROR(__xludf.DUMMYFUNCTION("""COMPUTED_VALUE"""),64.32)</f>
        <v>64.32</v>
      </c>
      <c r="D13" s="189" t="str">
        <f>IFERROR(__xludf.DUMMYFUNCTION("""COMPUTED_VALUE"""),"Corn")</f>
        <v>Corn</v>
      </c>
      <c r="E13" s="189" t="str">
        <f>IFERROR(__xludf.DUMMYFUNCTION("""COMPUTED_VALUE"""),"Corn")</f>
        <v>Corn</v>
      </c>
      <c r="F13" s="9" t="s">
        <v>255</v>
      </c>
      <c r="G13" s="190" t="b">
        <v>0</v>
      </c>
      <c r="H13" s="190">
        <v>34000.0</v>
      </c>
      <c r="I13" s="115">
        <f t="shared" si="1"/>
        <v>2186880</v>
      </c>
      <c r="J13" s="115">
        <f t="shared" si="2"/>
        <v>80000</v>
      </c>
      <c r="K13" s="191">
        <f t="shared" si="3"/>
        <v>27.336</v>
      </c>
      <c r="L13" s="202" t="s">
        <v>14</v>
      </c>
      <c r="M13" s="217" t="s">
        <v>264</v>
      </c>
      <c r="N13" s="215" t="s">
        <v>268</v>
      </c>
      <c r="O13" s="218">
        <v>140000.0</v>
      </c>
      <c r="P13" s="206">
        <f t="shared" si="4"/>
        <v>0</v>
      </c>
      <c r="Q13" s="216">
        <f t="shared" si="5"/>
        <v>0</v>
      </c>
      <c r="S13" s="25"/>
      <c r="T13" s="25"/>
      <c r="U13" s="25"/>
      <c r="V13" s="25"/>
      <c r="W13" s="25"/>
      <c r="X13" s="25"/>
      <c r="Y13" s="25"/>
    </row>
    <row r="14">
      <c r="A14" s="192" t="s">
        <v>245</v>
      </c>
      <c r="B14" s="188" t="str">
        <f>IFERROR(__xludf.DUMMYFUNCTION("""COMPUTED_VALUE"""),"delong meyer")</f>
        <v>delong meyer</v>
      </c>
      <c r="C14" s="189">
        <f>IFERROR(__xludf.DUMMYFUNCTION("""COMPUTED_VALUE"""),64.6)</f>
        <v>64.6</v>
      </c>
      <c r="D14" s="189" t="str">
        <f>IFERROR(__xludf.DUMMYFUNCTION("""COMPUTED_VALUE"""),"Corn")</f>
        <v>Corn</v>
      </c>
      <c r="E14" s="189" t="str">
        <f>IFERROR(__xludf.DUMMYFUNCTION("""COMPUTED_VALUE"""),"food beans")</f>
        <v>food beans</v>
      </c>
      <c r="F14" s="9" t="s">
        <v>269</v>
      </c>
      <c r="G14" s="190" t="b">
        <v>0</v>
      </c>
      <c r="H14" s="190">
        <v>140000.0</v>
      </c>
      <c r="I14" s="115">
        <f t="shared" si="1"/>
        <v>9044000</v>
      </c>
      <c r="J14" s="115">
        <f t="shared" si="2"/>
        <v>140000</v>
      </c>
      <c r="K14" s="191">
        <f t="shared" si="3"/>
        <v>64.6</v>
      </c>
      <c r="L14" s="202" t="s">
        <v>14</v>
      </c>
      <c r="M14" s="217" t="s">
        <v>264</v>
      </c>
      <c r="N14" s="215" t="s">
        <v>268</v>
      </c>
      <c r="O14" s="218">
        <v>140000.0</v>
      </c>
      <c r="P14" s="206">
        <f t="shared" si="4"/>
        <v>0</v>
      </c>
      <c r="Q14" s="216">
        <f t="shared" si="5"/>
        <v>0</v>
      </c>
      <c r="S14" s="25"/>
      <c r="T14" s="25"/>
      <c r="U14" s="25"/>
      <c r="V14" s="25"/>
      <c r="W14" s="25"/>
      <c r="X14" s="25"/>
      <c r="Y14" s="25"/>
    </row>
    <row r="15">
      <c r="A15" s="115"/>
      <c r="B15" s="188" t="str">
        <f>IFERROR(__xludf.DUMMYFUNCTION("""COMPUTED_VALUE"""),"elwoods")</f>
        <v>elwoods</v>
      </c>
      <c r="C15" s="189">
        <f>IFERROR(__xludf.DUMMYFUNCTION("""COMPUTED_VALUE"""),67.63)</f>
        <v>67.63</v>
      </c>
      <c r="D15" s="189" t="str">
        <f>IFERROR(__xludf.DUMMYFUNCTION("""COMPUTED_VALUE"""),"Lima Beans")</f>
        <v>Lima Beans</v>
      </c>
      <c r="E15" s="189" t="str">
        <f>IFERROR(__xludf.DUMMYFUNCTION("""COMPUTED_VALUE"""),"Rye")</f>
        <v>Rye</v>
      </c>
      <c r="F15" s="9" t="s">
        <v>270</v>
      </c>
      <c r="G15" s="190" t="b">
        <v>0</v>
      </c>
      <c r="H15" s="9"/>
      <c r="I15" s="115">
        <f t="shared" si="1"/>
        <v>0</v>
      </c>
      <c r="J15" s="115">
        <f t="shared" si="2"/>
        <v>1000000</v>
      </c>
      <c r="K15" s="191">
        <f t="shared" si="3"/>
        <v>0</v>
      </c>
      <c r="L15" s="202" t="s">
        <v>14</v>
      </c>
      <c r="M15" s="217"/>
      <c r="N15" s="215" t="s">
        <v>271</v>
      </c>
      <c r="O15" s="218">
        <v>140000.0</v>
      </c>
      <c r="P15" s="206">
        <f t="shared" si="4"/>
        <v>0</v>
      </c>
      <c r="Q15" s="216">
        <f t="shared" si="5"/>
        <v>0</v>
      </c>
      <c r="R15" s="15"/>
      <c r="S15" s="25"/>
      <c r="T15" s="25"/>
      <c r="U15" s="25"/>
      <c r="V15" s="25"/>
      <c r="W15" s="25"/>
      <c r="X15" s="25"/>
      <c r="Y15" s="25"/>
    </row>
    <row r="16">
      <c r="A16" s="192" t="s">
        <v>245</v>
      </c>
      <c r="B16" s="188" t="str">
        <f>IFERROR(__xludf.DUMMYFUNCTION("""COMPUTED_VALUE"""),"fagan")</f>
        <v>fagan</v>
      </c>
      <c r="C16" s="189">
        <f>IFERROR(__xludf.DUMMYFUNCTION("""COMPUTED_VALUE"""),11.13)</f>
        <v>11.13</v>
      </c>
      <c r="D16" s="189" t="str">
        <f>IFERROR(__xludf.DUMMYFUNCTION("""COMPUTED_VALUE"""),"Soybeans")</f>
        <v>Soybeans</v>
      </c>
      <c r="E16" s="189" t="str">
        <f>IFERROR(__xludf.DUMMYFUNCTION("""COMPUTED_VALUE"""),"corn")</f>
        <v>corn</v>
      </c>
      <c r="F16" s="9" t="s">
        <v>255</v>
      </c>
      <c r="G16" s="190" t="b">
        <v>0</v>
      </c>
      <c r="H16" s="190">
        <v>34000.0</v>
      </c>
      <c r="I16" s="115">
        <f t="shared" si="1"/>
        <v>378420</v>
      </c>
      <c r="J16" s="115">
        <f t="shared" si="2"/>
        <v>80000</v>
      </c>
      <c r="K16" s="191">
        <f t="shared" si="3"/>
        <v>4.73025</v>
      </c>
      <c r="L16" s="202" t="s">
        <v>14</v>
      </c>
      <c r="M16" s="217" t="s">
        <v>264</v>
      </c>
      <c r="N16" s="215" t="s">
        <v>269</v>
      </c>
      <c r="O16" s="218">
        <v>140000.0</v>
      </c>
      <c r="P16" s="206">
        <f t="shared" si="4"/>
        <v>427.931</v>
      </c>
      <c r="Q16" s="216">
        <f t="shared" si="5"/>
        <v>427.931</v>
      </c>
      <c r="R16" s="8">
        <v>400.0</v>
      </c>
      <c r="S16" s="25"/>
      <c r="T16" s="42"/>
      <c r="U16" s="221"/>
      <c r="V16" s="42"/>
      <c r="W16" s="42"/>
      <c r="X16" s="25"/>
      <c r="Y16" s="25"/>
    </row>
    <row r="17">
      <c r="A17" s="192" t="s">
        <v>245</v>
      </c>
      <c r="B17" s="188" t="str">
        <f>IFERROR(__xludf.DUMMYFUNCTION("""COMPUTED_VALUE"""),"fox den")</f>
        <v>fox den</v>
      </c>
      <c r="C17" s="189">
        <f>IFERROR(__xludf.DUMMYFUNCTION("""COMPUTED_VALUE"""),8.925)</f>
        <v>8.925</v>
      </c>
      <c r="D17" s="189" t="str">
        <f>IFERROR(__xludf.DUMMYFUNCTION("""COMPUTED_VALUE"""),"Soybeans")</f>
        <v>Soybeans</v>
      </c>
      <c r="E17" s="189" t="str">
        <f>IFERROR(__xludf.DUMMYFUNCTION("""COMPUTED_VALUE"""),"corn")</f>
        <v>corn</v>
      </c>
      <c r="F17" s="9" t="s">
        <v>255</v>
      </c>
      <c r="G17" s="190" t="b">
        <v>0</v>
      </c>
      <c r="H17" s="190">
        <v>34000.0</v>
      </c>
      <c r="I17" s="115">
        <f t="shared" si="1"/>
        <v>303450</v>
      </c>
      <c r="J17" s="115">
        <f t="shared" si="2"/>
        <v>80000</v>
      </c>
      <c r="K17" s="191">
        <f t="shared" si="3"/>
        <v>3.793125</v>
      </c>
      <c r="L17" s="202" t="s">
        <v>14</v>
      </c>
      <c r="M17" s="203" t="s">
        <v>254</v>
      </c>
      <c r="N17" s="194" t="s">
        <v>244</v>
      </c>
      <c r="O17" s="218">
        <v>140000.0</v>
      </c>
      <c r="P17" s="206">
        <f t="shared" si="4"/>
        <v>230</v>
      </c>
      <c r="Q17" s="216">
        <f t="shared" si="5"/>
        <v>230</v>
      </c>
      <c r="R17" s="7">
        <v>265.0</v>
      </c>
      <c r="S17" s="25"/>
      <c r="T17" s="32" t="s">
        <v>272</v>
      </c>
      <c r="U17" s="221"/>
      <c r="V17" s="42"/>
      <c r="W17" s="42"/>
      <c r="X17" s="25"/>
      <c r="Y17" s="25"/>
    </row>
    <row r="18">
      <c r="A18" s="115"/>
      <c r="B18" s="188" t="str">
        <f>IFERROR(__xludf.DUMMYFUNCTION("""COMPUTED_VALUE"""),"fox kettle")</f>
        <v>fox kettle</v>
      </c>
      <c r="C18" s="189">
        <f>IFERROR(__xludf.DUMMYFUNCTION("""COMPUTED_VALUE"""),44.0)</f>
        <v>44</v>
      </c>
      <c r="D18" s="201" t="str">
        <f>IFERROR(__xludf.DUMMYFUNCTION("""COMPUTED_VALUE"""),"Rye")</f>
        <v>Rye</v>
      </c>
      <c r="E18" s="201" t="str">
        <f>IFERROR(__xludf.DUMMYFUNCTION("""COMPUTED_VALUE"""),"Corn")</f>
        <v>Corn</v>
      </c>
      <c r="F18" s="9" t="s">
        <v>253</v>
      </c>
      <c r="G18" s="190" t="b">
        <v>0</v>
      </c>
      <c r="H18" s="190">
        <v>34000.0</v>
      </c>
      <c r="I18" s="115">
        <f t="shared" si="1"/>
        <v>1496000</v>
      </c>
      <c r="J18" s="115">
        <f t="shared" si="2"/>
        <v>80000</v>
      </c>
      <c r="K18" s="191">
        <f t="shared" si="3"/>
        <v>18.7</v>
      </c>
      <c r="L18" s="202" t="s">
        <v>25</v>
      </c>
      <c r="M18" s="217" t="s">
        <v>254</v>
      </c>
      <c r="N18" s="215" t="s">
        <v>273</v>
      </c>
      <c r="O18" s="218">
        <v>80000.0</v>
      </c>
      <c r="P18" s="206">
        <f t="shared" si="4"/>
        <v>0</v>
      </c>
      <c r="Q18" s="216">
        <f t="shared" si="5"/>
        <v>0</v>
      </c>
      <c r="R18" s="7">
        <v>24.0</v>
      </c>
      <c r="S18" s="25"/>
      <c r="T18" s="222">
        <f>Q16+Q19</f>
        <v>866.611</v>
      </c>
      <c r="U18" s="221"/>
      <c r="V18" s="42"/>
      <c r="W18" s="42"/>
      <c r="X18" s="25"/>
      <c r="Y18" s="25"/>
    </row>
    <row r="19">
      <c r="A19" s="192"/>
      <c r="B19" s="208" t="str">
        <f>IFERROR(__xludf.DUMMYFUNCTION("""COMPUTED_VALUE"""),"fox kettle little")</f>
        <v>fox kettle little</v>
      </c>
      <c r="C19" s="209"/>
      <c r="D19" s="209" t="str">
        <f>IFERROR(__xludf.DUMMYFUNCTION("""COMPUTED_VALUE"""),"Corn")</f>
        <v>Corn</v>
      </c>
      <c r="E19" s="209" t="str">
        <f>IFERROR(__xludf.DUMMYFUNCTION("""COMPUTED_VALUE"""),"Corn")</f>
        <v>Corn</v>
      </c>
      <c r="F19" s="9"/>
      <c r="G19" s="190" t="b">
        <v>0</v>
      </c>
      <c r="H19" s="190"/>
      <c r="I19" s="115">
        <f t="shared" si="1"/>
        <v>0</v>
      </c>
      <c r="J19" s="115" t="str">
        <f t="shared" si="2"/>
        <v/>
      </c>
      <c r="K19" s="191" t="str">
        <f t="shared" si="3"/>
        <v>#DIV/0!</v>
      </c>
      <c r="L19" s="202" t="s">
        <v>14</v>
      </c>
      <c r="M19" s="217" t="s">
        <v>264</v>
      </c>
      <c r="N19" s="215" t="s">
        <v>274</v>
      </c>
      <c r="O19" s="218">
        <v>140000.0</v>
      </c>
      <c r="P19" s="206">
        <f t="shared" si="4"/>
        <v>438.68</v>
      </c>
      <c r="Q19" s="216">
        <f t="shared" si="5"/>
        <v>438.68</v>
      </c>
      <c r="R19" s="7">
        <v>240.0</v>
      </c>
      <c r="S19" s="25"/>
      <c r="T19" s="42"/>
      <c r="U19" s="221"/>
      <c r="V19" s="42"/>
      <c r="W19" s="42"/>
      <c r="X19" s="25"/>
      <c r="Y19" s="25"/>
    </row>
    <row r="20">
      <c r="A20" s="192" t="s">
        <v>245</v>
      </c>
      <c r="B20" s="193" t="str">
        <f>IFERROR(__xludf.DUMMYFUNCTION("""COMPUTED_VALUE"""),"fox lemans")</f>
        <v>fox lemans</v>
      </c>
      <c r="C20" s="189">
        <f>IFERROR(__xludf.DUMMYFUNCTION("""COMPUTED_VALUE"""),14.3)</f>
        <v>14.3</v>
      </c>
      <c r="D20" s="189" t="str">
        <f>IFERROR(__xludf.DUMMYFUNCTION("""COMPUTED_VALUE"""),"Soybeans")</f>
        <v>Soybeans</v>
      </c>
      <c r="E20" s="189" t="str">
        <f>IFERROR(__xludf.DUMMYFUNCTION("""COMPUTED_VALUE"""),"Corn")</f>
        <v>Corn</v>
      </c>
      <c r="F20" s="9" t="s">
        <v>255</v>
      </c>
      <c r="G20" s="190" t="b">
        <v>0</v>
      </c>
      <c r="H20" s="190">
        <v>34000.0</v>
      </c>
      <c r="I20" s="115">
        <f t="shared" si="1"/>
        <v>486200</v>
      </c>
      <c r="J20" s="115">
        <f t="shared" si="2"/>
        <v>80000</v>
      </c>
      <c r="K20" s="191">
        <f t="shared" si="3"/>
        <v>6.0775</v>
      </c>
      <c r="L20" s="223" t="s">
        <v>14</v>
      </c>
      <c r="M20" s="217" t="s">
        <v>254</v>
      </c>
      <c r="N20" s="215" t="s">
        <v>246</v>
      </c>
      <c r="O20" s="218">
        <v>140000.0</v>
      </c>
      <c r="P20" s="206">
        <f t="shared" si="4"/>
        <v>332.02</v>
      </c>
      <c r="Q20" s="216">
        <f t="shared" si="5"/>
        <v>332.02</v>
      </c>
      <c r="R20" s="7">
        <v>120.0</v>
      </c>
      <c r="S20" s="25"/>
      <c r="T20" s="42"/>
      <c r="U20" s="221"/>
      <c r="V20" s="42"/>
      <c r="W20" s="42"/>
      <c r="X20" s="25"/>
      <c r="Y20" s="25"/>
    </row>
    <row r="21">
      <c r="A21" s="192" t="s">
        <v>245</v>
      </c>
      <c r="B21" s="193" t="str">
        <f>IFERROR(__xludf.DUMMYFUNCTION("""COMPUTED_VALUE"""),"Gessert DRY bottom")</f>
        <v>Gessert DRY bottom</v>
      </c>
      <c r="C21" s="201">
        <f>IFERROR(__xludf.DUMMYFUNCTION("""COMPUTED_VALUE"""),53.0)</f>
        <v>53</v>
      </c>
      <c r="D21" s="201" t="str">
        <f>IFERROR(__xludf.DUMMYFUNCTION("""COMPUTED_VALUE"""),"Corn")</f>
        <v>Corn</v>
      </c>
      <c r="E21" s="201" t="str">
        <f>IFERROR(__xludf.DUMMYFUNCTION("""COMPUTED_VALUE"""),"soybeans")</f>
        <v>soybeans</v>
      </c>
      <c r="F21" s="194" t="s">
        <v>274</v>
      </c>
      <c r="G21" s="190" t="b">
        <v>0</v>
      </c>
      <c r="H21" s="190">
        <v>140000.0</v>
      </c>
      <c r="I21" s="115">
        <f t="shared" si="1"/>
        <v>7420000</v>
      </c>
      <c r="J21" s="115">
        <f t="shared" si="2"/>
        <v>140000</v>
      </c>
      <c r="K21" s="191">
        <f t="shared" si="3"/>
        <v>53</v>
      </c>
      <c r="L21" s="202" t="s">
        <v>83</v>
      </c>
      <c r="M21" s="217" t="s">
        <v>275</v>
      </c>
      <c r="N21" s="224">
        <v>1603.0</v>
      </c>
      <c r="O21" s="225">
        <v>1000000.0</v>
      </c>
      <c r="P21" s="206">
        <f t="shared" si="4"/>
        <v>0</v>
      </c>
      <c r="Q21" s="226">
        <f t="shared" si="5"/>
        <v>0</v>
      </c>
      <c r="S21" s="25"/>
      <c r="T21" s="42"/>
      <c r="U21" s="221"/>
      <c r="V21" s="42"/>
      <c r="W21" s="42"/>
      <c r="X21" s="25"/>
      <c r="Y21" s="25"/>
    </row>
    <row r="22">
      <c r="A22" s="192" t="s">
        <v>245</v>
      </c>
      <c r="B22" s="188" t="str">
        <f>IFERROR(__xludf.DUMMYFUNCTION("""COMPUTED_VALUE"""),"Gessert DRY top")</f>
        <v>Gessert DRY top</v>
      </c>
      <c r="C22" s="189">
        <f>IFERROR(__xludf.DUMMYFUNCTION("""COMPUTED_VALUE"""),25.0)</f>
        <v>25</v>
      </c>
      <c r="D22" s="189" t="str">
        <f>IFERROR(__xludf.DUMMYFUNCTION("""COMPUTED_VALUE"""),"Corn")</f>
        <v>Corn</v>
      </c>
      <c r="E22" s="189" t="str">
        <f>IFERROR(__xludf.DUMMYFUNCTION("""COMPUTED_VALUE"""),"soybeans")</f>
        <v>soybeans</v>
      </c>
      <c r="F22" s="194" t="s">
        <v>274</v>
      </c>
      <c r="G22" s="190" t="b">
        <v>0</v>
      </c>
      <c r="H22" s="190">
        <v>140000.0</v>
      </c>
      <c r="I22" s="115">
        <f t="shared" si="1"/>
        <v>3500000</v>
      </c>
      <c r="J22" s="115">
        <f t="shared" si="2"/>
        <v>140000</v>
      </c>
      <c r="K22" s="191">
        <f t="shared" si="3"/>
        <v>25</v>
      </c>
      <c r="L22" s="202" t="s">
        <v>276</v>
      </c>
      <c r="M22" s="217" t="s">
        <v>277</v>
      </c>
      <c r="N22" s="215" t="s">
        <v>257</v>
      </c>
      <c r="O22" s="218">
        <v>1000000.0</v>
      </c>
      <c r="P22" s="206">
        <f t="shared" si="4"/>
        <v>29.22</v>
      </c>
      <c r="Q22" s="216">
        <f t="shared" si="5"/>
        <v>38.96</v>
      </c>
      <c r="S22" s="25"/>
      <c r="T22" s="32" t="s">
        <v>278</v>
      </c>
      <c r="U22" s="221"/>
      <c r="V22" s="42"/>
      <c r="W22" s="42"/>
      <c r="X22" s="25"/>
      <c r="Y22" s="25"/>
    </row>
    <row r="23">
      <c r="A23" s="192" t="s">
        <v>245</v>
      </c>
      <c r="B23" s="188" t="str">
        <f>IFERROR(__xludf.DUMMYFUNCTION("""COMPUTED_VALUE"""),"Gessert IRR")</f>
        <v>Gessert IRR</v>
      </c>
      <c r="C23" s="189">
        <f>IFERROR(__xludf.DUMMYFUNCTION("""COMPUTED_VALUE"""),175.0)</f>
        <v>175</v>
      </c>
      <c r="D23" s="189" t="str">
        <f>IFERROR(__xludf.DUMMYFUNCTION("""COMPUTED_VALUE"""),"corn")</f>
        <v>corn</v>
      </c>
      <c r="E23" s="189" t="str">
        <f>IFERROR(__xludf.DUMMYFUNCTION("""COMPUTED_VALUE"""),"soybeans")</f>
        <v>soybeans</v>
      </c>
      <c r="F23" s="194" t="s">
        <v>274</v>
      </c>
      <c r="G23" s="190" t="b">
        <v>0</v>
      </c>
      <c r="H23" s="190">
        <v>140000.0</v>
      </c>
      <c r="I23" s="115">
        <f t="shared" si="1"/>
        <v>24500000</v>
      </c>
      <c r="J23" s="115">
        <f t="shared" si="2"/>
        <v>140000</v>
      </c>
      <c r="K23" s="191">
        <f t="shared" si="3"/>
        <v>175</v>
      </c>
      <c r="L23" s="202" t="s">
        <v>276</v>
      </c>
      <c r="M23" s="217" t="s">
        <v>277</v>
      </c>
      <c r="N23" s="215" t="s">
        <v>270</v>
      </c>
      <c r="O23" s="218">
        <v>1000000.0</v>
      </c>
      <c r="P23" s="206">
        <f t="shared" si="4"/>
        <v>0</v>
      </c>
      <c r="Q23" s="216">
        <f t="shared" si="5"/>
        <v>67.63</v>
      </c>
      <c r="S23" s="25"/>
      <c r="T23" s="222">
        <f>sum(Q11:Q20)</f>
        <v>1502.931</v>
      </c>
      <c r="U23" s="221"/>
      <c r="V23" s="42"/>
      <c r="W23" s="42"/>
      <c r="X23" s="25"/>
      <c r="Y23" s="25"/>
    </row>
    <row r="24">
      <c r="A24" s="192"/>
      <c r="B24" s="188" t="str">
        <f>IFERROR(__xludf.DUMMYFUNCTION("""COMPUTED_VALUE"""),"Gessert IRR west 110")</f>
        <v>Gessert IRR west 110</v>
      </c>
      <c r="C24" s="189">
        <f>IFERROR(__xludf.DUMMYFUNCTION("""COMPUTED_VALUE"""),111.0)</f>
        <v>111</v>
      </c>
      <c r="D24" s="189" t="str">
        <f>IFERROR(__xludf.DUMMYFUNCTION("""COMPUTED_VALUE"""),"Corn")</f>
        <v>Corn</v>
      </c>
      <c r="E24" s="189" t="str">
        <f>IFERROR(__xludf.DUMMYFUNCTION("""COMPUTED_VALUE"""),"peas/snaps")</f>
        <v>peas/snaps</v>
      </c>
      <c r="F24" s="9" t="s">
        <v>260</v>
      </c>
      <c r="G24" s="190" t="b">
        <v>0</v>
      </c>
      <c r="H24" s="190"/>
      <c r="I24" s="115">
        <f t="shared" si="1"/>
        <v>0</v>
      </c>
      <c r="J24" s="115">
        <f t="shared" si="2"/>
        <v>1000</v>
      </c>
      <c r="K24" s="191">
        <f t="shared" si="3"/>
        <v>0</v>
      </c>
      <c r="L24" s="202" t="s">
        <v>276</v>
      </c>
      <c r="M24" s="217" t="s">
        <v>277</v>
      </c>
      <c r="N24" s="227" t="s">
        <v>279</v>
      </c>
      <c r="O24" s="228">
        <v>1000000.0</v>
      </c>
      <c r="P24" s="206">
        <f t="shared" si="4"/>
        <v>0</v>
      </c>
      <c r="Q24" s="226">
        <f t="shared" si="5"/>
        <v>0</v>
      </c>
      <c r="S24" s="25"/>
      <c r="T24" s="42"/>
      <c r="U24" s="221"/>
      <c r="V24" s="42"/>
      <c r="W24" s="42"/>
      <c r="X24" s="25"/>
      <c r="Y24" s="25"/>
    </row>
    <row r="25">
      <c r="A25" s="192"/>
      <c r="B25" s="188" t="str">
        <f>IFERROR(__xludf.DUMMYFUNCTION("""COMPUTED_VALUE"""),"gessley")</f>
        <v>gessley</v>
      </c>
      <c r="C25" s="189">
        <f>IFERROR(__xludf.DUMMYFUNCTION("""COMPUTED_VALUE"""),188.0)</f>
        <v>188</v>
      </c>
      <c r="D25" s="189" t="str">
        <f>IFERROR(__xludf.DUMMYFUNCTION("""COMPUTED_VALUE"""),"Corn")</f>
        <v>Corn</v>
      </c>
      <c r="E25" s="189" t="str">
        <f>IFERROR(__xludf.DUMMYFUNCTION("""COMPUTED_VALUE"""),"Corn")</f>
        <v>Corn</v>
      </c>
      <c r="F25" s="9" t="s">
        <v>258</v>
      </c>
      <c r="G25" s="190" t="b">
        <v>0</v>
      </c>
      <c r="H25" s="190">
        <v>34000.0</v>
      </c>
      <c r="I25" s="115">
        <f t="shared" si="1"/>
        <v>6392000</v>
      </c>
      <c r="J25" s="115">
        <f t="shared" si="2"/>
        <v>80000</v>
      </c>
      <c r="K25" s="191">
        <f t="shared" si="3"/>
        <v>79.9</v>
      </c>
      <c r="Q25" s="229">
        <f>sum(Q4:Q24)</f>
        <v>3097.296</v>
      </c>
      <c r="S25" s="25"/>
      <c r="T25" s="25"/>
      <c r="U25" s="25"/>
      <c r="V25" s="25"/>
      <c r="W25" s="25"/>
      <c r="X25" s="25"/>
      <c r="Y25" s="25"/>
    </row>
    <row r="26">
      <c r="A26" s="192"/>
      <c r="B26" s="188" t="str">
        <f>IFERROR(__xludf.DUMMYFUNCTION("""COMPUTED_VALUE"""),"hoff")</f>
        <v>hoff</v>
      </c>
      <c r="C26" s="189">
        <f>IFERROR(__xludf.DUMMYFUNCTION("""COMPUTED_VALUE"""),74.3)</f>
        <v>74.3</v>
      </c>
      <c r="D26" s="189" t="str">
        <f>IFERROR(__xludf.DUMMYFUNCTION("""COMPUTED_VALUE"""),"Corn")</f>
        <v>Corn</v>
      </c>
      <c r="E26" s="189" t="str">
        <f>IFERROR(__xludf.DUMMYFUNCTION("""COMPUTED_VALUE"""),"seed beans")</f>
        <v>seed beans</v>
      </c>
      <c r="F26" s="9" t="s">
        <v>265</v>
      </c>
      <c r="G26" s="190" t="b">
        <v>0</v>
      </c>
      <c r="H26" s="190">
        <v>140000.0</v>
      </c>
      <c r="I26" s="115">
        <f t="shared" si="1"/>
        <v>10402000</v>
      </c>
      <c r="J26" s="115">
        <f t="shared" si="2"/>
        <v>140000</v>
      </c>
      <c r="K26" s="191">
        <f t="shared" si="3"/>
        <v>74.3</v>
      </c>
      <c r="S26" s="25"/>
      <c r="T26" s="25"/>
      <c r="U26" s="25"/>
      <c r="V26" s="25"/>
      <c r="W26" s="25"/>
      <c r="X26" s="25"/>
      <c r="Y26" s="25"/>
    </row>
    <row r="27">
      <c r="A27" s="192"/>
      <c r="B27" s="188" t="str">
        <f>IFERROR(__xludf.DUMMYFUNCTION("""COMPUTED_VALUE"""),"home")</f>
        <v>home</v>
      </c>
      <c r="C27" s="189">
        <f>IFERROR(__xludf.DUMMYFUNCTION("""COMPUTED_VALUE"""),37.6)</f>
        <v>37.6</v>
      </c>
      <c r="D27" s="189" t="str">
        <f>IFERROR(__xludf.DUMMYFUNCTION("""COMPUTED_VALUE"""),"corn")</f>
        <v>corn</v>
      </c>
      <c r="E27" s="189" t="str">
        <f>IFERROR(__xludf.DUMMYFUNCTION("""COMPUTED_VALUE"""),"Lima Beans")</f>
        <v>Lima Beans</v>
      </c>
      <c r="F27" s="9" t="s">
        <v>260</v>
      </c>
      <c r="G27" s="190" t="b">
        <v>0</v>
      </c>
      <c r="H27" s="190"/>
      <c r="I27" s="115">
        <f t="shared" si="1"/>
        <v>0</v>
      </c>
      <c r="J27" s="115">
        <f t="shared" si="2"/>
        <v>1000</v>
      </c>
      <c r="K27" s="191">
        <f t="shared" si="3"/>
        <v>0</v>
      </c>
      <c r="S27" s="25"/>
      <c r="T27" s="25"/>
      <c r="U27" s="25"/>
      <c r="V27" s="25"/>
      <c r="W27" s="25"/>
      <c r="X27" s="25"/>
      <c r="Y27" s="25"/>
    </row>
    <row r="28">
      <c r="A28" s="192" t="s">
        <v>280</v>
      </c>
      <c r="B28" s="188" t="str">
        <f>IFERROR(__xludf.DUMMYFUNCTION("""COMPUTED_VALUE"""),"inman")</f>
        <v>inman</v>
      </c>
      <c r="C28" s="201">
        <f>IFERROR(__xludf.DUMMYFUNCTION("""COMPUTED_VALUE"""),154.82)</f>
        <v>154.82</v>
      </c>
      <c r="D28" s="189" t="str">
        <f>IFERROR(__xludf.DUMMYFUNCTION("""COMPUTED_VALUE"""),"corn")</f>
        <v>corn</v>
      </c>
      <c r="E28" s="189" t="str">
        <f>IFERROR(__xludf.DUMMYFUNCTION("""COMPUTED_VALUE"""),"Soybeans")</f>
        <v>Soybeans</v>
      </c>
      <c r="F28" s="194" t="s">
        <v>246</v>
      </c>
      <c r="G28" s="190" t="b">
        <v>0</v>
      </c>
      <c r="H28" s="190">
        <v>140000.0</v>
      </c>
      <c r="I28" s="115">
        <f t="shared" si="1"/>
        <v>21674800</v>
      </c>
      <c r="J28" s="115">
        <f t="shared" si="2"/>
        <v>140000</v>
      </c>
      <c r="K28" s="191">
        <f t="shared" si="3"/>
        <v>154.82</v>
      </c>
      <c r="S28" s="25"/>
      <c r="T28" s="32"/>
      <c r="U28" s="230"/>
      <c r="V28" s="32"/>
      <c r="W28" s="32"/>
      <c r="X28" s="25"/>
      <c r="Y28" s="25"/>
    </row>
    <row r="29">
      <c r="A29" s="192"/>
      <c r="B29" s="188" t="str">
        <f>IFERROR(__xludf.DUMMYFUNCTION("""COMPUTED_VALUE"""),"jehovah")</f>
        <v>jehovah</v>
      </c>
      <c r="C29" s="189">
        <f>IFERROR(__xludf.DUMMYFUNCTION("""COMPUTED_VALUE"""),22.75)</f>
        <v>22.75</v>
      </c>
      <c r="D29" s="189" t="str">
        <f>IFERROR(__xludf.DUMMYFUNCTION("""COMPUTED_VALUE"""),"Soybeans")</f>
        <v>Soybeans</v>
      </c>
      <c r="E29" s="189" t="str">
        <f>IFERROR(__xludf.DUMMYFUNCTION("""COMPUTED_VALUE"""),"Lima Beans")</f>
        <v>Lima Beans</v>
      </c>
      <c r="F29" s="9" t="s">
        <v>260</v>
      </c>
      <c r="G29" s="190" t="b">
        <v>0</v>
      </c>
      <c r="H29" s="190">
        <v>140000.0</v>
      </c>
      <c r="I29" s="115">
        <f t="shared" si="1"/>
        <v>3185000</v>
      </c>
      <c r="J29" s="115">
        <f t="shared" si="2"/>
        <v>1000</v>
      </c>
      <c r="K29" s="191">
        <f t="shared" si="3"/>
        <v>3185</v>
      </c>
      <c r="S29" s="25"/>
      <c r="T29" s="42"/>
      <c r="U29" s="221"/>
      <c r="V29" s="42"/>
      <c r="W29" s="25"/>
      <c r="X29" s="25"/>
      <c r="Y29" s="25"/>
    </row>
    <row r="30">
      <c r="A30" s="115"/>
      <c r="B30" s="188" t="str">
        <f>IFERROR(__xludf.DUMMYFUNCTION("""COMPUTED_VALUE"""),"Juniors 3 little fields")</f>
        <v>Juniors 3 little fields</v>
      </c>
      <c r="C30" s="189">
        <f>IFERROR(__xludf.DUMMYFUNCTION("""COMPUTED_VALUE"""),10.0)</f>
        <v>10</v>
      </c>
      <c r="D30" s="189" t="str">
        <f>IFERROR(__xludf.DUMMYFUNCTION("""COMPUTED_VALUE"""),"Kernza")</f>
        <v>Kernza</v>
      </c>
      <c r="E30" s="189" t="str">
        <f>IFERROR(__xludf.DUMMYFUNCTION("""COMPUTED_VALUE"""),"Kernza")</f>
        <v>Kernza</v>
      </c>
      <c r="F30" s="9"/>
      <c r="G30" s="190" t="b">
        <v>0</v>
      </c>
      <c r="H30" s="190"/>
      <c r="I30" s="115">
        <f t="shared" si="1"/>
        <v>0</v>
      </c>
      <c r="J30" s="115" t="str">
        <f t="shared" si="2"/>
        <v/>
      </c>
      <c r="K30" s="191" t="str">
        <f t="shared" si="3"/>
        <v>#DIV/0!</v>
      </c>
      <c r="N30" s="7" t="s">
        <v>281</v>
      </c>
      <c r="P30" s="9" t="s">
        <v>282</v>
      </c>
      <c r="S30" s="25"/>
      <c r="T30" s="42"/>
      <c r="U30" s="221"/>
      <c r="V30" s="42"/>
      <c r="W30" s="25"/>
      <c r="X30" s="25"/>
      <c r="Y30" s="25"/>
    </row>
    <row r="31">
      <c r="A31" s="115"/>
      <c r="B31" s="188" t="str">
        <f>IFERROR(__xludf.DUMMYFUNCTION("""COMPUTED_VALUE"""),"Jr's Big Field ")</f>
        <v>Jr's Big Field </v>
      </c>
      <c r="C31" s="189"/>
      <c r="D31" s="189" t="str">
        <f>IFERROR(__xludf.DUMMYFUNCTION("""COMPUTED_VALUE"""),"Rye")</f>
        <v>Rye</v>
      </c>
      <c r="E31" s="189" t="str">
        <f>IFERROR(__xludf.DUMMYFUNCTION("""COMPUTED_VALUE"""),"Soybeans")</f>
        <v>Soybeans</v>
      </c>
      <c r="F31" s="194" t="s">
        <v>246</v>
      </c>
      <c r="G31" s="190" t="b">
        <v>0</v>
      </c>
      <c r="H31" s="190">
        <v>140000.0</v>
      </c>
      <c r="I31" s="115">
        <f t="shared" si="1"/>
        <v>0</v>
      </c>
      <c r="J31" s="115">
        <f t="shared" si="2"/>
        <v>140000</v>
      </c>
      <c r="K31" s="191">
        <f t="shared" si="3"/>
        <v>0</v>
      </c>
      <c r="P31" s="231" t="s">
        <v>283</v>
      </c>
      <c r="S31" s="25"/>
      <c r="T31" s="25"/>
      <c r="U31" s="25"/>
      <c r="V31" s="25"/>
      <c r="W31" s="25"/>
      <c r="X31" s="25"/>
      <c r="Y31" s="25"/>
    </row>
    <row r="32">
      <c r="A32" s="115"/>
      <c r="B32" s="188" t="str">
        <f>IFERROR(__xludf.DUMMYFUNCTION("""COMPUTED_VALUE"""),"Klug North")</f>
        <v>Klug North</v>
      </c>
      <c r="C32" s="189">
        <f>IFERROR(__xludf.DUMMYFUNCTION("""COMPUTED_VALUE"""),78.4)</f>
        <v>78.4</v>
      </c>
      <c r="D32" s="189" t="str">
        <f>IFERROR(__xludf.DUMMYFUNCTION("""COMPUTED_VALUE"""),"corn")</f>
        <v>corn</v>
      </c>
      <c r="E32" s="189" t="str">
        <f>IFERROR(__xludf.DUMMYFUNCTION("""COMPUTED_VALUE"""),"food beans")</f>
        <v>food beans</v>
      </c>
      <c r="F32" s="232" t="s">
        <v>269</v>
      </c>
      <c r="G32" s="190" t="b">
        <v>0</v>
      </c>
      <c r="H32" s="190">
        <v>140000.0</v>
      </c>
      <c r="I32" s="115">
        <f t="shared" si="1"/>
        <v>10976000</v>
      </c>
      <c r="J32" s="115">
        <f t="shared" si="2"/>
        <v>140000</v>
      </c>
      <c r="K32" s="191">
        <f t="shared" si="3"/>
        <v>78.4</v>
      </c>
      <c r="P32" s="233" t="s">
        <v>284</v>
      </c>
      <c r="S32" s="25"/>
      <c r="T32" s="25"/>
      <c r="U32" s="220"/>
      <c r="V32" s="25"/>
      <c r="W32" s="25"/>
      <c r="X32" s="25"/>
      <c r="Y32" s="25"/>
    </row>
    <row r="33">
      <c r="A33" s="192"/>
      <c r="B33" s="188" t="str">
        <f>IFERROR(__xludf.DUMMYFUNCTION("""COMPUTED_VALUE"""),"klug-Davis")</f>
        <v>klug-Davis</v>
      </c>
      <c r="C33" s="189">
        <f>IFERROR(__xludf.DUMMYFUNCTION("""COMPUTED_VALUE"""),136.011)</f>
        <v>136.011</v>
      </c>
      <c r="D33" s="189" t="str">
        <f>IFERROR(__xludf.DUMMYFUNCTION("""COMPUTED_VALUE"""),"corn")</f>
        <v>corn</v>
      </c>
      <c r="E33" s="189" t="str">
        <f>IFERROR(__xludf.DUMMYFUNCTION("""COMPUTED_VALUE"""),"food beans")</f>
        <v>food beans</v>
      </c>
      <c r="F33" s="9" t="s">
        <v>269</v>
      </c>
      <c r="G33" s="190" t="b">
        <v>0</v>
      </c>
      <c r="H33" s="190">
        <v>140000.0</v>
      </c>
      <c r="I33" s="115">
        <f t="shared" si="1"/>
        <v>19041540</v>
      </c>
      <c r="J33" s="115">
        <f t="shared" si="2"/>
        <v>140000</v>
      </c>
      <c r="K33" s="191">
        <f t="shared" si="3"/>
        <v>136.011</v>
      </c>
      <c r="S33" s="25"/>
      <c r="T33" s="25"/>
      <c r="U33" s="25"/>
      <c r="V33" s="25"/>
      <c r="W33" s="25"/>
      <c r="X33" s="25"/>
      <c r="Y33" s="25"/>
    </row>
    <row r="34">
      <c r="A34" s="192"/>
      <c r="B34" s="188" t="str">
        <f>IFERROR(__xludf.DUMMYFUNCTION("""COMPUTED_VALUE"""),"lake")</f>
        <v>lake</v>
      </c>
      <c r="C34" s="189">
        <f>IFERROR(__xludf.DUMMYFUNCTION("""COMPUTED_VALUE"""),18.07)</f>
        <v>18.07</v>
      </c>
      <c r="D34" s="189" t="str">
        <f>IFERROR(__xludf.DUMMYFUNCTION("""COMPUTED_VALUE"""),"corn")</f>
        <v>corn</v>
      </c>
      <c r="E34" s="189" t="str">
        <f>IFERROR(__xludf.DUMMYFUNCTION("""COMPUTED_VALUE"""),"food beans")</f>
        <v>food beans</v>
      </c>
      <c r="F34" s="9" t="s">
        <v>269</v>
      </c>
      <c r="G34" s="190" t="b">
        <v>0</v>
      </c>
      <c r="H34" s="190">
        <v>140000.0</v>
      </c>
      <c r="I34" s="115">
        <f t="shared" si="1"/>
        <v>2529800</v>
      </c>
      <c r="J34" s="115">
        <f t="shared" si="2"/>
        <v>140000</v>
      </c>
      <c r="K34" s="191">
        <f t="shared" si="3"/>
        <v>18.07</v>
      </c>
      <c r="S34" s="25"/>
      <c r="T34" s="25"/>
      <c r="U34" s="25"/>
      <c r="V34" s="25"/>
      <c r="W34" s="25"/>
      <c r="X34" s="25"/>
      <c r="Y34" s="25"/>
    </row>
    <row r="35">
      <c r="A35" s="115"/>
      <c r="B35" s="188" t="str">
        <f>IFERROR(__xludf.DUMMYFUNCTION("""COMPUTED_VALUE"""),"Knilans Rd.")</f>
        <v>Knilans Rd.</v>
      </c>
      <c r="C35" s="189"/>
      <c r="D35" s="189" t="str">
        <f>IFERROR(__xludf.DUMMYFUNCTION("""COMPUTED_VALUE"""),"Rye")</f>
        <v>Rye</v>
      </c>
      <c r="E35" s="189" t="str">
        <f>IFERROR(__xludf.DUMMYFUNCTION("""COMPUTED_VALUE"""),"Soybeans")</f>
        <v>Soybeans</v>
      </c>
      <c r="F35" s="194" t="s">
        <v>246</v>
      </c>
      <c r="G35" s="190" t="b">
        <v>0</v>
      </c>
      <c r="H35" s="190">
        <v>140000.0</v>
      </c>
      <c r="I35" s="115">
        <f t="shared" si="1"/>
        <v>0</v>
      </c>
      <c r="J35" s="115">
        <f t="shared" si="2"/>
        <v>140000</v>
      </c>
      <c r="K35" s="191">
        <f t="shared" si="3"/>
        <v>0</v>
      </c>
      <c r="S35" s="25"/>
      <c r="T35" s="42"/>
      <c r="U35" s="221"/>
      <c r="V35" s="42"/>
      <c r="W35" s="42"/>
      <c r="X35" s="25"/>
      <c r="Y35" s="25"/>
    </row>
    <row r="36">
      <c r="A36" s="192" t="s">
        <v>245</v>
      </c>
      <c r="B36" s="188" t="str">
        <f>IFERROR(__xludf.DUMMYFUNCTION("""COMPUTED_VALUE"""),"larson")</f>
        <v>larson</v>
      </c>
      <c r="C36" s="189">
        <f>IFERROR(__xludf.DUMMYFUNCTION("""COMPUTED_VALUE"""),56.2)</f>
        <v>56.2</v>
      </c>
      <c r="D36" s="189" t="str">
        <f>IFERROR(__xludf.DUMMYFUNCTION("""COMPUTED_VALUE"""),"soybeans")</f>
        <v>soybeans</v>
      </c>
      <c r="E36" s="189" t="str">
        <f>IFERROR(__xludf.DUMMYFUNCTION("""COMPUTED_VALUE"""),"Corn")</f>
        <v>Corn</v>
      </c>
      <c r="F36" s="9" t="s">
        <v>253</v>
      </c>
      <c r="G36" s="190" t="b">
        <v>0</v>
      </c>
      <c r="H36" s="190">
        <v>34000.0</v>
      </c>
      <c r="I36" s="115">
        <f t="shared" si="1"/>
        <v>1910800</v>
      </c>
      <c r="J36" s="115">
        <f t="shared" si="2"/>
        <v>80000</v>
      </c>
      <c r="K36" s="191">
        <f t="shared" si="3"/>
        <v>23.885</v>
      </c>
      <c r="N36" s="234" t="s">
        <v>285</v>
      </c>
      <c r="O36" s="235">
        <v>46036.0</v>
      </c>
      <c r="P36" s="236" t="s">
        <v>286</v>
      </c>
      <c r="S36" s="25"/>
      <c r="T36" s="42"/>
      <c r="U36" s="221"/>
      <c r="V36" s="42"/>
      <c r="W36" s="42"/>
      <c r="X36" s="25"/>
      <c r="Y36" s="25"/>
    </row>
    <row r="37">
      <c r="A37" s="115"/>
      <c r="B37" s="188" t="str">
        <f>IFERROR(__xludf.DUMMYFUNCTION("""COMPUTED_VALUE"""),"murray")</f>
        <v>murray</v>
      </c>
      <c r="C37" s="189">
        <f>IFERROR(__xludf.DUMMYFUNCTION("""COMPUTED_VALUE"""),130.85)</f>
        <v>130.85</v>
      </c>
      <c r="D37" s="189" t="str">
        <f>IFERROR(__xludf.DUMMYFUNCTION("""COMPUTED_VALUE"""),"corn")</f>
        <v>corn</v>
      </c>
      <c r="E37" s="189" t="str">
        <f>IFERROR(__xludf.DUMMYFUNCTION("""COMPUTED_VALUE"""),"food beans")</f>
        <v>food beans</v>
      </c>
      <c r="F37" s="9" t="s">
        <v>269</v>
      </c>
      <c r="G37" s="190" t="b">
        <v>0</v>
      </c>
      <c r="H37" s="190">
        <v>140000.0</v>
      </c>
      <c r="I37" s="115">
        <f t="shared" si="1"/>
        <v>18319000</v>
      </c>
      <c r="J37" s="115">
        <f t="shared" si="2"/>
        <v>140000</v>
      </c>
      <c r="K37" s="191">
        <f t="shared" si="3"/>
        <v>130.85</v>
      </c>
      <c r="N37" s="237"/>
      <c r="O37" s="238"/>
      <c r="P37" s="239"/>
      <c r="S37" s="25"/>
      <c r="T37" s="42"/>
      <c r="U37" s="221"/>
      <c r="V37" s="42"/>
      <c r="W37" s="42"/>
      <c r="X37" s="25"/>
      <c r="Y37" s="25"/>
    </row>
    <row r="38">
      <c r="A38" s="192"/>
      <c r="B38" s="188" t="str">
        <f>IFERROR(__xludf.DUMMYFUNCTION("""COMPUTED_VALUE"""),"New Life")</f>
        <v>New Life</v>
      </c>
      <c r="C38" s="189">
        <f>IFERROR(__xludf.DUMMYFUNCTION("""COMPUTED_VALUE"""),8.8)</f>
        <v>8.8</v>
      </c>
      <c r="D38" s="189" t="str">
        <f>IFERROR(__xludf.DUMMYFUNCTION("""COMPUTED_VALUE"""),"Soybeans")</f>
        <v>Soybeans</v>
      </c>
      <c r="E38" s="189" t="str">
        <f>IFERROR(__xludf.DUMMYFUNCTION("""COMPUTED_VALUE"""),"Corn")</f>
        <v>Corn</v>
      </c>
      <c r="F38" s="9" t="s">
        <v>255</v>
      </c>
      <c r="G38" s="190" t="b">
        <v>0</v>
      </c>
      <c r="H38" s="190">
        <v>34000.0</v>
      </c>
      <c r="I38" s="115">
        <f t="shared" si="1"/>
        <v>299200</v>
      </c>
      <c r="J38" s="115">
        <f t="shared" si="2"/>
        <v>80000</v>
      </c>
      <c r="K38" s="191">
        <f t="shared" si="3"/>
        <v>3.74</v>
      </c>
      <c r="N38" s="240"/>
      <c r="O38" s="241"/>
      <c r="P38" s="242"/>
      <c r="S38" s="25"/>
      <c r="T38" s="42"/>
      <c r="U38" s="221"/>
      <c r="V38" s="42"/>
      <c r="W38" s="42"/>
      <c r="X38" s="25"/>
      <c r="Y38" s="25"/>
    </row>
    <row r="39">
      <c r="A39" s="192" t="s">
        <v>287</v>
      </c>
      <c r="B39" s="188" t="str">
        <f>IFERROR(__xludf.DUMMYFUNCTION("""COMPUTED_VALUE"""),"Noss, Jeff")</f>
        <v>Noss, Jeff</v>
      </c>
      <c r="C39" s="189">
        <f>IFERROR(__xludf.DUMMYFUNCTION("""COMPUTED_VALUE"""),30.65)</f>
        <v>30.65</v>
      </c>
      <c r="D39" s="189" t="str">
        <f>IFERROR(__xludf.DUMMYFUNCTION("""COMPUTED_VALUE"""),"soybeans")</f>
        <v>soybeans</v>
      </c>
      <c r="E39" s="189" t="str">
        <f>IFERROR(__xludf.DUMMYFUNCTION("""COMPUTED_VALUE"""),"Corn")</f>
        <v>Corn</v>
      </c>
      <c r="F39" s="9" t="s">
        <v>256</v>
      </c>
      <c r="G39" s="190" t="b">
        <v>0</v>
      </c>
      <c r="H39" s="190">
        <v>34000.0</v>
      </c>
      <c r="I39" s="115">
        <f t="shared" si="1"/>
        <v>1042100</v>
      </c>
      <c r="J39" s="115">
        <f t="shared" si="2"/>
        <v>80000</v>
      </c>
      <c r="K39" s="191">
        <f t="shared" si="3"/>
        <v>13.02625</v>
      </c>
      <c r="N39" s="240"/>
      <c r="O39" s="241"/>
      <c r="P39" s="242"/>
      <c r="S39" s="25"/>
      <c r="T39" s="42"/>
      <c r="U39" s="221"/>
      <c r="V39" s="42"/>
      <c r="W39" s="42"/>
      <c r="X39" s="25"/>
      <c r="Y39" s="25"/>
    </row>
    <row r="40">
      <c r="A40" s="192" t="s">
        <v>287</v>
      </c>
      <c r="B40" s="188" t="str">
        <f>IFERROR(__xludf.DUMMYFUNCTION("""COMPUTED_VALUE"""),"Noss, jessie torkelson west")</f>
        <v>Noss, jessie torkelson west</v>
      </c>
      <c r="C40" s="189">
        <f>IFERROR(__xludf.DUMMYFUNCTION("""COMPUTED_VALUE"""),82.39)</f>
        <v>82.39</v>
      </c>
      <c r="D40" s="189" t="str">
        <f>IFERROR(__xludf.DUMMYFUNCTION("""COMPUTED_VALUE"""),"corn")</f>
        <v>corn</v>
      </c>
      <c r="E40" s="189" t="str">
        <f>IFERROR(__xludf.DUMMYFUNCTION("""COMPUTED_VALUE"""),"Corn")</f>
        <v>Corn</v>
      </c>
      <c r="F40" s="9" t="s">
        <v>258</v>
      </c>
      <c r="G40" s="190" t="b">
        <v>0</v>
      </c>
      <c r="H40" s="190">
        <v>34000.0</v>
      </c>
      <c r="I40" s="115">
        <f t="shared" si="1"/>
        <v>2801260</v>
      </c>
      <c r="J40" s="115">
        <f t="shared" si="2"/>
        <v>80000</v>
      </c>
      <c r="K40" s="191">
        <f t="shared" si="3"/>
        <v>35.01575</v>
      </c>
      <c r="N40" s="240"/>
      <c r="O40" s="243"/>
      <c r="P40" s="244"/>
      <c r="S40" s="25"/>
      <c r="T40" s="42"/>
      <c r="U40" s="221"/>
      <c r="V40" s="42"/>
      <c r="W40" s="42"/>
      <c r="X40" s="25"/>
      <c r="Y40" s="25"/>
    </row>
    <row r="41">
      <c r="A41" s="192" t="s">
        <v>287</v>
      </c>
      <c r="B41" s="188" t="str">
        <f>IFERROR(__xludf.DUMMYFUNCTION("""COMPUTED_VALUE"""),"Noss, Sid")</f>
        <v>Noss, Sid</v>
      </c>
      <c r="C41" s="189">
        <f>IFERROR(__xludf.DUMMYFUNCTION("""COMPUTED_VALUE"""),100.34)</f>
        <v>100.34</v>
      </c>
      <c r="D41" s="189" t="str">
        <f>IFERROR(__xludf.DUMMYFUNCTION("""COMPUTED_VALUE"""),"soybeans")</f>
        <v>soybeans</v>
      </c>
      <c r="E41" s="189" t="str">
        <f>IFERROR(__xludf.DUMMYFUNCTION("""COMPUTED_VALUE"""),"Corn")</f>
        <v>Corn</v>
      </c>
      <c r="F41" s="9" t="s">
        <v>256</v>
      </c>
      <c r="G41" s="190" t="b">
        <v>0</v>
      </c>
      <c r="H41" s="190">
        <v>34000.0</v>
      </c>
      <c r="I41" s="115">
        <f t="shared" si="1"/>
        <v>3411560</v>
      </c>
      <c r="J41" s="115">
        <f t="shared" si="2"/>
        <v>80000</v>
      </c>
      <c r="K41" s="191">
        <f t="shared" si="3"/>
        <v>42.6445</v>
      </c>
      <c r="N41" s="240"/>
      <c r="O41" s="243"/>
      <c r="P41" s="242"/>
      <c r="S41" s="25"/>
      <c r="T41" s="42"/>
      <c r="U41" s="221"/>
      <c r="V41" s="42"/>
      <c r="W41" s="32"/>
      <c r="X41" s="25"/>
      <c r="Y41" s="25"/>
    </row>
    <row r="42">
      <c r="A42" s="192"/>
      <c r="B42" s="188" t="str">
        <f>IFERROR(__xludf.DUMMYFUNCTION("""COMPUTED_VALUE"""),"Noss, torkelson east")</f>
        <v>Noss, torkelson east</v>
      </c>
      <c r="C42" s="189">
        <f>IFERROR(__xludf.DUMMYFUNCTION("""COMPUTED_VALUE"""),76.4)</f>
        <v>76.4</v>
      </c>
      <c r="D42" s="189" t="str">
        <f>IFERROR(__xludf.DUMMYFUNCTION("""COMPUTED_VALUE"""),"Corn")</f>
        <v>Corn</v>
      </c>
      <c r="E42" s="189" t="str">
        <f>IFERROR(__xludf.DUMMYFUNCTION("""COMPUTED_VALUE"""),"Soybeans")</f>
        <v>Soybeans</v>
      </c>
      <c r="F42" s="194" t="s">
        <v>246</v>
      </c>
      <c r="G42" s="190" t="b">
        <v>0</v>
      </c>
      <c r="H42" s="190">
        <v>140000.0</v>
      </c>
      <c r="I42" s="115">
        <f t="shared" si="1"/>
        <v>10696000</v>
      </c>
      <c r="J42" s="115">
        <f t="shared" si="2"/>
        <v>140000</v>
      </c>
      <c r="K42" s="191">
        <f t="shared" si="3"/>
        <v>76.4</v>
      </c>
      <c r="N42" s="240"/>
      <c r="O42" s="245"/>
      <c r="P42" s="246"/>
      <c r="S42" s="25"/>
      <c r="T42" s="25"/>
      <c r="U42" s="25"/>
      <c r="V42" s="25"/>
      <c r="W42" s="25"/>
      <c r="X42" s="25"/>
      <c r="Y42" s="25"/>
    </row>
    <row r="43">
      <c r="A43" s="192"/>
      <c r="B43" s="188" t="str">
        <f>IFERROR(__xludf.DUMMYFUNCTION("""COMPUTED_VALUE"""),"Phillhower east")</f>
        <v>Phillhower east</v>
      </c>
      <c r="C43" s="189">
        <f>IFERROR(__xludf.DUMMYFUNCTION("""COMPUTED_VALUE"""),134.4)</f>
        <v>134.4</v>
      </c>
      <c r="D43" s="189" t="str">
        <f>IFERROR(__xludf.DUMMYFUNCTION("""COMPUTED_VALUE"""),"SweetCorn")</f>
        <v>SweetCorn</v>
      </c>
      <c r="E43" s="189" t="str">
        <f>IFERROR(__xludf.DUMMYFUNCTION("""COMPUTED_VALUE"""),"peas/snaps")</f>
        <v>peas/snaps</v>
      </c>
      <c r="F43" s="9" t="s">
        <v>260</v>
      </c>
      <c r="G43" s="190" t="b">
        <v>0</v>
      </c>
      <c r="H43" s="190">
        <v>140000.0</v>
      </c>
      <c r="I43" s="115">
        <f t="shared" si="1"/>
        <v>18816000</v>
      </c>
      <c r="J43" s="115">
        <f t="shared" si="2"/>
        <v>1000</v>
      </c>
      <c r="K43" s="191">
        <f t="shared" si="3"/>
        <v>18816</v>
      </c>
      <c r="N43" s="240"/>
      <c r="O43" s="245"/>
      <c r="P43" s="242"/>
      <c r="S43" s="25"/>
      <c r="T43" s="25"/>
      <c r="U43" s="220"/>
      <c r="V43" s="25"/>
      <c r="W43" s="25"/>
      <c r="X43" s="25"/>
      <c r="Y43" s="25"/>
    </row>
    <row r="44">
      <c r="A44" s="115"/>
      <c r="B44" s="188" t="str">
        <f>IFERROR(__xludf.DUMMYFUNCTION("""COMPUTED_VALUE"""),"Phillhower west")</f>
        <v>Phillhower west</v>
      </c>
      <c r="C44" s="189">
        <f>IFERROR(__xludf.DUMMYFUNCTION("""COMPUTED_VALUE"""),154.18)</f>
        <v>154.18</v>
      </c>
      <c r="D44" s="189" t="str">
        <f>IFERROR(__xludf.DUMMYFUNCTION("""COMPUTED_VALUE"""),"corn")</f>
        <v>corn</v>
      </c>
      <c r="E44" s="189" t="str">
        <f>IFERROR(__xludf.DUMMYFUNCTION("""COMPUTED_VALUE"""),"food beans")</f>
        <v>food beans</v>
      </c>
      <c r="F44" s="9" t="s">
        <v>274</v>
      </c>
      <c r="G44" s="190" t="b">
        <v>0</v>
      </c>
      <c r="H44" s="190">
        <v>140000.0</v>
      </c>
      <c r="I44" s="115">
        <f t="shared" si="1"/>
        <v>21585200</v>
      </c>
      <c r="J44" s="115">
        <f t="shared" si="2"/>
        <v>140000</v>
      </c>
      <c r="K44" s="191">
        <f t="shared" si="3"/>
        <v>154.18</v>
      </c>
      <c r="N44" s="240"/>
      <c r="O44" s="245"/>
      <c r="P44" s="247"/>
      <c r="S44" s="25"/>
      <c r="T44" s="25"/>
      <c r="U44" s="25"/>
      <c r="V44" s="25"/>
      <c r="W44" s="25"/>
      <c r="X44" s="25"/>
      <c r="Y44" s="25"/>
    </row>
    <row r="45">
      <c r="A45" s="192" t="s">
        <v>245</v>
      </c>
      <c r="B45" s="188" t="str">
        <f>IFERROR(__xludf.DUMMYFUNCTION("""COMPUTED_VALUE"""),"schultz")</f>
        <v>schultz</v>
      </c>
      <c r="C45" s="189">
        <f>IFERROR(__xludf.DUMMYFUNCTION("""COMPUTED_VALUE"""),98.1)</f>
        <v>98.1</v>
      </c>
      <c r="D45" s="189" t="str">
        <f>IFERROR(__xludf.DUMMYFUNCTION("""COMPUTED_VALUE"""),"Soybeans")</f>
        <v>Soybeans</v>
      </c>
      <c r="E45" s="189" t="str">
        <f>IFERROR(__xludf.DUMMYFUNCTION("""COMPUTED_VALUE"""),"Corn")</f>
        <v>Corn</v>
      </c>
      <c r="F45" s="9" t="s">
        <v>258</v>
      </c>
      <c r="G45" s="190" t="b">
        <v>0</v>
      </c>
      <c r="H45" s="190">
        <v>34000.0</v>
      </c>
      <c r="I45" s="115">
        <f t="shared" si="1"/>
        <v>3335400</v>
      </c>
      <c r="J45" s="115">
        <f t="shared" si="2"/>
        <v>80000</v>
      </c>
      <c r="K45" s="191">
        <f t="shared" si="3"/>
        <v>41.6925</v>
      </c>
      <c r="N45" s="240"/>
      <c r="O45" s="245"/>
      <c r="P45" s="247"/>
      <c r="S45" s="25"/>
      <c r="T45" s="25"/>
      <c r="U45" s="25"/>
      <c r="V45" s="25"/>
      <c r="W45" s="25"/>
      <c r="X45" s="25"/>
      <c r="Y45" s="25"/>
    </row>
    <row r="46">
      <c r="A46" s="192" t="s">
        <v>245</v>
      </c>
      <c r="B46" s="188" t="str">
        <f>IFERROR(__xludf.DUMMYFUNCTION("""COMPUTED_VALUE"""),"schwellenbach")</f>
        <v>schwellenbach</v>
      </c>
      <c r="C46" s="189">
        <f>IFERROR(__xludf.DUMMYFUNCTION("""COMPUTED_VALUE"""),29.1)</f>
        <v>29.1</v>
      </c>
      <c r="D46" s="189" t="str">
        <f>IFERROR(__xludf.DUMMYFUNCTION("""COMPUTED_VALUE"""),"soybeans")</f>
        <v>soybeans</v>
      </c>
      <c r="E46" s="189" t="str">
        <f>IFERROR(__xludf.DUMMYFUNCTION("""COMPUTED_VALUE"""),"corn")</f>
        <v>corn</v>
      </c>
      <c r="F46" s="9" t="s">
        <v>258</v>
      </c>
      <c r="G46" s="190" t="b">
        <v>0</v>
      </c>
      <c r="H46" s="190">
        <v>34000.0</v>
      </c>
      <c r="I46" s="115">
        <f t="shared" si="1"/>
        <v>989400</v>
      </c>
      <c r="J46" s="115">
        <f t="shared" si="2"/>
        <v>80000</v>
      </c>
      <c r="K46" s="191">
        <f t="shared" si="3"/>
        <v>12.3675</v>
      </c>
      <c r="N46" s="240"/>
      <c r="O46" s="245"/>
      <c r="P46" s="247"/>
      <c r="S46" s="25"/>
      <c r="T46" s="248"/>
      <c r="U46" s="220"/>
      <c r="V46" s="25"/>
      <c r="W46" s="25"/>
      <c r="X46" s="25"/>
      <c r="Y46" s="25"/>
    </row>
    <row r="47">
      <c r="A47" s="115"/>
      <c r="B47" s="188" t="str">
        <f>IFERROR(__xludf.DUMMYFUNCTION("""COMPUTED_VALUE"""),"suiter")</f>
        <v>suiter</v>
      </c>
      <c r="C47" s="189">
        <f>IFERROR(__xludf.DUMMYFUNCTION("""COMPUTED_VALUE"""),15.1)</f>
        <v>15.1</v>
      </c>
      <c r="D47" s="189" t="str">
        <f>IFERROR(__xludf.DUMMYFUNCTION("""COMPUTED_VALUE"""),"corn")</f>
        <v>corn</v>
      </c>
      <c r="E47" s="189" t="str">
        <f>IFERROR(__xludf.DUMMYFUNCTION("""COMPUTED_VALUE"""),"Soybeans")</f>
        <v>Soybeans</v>
      </c>
      <c r="F47" s="9" t="s">
        <v>246</v>
      </c>
      <c r="G47" s="190" t="b">
        <v>0</v>
      </c>
      <c r="H47" s="9">
        <v>140000.0</v>
      </c>
      <c r="I47" s="115">
        <f t="shared" si="1"/>
        <v>2114000</v>
      </c>
      <c r="J47" s="115">
        <f t="shared" si="2"/>
        <v>140000</v>
      </c>
      <c r="K47" s="191">
        <f t="shared" si="3"/>
        <v>15.1</v>
      </c>
      <c r="N47" s="240"/>
      <c r="O47" s="245"/>
      <c r="P47" s="247"/>
      <c r="S47" s="25"/>
      <c r="T47" s="25"/>
      <c r="U47" s="25"/>
      <c r="V47" s="25"/>
      <c r="W47" s="25"/>
      <c r="X47" s="25"/>
      <c r="Y47" s="25"/>
    </row>
    <row r="48">
      <c r="A48" s="192"/>
      <c r="B48" s="188" t="str">
        <f>IFERROR(__xludf.DUMMYFUNCTION("""COMPUTED_VALUE"""),"Townline ALL")</f>
        <v>Townline ALL</v>
      </c>
      <c r="C48" s="189">
        <f>IFERROR(__xludf.DUMMYFUNCTION("""COMPUTED_VALUE"""),267.4)</f>
        <v>267.4</v>
      </c>
      <c r="D48" s="189" t="str">
        <f>IFERROR(__xludf.DUMMYFUNCTION("""COMPUTED_VALUE"""),"peas/snaps")</f>
        <v>peas/snaps</v>
      </c>
      <c r="E48" s="189" t="str">
        <f>IFERROR(__xludf.DUMMYFUNCTION("""COMPUTED_VALUE"""),"Rye")</f>
        <v>Rye</v>
      </c>
      <c r="F48" s="9"/>
      <c r="G48" s="190" t="b">
        <v>0</v>
      </c>
      <c r="H48" s="190">
        <v>140000.0</v>
      </c>
      <c r="I48" s="115">
        <f t="shared" si="1"/>
        <v>37436000</v>
      </c>
      <c r="J48" s="115" t="str">
        <f t="shared" si="2"/>
        <v/>
      </c>
      <c r="K48" s="191" t="str">
        <f t="shared" si="3"/>
        <v>#DIV/0!</v>
      </c>
      <c r="N48" s="240"/>
      <c r="O48" s="245"/>
      <c r="P48" s="247"/>
      <c r="S48" s="25"/>
      <c r="T48" s="25"/>
      <c r="U48" s="25"/>
      <c r="V48" s="25"/>
      <c r="W48" s="25"/>
      <c r="X48" s="25"/>
      <c r="Y48" s="25"/>
    </row>
    <row r="49">
      <c r="A49" s="115"/>
      <c r="B49" s="188" t="str">
        <f>IFERROR(__xludf.DUMMYFUNCTION("""COMPUTED_VALUE"""),"Twist farm")</f>
        <v>Twist farm</v>
      </c>
      <c r="C49" s="189">
        <f>IFERROR(__xludf.DUMMYFUNCTION("""COMPUTED_VALUE"""),31.5)</f>
        <v>31.5</v>
      </c>
      <c r="D49" s="189" t="str">
        <f>IFERROR(__xludf.DUMMYFUNCTION("""COMPUTED_VALUE"""),"Corn")</f>
        <v>Corn</v>
      </c>
      <c r="E49" s="189" t="str">
        <f>IFERROR(__xludf.DUMMYFUNCTION("""COMPUTED_VALUE"""),"food beans")</f>
        <v>food beans</v>
      </c>
      <c r="F49" s="9" t="s">
        <v>274</v>
      </c>
      <c r="G49" s="190" t="b">
        <v>0</v>
      </c>
      <c r="H49" s="9">
        <v>140000.0</v>
      </c>
      <c r="I49" s="115">
        <f t="shared" si="1"/>
        <v>4410000</v>
      </c>
      <c r="J49" s="115">
        <f t="shared" si="2"/>
        <v>140000</v>
      </c>
      <c r="K49" s="191">
        <f t="shared" si="3"/>
        <v>31.5</v>
      </c>
      <c r="N49" s="249"/>
      <c r="O49" s="250"/>
      <c r="P49" s="251"/>
      <c r="S49" s="25"/>
      <c r="T49" s="25"/>
      <c r="U49" s="25"/>
      <c r="V49" s="25"/>
      <c r="W49" s="25"/>
      <c r="X49" s="25"/>
      <c r="Y49" s="25"/>
    </row>
    <row r="50">
      <c r="A50" s="115"/>
      <c r="B50" s="188" t="str">
        <f>IFERROR(__xludf.DUMMYFUNCTION("""COMPUTED_VALUE"""),"Townline South")</f>
        <v>Townline South</v>
      </c>
      <c r="C50" s="189"/>
      <c r="D50" s="189" t="str">
        <f>IFERROR(__xludf.DUMMYFUNCTION("""COMPUTED_VALUE"""),"peas/snaps")</f>
        <v>peas/snaps</v>
      </c>
      <c r="E50" s="189" t="str">
        <f>IFERROR(__xludf.DUMMYFUNCTION("""COMPUTED_VALUE"""),"Rye")</f>
        <v>Rye</v>
      </c>
      <c r="F50" s="9"/>
      <c r="G50" s="190" t="b">
        <v>0</v>
      </c>
      <c r="H50" s="190"/>
      <c r="I50" s="115">
        <f t="shared" si="1"/>
        <v>0</v>
      </c>
      <c r="J50" s="115" t="str">
        <f t="shared" si="2"/>
        <v/>
      </c>
      <c r="K50" s="191" t="str">
        <f t="shared" si="3"/>
        <v>#DIV/0!</v>
      </c>
      <c r="S50" s="25"/>
      <c r="T50" s="25"/>
      <c r="U50" s="25"/>
      <c r="V50" s="25"/>
      <c r="W50" s="25"/>
      <c r="X50" s="25"/>
      <c r="Y50" s="25"/>
    </row>
    <row r="51">
      <c r="A51" s="115"/>
      <c r="B51" s="188" t="str">
        <f>IFERROR(__xludf.DUMMYFUNCTION("""COMPUTED_VALUE"""),"wes")</f>
        <v>wes</v>
      </c>
      <c r="C51" s="189">
        <f>IFERROR(__xludf.DUMMYFUNCTION("""COMPUTED_VALUE"""),98.0)</f>
        <v>98</v>
      </c>
      <c r="D51" s="189" t="str">
        <f>IFERROR(__xludf.DUMMYFUNCTION("""COMPUTED_VALUE"""),"Lima Beans")</f>
        <v>Lima Beans</v>
      </c>
      <c r="E51" s="189" t="str">
        <f>IFERROR(__xludf.DUMMYFUNCTION("""COMPUTED_VALUE"""),"Winter Barley")</f>
        <v>Winter Barley</v>
      </c>
      <c r="F51" s="9"/>
      <c r="G51" s="190" t="b">
        <v>0</v>
      </c>
      <c r="H51" s="190"/>
      <c r="I51" s="115">
        <f t="shared" si="1"/>
        <v>0</v>
      </c>
      <c r="J51" s="115" t="str">
        <f t="shared" si="2"/>
        <v/>
      </c>
      <c r="K51" s="191" t="str">
        <f t="shared" si="3"/>
        <v>#DIV/0!</v>
      </c>
      <c r="S51" s="25"/>
      <c r="T51" s="25"/>
      <c r="U51" s="25"/>
      <c r="V51" s="25"/>
      <c r="W51" s="25"/>
      <c r="X51" s="25"/>
      <c r="Y51" s="25"/>
    </row>
    <row r="52">
      <c r="A52" s="115"/>
      <c r="B52" s="188"/>
      <c r="C52" s="189"/>
      <c r="D52" s="189"/>
      <c r="E52" s="189"/>
      <c r="F52" s="9"/>
      <c r="G52" s="190"/>
      <c r="H52" s="9"/>
      <c r="I52" s="115"/>
      <c r="J52" s="115"/>
      <c r="K52" s="191"/>
      <c r="S52" s="25"/>
      <c r="T52" s="248"/>
      <c r="U52" s="25"/>
      <c r="V52" s="25"/>
      <c r="W52" s="25"/>
      <c r="X52" s="25"/>
      <c r="Y52" s="25"/>
    </row>
    <row r="53">
      <c r="A53" s="25"/>
      <c r="B53" s="252"/>
      <c r="C53" s="253"/>
      <c r="D53" s="25"/>
      <c r="E53" s="25"/>
      <c r="G53" s="254"/>
      <c r="H53" s="28"/>
      <c r="I53" s="25"/>
      <c r="J53" s="25"/>
      <c r="K53" s="255"/>
      <c r="S53" s="25"/>
      <c r="T53" s="25"/>
      <c r="U53" s="25"/>
      <c r="V53" s="25"/>
      <c r="W53" s="25"/>
      <c r="X53" s="25"/>
      <c r="Y53" s="25"/>
    </row>
    <row r="54">
      <c r="A54" s="57"/>
      <c r="B54" s="256"/>
      <c r="C54" s="256"/>
      <c r="D54" s="25"/>
      <c r="E54" s="25" t="str">
        <f>IFERROR(__xludf.DUMMYFUNCTION("""COMPUTED_VALUE"""),"Total 2026")</f>
        <v>Total 2026</v>
      </c>
      <c r="G54" s="254"/>
      <c r="H54" s="28"/>
      <c r="I54" s="25"/>
      <c r="J54" s="25"/>
      <c r="K54" s="255"/>
      <c r="S54" s="25"/>
      <c r="T54" s="25"/>
      <c r="U54" s="25"/>
      <c r="V54" s="25"/>
      <c r="W54" s="25"/>
      <c r="X54" s="25"/>
      <c r="Y54" s="25"/>
    </row>
    <row r="55">
      <c r="A55" s="57"/>
      <c r="B55" s="256" t="str">
        <f>IFERROR(__xludf.DUMMYFUNCTION("""COMPUTED_VALUE"""),"Corn")</f>
        <v>Corn</v>
      </c>
      <c r="C55" s="256"/>
      <c r="D55" s="25"/>
      <c r="E55" s="25" t="str">
        <f>IFERROR(__xludf.DUMMYFUNCTION("""COMPUTED_VALUE"""),"Corn")</f>
        <v>Corn</v>
      </c>
      <c r="G55" s="254"/>
      <c r="H55" s="28"/>
      <c r="I55" s="25"/>
      <c r="J55" s="25"/>
      <c r="K55" s="255"/>
      <c r="S55" s="25"/>
      <c r="T55" s="25"/>
      <c r="U55" s="25"/>
      <c r="V55" s="25"/>
      <c r="W55" s="25"/>
      <c r="X55" s="25"/>
      <c r="Y55" s="25"/>
    </row>
    <row r="56">
      <c r="A56" s="57"/>
      <c r="B56" s="256" t="str">
        <f>IFERROR(__xludf.DUMMYFUNCTION("""COMPUTED_VALUE"""),"White Corn")</f>
        <v>White Corn</v>
      </c>
      <c r="C56" s="256"/>
      <c r="D56" s="25"/>
      <c r="E56" s="25" t="str">
        <f>IFERROR(__xludf.DUMMYFUNCTION("""COMPUTED_VALUE"""),"White Corn")</f>
        <v>White Corn</v>
      </c>
      <c r="G56" s="254"/>
      <c r="H56" s="254"/>
      <c r="I56" s="25"/>
      <c r="J56" s="25"/>
      <c r="K56" s="255"/>
      <c r="S56" s="25"/>
      <c r="T56" s="25"/>
      <c r="U56" s="25"/>
      <c r="V56" s="25"/>
      <c r="W56" s="25"/>
      <c r="X56" s="25"/>
      <c r="Y56" s="25"/>
    </row>
    <row r="57">
      <c r="A57" s="57"/>
      <c r="B57" s="256"/>
      <c r="C57" s="256"/>
      <c r="D57" s="25"/>
      <c r="E57" s="25"/>
      <c r="G57" s="254"/>
      <c r="H57" s="254"/>
      <c r="I57" s="25"/>
      <c r="J57" s="25"/>
      <c r="K57" s="255"/>
      <c r="S57" s="25"/>
      <c r="T57" s="25"/>
      <c r="U57" s="25"/>
      <c r="V57" s="25"/>
      <c r="W57" s="25"/>
      <c r="X57" s="25"/>
      <c r="Y57" s="25"/>
    </row>
    <row r="58">
      <c r="A58" s="57"/>
      <c r="B58" s="256" t="str">
        <f>IFERROR(__xludf.DUMMYFUNCTION("""COMPUTED_VALUE"""),"seed corn")</f>
        <v>seed corn</v>
      </c>
      <c r="C58" s="257"/>
      <c r="D58" s="25"/>
      <c r="E58" s="25" t="str">
        <f>IFERROR(__xludf.DUMMYFUNCTION("""COMPUTED_VALUE"""),"seed corn")</f>
        <v>seed corn</v>
      </c>
      <c r="G58" s="254"/>
      <c r="H58" s="254"/>
      <c r="I58" s="25"/>
      <c r="J58" s="25"/>
      <c r="K58" s="255"/>
      <c r="S58" s="25"/>
      <c r="T58" s="25"/>
      <c r="U58" s="25"/>
      <c r="V58" s="25"/>
      <c r="W58" s="25"/>
      <c r="X58" s="25"/>
      <c r="Y58" s="25"/>
    </row>
    <row r="59">
      <c r="A59" s="57"/>
      <c r="B59" s="256" t="str">
        <f>IFERROR(__xludf.DUMMYFUNCTION("""COMPUTED_VALUE"""),"Soybeans")</f>
        <v>Soybeans</v>
      </c>
      <c r="C59" s="256"/>
      <c r="D59" s="25"/>
      <c r="E59" s="25" t="str">
        <f>IFERROR(__xludf.DUMMYFUNCTION("""COMPUTED_VALUE"""),"Soybeans")</f>
        <v>Soybeans</v>
      </c>
      <c r="G59" s="254"/>
      <c r="H59" s="28"/>
      <c r="I59" s="25"/>
      <c r="J59" s="25"/>
      <c r="K59" s="255"/>
      <c r="S59" s="25"/>
      <c r="T59" s="25"/>
      <c r="U59" s="25"/>
      <c r="V59" s="25"/>
      <c r="W59" s="25"/>
      <c r="X59" s="25"/>
      <c r="Y59" s="25"/>
    </row>
    <row r="60" hidden="1">
      <c r="A60" s="57"/>
      <c r="B60" s="256" t="str">
        <f>IFERROR(__xludf.DUMMYFUNCTION("""COMPUTED_VALUE"""),"peas/snaps")</f>
        <v>peas/snaps</v>
      </c>
      <c r="C60" s="256"/>
      <c r="E60" t="str">
        <f>IFERROR(__xludf.DUMMYFUNCTION("""COMPUTED_VALUE"""),"peas/snaps")</f>
        <v>peas/snaps</v>
      </c>
      <c r="G60" s="190" t="b">
        <v>0</v>
      </c>
      <c r="J60" s="115" t="str">
        <f t="shared" ref="J60:J62" si="6">IFERROR(VLOOKUP(#REF!, $N$4:$O$24, 2, FALSE), "")
</f>
        <v/>
      </c>
      <c r="K60" s="258"/>
      <c r="S60" s="25"/>
      <c r="T60" s="25"/>
      <c r="U60" s="25"/>
      <c r="V60" s="25"/>
      <c r="W60" s="25"/>
      <c r="X60" s="25"/>
      <c r="Y60" s="25"/>
    </row>
    <row r="61" hidden="1">
      <c r="A61" s="57"/>
      <c r="B61" s="256" t="str">
        <f>IFERROR(__xludf.DUMMYFUNCTION("""COMPUTED_VALUE"""),"Winter Barley")</f>
        <v>Winter Barley</v>
      </c>
      <c r="C61" s="256"/>
      <c r="E61" t="str">
        <f>IFERROR(__xludf.DUMMYFUNCTION("""COMPUTED_VALUE"""),"Winter Barley")</f>
        <v>Winter Barley</v>
      </c>
      <c r="G61" s="190" t="b">
        <v>0</v>
      </c>
      <c r="J61" s="115" t="str">
        <f t="shared" si="6"/>
        <v/>
      </c>
      <c r="K61" s="258"/>
      <c r="S61" s="25"/>
      <c r="T61" s="25"/>
      <c r="U61" s="25"/>
      <c r="V61" s="25"/>
      <c r="W61" s="25"/>
      <c r="X61" s="25"/>
      <c r="Y61" s="25"/>
    </row>
    <row r="62">
      <c r="A62" s="57"/>
      <c r="B62" s="256" t="str">
        <f>IFERROR(__xludf.DUMMYFUNCTION("""COMPUTED_VALUE"""),"SweetCorn")</f>
        <v>SweetCorn</v>
      </c>
      <c r="C62" s="256"/>
      <c r="E62" t="str">
        <f>IFERROR(__xludf.DUMMYFUNCTION("""COMPUTED_VALUE"""),"SweetCorn")</f>
        <v>SweetCorn</v>
      </c>
      <c r="G62" s="254"/>
      <c r="J62" s="115" t="str">
        <f t="shared" si="6"/>
        <v/>
      </c>
      <c r="K62" s="258"/>
      <c r="S62" s="25"/>
      <c r="T62" s="25"/>
      <c r="U62" s="25"/>
      <c r="V62" s="25"/>
      <c r="W62" s="25"/>
      <c r="X62" s="25"/>
      <c r="Y62" s="25"/>
    </row>
    <row r="63">
      <c r="A63" s="57"/>
      <c r="B63" s="256" t="str">
        <f>IFERROR(__xludf.DUMMYFUNCTION("""COMPUTED_VALUE"""),"Lima Beans")</f>
        <v>Lima Beans</v>
      </c>
      <c r="C63" s="256"/>
      <c r="E63" t="str">
        <f>IFERROR(__xludf.DUMMYFUNCTION("""COMPUTED_VALUE"""),"Lima Beans")</f>
        <v>Lima Beans</v>
      </c>
      <c r="K63" s="258"/>
      <c r="S63" s="25"/>
      <c r="T63" s="25"/>
      <c r="U63" s="25"/>
      <c r="V63" s="25"/>
      <c r="W63" s="25"/>
      <c r="X63" s="25"/>
      <c r="Y63" s="25"/>
    </row>
    <row r="64">
      <c r="A64" s="57"/>
      <c r="B64" s="256" t="str">
        <f>IFERROR(__xludf.DUMMYFUNCTION("""COMPUTED_VALUE"""),"peas")</f>
        <v>peas</v>
      </c>
      <c r="C64" s="256"/>
      <c r="E64" t="str">
        <f>IFERROR(__xludf.DUMMYFUNCTION("""COMPUTED_VALUE"""),"peas")</f>
        <v>peas</v>
      </c>
      <c r="K64" s="258"/>
      <c r="S64" s="25"/>
      <c r="T64" s="25"/>
      <c r="U64" s="25"/>
      <c r="V64" s="25"/>
      <c r="W64" s="25"/>
      <c r="X64" s="25"/>
      <c r="Y64" s="25"/>
    </row>
    <row r="65">
      <c r="A65" s="57"/>
      <c r="B65" s="256" t="str">
        <f>IFERROR(__xludf.DUMMYFUNCTION("""COMPUTED_VALUE"""),"Rye")</f>
        <v>Rye</v>
      </c>
      <c r="C65" s="256"/>
      <c r="E65" t="str">
        <f>IFERROR(__xludf.DUMMYFUNCTION("""COMPUTED_VALUE"""),"Rye")</f>
        <v>Rye</v>
      </c>
      <c r="K65" s="258"/>
      <c r="S65" s="25"/>
      <c r="T65" s="25"/>
      <c r="U65" s="25"/>
      <c r="V65" s="25"/>
      <c r="W65" s="25"/>
      <c r="X65" s="25"/>
      <c r="Y65" s="25"/>
    </row>
    <row r="66">
      <c r="A66" s="57"/>
      <c r="B66" s="256" t="str">
        <f>IFERROR(__xludf.DUMMYFUNCTION("""COMPUTED_VALUE"""),"Kernza")</f>
        <v>Kernza</v>
      </c>
      <c r="C66" s="256"/>
      <c r="E66" t="str">
        <f>IFERROR(__xludf.DUMMYFUNCTION("""COMPUTED_VALUE"""),"Kernza")</f>
        <v>Kernza</v>
      </c>
      <c r="K66" s="258"/>
      <c r="S66" s="25"/>
      <c r="T66" s="25"/>
      <c r="U66" s="25"/>
      <c r="V66" s="25"/>
      <c r="W66" s="25"/>
      <c r="X66" s="25"/>
      <c r="Y66" s="25"/>
    </row>
    <row r="67">
      <c r="A67" s="57"/>
      <c r="B67" s="256" t="str">
        <f>IFERROR(__xludf.DUMMYFUNCTION("""COMPUTED_VALUE"""),"canning")</f>
        <v>canning</v>
      </c>
      <c r="C67" s="256"/>
      <c r="E67" t="str">
        <f>IFERROR(__xludf.DUMMYFUNCTION("""COMPUTED_VALUE"""),"canning")</f>
        <v>canning</v>
      </c>
      <c r="K67" s="258"/>
      <c r="S67" s="25"/>
      <c r="T67" s="25"/>
      <c r="U67" s="25"/>
      <c r="V67" s="25"/>
      <c r="W67" s="25"/>
      <c r="X67" s="25"/>
      <c r="Y67" s="25"/>
    </row>
    <row r="68">
      <c r="A68" s="57"/>
      <c r="B68" s="256" t="str">
        <f>IFERROR(__xludf.DUMMYFUNCTION("""COMPUTED_VALUE"""),"food beans")</f>
        <v>food beans</v>
      </c>
      <c r="C68" s="256"/>
      <c r="E68" t="str">
        <f>IFERROR(__xludf.DUMMYFUNCTION("""COMPUTED_VALUE"""),"food beans")</f>
        <v>food beans</v>
      </c>
      <c r="K68" s="258"/>
      <c r="S68" s="25"/>
      <c r="T68" s="25"/>
      <c r="U68" s="25"/>
      <c r="V68" s="25"/>
      <c r="W68" s="25"/>
      <c r="X68" s="25"/>
      <c r="Y68" s="25"/>
    </row>
    <row r="69">
      <c r="A69" s="57"/>
      <c r="B69" s="256" t="str">
        <f>IFERROR(__xludf.DUMMYFUNCTION("""COMPUTED_VALUE"""),"seed beans")</f>
        <v>seed beans</v>
      </c>
      <c r="C69" s="256"/>
      <c r="E69" t="str">
        <f>IFERROR(__xludf.DUMMYFUNCTION("""COMPUTED_VALUE"""),"seed beans")</f>
        <v>seed beans</v>
      </c>
      <c r="K69" s="258"/>
      <c r="S69" s="25"/>
      <c r="T69" s="25"/>
      <c r="U69" s="25"/>
      <c r="V69" s="25"/>
      <c r="W69" s="25"/>
      <c r="X69" s="25"/>
      <c r="Y69" s="25"/>
    </row>
    <row r="70">
      <c r="A70" s="57"/>
      <c r="B70" s="256"/>
      <c r="C70" s="256"/>
      <c r="K70" s="258"/>
      <c r="S70" s="25"/>
      <c r="T70" s="25"/>
      <c r="U70" s="25"/>
      <c r="V70" s="25"/>
      <c r="W70" s="25"/>
      <c r="X70" s="25"/>
      <c r="Y70" s="25"/>
    </row>
    <row r="71">
      <c r="A71" s="57"/>
      <c r="B71" s="256" t="str">
        <f>IFERROR(__xludf.DUMMYFUNCTION("""COMPUTED_VALUE"""),"NO TILL")</f>
        <v>NO TILL</v>
      </c>
      <c r="C71" s="256"/>
      <c r="E71" t="str">
        <f>IFERROR(__xludf.DUMMYFUNCTION("""COMPUTED_VALUE"""),"NO TILL")</f>
        <v>NO TILL</v>
      </c>
      <c r="K71" s="258"/>
      <c r="S71" s="25"/>
      <c r="T71" s="25"/>
      <c r="U71" s="25"/>
      <c r="V71" s="25"/>
      <c r="W71" s="25"/>
      <c r="X71" s="25"/>
      <c r="Y71" s="25"/>
    </row>
    <row r="72">
      <c r="A72" s="57"/>
      <c r="B72" s="259"/>
      <c r="C72" s="259"/>
      <c r="K72" s="258"/>
    </row>
    <row r="73">
      <c r="K73" s="258"/>
    </row>
    <row r="74">
      <c r="K74" s="258"/>
    </row>
    <row r="75">
      <c r="K75" s="258"/>
    </row>
    <row r="76">
      <c r="K76" s="258"/>
    </row>
    <row r="77">
      <c r="K77" s="258"/>
    </row>
    <row r="78">
      <c r="K78" s="258"/>
    </row>
    <row r="79">
      <c r="K79" s="258"/>
    </row>
    <row r="80">
      <c r="K80" s="258"/>
    </row>
    <row r="81">
      <c r="K81" s="258"/>
    </row>
    <row r="82">
      <c r="B82" t="str">
        <f>IFERROR(__xludf.DUMMYFUNCTION("""COMPUTED_VALUE"""),"Omni, Big North Irr")</f>
        <v>Omni, Big North Irr</v>
      </c>
      <c r="C82" s="260"/>
      <c r="K82" s="258"/>
    </row>
    <row r="83">
      <c r="B83" t="str">
        <f>IFERROR(__xludf.DUMMYFUNCTION("""COMPUTED_VALUE"""),"Omni, Big North Irr pt. 2")</f>
        <v>Omni, Big North Irr pt. 2</v>
      </c>
      <c r="C83" s="260"/>
      <c r="K83" s="258"/>
    </row>
    <row r="84">
      <c r="B84" t="str">
        <f>IFERROR(__xludf.DUMMYFUNCTION("""COMPUTED_VALUE"""),"Omni, Big North Dry")</f>
        <v>Omni, Big North Dry</v>
      </c>
      <c r="K84" s="258"/>
    </row>
    <row r="85">
      <c r="B85" t="str">
        <f>IFERROR(__xludf.DUMMYFUNCTION("""COMPUTED_VALUE"""),"Omni, Dollar General")</f>
        <v>Omni, Dollar General</v>
      </c>
      <c r="K85" s="258"/>
    </row>
    <row r="86">
      <c r="B86" t="str">
        <f>IFERROR(__xludf.DUMMYFUNCTION("""COMPUTED_VALUE"""),"Omni, Grassy knoll")</f>
        <v>Omni, Grassy knoll</v>
      </c>
      <c r="K86" s="258"/>
    </row>
    <row r="87">
      <c r="B87" t="str">
        <f>IFERROR(__xludf.DUMMYFUNCTION("""COMPUTED_VALUE"""),"ryans office")</f>
        <v>ryans office</v>
      </c>
      <c r="K87" s="258"/>
    </row>
    <row r="88">
      <c r="B88" t="str">
        <f>IFERROR(__xludf.DUMMYFUNCTION("""COMPUTED_VALUE"""),"hotel")</f>
        <v>hotel</v>
      </c>
      <c r="K88" s="258"/>
    </row>
    <row r="89">
      <c r="B89" t="str">
        <f>IFERROR(__xludf.DUMMYFUNCTION("""COMPUTED_VALUE"""),"donaldson green")</f>
        <v>donaldson green</v>
      </c>
      <c r="K89" s="258"/>
    </row>
    <row r="90">
      <c r="B90" t="str">
        <f>IFERROR(__xludf.DUMMYFUNCTION("""COMPUTED_VALUE"""),"wes towers")</f>
        <v>wes towers</v>
      </c>
      <c r="K90" s="258"/>
    </row>
    <row r="91">
      <c r="B91" t="str">
        <f>IFERROR(__xludf.DUMMYFUNCTION("""COMPUTED_VALUE"""),"Goat Pasture")</f>
        <v>Goat Pasture</v>
      </c>
      <c r="K91" s="258"/>
    </row>
    <row r="92">
      <c r="B92" t="str">
        <f>IFERROR(__xludf.DUMMYFUNCTION("""COMPUTED_VALUE"""),"willie's triangle")</f>
        <v>willie's triangle</v>
      </c>
      <c r="K92" s="258"/>
    </row>
    <row r="93">
      <c r="K93" s="258"/>
    </row>
    <row r="94">
      <c r="K94" s="258"/>
    </row>
    <row r="95">
      <c r="K95" s="258"/>
    </row>
    <row r="96">
      <c r="K96" s="258"/>
    </row>
    <row r="97">
      <c r="K97" s="258"/>
    </row>
    <row r="98">
      <c r="K98" s="258"/>
    </row>
    <row r="99">
      <c r="K99" s="258"/>
    </row>
    <row r="100">
      <c r="K100" s="258"/>
      <c r="R100" s="201" t="s">
        <v>199</v>
      </c>
      <c r="S100" s="201" t="s">
        <v>199</v>
      </c>
      <c r="T100" s="7" t="s">
        <v>199</v>
      </c>
    </row>
    <row r="101">
      <c r="K101" s="258"/>
      <c r="Q101" s="193" t="s">
        <v>199</v>
      </c>
      <c r="R101" s="201" t="s">
        <v>199</v>
      </c>
      <c r="S101" s="201" t="s">
        <v>199</v>
      </c>
    </row>
    <row r="102">
      <c r="K102" s="258"/>
      <c r="Q102" s="193" t="s">
        <v>199</v>
      </c>
    </row>
    <row r="103">
      <c r="K103" s="258"/>
    </row>
    <row r="104">
      <c r="K104" s="258"/>
    </row>
    <row r="105">
      <c r="K105" s="258"/>
    </row>
    <row r="106">
      <c r="K106" s="258"/>
    </row>
    <row r="107">
      <c r="K107" s="258"/>
    </row>
    <row r="108">
      <c r="K108" s="258"/>
    </row>
    <row r="109">
      <c r="K109" s="258"/>
    </row>
    <row r="110">
      <c r="K110" s="258"/>
    </row>
    <row r="111">
      <c r="K111" s="258"/>
    </row>
    <row r="112">
      <c r="K112" s="258"/>
    </row>
    <row r="113">
      <c r="K113" s="258"/>
    </row>
    <row r="114">
      <c r="K114" s="258"/>
    </row>
    <row r="115">
      <c r="K115" s="258"/>
    </row>
    <row r="116">
      <c r="K116" s="258"/>
    </row>
    <row r="117">
      <c r="K117" s="258"/>
    </row>
    <row r="118">
      <c r="K118" s="258"/>
    </row>
    <row r="119">
      <c r="K119" s="258"/>
    </row>
    <row r="120">
      <c r="K120" s="258"/>
    </row>
    <row r="121">
      <c r="K121" s="258"/>
    </row>
    <row r="122">
      <c r="K122" s="258"/>
    </row>
    <row r="123">
      <c r="K123" s="258"/>
    </row>
    <row r="124">
      <c r="K124" s="258"/>
    </row>
    <row r="125">
      <c r="K125" s="258"/>
    </row>
    <row r="126">
      <c r="K126" s="258"/>
    </row>
    <row r="127">
      <c r="K127" s="258"/>
    </row>
    <row r="128">
      <c r="K128" s="258"/>
    </row>
    <row r="129">
      <c r="K129" s="258"/>
    </row>
    <row r="130">
      <c r="K130" s="258"/>
    </row>
    <row r="131">
      <c r="K131" s="258"/>
    </row>
    <row r="132">
      <c r="K132" s="258"/>
    </row>
    <row r="133">
      <c r="K133" s="258"/>
    </row>
    <row r="134">
      <c r="K134" s="258"/>
    </row>
    <row r="135">
      <c r="K135" s="258"/>
    </row>
    <row r="136">
      <c r="K136" s="258"/>
    </row>
    <row r="137">
      <c r="K137" s="258"/>
    </row>
    <row r="138">
      <c r="K138" s="258"/>
    </row>
    <row r="139">
      <c r="K139" s="258"/>
    </row>
    <row r="140">
      <c r="K140" s="258"/>
    </row>
    <row r="141">
      <c r="K141" s="258"/>
    </row>
    <row r="142">
      <c r="K142" s="258"/>
    </row>
    <row r="143">
      <c r="K143" s="258"/>
    </row>
    <row r="144">
      <c r="K144" s="258"/>
    </row>
    <row r="145">
      <c r="K145" s="258"/>
    </row>
    <row r="146">
      <c r="K146" s="258"/>
    </row>
    <row r="147">
      <c r="K147" s="258"/>
    </row>
    <row r="148">
      <c r="K148" s="258"/>
    </row>
    <row r="149">
      <c r="K149" s="258"/>
    </row>
    <row r="150">
      <c r="K150" s="258"/>
    </row>
    <row r="151">
      <c r="K151" s="258"/>
    </row>
    <row r="152">
      <c r="K152" s="258"/>
    </row>
    <row r="153">
      <c r="K153" s="258"/>
    </row>
    <row r="154">
      <c r="K154" s="258"/>
    </row>
    <row r="155">
      <c r="K155" s="258"/>
    </row>
    <row r="156">
      <c r="K156" s="258"/>
    </row>
    <row r="157">
      <c r="K157" s="258"/>
    </row>
    <row r="158">
      <c r="K158" s="258"/>
    </row>
    <row r="159">
      <c r="K159" s="258"/>
    </row>
    <row r="160">
      <c r="K160" s="258"/>
    </row>
    <row r="161">
      <c r="K161" s="258"/>
    </row>
    <row r="162">
      <c r="K162" s="258"/>
    </row>
    <row r="163">
      <c r="K163" s="258"/>
    </row>
    <row r="164">
      <c r="K164" s="258"/>
    </row>
    <row r="165">
      <c r="K165" s="258"/>
    </row>
    <row r="166">
      <c r="K166" s="258"/>
    </row>
    <row r="167">
      <c r="K167" s="258"/>
    </row>
    <row r="168">
      <c r="K168" s="258"/>
    </row>
    <row r="169">
      <c r="K169" s="258"/>
    </row>
    <row r="170">
      <c r="K170" s="258"/>
    </row>
    <row r="171">
      <c r="K171" s="258"/>
    </row>
    <row r="172">
      <c r="K172" s="258"/>
    </row>
    <row r="173">
      <c r="K173" s="258"/>
    </row>
    <row r="174">
      <c r="K174" s="258"/>
    </row>
    <row r="175">
      <c r="K175" s="258"/>
    </row>
    <row r="176">
      <c r="K176" s="258"/>
    </row>
    <row r="177">
      <c r="K177" s="258"/>
    </row>
    <row r="178">
      <c r="K178" s="258"/>
    </row>
    <row r="179">
      <c r="K179" s="258"/>
    </row>
    <row r="180">
      <c r="K180" s="258"/>
    </row>
    <row r="181">
      <c r="K181" s="258"/>
    </row>
    <row r="182">
      <c r="K182" s="258"/>
    </row>
    <row r="183">
      <c r="K183" s="258"/>
    </row>
    <row r="184">
      <c r="K184" s="258"/>
    </row>
    <row r="185">
      <c r="K185" s="258"/>
    </row>
    <row r="186">
      <c r="K186" s="258"/>
    </row>
    <row r="187">
      <c r="K187" s="258"/>
    </row>
    <row r="188">
      <c r="K188" s="258"/>
    </row>
    <row r="189">
      <c r="K189" s="258"/>
    </row>
    <row r="190">
      <c r="K190" s="258"/>
    </row>
    <row r="191">
      <c r="K191" s="258"/>
    </row>
    <row r="192">
      <c r="K192" s="258"/>
    </row>
    <row r="193">
      <c r="K193" s="258"/>
    </row>
    <row r="194">
      <c r="K194" s="258"/>
    </row>
    <row r="195">
      <c r="K195" s="258"/>
    </row>
    <row r="196">
      <c r="K196" s="258"/>
    </row>
    <row r="197">
      <c r="K197" s="258"/>
    </row>
    <row r="198">
      <c r="K198" s="258"/>
    </row>
    <row r="199">
      <c r="K199" s="258"/>
    </row>
    <row r="200">
      <c r="K200" s="258"/>
    </row>
    <row r="201">
      <c r="K201" s="258"/>
    </row>
    <row r="202">
      <c r="K202" s="258"/>
    </row>
    <row r="203">
      <c r="K203" s="258"/>
    </row>
    <row r="204">
      <c r="K204" s="258"/>
    </row>
    <row r="205">
      <c r="K205" s="258"/>
    </row>
    <row r="206">
      <c r="K206" s="258"/>
    </row>
    <row r="207">
      <c r="K207" s="258"/>
    </row>
    <row r="208">
      <c r="K208" s="258"/>
    </row>
    <row r="209">
      <c r="K209" s="258"/>
    </row>
    <row r="210">
      <c r="K210" s="258"/>
    </row>
    <row r="211">
      <c r="K211" s="258"/>
    </row>
    <row r="212">
      <c r="K212" s="258"/>
    </row>
    <row r="213">
      <c r="K213" s="258"/>
    </row>
    <row r="214">
      <c r="K214" s="258"/>
    </row>
    <row r="215">
      <c r="K215" s="258"/>
    </row>
    <row r="216">
      <c r="K216" s="258"/>
    </row>
    <row r="217">
      <c r="K217" s="258"/>
    </row>
    <row r="218">
      <c r="K218" s="258"/>
    </row>
    <row r="219">
      <c r="K219" s="258"/>
    </row>
    <row r="220">
      <c r="K220" s="258"/>
    </row>
    <row r="221">
      <c r="K221" s="258"/>
    </row>
    <row r="222">
      <c r="K222" s="258"/>
    </row>
    <row r="223">
      <c r="K223" s="258"/>
    </row>
    <row r="224">
      <c r="K224" s="258"/>
    </row>
    <row r="225">
      <c r="K225" s="258"/>
    </row>
    <row r="226">
      <c r="K226" s="258"/>
    </row>
    <row r="227">
      <c r="K227" s="258"/>
    </row>
    <row r="228">
      <c r="K228" s="258"/>
    </row>
    <row r="229">
      <c r="K229" s="258"/>
    </row>
    <row r="230">
      <c r="K230" s="258"/>
    </row>
    <row r="231">
      <c r="K231" s="258"/>
    </row>
    <row r="232">
      <c r="K232" s="258"/>
    </row>
    <row r="233">
      <c r="K233" s="258"/>
    </row>
    <row r="234">
      <c r="K234" s="258"/>
    </row>
    <row r="235">
      <c r="K235" s="258"/>
    </row>
    <row r="236">
      <c r="K236" s="258"/>
    </row>
    <row r="237">
      <c r="K237" s="258"/>
    </row>
    <row r="238">
      <c r="K238" s="258"/>
    </row>
    <row r="239">
      <c r="K239" s="258"/>
    </row>
    <row r="240">
      <c r="K240" s="258"/>
    </row>
    <row r="241">
      <c r="K241" s="258"/>
    </row>
    <row r="242">
      <c r="K242" s="258"/>
    </row>
    <row r="243">
      <c r="K243" s="258"/>
    </row>
    <row r="244">
      <c r="K244" s="258"/>
    </row>
    <row r="245">
      <c r="K245" s="258"/>
    </row>
    <row r="246">
      <c r="K246" s="258"/>
    </row>
    <row r="247">
      <c r="K247" s="258"/>
    </row>
    <row r="248">
      <c r="K248" s="258"/>
    </row>
    <row r="249">
      <c r="K249" s="258"/>
    </row>
    <row r="250">
      <c r="K250" s="258"/>
    </row>
    <row r="251">
      <c r="K251" s="258"/>
    </row>
    <row r="252">
      <c r="K252" s="258"/>
    </row>
    <row r="253">
      <c r="K253" s="258"/>
    </row>
    <row r="254">
      <c r="K254" s="258"/>
    </row>
    <row r="255">
      <c r="K255" s="258"/>
    </row>
    <row r="256">
      <c r="K256" s="258"/>
    </row>
    <row r="257">
      <c r="K257" s="258"/>
    </row>
    <row r="258">
      <c r="K258" s="258"/>
    </row>
    <row r="259">
      <c r="K259" s="258"/>
    </row>
    <row r="260">
      <c r="K260" s="258"/>
    </row>
    <row r="261">
      <c r="K261" s="258"/>
    </row>
    <row r="262">
      <c r="K262" s="258"/>
    </row>
    <row r="263">
      <c r="K263" s="258"/>
    </row>
    <row r="264">
      <c r="K264" s="258"/>
    </row>
    <row r="265">
      <c r="K265" s="258"/>
    </row>
    <row r="266">
      <c r="K266" s="258"/>
    </row>
    <row r="267">
      <c r="K267" s="258"/>
    </row>
    <row r="268">
      <c r="K268" s="258"/>
    </row>
    <row r="269">
      <c r="K269" s="258"/>
    </row>
    <row r="270">
      <c r="K270" s="258"/>
    </row>
    <row r="271">
      <c r="K271" s="258"/>
    </row>
    <row r="272">
      <c r="K272" s="258"/>
    </row>
    <row r="273">
      <c r="K273" s="258"/>
    </row>
    <row r="274">
      <c r="K274" s="258"/>
    </row>
    <row r="275">
      <c r="K275" s="258"/>
    </row>
    <row r="276">
      <c r="K276" s="258"/>
    </row>
    <row r="277">
      <c r="K277" s="258"/>
    </row>
    <row r="278">
      <c r="K278" s="258"/>
    </row>
    <row r="279">
      <c r="K279" s="258"/>
    </row>
    <row r="280">
      <c r="K280" s="258"/>
    </row>
    <row r="281">
      <c r="K281" s="258"/>
    </row>
    <row r="282">
      <c r="K282" s="258"/>
    </row>
    <row r="283">
      <c r="K283" s="258"/>
    </row>
    <row r="284">
      <c r="K284" s="258"/>
    </row>
    <row r="285">
      <c r="K285" s="258"/>
    </row>
    <row r="286">
      <c r="K286" s="258"/>
    </row>
    <row r="287">
      <c r="K287" s="258"/>
    </row>
    <row r="288">
      <c r="K288" s="258"/>
    </row>
    <row r="289">
      <c r="K289" s="258"/>
    </row>
    <row r="290">
      <c r="K290" s="258"/>
    </row>
    <row r="291">
      <c r="K291" s="258"/>
    </row>
    <row r="292">
      <c r="K292" s="258"/>
    </row>
    <row r="293">
      <c r="K293" s="258"/>
    </row>
    <row r="294">
      <c r="K294" s="258"/>
    </row>
    <row r="295">
      <c r="K295" s="258"/>
    </row>
    <row r="296">
      <c r="K296" s="258"/>
    </row>
    <row r="297">
      <c r="K297" s="258"/>
    </row>
    <row r="298">
      <c r="K298" s="258"/>
    </row>
    <row r="299">
      <c r="K299" s="258"/>
    </row>
    <row r="300">
      <c r="K300" s="258"/>
    </row>
    <row r="301">
      <c r="K301" s="258"/>
    </row>
    <row r="302">
      <c r="K302" s="258"/>
    </row>
    <row r="303">
      <c r="K303" s="258"/>
    </row>
    <row r="304">
      <c r="K304" s="258"/>
    </row>
    <row r="305">
      <c r="K305" s="258"/>
    </row>
    <row r="306">
      <c r="K306" s="258"/>
    </row>
    <row r="307">
      <c r="K307" s="258"/>
    </row>
    <row r="308">
      <c r="K308" s="258"/>
    </row>
    <row r="309">
      <c r="K309" s="258"/>
    </row>
    <row r="310">
      <c r="K310" s="258"/>
    </row>
    <row r="311">
      <c r="K311" s="258"/>
    </row>
    <row r="312">
      <c r="K312" s="258"/>
    </row>
    <row r="313">
      <c r="K313" s="258"/>
    </row>
    <row r="314">
      <c r="K314" s="258"/>
    </row>
    <row r="315">
      <c r="K315" s="258"/>
    </row>
    <row r="316">
      <c r="K316" s="258"/>
    </row>
    <row r="317">
      <c r="K317" s="258"/>
    </row>
    <row r="318">
      <c r="K318" s="258"/>
    </row>
    <row r="319">
      <c r="K319" s="258"/>
    </row>
    <row r="320">
      <c r="K320" s="258"/>
    </row>
    <row r="321">
      <c r="K321" s="258"/>
    </row>
    <row r="322">
      <c r="K322" s="258"/>
    </row>
    <row r="323">
      <c r="K323" s="258"/>
    </row>
    <row r="324">
      <c r="K324" s="258"/>
    </row>
    <row r="325">
      <c r="K325" s="258"/>
    </row>
    <row r="326">
      <c r="K326" s="258"/>
    </row>
    <row r="327">
      <c r="K327" s="258"/>
    </row>
    <row r="328">
      <c r="K328" s="258"/>
    </row>
    <row r="329">
      <c r="K329" s="258"/>
    </row>
    <row r="330">
      <c r="K330" s="258"/>
    </row>
    <row r="331">
      <c r="K331" s="258"/>
    </row>
    <row r="332">
      <c r="K332" s="258"/>
    </row>
    <row r="333">
      <c r="K333" s="258"/>
    </row>
    <row r="334">
      <c r="K334" s="258"/>
    </row>
    <row r="335">
      <c r="K335" s="258"/>
    </row>
    <row r="336">
      <c r="K336" s="258"/>
    </row>
    <row r="337">
      <c r="K337" s="258"/>
    </row>
    <row r="338">
      <c r="K338" s="258"/>
    </row>
    <row r="339">
      <c r="K339" s="258"/>
    </row>
    <row r="340">
      <c r="K340" s="258"/>
    </row>
    <row r="341">
      <c r="K341" s="258"/>
    </row>
    <row r="342">
      <c r="K342" s="258"/>
    </row>
    <row r="343">
      <c r="K343" s="258"/>
    </row>
    <row r="344">
      <c r="K344" s="258"/>
    </row>
    <row r="345">
      <c r="K345" s="258"/>
    </row>
    <row r="346">
      <c r="K346" s="258"/>
    </row>
    <row r="347">
      <c r="K347" s="258"/>
    </row>
    <row r="348">
      <c r="K348" s="258"/>
    </row>
    <row r="349">
      <c r="K349" s="258"/>
    </row>
    <row r="350">
      <c r="K350" s="258"/>
    </row>
    <row r="351">
      <c r="K351" s="258"/>
    </row>
    <row r="352">
      <c r="K352" s="258"/>
    </row>
    <row r="353">
      <c r="K353" s="258"/>
    </row>
    <row r="354">
      <c r="K354" s="258"/>
    </row>
    <row r="355">
      <c r="K355" s="258"/>
    </row>
    <row r="356">
      <c r="K356" s="258"/>
    </row>
    <row r="357">
      <c r="K357" s="258"/>
    </row>
    <row r="358">
      <c r="K358" s="258"/>
    </row>
    <row r="359">
      <c r="K359" s="258"/>
    </row>
    <row r="360">
      <c r="K360" s="258"/>
    </row>
    <row r="361">
      <c r="K361" s="258"/>
    </row>
    <row r="362">
      <c r="K362" s="258"/>
    </row>
    <row r="363">
      <c r="K363" s="258"/>
    </row>
    <row r="364">
      <c r="K364" s="258"/>
    </row>
    <row r="365">
      <c r="K365" s="258"/>
    </row>
    <row r="366">
      <c r="K366" s="258"/>
    </row>
    <row r="367">
      <c r="K367" s="258"/>
    </row>
    <row r="368">
      <c r="K368" s="258"/>
    </row>
    <row r="369">
      <c r="K369" s="258"/>
    </row>
    <row r="370">
      <c r="K370" s="258"/>
    </row>
    <row r="371">
      <c r="K371" s="258"/>
    </row>
    <row r="372">
      <c r="K372" s="258"/>
    </row>
    <row r="373">
      <c r="K373" s="258"/>
    </row>
    <row r="374">
      <c r="K374" s="258"/>
    </row>
    <row r="375">
      <c r="K375" s="258"/>
    </row>
    <row r="376">
      <c r="K376" s="258"/>
    </row>
    <row r="377">
      <c r="K377" s="258"/>
    </row>
    <row r="378">
      <c r="K378" s="258"/>
    </row>
    <row r="379">
      <c r="K379" s="258"/>
    </row>
    <row r="380">
      <c r="K380" s="258"/>
    </row>
    <row r="381">
      <c r="K381" s="258"/>
    </row>
    <row r="382">
      <c r="K382" s="258"/>
    </row>
    <row r="383">
      <c r="K383" s="258"/>
    </row>
    <row r="384">
      <c r="K384" s="258"/>
    </row>
    <row r="385">
      <c r="K385" s="258"/>
    </row>
    <row r="386">
      <c r="K386" s="258"/>
    </row>
    <row r="387">
      <c r="K387" s="258"/>
    </row>
    <row r="388">
      <c r="K388" s="258"/>
    </row>
    <row r="389">
      <c r="K389" s="258"/>
    </row>
    <row r="390">
      <c r="K390" s="258"/>
    </row>
    <row r="391">
      <c r="K391" s="258"/>
    </row>
    <row r="392">
      <c r="K392" s="258"/>
    </row>
    <row r="393">
      <c r="K393" s="258"/>
    </row>
    <row r="394">
      <c r="K394" s="258"/>
    </row>
    <row r="395">
      <c r="K395" s="258"/>
    </row>
    <row r="396">
      <c r="K396" s="258"/>
    </row>
    <row r="397">
      <c r="K397" s="258"/>
    </row>
    <row r="398">
      <c r="K398" s="258"/>
    </row>
    <row r="399">
      <c r="K399" s="258"/>
    </row>
    <row r="400">
      <c r="K400" s="258"/>
    </row>
    <row r="401">
      <c r="K401" s="258"/>
    </row>
    <row r="402">
      <c r="K402" s="258"/>
    </row>
    <row r="403">
      <c r="K403" s="258"/>
    </row>
    <row r="404">
      <c r="K404" s="258"/>
    </row>
    <row r="405">
      <c r="K405" s="258"/>
    </row>
    <row r="406">
      <c r="K406" s="258"/>
    </row>
    <row r="407">
      <c r="K407" s="258"/>
    </row>
    <row r="408">
      <c r="K408" s="258"/>
    </row>
    <row r="409">
      <c r="K409" s="258"/>
    </row>
    <row r="410">
      <c r="K410" s="258"/>
    </row>
    <row r="411">
      <c r="K411" s="258"/>
    </row>
    <row r="412">
      <c r="K412" s="258"/>
    </row>
    <row r="413">
      <c r="K413" s="258"/>
    </row>
    <row r="414">
      <c r="K414" s="258"/>
    </row>
    <row r="415">
      <c r="K415" s="258"/>
    </row>
    <row r="416">
      <c r="K416" s="258"/>
    </row>
    <row r="417">
      <c r="K417" s="258"/>
    </row>
    <row r="418">
      <c r="K418" s="258"/>
    </row>
    <row r="419">
      <c r="K419" s="258"/>
    </row>
    <row r="420">
      <c r="K420" s="258"/>
    </row>
    <row r="421">
      <c r="K421" s="258"/>
    </row>
    <row r="422">
      <c r="K422" s="258"/>
    </row>
    <row r="423">
      <c r="K423" s="258"/>
    </row>
    <row r="424">
      <c r="K424" s="258"/>
    </row>
    <row r="425">
      <c r="K425" s="258"/>
    </row>
    <row r="426">
      <c r="K426" s="258"/>
    </row>
    <row r="427">
      <c r="K427" s="258"/>
    </row>
    <row r="428">
      <c r="K428" s="258"/>
    </row>
    <row r="429">
      <c r="K429" s="258"/>
    </row>
    <row r="430">
      <c r="K430" s="258"/>
    </row>
    <row r="431">
      <c r="K431" s="258"/>
    </row>
    <row r="432">
      <c r="K432" s="258"/>
    </row>
    <row r="433">
      <c r="K433" s="258"/>
    </row>
    <row r="434">
      <c r="K434" s="258"/>
    </row>
    <row r="435">
      <c r="K435" s="258"/>
    </row>
    <row r="436">
      <c r="K436" s="258"/>
    </row>
    <row r="437">
      <c r="K437" s="258"/>
    </row>
    <row r="438">
      <c r="K438" s="258"/>
    </row>
    <row r="439">
      <c r="K439" s="258"/>
    </row>
    <row r="440">
      <c r="K440" s="258"/>
    </row>
    <row r="441">
      <c r="K441" s="258"/>
    </row>
    <row r="442">
      <c r="K442" s="258"/>
    </row>
    <row r="443">
      <c r="K443" s="258"/>
    </row>
    <row r="444">
      <c r="K444" s="258"/>
    </row>
    <row r="445">
      <c r="K445" s="258"/>
    </row>
    <row r="446">
      <c r="K446" s="258"/>
    </row>
    <row r="447">
      <c r="K447" s="258"/>
    </row>
    <row r="448">
      <c r="K448" s="258"/>
    </row>
    <row r="449">
      <c r="K449" s="258"/>
    </row>
    <row r="450">
      <c r="K450" s="258"/>
    </row>
    <row r="451">
      <c r="K451" s="258"/>
    </row>
    <row r="452">
      <c r="K452" s="258"/>
    </row>
    <row r="453">
      <c r="K453" s="258"/>
    </row>
    <row r="454">
      <c r="K454" s="258"/>
    </row>
    <row r="455">
      <c r="K455" s="258"/>
    </row>
    <row r="456">
      <c r="K456" s="258"/>
    </row>
    <row r="457">
      <c r="K457" s="258"/>
    </row>
    <row r="458">
      <c r="K458" s="258"/>
    </row>
    <row r="459">
      <c r="K459" s="258"/>
    </row>
    <row r="460">
      <c r="K460" s="258"/>
    </row>
    <row r="461">
      <c r="K461" s="258"/>
    </row>
    <row r="462">
      <c r="K462" s="258"/>
    </row>
    <row r="463">
      <c r="K463" s="258"/>
    </row>
    <row r="464">
      <c r="K464" s="258"/>
    </row>
    <row r="465">
      <c r="K465" s="258"/>
    </row>
    <row r="466">
      <c r="K466" s="258"/>
    </row>
    <row r="467">
      <c r="K467" s="258"/>
    </row>
    <row r="468">
      <c r="K468" s="258"/>
    </row>
    <row r="469">
      <c r="K469" s="258"/>
    </row>
    <row r="470">
      <c r="K470" s="258"/>
    </row>
    <row r="471">
      <c r="K471" s="258"/>
    </row>
    <row r="472">
      <c r="K472" s="258"/>
    </row>
    <row r="473">
      <c r="K473" s="258"/>
    </row>
    <row r="474">
      <c r="K474" s="258"/>
    </row>
    <row r="475">
      <c r="K475" s="258"/>
    </row>
    <row r="476">
      <c r="K476" s="258"/>
    </row>
    <row r="477">
      <c r="K477" s="258"/>
    </row>
    <row r="478">
      <c r="K478" s="258"/>
    </row>
    <row r="479">
      <c r="K479" s="258"/>
    </row>
    <row r="480">
      <c r="K480" s="258"/>
    </row>
    <row r="481">
      <c r="K481" s="258"/>
    </row>
    <row r="482">
      <c r="K482" s="258"/>
    </row>
    <row r="483">
      <c r="K483" s="258"/>
    </row>
    <row r="484">
      <c r="K484" s="258"/>
    </row>
    <row r="485">
      <c r="K485" s="258"/>
    </row>
    <row r="486">
      <c r="K486" s="258"/>
    </row>
    <row r="487">
      <c r="K487" s="258"/>
    </row>
    <row r="488">
      <c r="K488" s="258"/>
    </row>
    <row r="489">
      <c r="K489" s="258"/>
    </row>
    <row r="490">
      <c r="K490" s="258"/>
    </row>
    <row r="491">
      <c r="K491" s="258"/>
    </row>
    <row r="492">
      <c r="K492" s="258"/>
    </row>
    <row r="493">
      <c r="K493" s="258"/>
    </row>
    <row r="494">
      <c r="K494" s="258"/>
    </row>
    <row r="495">
      <c r="K495" s="258"/>
    </row>
    <row r="496">
      <c r="K496" s="258"/>
    </row>
    <row r="497">
      <c r="K497" s="258"/>
    </row>
    <row r="498">
      <c r="K498" s="258"/>
    </row>
    <row r="499">
      <c r="K499" s="258"/>
    </row>
    <row r="500">
      <c r="K500" s="258"/>
    </row>
    <row r="501">
      <c r="K501" s="258"/>
    </row>
    <row r="502">
      <c r="K502" s="258"/>
    </row>
    <row r="503">
      <c r="K503" s="258"/>
    </row>
    <row r="504">
      <c r="K504" s="258"/>
    </row>
    <row r="505">
      <c r="K505" s="258"/>
    </row>
    <row r="506">
      <c r="K506" s="258"/>
    </row>
    <row r="507">
      <c r="K507" s="258"/>
    </row>
    <row r="508">
      <c r="K508" s="258"/>
    </row>
    <row r="509">
      <c r="K509" s="258"/>
    </row>
    <row r="510">
      <c r="K510" s="258"/>
    </row>
    <row r="511">
      <c r="K511" s="258"/>
    </row>
    <row r="512">
      <c r="K512" s="258"/>
    </row>
    <row r="513">
      <c r="K513" s="258"/>
    </row>
    <row r="514">
      <c r="K514" s="258"/>
    </row>
    <row r="515">
      <c r="K515" s="258"/>
    </row>
    <row r="516">
      <c r="K516" s="258"/>
    </row>
    <row r="517">
      <c r="K517" s="258"/>
    </row>
    <row r="518">
      <c r="K518" s="258"/>
    </row>
    <row r="519">
      <c r="K519" s="258"/>
    </row>
    <row r="520">
      <c r="K520" s="258"/>
    </row>
    <row r="521">
      <c r="K521" s="258"/>
    </row>
    <row r="522">
      <c r="K522" s="258"/>
    </row>
    <row r="523">
      <c r="K523" s="258"/>
    </row>
    <row r="524">
      <c r="K524" s="258"/>
    </row>
    <row r="525">
      <c r="K525" s="258"/>
    </row>
    <row r="526">
      <c r="K526" s="258"/>
    </row>
    <row r="527">
      <c r="K527" s="258"/>
    </row>
    <row r="528">
      <c r="K528" s="258"/>
    </row>
    <row r="529">
      <c r="K529" s="258"/>
    </row>
    <row r="530">
      <c r="K530" s="258"/>
    </row>
    <row r="531">
      <c r="K531" s="258"/>
    </row>
    <row r="532">
      <c r="K532" s="258"/>
    </row>
    <row r="533">
      <c r="K533" s="258"/>
    </row>
    <row r="534">
      <c r="K534" s="258"/>
    </row>
    <row r="535">
      <c r="K535" s="258"/>
    </row>
    <row r="536">
      <c r="K536" s="258"/>
    </row>
    <row r="537">
      <c r="K537" s="258"/>
    </row>
    <row r="538">
      <c r="K538" s="258"/>
    </row>
    <row r="539">
      <c r="K539" s="258"/>
    </row>
    <row r="540">
      <c r="K540" s="258"/>
    </row>
    <row r="541">
      <c r="K541" s="258"/>
    </row>
    <row r="542">
      <c r="K542" s="258"/>
    </row>
    <row r="543">
      <c r="K543" s="258"/>
    </row>
    <row r="544">
      <c r="K544" s="258"/>
    </row>
    <row r="545">
      <c r="K545" s="258"/>
    </row>
    <row r="546">
      <c r="K546" s="258"/>
    </row>
    <row r="547">
      <c r="K547" s="258"/>
    </row>
    <row r="548">
      <c r="K548" s="258"/>
    </row>
    <row r="549">
      <c r="K549" s="258"/>
    </row>
    <row r="550">
      <c r="K550" s="258"/>
    </row>
    <row r="551">
      <c r="K551" s="258"/>
    </row>
    <row r="552">
      <c r="K552" s="258"/>
    </row>
    <row r="553">
      <c r="K553" s="258"/>
    </row>
    <row r="554">
      <c r="K554" s="258"/>
    </row>
    <row r="555">
      <c r="K555" s="258"/>
    </row>
    <row r="556">
      <c r="K556" s="258"/>
    </row>
    <row r="557">
      <c r="K557" s="258"/>
    </row>
    <row r="558">
      <c r="K558" s="258"/>
    </row>
    <row r="559">
      <c r="K559" s="258"/>
    </row>
    <row r="560">
      <c r="K560" s="258"/>
    </row>
    <row r="561">
      <c r="K561" s="258"/>
    </row>
    <row r="562">
      <c r="K562" s="258"/>
    </row>
    <row r="563">
      <c r="K563" s="258"/>
    </row>
    <row r="564">
      <c r="K564" s="258"/>
    </row>
    <row r="565">
      <c r="K565" s="258"/>
    </row>
    <row r="566">
      <c r="K566" s="258"/>
    </row>
    <row r="567">
      <c r="K567" s="258"/>
    </row>
    <row r="568">
      <c r="K568" s="258"/>
    </row>
    <row r="569">
      <c r="K569" s="258"/>
    </row>
    <row r="570">
      <c r="K570" s="258"/>
    </row>
    <row r="571">
      <c r="K571" s="258"/>
    </row>
    <row r="572">
      <c r="K572" s="258"/>
    </row>
    <row r="573">
      <c r="K573" s="258"/>
    </row>
    <row r="574">
      <c r="K574" s="258"/>
    </row>
    <row r="575">
      <c r="K575" s="258"/>
    </row>
    <row r="576">
      <c r="K576" s="258"/>
    </row>
    <row r="577">
      <c r="K577" s="258"/>
    </row>
    <row r="578">
      <c r="K578" s="258"/>
    </row>
    <row r="579">
      <c r="K579" s="258"/>
    </row>
    <row r="580">
      <c r="K580" s="258"/>
    </row>
    <row r="581">
      <c r="K581" s="258"/>
    </row>
    <row r="582">
      <c r="K582" s="258"/>
    </row>
    <row r="583">
      <c r="K583" s="258"/>
    </row>
    <row r="584">
      <c r="K584" s="258"/>
    </row>
    <row r="585">
      <c r="K585" s="258"/>
    </row>
    <row r="586">
      <c r="K586" s="258"/>
    </row>
    <row r="587">
      <c r="K587" s="258"/>
    </row>
    <row r="588">
      <c r="K588" s="258"/>
    </row>
    <row r="589">
      <c r="K589" s="258"/>
    </row>
    <row r="590">
      <c r="K590" s="258"/>
    </row>
    <row r="591">
      <c r="K591" s="258"/>
    </row>
    <row r="592">
      <c r="K592" s="258"/>
    </row>
    <row r="593">
      <c r="K593" s="258"/>
    </row>
    <row r="594">
      <c r="K594" s="258"/>
    </row>
    <row r="595">
      <c r="K595" s="258"/>
    </row>
    <row r="596">
      <c r="K596" s="258"/>
    </row>
    <row r="597">
      <c r="K597" s="258"/>
    </row>
    <row r="598">
      <c r="K598" s="258"/>
    </row>
    <row r="599">
      <c r="K599" s="258"/>
    </row>
    <row r="600">
      <c r="K600" s="258"/>
    </row>
    <row r="601">
      <c r="K601" s="258"/>
    </row>
    <row r="602">
      <c r="K602" s="258"/>
    </row>
    <row r="603">
      <c r="K603" s="258"/>
    </row>
    <row r="604">
      <c r="K604" s="258"/>
    </row>
    <row r="605">
      <c r="K605" s="258"/>
    </row>
    <row r="606">
      <c r="K606" s="258"/>
    </row>
    <row r="607">
      <c r="K607" s="258"/>
    </row>
    <row r="608">
      <c r="K608" s="258"/>
    </row>
    <row r="609">
      <c r="K609" s="258"/>
    </row>
    <row r="610">
      <c r="K610" s="258"/>
    </row>
    <row r="611">
      <c r="K611" s="258"/>
    </row>
    <row r="612">
      <c r="K612" s="258"/>
    </row>
    <row r="613">
      <c r="K613" s="258"/>
    </row>
    <row r="614">
      <c r="K614" s="258"/>
    </row>
    <row r="615">
      <c r="K615" s="258"/>
    </row>
    <row r="616">
      <c r="K616" s="258"/>
    </row>
    <row r="617">
      <c r="K617" s="258"/>
    </row>
    <row r="618">
      <c r="K618" s="258"/>
    </row>
    <row r="619">
      <c r="K619" s="258"/>
    </row>
    <row r="620">
      <c r="K620" s="258"/>
    </row>
    <row r="621">
      <c r="K621" s="258"/>
    </row>
    <row r="622">
      <c r="K622" s="258"/>
    </row>
    <row r="623">
      <c r="K623" s="258"/>
    </row>
    <row r="624">
      <c r="K624" s="258"/>
    </row>
    <row r="625">
      <c r="K625" s="258"/>
    </row>
    <row r="626">
      <c r="K626" s="258"/>
    </row>
    <row r="627">
      <c r="K627" s="258"/>
    </row>
    <row r="628">
      <c r="K628" s="258"/>
    </row>
    <row r="629">
      <c r="K629" s="258"/>
    </row>
    <row r="630">
      <c r="K630" s="258"/>
    </row>
    <row r="631">
      <c r="K631" s="258"/>
    </row>
    <row r="632">
      <c r="K632" s="258"/>
    </row>
    <row r="633">
      <c r="K633" s="258"/>
    </row>
    <row r="634">
      <c r="K634" s="258"/>
    </row>
    <row r="635">
      <c r="K635" s="258"/>
    </row>
    <row r="636">
      <c r="K636" s="258"/>
    </row>
    <row r="637">
      <c r="K637" s="258"/>
    </row>
    <row r="638">
      <c r="K638" s="258"/>
    </row>
    <row r="639">
      <c r="K639" s="258"/>
    </row>
    <row r="640">
      <c r="K640" s="258"/>
    </row>
    <row r="641">
      <c r="K641" s="258"/>
    </row>
    <row r="642">
      <c r="K642" s="258"/>
    </row>
    <row r="643">
      <c r="K643" s="258"/>
    </row>
    <row r="644">
      <c r="K644" s="258"/>
    </row>
    <row r="645">
      <c r="K645" s="258"/>
    </row>
    <row r="646">
      <c r="K646" s="258"/>
    </row>
    <row r="647">
      <c r="K647" s="258"/>
    </row>
    <row r="648">
      <c r="K648" s="258"/>
    </row>
    <row r="649">
      <c r="K649" s="258"/>
    </row>
    <row r="650">
      <c r="K650" s="258"/>
    </row>
    <row r="651">
      <c r="K651" s="258"/>
    </row>
    <row r="652">
      <c r="K652" s="258"/>
    </row>
    <row r="653">
      <c r="K653" s="258"/>
    </row>
    <row r="654">
      <c r="K654" s="258"/>
    </row>
    <row r="655">
      <c r="K655" s="258"/>
    </row>
    <row r="656">
      <c r="K656" s="258"/>
    </row>
    <row r="657">
      <c r="K657" s="258"/>
    </row>
    <row r="658">
      <c r="K658" s="258"/>
    </row>
    <row r="659">
      <c r="K659" s="258"/>
    </row>
    <row r="660">
      <c r="K660" s="258"/>
    </row>
    <row r="661">
      <c r="K661" s="258"/>
    </row>
    <row r="662">
      <c r="K662" s="258"/>
    </row>
    <row r="663">
      <c r="K663" s="258"/>
    </row>
    <row r="664">
      <c r="K664" s="258"/>
    </row>
    <row r="665">
      <c r="K665" s="258"/>
    </row>
    <row r="666">
      <c r="K666" s="258"/>
    </row>
    <row r="667">
      <c r="K667" s="258"/>
    </row>
    <row r="668">
      <c r="K668" s="258"/>
    </row>
    <row r="669">
      <c r="K669" s="258"/>
    </row>
    <row r="670">
      <c r="K670" s="258"/>
    </row>
    <row r="671">
      <c r="K671" s="258"/>
    </row>
    <row r="672">
      <c r="K672" s="258"/>
    </row>
    <row r="673">
      <c r="K673" s="258"/>
    </row>
    <row r="674">
      <c r="K674" s="258"/>
    </row>
    <row r="675">
      <c r="K675" s="258"/>
    </row>
    <row r="676">
      <c r="K676" s="258"/>
    </row>
    <row r="677">
      <c r="K677" s="258"/>
    </row>
    <row r="678">
      <c r="K678" s="258"/>
    </row>
    <row r="679">
      <c r="K679" s="258"/>
    </row>
    <row r="680">
      <c r="K680" s="258"/>
    </row>
    <row r="681">
      <c r="K681" s="258"/>
    </row>
    <row r="682">
      <c r="K682" s="258"/>
    </row>
    <row r="683">
      <c r="K683" s="258"/>
    </row>
    <row r="684">
      <c r="K684" s="258"/>
    </row>
    <row r="685">
      <c r="K685" s="258"/>
    </row>
    <row r="686">
      <c r="K686" s="258"/>
    </row>
    <row r="687">
      <c r="K687" s="258"/>
    </row>
    <row r="688">
      <c r="K688" s="258"/>
    </row>
    <row r="689">
      <c r="K689" s="258"/>
    </row>
    <row r="690">
      <c r="K690" s="258"/>
    </row>
    <row r="691">
      <c r="K691" s="258"/>
    </row>
    <row r="692">
      <c r="K692" s="258"/>
    </row>
    <row r="693">
      <c r="K693" s="258"/>
    </row>
    <row r="694">
      <c r="K694" s="258"/>
    </row>
    <row r="695">
      <c r="K695" s="258"/>
    </row>
    <row r="696">
      <c r="K696" s="258"/>
    </row>
    <row r="697">
      <c r="K697" s="258"/>
    </row>
    <row r="698">
      <c r="K698" s="258"/>
    </row>
    <row r="699">
      <c r="K699" s="258"/>
    </row>
    <row r="700">
      <c r="K700" s="258"/>
    </row>
    <row r="701">
      <c r="K701" s="258"/>
    </row>
    <row r="702">
      <c r="K702" s="258"/>
    </row>
    <row r="703">
      <c r="K703" s="258"/>
    </row>
    <row r="704">
      <c r="K704" s="258"/>
    </row>
    <row r="705">
      <c r="K705" s="258"/>
    </row>
    <row r="706">
      <c r="K706" s="258"/>
    </row>
    <row r="707">
      <c r="K707" s="258"/>
    </row>
    <row r="708">
      <c r="K708" s="258"/>
    </row>
    <row r="709">
      <c r="K709" s="258"/>
    </row>
    <row r="710">
      <c r="K710" s="258"/>
    </row>
    <row r="711">
      <c r="K711" s="258"/>
    </row>
    <row r="712">
      <c r="K712" s="258"/>
    </row>
    <row r="713">
      <c r="K713" s="258"/>
    </row>
    <row r="714">
      <c r="K714" s="258"/>
    </row>
    <row r="715">
      <c r="K715" s="258"/>
    </row>
    <row r="716">
      <c r="K716" s="258"/>
    </row>
    <row r="717">
      <c r="K717" s="258"/>
    </row>
    <row r="718">
      <c r="K718" s="258"/>
    </row>
    <row r="719">
      <c r="K719" s="258"/>
    </row>
    <row r="720">
      <c r="K720" s="258"/>
    </row>
    <row r="721">
      <c r="K721" s="258"/>
    </row>
    <row r="722">
      <c r="K722" s="258"/>
    </row>
    <row r="723">
      <c r="K723" s="258"/>
    </row>
    <row r="724">
      <c r="K724" s="258"/>
    </row>
    <row r="725">
      <c r="K725" s="258"/>
    </row>
    <row r="726">
      <c r="K726" s="258"/>
    </row>
    <row r="727">
      <c r="K727" s="258"/>
    </row>
    <row r="728">
      <c r="K728" s="258"/>
    </row>
    <row r="729">
      <c r="K729" s="258"/>
    </row>
    <row r="730">
      <c r="K730" s="258"/>
    </row>
    <row r="731">
      <c r="K731" s="258"/>
    </row>
    <row r="732">
      <c r="K732" s="258"/>
    </row>
    <row r="733">
      <c r="K733" s="258"/>
    </row>
    <row r="734">
      <c r="K734" s="258"/>
    </row>
    <row r="735">
      <c r="K735" s="258"/>
    </row>
    <row r="736">
      <c r="K736" s="258"/>
    </row>
    <row r="737">
      <c r="K737" s="258"/>
    </row>
    <row r="738">
      <c r="K738" s="258"/>
    </row>
    <row r="739">
      <c r="K739" s="258"/>
    </row>
    <row r="740">
      <c r="K740" s="258"/>
    </row>
    <row r="741">
      <c r="K741" s="258"/>
    </row>
    <row r="742">
      <c r="K742" s="258"/>
    </row>
    <row r="743">
      <c r="K743" s="258"/>
    </row>
    <row r="744">
      <c r="K744" s="258"/>
    </row>
    <row r="745">
      <c r="K745" s="258"/>
    </row>
    <row r="746">
      <c r="K746" s="258"/>
    </row>
    <row r="747">
      <c r="K747" s="258"/>
    </row>
    <row r="748">
      <c r="K748" s="258"/>
    </row>
    <row r="749">
      <c r="K749" s="258"/>
    </row>
    <row r="750">
      <c r="K750" s="258"/>
    </row>
    <row r="751">
      <c r="K751" s="258"/>
    </row>
    <row r="752">
      <c r="K752" s="258"/>
    </row>
    <row r="753">
      <c r="K753" s="258"/>
    </row>
    <row r="754">
      <c r="K754" s="258"/>
    </row>
    <row r="755">
      <c r="K755" s="258"/>
    </row>
    <row r="756">
      <c r="K756" s="258"/>
    </row>
    <row r="757">
      <c r="K757" s="258"/>
    </row>
    <row r="758">
      <c r="K758" s="258"/>
    </row>
    <row r="759">
      <c r="K759" s="258"/>
    </row>
    <row r="760">
      <c r="K760" s="258"/>
    </row>
    <row r="761">
      <c r="K761" s="258"/>
    </row>
    <row r="762">
      <c r="K762" s="258"/>
    </row>
    <row r="763">
      <c r="K763" s="258"/>
    </row>
    <row r="764">
      <c r="K764" s="258"/>
    </row>
    <row r="765">
      <c r="K765" s="258"/>
    </row>
    <row r="766">
      <c r="K766" s="258"/>
    </row>
    <row r="767">
      <c r="K767" s="258"/>
    </row>
    <row r="768">
      <c r="K768" s="258"/>
    </row>
    <row r="769">
      <c r="K769" s="258"/>
    </row>
    <row r="770">
      <c r="K770" s="258"/>
    </row>
    <row r="771">
      <c r="K771" s="258"/>
    </row>
    <row r="772">
      <c r="K772" s="258"/>
    </row>
    <row r="773">
      <c r="K773" s="258"/>
    </row>
    <row r="774">
      <c r="K774" s="258"/>
    </row>
    <row r="775">
      <c r="K775" s="258"/>
    </row>
    <row r="776">
      <c r="K776" s="258"/>
    </row>
    <row r="777">
      <c r="K777" s="258"/>
    </row>
    <row r="778">
      <c r="K778" s="258"/>
    </row>
    <row r="779">
      <c r="K779" s="258"/>
    </row>
    <row r="780">
      <c r="K780" s="258"/>
    </row>
    <row r="781">
      <c r="K781" s="258"/>
    </row>
    <row r="782">
      <c r="K782" s="258"/>
    </row>
    <row r="783">
      <c r="K783" s="258"/>
    </row>
    <row r="784">
      <c r="K784" s="258"/>
    </row>
    <row r="785">
      <c r="K785" s="258"/>
    </row>
    <row r="786">
      <c r="K786" s="258"/>
    </row>
    <row r="787">
      <c r="K787" s="258"/>
    </row>
    <row r="788">
      <c r="K788" s="258"/>
    </row>
    <row r="789">
      <c r="K789" s="258"/>
    </row>
    <row r="790">
      <c r="K790" s="258"/>
    </row>
    <row r="791">
      <c r="K791" s="258"/>
    </row>
    <row r="792">
      <c r="K792" s="258"/>
    </row>
    <row r="793">
      <c r="K793" s="258"/>
    </row>
    <row r="794">
      <c r="K794" s="258"/>
    </row>
    <row r="795">
      <c r="K795" s="258"/>
    </row>
    <row r="796">
      <c r="K796" s="258"/>
    </row>
    <row r="797">
      <c r="K797" s="258"/>
    </row>
    <row r="798">
      <c r="K798" s="258"/>
    </row>
    <row r="799">
      <c r="K799" s="258"/>
    </row>
    <row r="800">
      <c r="K800" s="258"/>
    </row>
    <row r="801">
      <c r="K801" s="258"/>
    </row>
    <row r="802">
      <c r="K802" s="258"/>
    </row>
    <row r="803">
      <c r="K803" s="258"/>
    </row>
    <row r="804">
      <c r="K804" s="258"/>
    </row>
    <row r="805">
      <c r="K805" s="258"/>
    </row>
    <row r="806">
      <c r="K806" s="258"/>
    </row>
    <row r="807">
      <c r="K807" s="258"/>
    </row>
    <row r="808">
      <c r="K808" s="258"/>
    </row>
    <row r="809">
      <c r="K809" s="258"/>
    </row>
    <row r="810">
      <c r="K810" s="258"/>
    </row>
    <row r="811">
      <c r="K811" s="258"/>
    </row>
    <row r="812">
      <c r="K812" s="258"/>
    </row>
    <row r="813">
      <c r="K813" s="258"/>
    </row>
    <row r="814">
      <c r="K814" s="258"/>
    </row>
    <row r="815">
      <c r="K815" s="258"/>
    </row>
    <row r="816">
      <c r="K816" s="258"/>
    </row>
    <row r="817">
      <c r="K817" s="258"/>
    </row>
    <row r="818">
      <c r="K818" s="258"/>
    </row>
    <row r="819">
      <c r="K819" s="258"/>
    </row>
    <row r="820">
      <c r="K820" s="258"/>
    </row>
    <row r="821">
      <c r="K821" s="258"/>
    </row>
    <row r="822">
      <c r="K822" s="258"/>
    </row>
    <row r="823">
      <c r="K823" s="258"/>
    </row>
    <row r="824">
      <c r="K824" s="258"/>
    </row>
    <row r="825">
      <c r="K825" s="258"/>
    </row>
    <row r="826">
      <c r="K826" s="258"/>
    </row>
    <row r="827">
      <c r="K827" s="258"/>
    </row>
    <row r="828">
      <c r="K828" s="258"/>
    </row>
    <row r="829">
      <c r="K829" s="258"/>
    </row>
    <row r="830">
      <c r="K830" s="258"/>
    </row>
    <row r="831">
      <c r="K831" s="258"/>
    </row>
    <row r="832">
      <c r="K832" s="258"/>
    </row>
    <row r="833">
      <c r="K833" s="258"/>
    </row>
    <row r="834">
      <c r="K834" s="258"/>
    </row>
    <row r="835">
      <c r="K835" s="258"/>
    </row>
    <row r="836">
      <c r="K836" s="258"/>
    </row>
    <row r="837">
      <c r="K837" s="258"/>
    </row>
    <row r="838">
      <c r="K838" s="258"/>
    </row>
    <row r="839">
      <c r="K839" s="258"/>
    </row>
    <row r="840">
      <c r="K840" s="258"/>
    </row>
    <row r="841">
      <c r="K841" s="258"/>
    </row>
    <row r="842">
      <c r="K842" s="258"/>
    </row>
    <row r="843">
      <c r="K843" s="258"/>
    </row>
    <row r="844">
      <c r="K844" s="258"/>
    </row>
    <row r="845">
      <c r="K845" s="258"/>
    </row>
    <row r="846">
      <c r="K846" s="258"/>
    </row>
    <row r="847">
      <c r="K847" s="258"/>
    </row>
    <row r="848">
      <c r="K848" s="258"/>
    </row>
    <row r="849">
      <c r="K849" s="258"/>
    </row>
    <row r="850">
      <c r="K850" s="258"/>
    </row>
    <row r="851">
      <c r="K851" s="258"/>
    </row>
    <row r="852">
      <c r="K852" s="258"/>
    </row>
    <row r="853">
      <c r="K853" s="258"/>
    </row>
    <row r="854">
      <c r="K854" s="258"/>
    </row>
    <row r="855">
      <c r="K855" s="258"/>
    </row>
    <row r="856">
      <c r="K856" s="258"/>
    </row>
    <row r="857">
      <c r="K857" s="258"/>
    </row>
    <row r="858">
      <c r="K858" s="258"/>
    </row>
    <row r="859">
      <c r="K859" s="258"/>
    </row>
    <row r="860">
      <c r="K860" s="258"/>
    </row>
    <row r="861">
      <c r="K861" s="258"/>
    </row>
    <row r="862">
      <c r="K862" s="258"/>
    </row>
    <row r="863">
      <c r="K863" s="258"/>
    </row>
    <row r="864">
      <c r="K864" s="258"/>
    </row>
    <row r="865">
      <c r="K865" s="258"/>
    </row>
    <row r="866">
      <c r="K866" s="258"/>
    </row>
    <row r="867">
      <c r="K867" s="258"/>
    </row>
    <row r="868">
      <c r="K868" s="258"/>
    </row>
    <row r="869">
      <c r="K869" s="258"/>
    </row>
    <row r="870">
      <c r="K870" s="258"/>
    </row>
    <row r="871">
      <c r="K871" s="258"/>
    </row>
    <row r="872">
      <c r="K872" s="258"/>
    </row>
    <row r="873">
      <c r="K873" s="258"/>
    </row>
    <row r="874">
      <c r="K874" s="258"/>
    </row>
    <row r="875">
      <c r="K875" s="258"/>
    </row>
    <row r="876">
      <c r="K876" s="258"/>
    </row>
    <row r="877">
      <c r="K877" s="258"/>
    </row>
    <row r="878">
      <c r="K878" s="258"/>
    </row>
    <row r="879">
      <c r="K879" s="258"/>
    </row>
    <row r="880">
      <c r="K880" s="258"/>
    </row>
    <row r="881">
      <c r="K881" s="258"/>
    </row>
    <row r="882">
      <c r="K882" s="258"/>
    </row>
    <row r="883">
      <c r="K883" s="258"/>
    </row>
    <row r="884">
      <c r="K884" s="258"/>
    </row>
    <row r="885">
      <c r="K885" s="258"/>
    </row>
    <row r="886">
      <c r="K886" s="258"/>
    </row>
    <row r="887">
      <c r="K887" s="258"/>
    </row>
    <row r="888">
      <c r="K888" s="258"/>
    </row>
    <row r="889">
      <c r="K889" s="258"/>
    </row>
    <row r="890">
      <c r="K890" s="258"/>
    </row>
    <row r="891">
      <c r="K891" s="258"/>
    </row>
    <row r="892">
      <c r="K892" s="258"/>
    </row>
    <row r="893">
      <c r="K893" s="258"/>
    </row>
    <row r="894">
      <c r="K894" s="258"/>
    </row>
    <row r="895">
      <c r="K895" s="258"/>
    </row>
    <row r="896">
      <c r="K896" s="258"/>
    </row>
    <row r="897">
      <c r="K897" s="258"/>
    </row>
    <row r="898">
      <c r="K898" s="258"/>
    </row>
    <row r="899">
      <c r="K899" s="258"/>
    </row>
    <row r="900">
      <c r="K900" s="258"/>
    </row>
    <row r="901">
      <c r="K901" s="258"/>
    </row>
    <row r="902">
      <c r="K902" s="258"/>
    </row>
    <row r="903">
      <c r="K903" s="258"/>
    </row>
    <row r="904">
      <c r="K904" s="258"/>
    </row>
    <row r="905">
      <c r="K905" s="258"/>
    </row>
    <row r="906">
      <c r="K906" s="258"/>
    </row>
    <row r="907">
      <c r="K907" s="258"/>
    </row>
    <row r="908">
      <c r="K908" s="258"/>
    </row>
    <row r="909">
      <c r="K909" s="258"/>
    </row>
    <row r="910">
      <c r="K910" s="258"/>
    </row>
    <row r="911">
      <c r="K911" s="258"/>
    </row>
    <row r="912">
      <c r="K912" s="258"/>
    </row>
    <row r="913">
      <c r="K913" s="258"/>
    </row>
  </sheetData>
  <autoFilter ref="$A$1:$R$51"/>
  <conditionalFormatting sqref="R4:R24">
    <cfRule type="cellIs" dxfId="0" priority="1" operator="greaterThanOrEqual">
      <formula>P4:P24</formula>
    </cfRule>
  </conditionalFormatting>
  <conditionalFormatting sqref="R4:R24">
    <cfRule type="cellIs" dxfId="1" priority="2" operator="lessThan">
      <formula>P4:P24</formula>
    </cfRule>
  </conditionalFormatting>
  <dataValidations>
    <dataValidation type="list" allowBlank="1" showErrorMessage="1" sqref="F2:F51">
      <formula1>'2026 Hybrid Placement'!$N$4:$N$24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0"/>
    <col customWidth="1" min="2" max="2" width="17.88"/>
    <col customWidth="1" min="4" max="4" width="14.13"/>
    <col customWidth="1" min="5" max="5" width="8.0"/>
    <col customWidth="1" hidden="1" min="6" max="6" width="3.5"/>
    <col customWidth="1" hidden="1" min="7" max="7" width="15.13"/>
    <col customWidth="1" hidden="1" min="8" max="8" width="3.5"/>
    <col customWidth="1" hidden="1" min="9" max="9" width="7.88"/>
    <col customWidth="1" hidden="1" min="10" max="10" width="3.5"/>
    <col customWidth="1" hidden="1" min="11" max="11" width="15.13"/>
    <col customWidth="1" hidden="1" min="12" max="12" width="3.5"/>
    <col customWidth="1" min="13" max="13" width="15.13"/>
    <col customWidth="1" min="16" max="16" width="19.0"/>
    <col customWidth="1" min="17" max="17" width="15.13"/>
  </cols>
  <sheetData>
    <row r="1">
      <c r="A1" s="1" t="s">
        <v>288</v>
      </c>
      <c r="B1" s="2" t="s">
        <v>0</v>
      </c>
      <c r="C1" s="57"/>
      <c r="D1" s="5">
        <v>2025.0</v>
      </c>
      <c r="E1" s="2" t="s">
        <v>289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/>
      <c r="O1" s="5">
        <v>2024.0</v>
      </c>
      <c r="P1" s="6" t="s">
        <v>2</v>
      </c>
    </row>
    <row r="2">
      <c r="A2" s="8" t="s">
        <v>290</v>
      </c>
      <c r="B2" s="7">
        <v>260.32</v>
      </c>
      <c r="C2" s="57"/>
      <c r="D2" s="12" t="s">
        <v>21</v>
      </c>
      <c r="E2" s="7" t="s">
        <v>291</v>
      </c>
      <c r="F2" s="7" t="b">
        <v>1</v>
      </c>
      <c r="G2" s="7" t="s">
        <v>19</v>
      </c>
      <c r="H2" s="7" t="b">
        <v>1</v>
      </c>
      <c r="J2" s="7" t="b">
        <v>0</v>
      </c>
      <c r="L2" s="7" t="b">
        <v>0</v>
      </c>
      <c r="O2" s="9" t="s">
        <v>14</v>
      </c>
      <c r="P2" s="13" t="s">
        <v>18</v>
      </c>
    </row>
    <row r="3">
      <c r="A3" s="15" t="s">
        <v>23</v>
      </c>
      <c r="B3" s="7">
        <v>25.9</v>
      </c>
      <c r="C3" s="57"/>
      <c r="D3" s="14" t="s">
        <v>24</v>
      </c>
      <c r="E3" s="7" t="s">
        <v>292</v>
      </c>
      <c r="F3" s="7" t="b">
        <v>1</v>
      </c>
      <c r="G3" s="7" t="s">
        <v>28</v>
      </c>
      <c r="H3" s="7" t="b">
        <v>1</v>
      </c>
      <c r="J3" s="7" t="b">
        <v>0</v>
      </c>
      <c r="L3" s="7" t="b">
        <v>0</v>
      </c>
      <c r="M3" s="7" t="s">
        <v>293</v>
      </c>
      <c r="O3" s="9" t="s">
        <v>14</v>
      </c>
      <c r="P3" s="13" t="s">
        <v>27</v>
      </c>
    </row>
    <row r="4">
      <c r="A4" s="8" t="s">
        <v>294</v>
      </c>
      <c r="B4" s="7">
        <v>103.7</v>
      </c>
      <c r="C4" s="57"/>
      <c r="D4" s="12" t="s">
        <v>21</v>
      </c>
      <c r="F4" s="7" t="b">
        <v>1</v>
      </c>
      <c r="G4" s="7" t="s">
        <v>28</v>
      </c>
      <c r="H4" s="7" t="b">
        <v>1</v>
      </c>
      <c r="I4" s="7" t="s">
        <v>19</v>
      </c>
      <c r="J4" s="7" t="b">
        <v>1</v>
      </c>
      <c r="L4" s="7" t="b">
        <v>0</v>
      </c>
      <c r="O4" s="23" t="s">
        <v>32</v>
      </c>
      <c r="P4" s="13" t="s">
        <v>18</v>
      </c>
    </row>
    <row r="5">
      <c r="A5" s="8" t="s">
        <v>33</v>
      </c>
      <c r="B5" s="7">
        <v>33.7</v>
      </c>
      <c r="C5" s="57"/>
      <c r="D5" s="12" t="s">
        <v>21</v>
      </c>
      <c r="F5" s="7" t="b">
        <v>1</v>
      </c>
      <c r="G5" s="7" t="s">
        <v>28</v>
      </c>
      <c r="H5" s="7" t="b">
        <v>1</v>
      </c>
      <c r="I5" s="7" t="s">
        <v>19</v>
      </c>
      <c r="J5" s="7" t="b">
        <v>1</v>
      </c>
      <c r="L5" s="7" t="b">
        <v>0</v>
      </c>
      <c r="O5" s="23" t="s">
        <v>32</v>
      </c>
      <c r="P5" s="13" t="s">
        <v>18</v>
      </c>
    </row>
    <row r="6">
      <c r="A6" s="38" t="s">
        <v>295</v>
      </c>
      <c r="B6" s="7">
        <v>48.0</v>
      </c>
      <c r="C6" s="57"/>
      <c r="D6" s="14" t="s">
        <v>14</v>
      </c>
      <c r="F6" t="b">
        <v>0</v>
      </c>
      <c r="G6" s="7" t="s">
        <v>37</v>
      </c>
      <c r="H6" t="b">
        <v>0</v>
      </c>
      <c r="J6" t="b">
        <v>0</v>
      </c>
      <c r="L6" t="b">
        <v>0</v>
      </c>
      <c r="O6" s="16" t="s">
        <v>24</v>
      </c>
      <c r="P6" s="13" t="s">
        <v>27</v>
      </c>
    </row>
    <row r="7">
      <c r="A7" s="15" t="s">
        <v>40</v>
      </c>
      <c r="B7" s="7">
        <v>150.4</v>
      </c>
      <c r="C7" s="57"/>
      <c r="D7" s="261" t="s">
        <v>14</v>
      </c>
      <c r="E7" s="7" t="s">
        <v>296</v>
      </c>
      <c r="F7" t="b">
        <v>0</v>
      </c>
      <c r="G7" s="7" t="s">
        <v>42</v>
      </c>
      <c r="H7" t="b">
        <v>0</v>
      </c>
      <c r="J7" t="b">
        <v>0</v>
      </c>
      <c r="L7" t="b">
        <v>0</v>
      </c>
      <c r="O7" s="16" t="s">
        <v>24</v>
      </c>
      <c r="P7" s="13" t="s">
        <v>27</v>
      </c>
    </row>
    <row r="8">
      <c r="A8" s="15" t="s">
        <v>43</v>
      </c>
      <c r="B8" s="7">
        <v>148.01</v>
      </c>
      <c r="C8" s="57"/>
      <c r="D8" s="261" t="s">
        <v>14</v>
      </c>
      <c r="F8" t="b">
        <v>0</v>
      </c>
      <c r="G8" s="7" t="s">
        <v>42</v>
      </c>
      <c r="H8" t="b">
        <v>0</v>
      </c>
      <c r="J8" t="b">
        <v>0</v>
      </c>
      <c r="L8" t="b">
        <v>0</v>
      </c>
      <c r="O8" s="16" t="s">
        <v>24</v>
      </c>
      <c r="P8" s="13" t="s">
        <v>27</v>
      </c>
    </row>
    <row r="9">
      <c r="A9" s="32" t="s">
        <v>44</v>
      </c>
      <c r="B9" s="7">
        <v>11.0</v>
      </c>
      <c r="C9" s="57"/>
      <c r="D9" s="14" t="s">
        <v>24</v>
      </c>
      <c r="E9" s="7" t="s">
        <v>292</v>
      </c>
      <c r="F9" s="7" t="b">
        <v>1</v>
      </c>
      <c r="G9" s="7" t="s">
        <v>28</v>
      </c>
      <c r="H9" s="7" t="b">
        <v>1</v>
      </c>
      <c r="J9" t="b">
        <v>0</v>
      </c>
      <c r="L9" t="b">
        <v>0</v>
      </c>
      <c r="M9" s="7" t="s">
        <v>297</v>
      </c>
      <c r="O9" s="9" t="s">
        <v>14</v>
      </c>
      <c r="P9" s="13" t="s">
        <v>27</v>
      </c>
    </row>
    <row r="10">
      <c r="A10" s="15" t="s">
        <v>45</v>
      </c>
      <c r="B10" s="7">
        <v>41.8</v>
      </c>
      <c r="C10" s="57"/>
      <c r="D10" s="192" t="s">
        <v>24</v>
      </c>
      <c r="E10" s="7" t="s">
        <v>292</v>
      </c>
      <c r="F10" s="7" t="b">
        <v>1</v>
      </c>
      <c r="G10" s="7" t="s">
        <v>48</v>
      </c>
      <c r="H10" s="7" t="b">
        <v>1</v>
      </c>
      <c r="I10" s="7" t="s">
        <v>17</v>
      </c>
      <c r="J10" t="b">
        <v>0</v>
      </c>
      <c r="K10" s="7" t="s">
        <v>28</v>
      </c>
      <c r="L10" t="b">
        <v>0</v>
      </c>
      <c r="M10" s="7" t="s">
        <v>298</v>
      </c>
      <c r="O10" s="12" t="s">
        <v>21</v>
      </c>
      <c r="P10" s="13" t="s">
        <v>27</v>
      </c>
    </row>
    <row r="11">
      <c r="A11" s="15" t="s">
        <v>49</v>
      </c>
      <c r="B11" s="7">
        <v>58.8</v>
      </c>
      <c r="C11" s="57"/>
      <c r="D11" s="192" t="s">
        <v>24</v>
      </c>
      <c r="F11" t="b">
        <v>0</v>
      </c>
      <c r="G11" s="7" t="s">
        <v>17</v>
      </c>
      <c r="H11" t="b">
        <v>0</v>
      </c>
      <c r="I11" s="7" t="s">
        <v>48</v>
      </c>
      <c r="J11" t="b">
        <v>0</v>
      </c>
      <c r="L11" t="b">
        <v>0</v>
      </c>
      <c r="M11" s="7" t="s">
        <v>298</v>
      </c>
      <c r="O11" s="12" t="s">
        <v>21</v>
      </c>
      <c r="P11" s="13" t="s">
        <v>299</v>
      </c>
    </row>
    <row r="12">
      <c r="A12" s="15" t="s">
        <v>51</v>
      </c>
      <c r="B12" s="7">
        <v>58.2</v>
      </c>
      <c r="C12" s="57"/>
      <c r="D12" s="192" t="s">
        <v>24</v>
      </c>
      <c r="F12" s="7" t="b">
        <v>1</v>
      </c>
      <c r="G12" s="7" t="s">
        <v>17</v>
      </c>
      <c r="H12" t="b">
        <v>0</v>
      </c>
      <c r="I12" s="7" t="s">
        <v>48</v>
      </c>
      <c r="J12" t="b">
        <v>0</v>
      </c>
      <c r="L12" t="b">
        <v>0</v>
      </c>
      <c r="M12" s="7" t="s">
        <v>297</v>
      </c>
      <c r="O12" s="12" t="s">
        <v>21</v>
      </c>
      <c r="P12" s="13" t="s">
        <v>27</v>
      </c>
    </row>
    <row r="13">
      <c r="A13" s="15" t="s">
        <v>143</v>
      </c>
      <c r="C13" s="57"/>
      <c r="D13" s="14"/>
      <c r="F13" t="b">
        <v>0</v>
      </c>
      <c r="H13" t="b">
        <v>0</v>
      </c>
      <c r="J13" t="b">
        <v>0</v>
      </c>
      <c r="L13" t="b">
        <v>0</v>
      </c>
      <c r="O13" s="14" t="s">
        <v>133</v>
      </c>
      <c r="P13" s="13"/>
    </row>
    <row r="14">
      <c r="A14" s="15" t="s">
        <v>54</v>
      </c>
      <c r="B14" s="7">
        <v>67.8</v>
      </c>
      <c r="C14" s="57"/>
      <c r="D14" s="14" t="s">
        <v>14</v>
      </c>
      <c r="F14" t="b">
        <v>0</v>
      </c>
      <c r="H14" t="b">
        <v>0</v>
      </c>
      <c r="I14" s="7" t="s">
        <v>48</v>
      </c>
      <c r="J14" t="b">
        <v>0</v>
      </c>
      <c r="L14" t="b">
        <v>0</v>
      </c>
      <c r="M14" s="7" t="s">
        <v>199</v>
      </c>
      <c r="O14" s="16" t="s">
        <v>24</v>
      </c>
      <c r="P14" s="27" t="s">
        <v>27</v>
      </c>
    </row>
    <row r="15">
      <c r="A15" s="8" t="s">
        <v>97</v>
      </c>
      <c r="B15" s="7">
        <v>8.0</v>
      </c>
      <c r="C15" s="57"/>
      <c r="D15" s="14" t="s">
        <v>14</v>
      </c>
      <c r="F15" t="b">
        <v>0</v>
      </c>
      <c r="H15" t="b">
        <v>0</v>
      </c>
      <c r="I15" s="7" t="s">
        <v>48</v>
      </c>
      <c r="J15" t="b">
        <v>0</v>
      </c>
      <c r="L15" t="b">
        <v>0</v>
      </c>
      <c r="O15" s="16" t="s">
        <v>24</v>
      </c>
      <c r="P15" s="27" t="s">
        <v>18</v>
      </c>
    </row>
    <row r="16">
      <c r="A16" s="15" t="s">
        <v>56</v>
      </c>
      <c r="B16" s="7">
        <v>10.7</v>
      </c>
      <c r="C16" s="57"/>
      <c r="D16" s="261" t="s">
        <v>14</v>
      </c>
      <c r="F16" t="b">
        <v>0</v>
      </c>
      <c r="H16" t="b">
        <v>0</v>
      </c>
      <c r="I16" s="7" t="s">
        <v>48</v>
      </c>
      <c r="J16" t="b">
        <v>0</v>
      </c>
      <c r="L16" t="b">
        <v>0</v>
      </c>
      <c r="O16" s="16" t="s">
        <v>24</v>
      </c>
      <c r="P16" s="27" t="s">
        <v>27</v>
      </c>
    </row>
    <row r="17">
      <c r="A17" s="15" t="s">
        <v>59</v>
      </c>
      <c r="B17" s="7">
        <v>8.89</v>
      </c>
      <c r="C17" s="57"/>
      <c r="D17" s="14" t="s">
        <v>14</v>
      </c>
      <c r="E17" s="7" t="s">
        <v>292</v>
      </c>
      <c r="F17" t="b">
        <v>0</v>
      </c>
      <c r="H17" t="b">
        <v>0</v>
      </c>
      <c r="J17" t="b">
        <v>0</v>
      </c>
      <c r="L17" t="b">
        <v>0</v>
      </c>
      <c r="O17" s="16" t="s">
        <v>24</v>
      </c>
      <c r="P17" s="27" t="s">
        <v>27</v>
      </c>
    </row>
    <row r="18">
      <c r="A18" s="15" t="s">
        <v>60</v>
      </c>
      <c r="B18" s="7">
        <v>40.0</v>
      </c>
      <c r="C18" s="57"/>
      <c r="D18" s="12" t="s">
        <v>21</v>
      </c>
      <c r="F18" s="7" t="b">
        <v>1</v>
      </c>
      <c r="G18" s="7" t="s">
        <v>28</v>
      </c>
      <c r="H18" s="7" t="b">
        <v>1</v>
      </c>
      <c r="I18" s="7" t="s">
        <v>19</v>
      </c>
      <c r="J18" s="7" t="b">
        <v>1</v>
      </c>
      <c r="L18" s="7" t="b">
        <v>0</v>
      </c>
      <c r="O18" s="9" t="s">
        <v>14</v>
      </c>
      <c r="P18" s="13" t="s">
        <v>61</v>
      </c>
    </row>
    <row r="19">
      <c r="A19" s="8" t="s">
        <v>62</v>
      </c>
      <c r="B19" s="7">
        <v>5.1</v>
      </c>
      <c r="C19" s="57"/>
      <c r="D19" s="14" t="s">
        <v>24</v>
      </c>
      <c r="F19" s="7" t="b">
        <v>1</v>
      </c>
      <c r="H19" s="7" t="b">
        <v>0</v>
      </c>
      <c r="J19" s="7" t="b">
        <v>0</v>
      </c>
      <c r="L19" s="7" t="b">
        <v>0</v>
      </c>
      <c r="M19" s="7" t="s">
        <v>300</v>
      </c>
      <c r="O19" s="9" t="s">
        <v>14</v>
      </c>
      <c r="P19" s="13" t="s">
        <v>61</v>
      </c>
    </row>
    <row r="20">
      <c r="A20" s="15" t="s">
        <v>63</v>
      </c>
      <c r="B20" s="7">
        <v>13.7</v>
      </c>
      <c r="C20" s="57"/>
      <c r="D20" s="261" t="s">
        <v>14</v>
      </c>
      <c r="F20" t="b">
        <v>0</v>
      </c>
      <c r="H20" t="b">
        <v>0</v>
      </c>
      <c r="J20" t="b">
        <v>0</v>
      </c>
      <c r="L20" t="b">
        <v>0</v>
      </c>
      <c r="O20" s="16" t="s">
        <v>24</v>
      </c>
      <c r="P20" s="27" t="s">
        <v>27</v>
      </c>
    </row>
    <row r="21">
      <c r="A21" s="8" t="s">
        <v>64</v>
      </c>
      <c r="B21" s="7">
        <v>48.4</v>
      </c>
      <c r="C21" s="57"/>
      <c r="D21" s="14" t="s">
        <v>24</v>
      </c>
      <c r="F21" s="7" t="b">
        <v>1</v>
      </c>
      <c r="G21" s="7" t="s">
        <v>28</v>
      </c>
      <c r="H21" s="7" t="b">
        <v>1</v>
      </c>
      <c r="J21" t="b">
        <v>0</v>
      </c>
      <c r="L21" t="b">
        <v>0</v>
      </c>
      <c r="M21" s="7" t="s">
        <v>298</v>
      </c>
      <c r="O21" s="9" t="s">
        <v>14</v>
      </c>
      <c r="P21" s="27" t="s">
        <v>27</v>
      </c>
    </row>
    <row r="22">
      <c r="A22" s="8" t="s">
        <v>65</v>
      </c>
      <c r="B22" s="7">
        <v>25.0</v>
      </c>
      <c r="C22" s="57"/>
      <c r="D22" s="14" t="s">
        <v>24</v>
      </c>
      <c r="F22" s="7" t="b">
        <v>1</v>
      </c>
      <c r="G22" s="7" t="s">
        <v>28</v>
      </c>
      <c r="H22" s="7" t="b">
        <v>1</v>
      </c>
      <c r="J22" t="b">
        <v>0</v>
      </c>
      <c r="L22" t="b">
        <v>0</v>
      </c>
      <c r="M22" s="7" t="s">
        <v>298</v>
      </c>
      <c r="O22" s="9" t="s">
        <v>14</v>
      </c>
      <c r="P22" s="27" t="s">
        <v>27</v>
      </c>
    </row>
    <row r="23">
      <c r="A23" s="8" t="s">
        <v>66</v>
      </c>
      <c r="B23" s="7">
        <v>165.9</v>
      </c>
      <c r="C23" s="57"/>
      <c r="D23" s="14" t="s">
        <v>26</v>
      </c>
      <c r="F23" s="7" t="b">
        <v>1</v>
      </c>
      <c r="G23" s="7" t="s">
        <v>28</v>
      </c>
      <c r="H23" s="7" t="b">
        <v>1</v>
      </c>
      <c r="J23" t="b">
        <v>0</v>
      </c>
      <c r="L23" t="b">
        <v>0</v>
      </c>
      <c r="M23" s="7" t="s">
        <v>298</v>
      </c>
      <c r="O23" s="9" t="s">
        <v>14</v>
      </c>
      <c r="P23" s="27" t="s">
        <v>27</v>
      </c>
    </row>
    <row r="24">
      <c r="A24" s="8" t="s">
        <v>70</v>
      </c>
      <c r="B24" s="7">
        <v>110.0</v>
      </c>
      <c r="C24" s="57"/>
      <c r="D24" s="14" t="s">
        <v>24</v>
      </c>
      <c r="F24" s="7" t="b">
        <v>1</v>
      </c>
      <c r="G24" s="7" t="s">
        <v>28</v>
      </c>
      <c r="H24" s="7" t="b">
        <v>1</v>
      </c>
      <c r="J24" t="b">
        <v>0</v>
      </c>
      <c r="L24" t="b">
        <v>0</v>
      </c>
      <c r="M24" s="7" t="s">
        <v>298</v>
      </c>
      <c r="O24" s="9" t="s">
        <v>14</v>
      </c>
      <c r="P24" s="27" t="s">
        <v>27</v>
      </c>
    </row>
    <row r="25">
      <c r="A25" s="15" t="s">
        <v>71</v>
      </c>
      <c r="B25" s="7">
        <v>191.0</v>
      </c>
      <c r="C25" s="57"/>
      <c r="D25" s="14" t="s">
        <v>24</v>
      </c>
      <c r="F25" s="7" t="b">
        <v>1</v>
      </c>
      <c r="G25" s="7" t="s">
        <v>48</v>
      </c>
      <c r="H25" s="7" t="b">
        <v>1</v>
      </c>
      <c r="J25" t="b">
        <v>0</v>
      </c>
      <c r="L25" t="b">
        <v>0</v>
      </c>
      <c r="M25" s="7" t="s">
        <v>298</v>
      </c>
      <c r="N25" s="18" t="s">
        <v>301</v>
      </c>
      <c r="O25" s="14" t="s">
        <v>67</v>
      </c>
      <c r="P25" s="27" t="s">
        <v>27</v>
      </c>
    </row>
    <row r="26">
      <c r="A26" s="8" t="s">
        <v>145</v>
      </c>
      <c r="C26" s="57"/>
      <c r="D26" s="14"/>
      <c r="F26" t="b">
        <v>0</v>
      </c>
      <c r="H26" t="b">
        <v>0</v>
      </c>
      <c r="J26" t="b">
        <v>0</v>
      </c>
      <c r="L26" t="b">
        <v>0</v>
      </c>
      <c r="O26" s="14"/>
      <c r="P26" s="98"/>
    </row>
    <row r="27">
      <c r="A27" s="15" t="s">
        <v>76</v>
      </c>
      <c r="B27" s="7">
        <v>74.3</v>
      </c>
      <c r="C27" s="57"/>
      <c r="D27" s="14" t="s">
        <v>24</v>
      </c>
      <c r="F27" s="7" t="b">
        <v>1</v>
      </c>
      <c r="G27" s="7" t="s">
        <v>28</v>
      </c>
      <c r="H27" s="7" t="b">
        <v>1</v>
      </c>
      <c r="J27" t="b">
        <v>0</v>
      </c>
      <c r="L27" t="b">
        <v>0</v>
      </c>
      <c r="M27" s="7" t="s">
        <v>298</v>
      </c>
      <c r="O27" s="9" t="s">
        <v>14</v>
      </c>
      <c r="P27" s="27" t="s">
        <v>27</v>
      </c>
    </row>
    <row r="28">
      <c r="A28" s="15" t="s">
        <v>79</v>
      </c>
      <c r="B28" s="7">
        <v>37.5</v>
      </c>
      <c r="C28" s="57"/>
      <c r="D28" s="14" t="s">
        <v>26</v>
      </c>
      <c r="F28" t="b">
        <v>0</v>
      </c>
      <c r="G28" s="7" t="s">
        <v>28</v>
      </c>
      <c r="H28" t="b">
        <v>0</v>
      </c>
      <c r="J28" t="b">
        <v>0</v>
      </c>
      <c r="L28" t="b">
        <v>0</v>
      </c>
      <c r="M28" s="7" t="s">
        <v>298</v>
      </c>
      <c r="O28" s="9" t="s">
        <v>14</v>
      </c>
      <c r="P28" s="27" t="s">
        <v>27</v>
      </c>
    </row>
    <row r="29">
      <c r="A29" s="42" t="s">
        <v>142</v>
      </c>
      <c r="B29" s="21"/>
      <c r="C29" s="57"/>
      <c r="D29" s="14"/>
      <c r="F29" t="b">
        <v>0</v>
      </c>
      <c r="H29" t="b">
        <v>0</v>
      </c>
      <c r="J29" t="b">
        <v>0</v>
      </c>
      <c r="L29" t="b">
        <v>0</v>
      </c>
      <c r="O29" s="14" t="s">
        <v>133</v>
      </c>
      <c r="P29" s="27"/>
    </row>
    <row r="30">
      <c r="A30" s="42" t="s">
        <v>80</v>
      </c>
      <c r="B30" s="7">
        <v>152.0</v>
      </c>
      <c r="C30" s="57"/>
      <c r="D30" s="14" t="s">
        <v>26</v>
      </c>
      <c r="E30" s="7" t="s">
        <v>302</v>
      </c>
      <c r="F30" s="7" t="b">
        <v>1</v>
      </c>
      <c r="G30" s="7" t="s">
        <v>28</v>
      </c>
      <c r="H30" s="7" t="b">
        <v>1</v>
      </c>
      <c r="J30" t="b">
        <v>0</v>
      </c>
      <c r="L30" t="b">
        <v>0</v>
      </c>
      <c r="M30" s="7" t="s">
        <v>300</v>
      </c>
      <c r="O30" s="9" t="s">
        <v>14</v>
      </c>
      <c r="P30" s="27" t="s">
        <v>27</v>
      </c>
    </row>
    <row r="31">
      <c r="A31" s="24" t="s">
        <v>35</v>
      </c>
      <c r="B31" s="7">
        <v>54.0</v>
      </c>
      <c r="C31" s="57"/>
      <c r="D31" s="261" t="s">
        <v>14</v>
      </c>
      <c r="E31" s="7" t="s">
        <v>303</v>
      </c>
      <c r="F31" t="b">
        <v>0</v>
      </c>
      <c r="H31" t="b">
        <v>0</v>
      </c>
      <c r="J31" t="b">
        <v>0</v>
      </c>
      <c r="L31" t="b">
        <v>0</v>
      </c>
      <c r="O31" s="16" t="s">
        <v>24</v>
      </c>
      <c r="P31" s="27" t="s">
        <v>27</v>
      </c>
    </row>
    <row r="32">
      <c r="A32" s="8" t="s">
        <v>81</v>
      </c>
      <c r="B32" s="7">
        <v>22.28</v>
      </c>
      <c r="C32" s="57"/>
      <c r="D32" s="261" t="s">
        <v>12</v>
      </c>
      <c r="E32" s="7" t="s">
        <v>292</v>
      </c>
      <c r="F32" t="b">
        <v>0</v>
      </c>
      <c r="H32" t="b">
        <v>0</v>
      </c>
      <c r="J32" t="b">
        <v>0</v>
      </c>
      <c r="L32" t="b">
        <v>0</v>
      </c>
      <c r="O32" s="16" t="s">
        <v>24</v>
      </c>
      <c r="P32" s="27" t="s">
        <v>27</v>
      </c>
    </row>
    <row r="33">
      <c r="A33" s="8" t="s">
        <v>88</v>
      </c>
      <c r="B33" s="7">
        <v>132.4</v>
      </c>
      <c r="C33" s="57"/>
      <c r="D33" s="14" t="s">
        <v>26</v>
      </c>
      <c r="F33" s="7" t="b">
        <v>1</v>
      </c>
      <c r="G33" s="7" t="s">
        <v>28</v>
      </c>
      <c r="H33" s="7" t="b">
        <v>1</v>
      </c>
      <c r="J33" t="b">
        <v>0</v>
      </c>
      <c r="L33" t="b">
        <v>0</v>
      </c>
      <c r="M33" s="7" t="s">
        <v>298</v>
      </c>
      <c r="O33" s="9" t="s">
        <v>14</v>
      </c>
      <c r="P33" s="27" t="s">
        <v>27</v>
      </c>
    </row>
    <row r="34">
      <c r="A34" s="8" t="s">
        <v>85</v>
      </c>
      <c r="B34" s="7">
        <v>80.0</v>
      </c>
      <c r="C34" s="57"/>
      <c r="D34" s="14" t="s">
        <v>26</v>
      </c>
      <c r="F34" s="7" t="b">
        <v>1</v>
      </c>
      <c r="G34" s="7" t="s">
        <v>28</v>
      </c>
      <c r="H34" s="7" t="b">
        <v>1</v>
      </c>
      <c r="I34" s="7"/>
      <c r="J34" t="b">
        <v>0</v>
      </c>
      <c r="K34" s="7"/>
      <c r="L34" t="b">
        <v>0</v>
      </c>
      <c r="M34" s="7" t="s">
        <v>297</v>
      </c>
      <c r="O34" s="9" t="s">
        <v>14</v>
      </c>
      <c r="P34" s="27" t="s">
        <v>27</v>
      </c>
    </row>
    <row r="35">
      <c r="A35" s="8" t="s">
        <v>92</v>
      </c>
      <c r="B35" s="7">
        <v>6.0</v>
      </c>
      <c r="C35" s="57"/>
      <c r="D35" s="12" t="s">
        <v>21</v>
      </c>
      <c r="F35" s="7" t="b">
        <v>1</v>
      </c>
      <c r="G35" s="7" t="s">
        <v>19</v>
      </c>
      <c r="H35" s="7" t="b">
        <v>1</v>
      </c>
      <c r="J35" t="b">
        <v>0</v>
      </c>
      <c r="L35" t="b">
        <v>0</v>
      </c>
      <c r="O35" s="14" t="s">
        <v>83</v>
      </c>
      <c r="P35" s="13" t="s">
        <v>18</v>
      </c>
    </row>
    <row r="36">
      <c r="A36" s="15" t="s">
        <v>91</v>
      </c>
      <c r="B36" s="7">
        <v>18.4</v>
      </c>
      <c r="C36" s="57"/>
      <c r="D36" s="14" t="s">
        <v>26</v>
      </c>
      <c r="F36" s="7" t="b">
        <v>1</v>
      </c>
      <c r="G36" s="7" t="s">
        <v>28</v>
      </c>
      <c r="H36" s="7" t="b">
        <v>1</v>
      </c>
      <c r="J36" t="b">
        <v>0</v>
      </c>
      <c r="L36" t="b">
        <v>0</v>
      </c>
      <c r="M36" s="7" t="s">
        <v>297</v>
      </c>
      <c r="O36" s="9" t="s">
        <v>14</v>
      </c>
      <c r="P36" s="13" t="s">
        <v>27</v>
      </c>
    </row>
    <row r="37">
      <c r="A37" s="38" t="s">
        <v>93</v>
      </c>
      <c r="B37" s="7">
        <v>55.0</v>
      </c>
      <c r="C37" s="57"/>
      <c r="D37" s="261" t="s">
        <v>12</v>
      </c>
      <c r="F37" t="b">
        <v>0</v>
      </c>
      <c r="G37" s="7" t="s">
        <v>94</v>
      </c>
      <c r="H37" t="b">
        <v>0</v>
      </c>
      <c r="J37" t="b">
        <v>0</v>
      </c>
      <c r="L37" t="b">
        <v>0</v>
      </c>
      <c r="O37" s="16" t="s">
        <v>24</v>
      </c>
      <c r="P37" s="13" t="s">
        <v>27</v>
      </c>
    </row>
    <row r="38">
      <c r="A38" s="15" t="s">
        <v>95</v>
      </c>
      <c r="B38" s="7">
        <v>131.0</v>
      </c>
      <c r="C38" s="57"/>
      <c r="D38" s="14" t="s">
        <v>26</v>
      </c>
      <c r="F38" s="7" t="b">
        <v>1</v>
      </c>
      <c r="G38" s="7" t="s">
        <v>28</v>
      </c>
      <c r="H38" s="7" t="b">
        <v>1</v>
      </c>
      <c r="J38" t="b">
        <v>0</v>
      </c>
      <c r="L38" t="b">
        <v>0</v>
      </c>
      <c r="M38" s="7" t="s">
        <v>297</v>
      </c>
      <c r="O38" s="9" t="s">
        <v>14</v>
      </c>
      <c r="P38" s="13" t="s">
        <v>27</v>
      </c>
    </row>
    <row r="39">
      <c r="A39" s="8" t="s">
        <v>99</v>
      </c>
      <c r="B39" s="7">
        <v>81.2</v>
      </c>
      <c r="C39" s="57"/>
      <c r="D39" s="12" t="s">
        <v>26</v>
      </c>
      <c r="F39" s="7" t="b">
        <v>1</v>
      </c>
      <c r="G39" s="7" t="s">
        <v>48</v>
      </c>
      <c r="H39" s="7" t="b">
        <v>1</v>
      </c>
      <c r="I39" s="7" t="s">
        <v>17</v>
      </c>
      <c r="J39" t="b">
        <v>0</v>
      </c>
      <c r="K39" s="7" t="s">
        <v>28</v>
      </c>
      <c r="L39" t="b">
        <v>0</v>
      </c>
      <c r="M39" s="7" t="s">
        <v>297</v>
      </c>
      <c r="O39" s="12" t="s">
        <v>21</v>
      </c>
      <c r="P39" s="13" t="s">
        <v>27</v>
      </c>
    </row>
    <row r="40">
      <c r="A40" s="8" t="s">
        <v>98</v>
      </c>
      <c r="B40" s="7">
        <v>31.0</v>
      </c>
      <c r="C40" s="57"/>
      <c r="D40" s="262" t="s">
        <v>12</v>
      </c>
      <c r="E40" s="7" t="s">
        <v>292</v>
      </c>
      <c r="F40" t="b">
        <v>0</v>
      </c>
      <c r="H40" t="b">
        <v>0</v>
      </c>
      <c r="J40" t="b">
        <v>0</v>
      </c>
      <c r="L40" t="b">
        <v>0</v>
      </c>
      <c r="O40" s="16" t="s">
        <v>24</v>
      </c>
      <c r="P40" s="13" t="s">
        <v>27</v>
      </c>
    </row>
    <row r="41">
      <c r="A41" s="8" t="s">
        <v>100</v>
      </c>
      <c r="B41" s="7">
        <v>99.9</v>
      </c>
      <c r="C41" s="57"/>
      <c r="D41" s="14" t="s">
        <v>12</v>
      </c>
      <c r="E41" s="7" t="s">
        <v>304</v>
      </c>
      <c r="F41" t="b">
        <v>0</v>
      </c>
      <c r="H41" t="b">
        <v>0</v>
      </c>
      <c r="J41" t="b">
        <v>0</v>
      </c>
      <c r="L41" t="b">
        <v>0</v>
      </c>
      <c r="O41" s="16" t="s">
        <v>24</v>
      </c>
      <c r="P41" s="13" t="s">
        <v>27</v>
      </c>
    </row>
    <row r="42">
      <c r="A42" s="8" t="s">
        <v>102</v>
      </c>
      <c r="B42" s="7">
        <v>75.0</v>
      </c>
      <c r="C42" s="57"/>
      <c r="D42" s="261" t="s">
        <v>12</v>
      </c>
      <c r="F42" t="b">
        <v>0</v>
      </c>
      <c r="G42" s="7" t="s">
        <v>48</v>
      </c>
      <c r="H42" t="b">
        <v>0</v>
      </c>
      <c r="I42" s="7"/>
      <c r="J42" t="b">
        <v>0</v>
      </c>
      <c r="K42" s="7"/>
      <c r="L42" t="b">
        <v>0</v>
      </c>
      <c r="O42" s="16" t="s">
        <v>24</v>
      </c>
      <c r="P42" s="13" t="s">
        <v>27</v>
      </c>
    </row>
    <row r="43">
      <c r="A43" s="8" t="s">
        <v>129</v>
      </c>
      <c r="B43" s="92"/>
      <c r="C43" s="57"/>
      <c r="D43" s="14"/>
      <c r="F43" t="b">
        <v>0</v>
      </c>
      <c r="H43" t="b">
        <v>0</v>
      </c>
      <c r="J43" t="b">
        <v>0</v>
      </c>
      <c r="L43" t="b">
        <v>0</v>
      </c>
      <c r="O43" s="14" t="s">
        <v>133</v>
      </c>
      <c r="P43" s="55"/>
    </row>
    <row r="44">
      <c r="A44" s="8" t="s">
        <v>134</v>
      </c>
      <c r="B44" s="92"/>
      <c r="C44" s="57"/>
      <c r="D44" s="14"/>
      <c r="F44" t="b">
        <v>0</v>
      </c>
      <c r="H44" t="b">
        <v>0</v>
      </c>
      <c r="J44" t="b">
        <v>0</v>
      </c>
      <c r="L44" t="b">
        <v>0</v>
      </c>
      <c r="O44" s="14" t="s">
        <v>133</v>
      </c>
      <c r="P44" s="55"/>
    </row>
    <row r="45">
      <c r="A45" s="8" t="s">
        <v>136</v>
      </c>
      <c r="B45" s="7"/>
      <c r="C45" s="57"/>
      <c r="D45" s="14"/>
      <c r="F45" t="b">
        <v>0</v>
      </c>
      <c r="H45" t="b">
        <v>0</v>
      </c>
      <c r="J45" t="b">
        <v>0</v>
      </c>
      <c r="L45" t="b">
        <v>0</v>
      </c>
      <c r="O45" s="14" t="s">
        <v>133</v>
      </c>
      <c r="P45" s="94"/>
    </row>
    <row r="46">
      <c r="A46" s="8" t="s">
        <v>137</v>
      </c>
      <c r="C46" s="57"/>
      <c r="D46" s="14"/>
      <c r="F46" t="b">
        <v>0</v>
      </c>
      <c r="H46" t="b">
        <v>0</v>
      </c>
      <c r="J46" t="b">
        <v>0</v>
      </c>
      <c r="L46" t="b">
        <v>0</v>
      </c>
      <c r="O46" s="14"/>
      <c r="P46" s="55"/>
    </row>
    <row r="47">
      <c r="A47" s="8" t="s">
        <v>138</v>
      </c>
      <c r="C47" s="57"/>
      <c r="D47" s="14"/>
      <c r="F47" t="b">
        <v>0</v>
      </c>
      <c r="H47" t="b">
        <v>0</v>
      </c>
      <c r="J47" t="b">
        <v>0</v>
      </c>
      <c r="L47" t="b">
        <v>0</v>
      </c>
      <c r="O47" s="14"/>
      <c r="P47" s="55"/>
    </row>
    <row r="48">
      <c r="A48" s="15" t="s">
        <v>141</v>
      </c>
      <c r="B48" s="21"/>
      <c r="C48" s="57"/>
      <c r="D48" s="14"/>
      <c r="F48" t="b">
        <v>0</v>
      </c>
      <c r="H48" t="b">
        <v>0</v>
      </c>
      <c r="J48" t="b">
        <v>0</v>
      </c>
      <c r="L48" t="b">
        <v>0</v>
      </c>
      <c r="O48" s="14" t="s">
        <v>133</v>
      </c>
      <c r="P48" s="55"/>
    </row>
    <row r="49">
      <c r="A49" s="8" t="s">
        <v>118</v>
      </c>
      <c r="B49" s="7">
        <v>31.5</v>
      </c>
      <c r="C49" s="57"/>
      <c r="D49" s="14" t="s">
        <v>24</v>
      </c>
      <c r="F49" t="b">
        <v>0</v>
      </c>
      <c r="G49" s="7" t="s">
        <v>27</v>
      </c>
      <c r="H49" t="b">
        <v>0</v>
      </c>
      <c r="J49" t="b">
        <v>0</v>
      </c>
      <c r="L49" t="b">
        <v>0</v>
      </c>
      <c r="M49" s="7" t="s">
        <v>297</v>
      </c>
      <c r="O49" s="14"/>
      <c r="P49" s="13" t="s">
        <v>119</v>
      </c>
    </row>
    <row r="50">
      <c r="A50" s="8" t="s">
        <v>107</v>
      </c>
      <c r="B50" s="7">
        <v>137.0</v>
      </c>
      <c r="C50" s="57"/>
      <c r="D50" s="14" t="s">
        <v>24</v>
      </c>
      <c r="F50" t="b">
        <v>0</v>
      </c>
      <c r="G50" s="7" t="s">
        <v>108</v>
      </c>
      <c r="H50" t="b">
        <v>0</v>
      </c>
      <c r="J50" t="b">
        <v>0</v>
      </c>
      <c r="L50" t="b">
        <v>0</v>
      </c>
      <c r="M50" s="7" t="s">
        <v>297</v>
      </c>
      <c r="O50" s="14"/>
      <c r="P50" s="13" t="s">
        <v>18</v>
      </c>
    </row>
    <row r="51">
      <c r="A51" s="8" t="s">
        <v>109</v>
      </c>
      <c r="B51" s="7">
        <v>153.0</v>
      </c>
      <c r="C51" s="57"/>
      <c r="D51" s="14" t="s">
        <v>26</v>
      </c>
      <c r="F51" t="b">
        <v>0</v>
      </c>
      <c r="G51" s="7" t="s">
        <v>108</v>
      </c>
      <c r="H51" t="b">
        <v>0</v>
      </c>
      <c r="J51" t="b">
        <v>0</v>
      </c>
      <c r="L51" t="b">
        <v>0</v>
      </c>
      <c r="M51" s="7" t="s">
        <v>297</v>
      </c>
      <c r="O51" s="14"/>
      <c r="P51" s="13" t="s">
        <v>18</v>
      </c>
    </row>
    <row r="52">
      <c r="A52" s="15" t="s">
        <v>110</v>
      </c>
      <c r="B52" s="7">
        <v>98.4</v>
      </c>
      <c r="C52" s="57"/>
      <c r="D52" s="14" t="s">
        <v>14</v>
      </c>
      <c r="F52" t="b">
        <v>0</v>
      </c>
      <c r="G52" s="7" t="s">
        <v>48</v>
      </c>
      <c r="H52" t="b">
        <v>0</v>
      </c>
      <c r="J52" t="b">
        <v>0</v>
      </c>
      <c r="L52" t="b">
        <v>0</v>
      </c>
      <c r="O52" s="16" t="s">
        <v>24</v>
      </c>
      <c r="P52" s="13" t="s">
        <v>27</v>
      </c>
    </row>
    <row r="53">
      <c r="A53" s="15" t="s">
        <v>114</v>
      </c>
      <c r="B53" s="7">
        <v>28.3</v>
      </c>
      <c r="C53" s="57"/>
      <c r="D53" s="14" t="s">
        <v>12</v>
      </c>
      <c r="E53" s="7" t="s">
        <v>292</v>
      </c>
      <c r="F53" t="b">
        <v>0</v>
      </c>
      <c r="H53" t="b">
        <v>0</v>
      </c>
      <c r="J53" t="b">
        <v>0</v>
      </c>
      <c r="L53" t="b">
        <v>0</v>
      </c>
      <c r="O53" s="16" t="s">
        <v>24</v>
      </c>
      <c r="P53" s="13" t="s">
        <v>27</v>
      </c>
    </row>
    <row r="54">
      <c r="A54" s="42" t="s">
        <v>115</v>
      </c>
      <c r="B54" s="7">
        <v>14.0</v>
      </c>
      <c r="C54" s="57"/>
      <c r="D54" s="14" t="s">
        <v>26</v>
      </c>
      <c r="E54" s="7" t="s">
        <v>292</v>
      </c>
      <c r="F54" s="7" t="b">
        <v>1</v>
      </c>
      <c r="G54" s="7" t="s">
        <v>28</v>
      </c>
      <c r="H54" s="7" t="b">
        <v>1</v>
      </c>
      <c r="J54" t="b">
        <v>0</v>
      </c>
      <c r="L54" t="b">
        <v>0</v>
      </c>
      <c r="M54" s="7" t="s">
        <v>297</v>
      </c>
      <c r="O54" s="9" t="s">
        <v>14</v>
      </c>
      <c r="P54" s="13" t="s">
        <v>27</v>
      </c>
    </row>
    <row r="55">
      <c r="A55" s="32" t="s">
        <v>305</v>
      </c>
      <c r="B55" s="7">
        <v>145.0</v>
      </c>
      <c r="C55" s="57"/>
      <c r="D55" s="14" t="s">
        <v>24</v>
      </c>
      <c r="F55" s="7" t="b">
        <v>0</v>
      </c>
      <c r="G55" s="7" t="s">
        <v>108</v>
      </c>
      <c r="H55" s="7" t="b">
        <v>0</v>
      </c>
      <c r="J55" t="b">
        <v>0</v>
      </c>
      <c r="L55" t="b">
        <v>0</v>
      </c>
      <c r="M55" s="7" t="s">
        <v>297</v>
      </c>
      <c r="O55" s="14"/>
      <c r="P55" s="13" t="s">
        <v>18</v>
      </c>
    </row>
    <row r="56">
      <c r="A56" s="32" t="s">
        <v>120</v>
      </c>
      <c r="B56" s="7">
        <v>131.0</v>
      </c>
      <c r="C56" s="57"/>
      <c r="D56" s="14" t="s">
        <v>26</v>
      </c>
      <c r="F56" s="7" t="b">
        <v>0</v>
      </c>
      <c r="G56" s="7" t="s">
        <v>108</v>
      </c>
      <c r="H56" s="7" t="b">
        <v>0</v>
      </c>
      <c r="J56" t="b">
        <v>0</v>
      </c>
      <c r="L56" t="b">
        <v>0</v>
      </c>
      <c r="M56" s="7" t="s">
        <v>297</v>
      </c>
      <c r="O56" s="14"/>
      <c r="P56" s="13" t="s">
        <v>18</v>
      </c>
    </row>
    <row r="57">
      <c r="A57" s="15" t="s">
        <v>121</v>
      </c>
      <c r="B57" s="7">
        <v>72.0</v>
      </c>
      <c r="C57" s="57"/>
      <c r="D57" s="14" t="s">
        <v>14</v>
      </c>
      <c r="F57" t="b">
        <v>0</v>
      </c>
      <c r="G57" s="7" t="s">
        <v>48</v>
      </c>
      <c r="H57" t="b">
        <v>0</v>
      </c>
      <c r="J57" t="b">
        <v>0</v>
      </c>
      <c r="L57" t="b">
        <v>0</v>
      </c>
      <c r="O57" s="14" t="s">
        <v>122</v>
      </c>
      <c r="P57" s="55"/>
    </row>
    <row r="58">
      <c r="A58" s="8" t="s">
        <v>144</v>
      </c>
      <c r="C58" s="57"/>
      <c r="D58" s="14"/>
      <c r="F58" t="b">
        <v>0</v>
      </c>
      <c r="G58" s="7" t="s">
        <v>48</v>
      </c>
      <c r="H58" t="b">
        <v>0</v>
      </c>
      <c r="J58" t="b">
        <v>0</v>
      </c>
      <c r="L58" t="b">
        <v>0</v>
      </c>
      <c r="O58" s="14"/>
      <c r="P58" s="55"/>
    </row>
    <row r="59">
      <c r="A59" s="15" t="s">
        <v>147</v>
      </c>
      <c r="B59" s="7"/>
      <c r="C59" s="57"/>
      <c r="D59" s="14"/>
      <c r="F59" t="b">
        <v>0</v>
      </c>
      <c r="H59" t="b">
        <v>0</v>
      </c>
      <c r="J59" t="b">
        <v>0</v>
      </c>
      <c r="L59" t="b">
        <v>0</v>
      </c>
      <c r="O59" s="14"/>
      <c r="P59" s="55"/>
    </row>
    <row r="60">
      <c r="A60" s="15"/>
      <c r="C60" s="57"/>
      <c r="D60" s="57"/>
      <c r="F60" t="b">
        <v>0</v>
      </c>
      <c r="H60" t="b">
        <v>0</v>
      </c>
      <c r="J60" t="b">
        <v>0</v>
      </c>
      <c r="L60" t="b">
        <v>0</v>
      </c>
      <c r="O60" s="57"/>
      <c r="P60" s="55"/>
    </row>
    <row r="61">
      <c r="C61" s="57"/>
      <c r="D61" s="57"/>
      <c r="F61" t="b">
        <v>0</v>
      </c>
      <c r="H61" t="b">
        <v>0</v>
      </c>
      <c r="J61" t="b">
        <v>0</v>
      </c>
      <c r="L61" t="b">
        <v>0</v>
      </c>
      <c r="O61" s="57"/>
      <c r="P61" s="55"/>
    </row>
    <row r="62">
      <c r="A62" s="58" t="s">
        <v>306</v>
      </c>
      <c r="B62" s="59">
        <f>sum(B2:B59)</f>
        <v>3494.5</v>
      </c>
      <c r="C62" s="57"/>
      <c r="D62" s="58"/>
      <c r="E62" s="59"/>
      <c r="F62" t="b">
        <v>0</v>
      </c>
      <c r="H62" t="b">
        <v>0</v>
      </c>
      <c r="J62" t="b">
        <v>0</v>
      </c>
      <c r="L62" t="b">
        <v>0</v>
      </c>
    </row>
    <row r="63">
      <c r="A63" s="263" t="s">
        <v>24</v>
      </c>
      <c r="B63" s="64" t="str">
        <f>sumifs($B$2:$B$60,$AS$2:$AS$60,"Corn")</f>
        <v>#VALUE!</v>
      </c>
      <c r="C63" s="57"/>
      <c r="D63" s="67"/>
      <c r="E63" s="55"/>
      <c r="F63" t="b">
        <v>0</v>
      </c>
      <c r="H63" t="b">
        <v>0</v>
      </c>
      <c r="J63" t="b">
        <v>0</v>
      </c>
      <c r="L63" t="b">
        <v>0</v>
      </c>
      <c r="M63" s="7" t="s">
        <v>307</v>
      </c>
      <c r="N63" t="str">
        <f>sum</f>
        <v>#NAME?</v>
      </c>
      <c r="P63" s="67"/>
      <c r="Q63" s="68"/>
    </row>
    <row r="64">
      <c r="A64" s="70" t="s">
        <v>25</v>
      </c>
      <c r="B64" s="71" t="str">
        <f>sumifs($B$2:$B$60,$AS$2:$AS$60,"white Corn")</f>
        <v>#VALUE!</v>
      </c>
      <c r="C64" s="57"/>
      <c r="D64" s="67"/>
      <c r="E64" s="55"/>
      <c r="F64" t="b">
        <v>0</v>
      </c>
      <c r="H64" t="b">
        <v>0</v>
      </c>
      <c r="J64" t="b">
        <v>0</v>
      </c>
      <c r="L64" t="b">
        <v>0</v>
      </c>
      <c r="P64" s="67"/>
      <c r="Q64" s="68"/>
    </row>
    <row r="65">
      <c r="A65" s="70" t="s">
        <v>52</v>
      </c>
      <c r="B65" s="71" t="str">
        <f>sumifs($B$2:$B$60,$AS$2:$AS$60,"blue Corn")</f>
        <v>#VALUE!</v>
      </c>
      <c r="C65" s="57"/>
      <c r="D65" s="67"/>
      <c r="E65" s="55"/>
      <c r="F65" t="b">
        <v>0</v>
      </c>
      <c r="H65" t="b">
        <v>0</v>
      </c>
      <c r="J65" t="b">
        <v>0</v>
      </c>
      <c r="L65" t="b">
        <v>0</v>
      </c>
      <c r="P65" s="67"/>
      <c r="Q65" s="68"/>
    </row>
    <row r="66">
      <c r="A66" s="70" t="s">
        <v>125</v>
      </c>
      <c r="B66" s="74" t="str">
        <f>SUMIFS($B$2:$B$60,$AS$2:$AS$60,"Seed Corn")</f>
        <v>#VALUE!</v>
      </c>
      <c r="C66" s="57"/>
      <c r="D66" s="75"/>
      <c r="E66" s="55"/>
      <c r="F66" t="b">
        <v>0</v>
      </c>
      <c r="H66" t="b">
        <v>0</v>
      </c>
      <c r="J66" t="b">
        <v>0</v>
      </c>
      <c r="L66" t="b">
        <v>0</v>
      </c>
      <c r="P66" s="75"/>
      <c r="Q66" s="77"/>
    </row>
    <row r="67">
      <c r="A67" s="70" t="s">
        <v>14</v>
      </c>
      <c r="B67" s="71" t="str">
        <f>sumifs($B$2:$B$60,$AS$2:$AS$60,"Soybeans")</f>
        <v>#VALUE!</v>
      </c>
      <c r="C67" s="57"/>
      <c r="D67" s="65"/>
      <c r="E67" s="55"/>
      <c r="P67" s="65"/>
      <c r="Q67" s="66"/>
    </row>
    <row r="68">
      <c r="A68" s="78" t="s">
        <v>67</v>
      </c>
      <c r="B68" s="71" t="str">
        <f>sumifs($B$2:$B$60,$AS$2:$AS$60,"Peas/snaps")</f>
        <v>#VALUE!</v>
      </c>
      <c r="C68" s="57"/>
      <c r="D68" s="79"/>
      <c r="E68" s="55"/>
      <c r="P68" s="79"/>
      <c r="Q68" s="66"/>
    </row>
    <row r="69">
      <c r="A69" s="70" t="s">
        <v>16</v>
      </c>
      <c r="B69" s="71" t="str">
        <f>sumifs($B$2:$B$60,$AS$2:$AS$60,"Sorghum")</f>
        <v>#VALUE!</v>
      </c>
      <c r="C69" s="57"/>
      <c r="D69" s="65"/>
      <c r="E69" s="55"/>
      <c r="P69" s="65"/>
      <c r="Q69" s="66"/>
    </row>
    <row r="70">
      <c r="A70" s="80" t="s">
        <v>31</v>
      </c>
      <c r="B70" s="71" t="str">
        <f>sumifs($B$2:$B$60,$AS$2:$AS$60,"Sweetcorn")</f>
        <v>#VALUE!</v>
      </c>
      <c r="C70" s="57"/>
      <c r="D70" s="7"/>
      <c r="E70" s="55"/>
      <c r="P70" s="7"/>
      <c r="Q70" s="66"/>
    </row>
    <row r="71">
      <c r="A71" s="70" t="s">
        <v>32</v>
      </c>
      <c r="B71" s="71" t="str">
        <f>sumifs($B$2:$B$60,$AS$2:$AS$60,"Lima Beans")</f>
        <v>#VALUE!</v>
      </c>
      <c r="C71" s="57"/>
      <c r="D71" s="65"/>
      <c r="E71" s="55"/>
      <c r="P71" s="65"/>
      <c r="Q71" s="66"/>
    </row>
    <row r="72">
      <c r="A72" s="70" t="s">
        <v>47</v>
      </c>
      <c r="B72" s="71" t="str">
        <f>sumifs($B$2:$B$60,$AS$2:$AS$60,"peas")</f>
        <v>#VALUE!</v>
      </c>
      <c r="C72" s="57"/>
      <c r="D72" s="65"/>
      <c r="E72" s="55"/>
      <c r="P72" s="65"/>
      <c r="Q72" s="66"/>
    </row>
    <row r="73">
      <c r="A73" s="70" t="s">
        <v>21</v>
      </c>
      <c r="B73" s="71" t="str">
        <f>sumifs($B$2:$B$60,$AS$2:$AS$60,"Rye")</f>
        <v>#VALUE!</v>
      </c>
      <c r="C73" s="57"/>
      <c r="D73" s="65"/>
      <c r="E73" s="55"/>
      <c r="P73" s="65"/>
      <c r="Q73" s="66"/>
    </row>
    <row r="74">
      <c r="A74" s="70" t="s">
        <v>308</v>
      </c>
      <c r="B74" s="84" t="str">
        <f>sumifs($B$2:$B$60,$AS$2:$AS$60,"hay")</f>
        <v>#VALUE!</v>
      </c>
      <c r="C74" s="57"/>
      <c r="D74" s="57"/>
      <c r="E74" s="55"/>
      <c r="P74" s="57"/>
    </row>
    <row r="75">
      <c r="A75" s="83" t="s">
        <v>15</v>
      </c>
      <c r="B75" s="87" t="str">
        <f>sumifs($B$2:$B$60,$AS$2:$AS$60,"Wheat")</f>
        <v>#VALUE!</v>
      </c>
      <c r="C75" s="57"/>
      <c r="D75" s="57"/>
      <c r="E75" s="55"/>
      <c r="P75" s="57"/>
    </row>
    <row r="76">
      <c r="A76" s="83" t="s">
        <v>133</v>
      </c>
      <c r="B76" s="87" t="str">
        <f>sumifs($B$2:$B$60,$AS$2:$AS$60,"out")</f>
        <v>#VALUE!</v>
      </c>
      <c r="C76" s="57"/>
      <c r="D76" s="57"/>
      <c r="E76" s="55"/>
      <c r="P76" s="57"/>
    </row>
    <row r="77">
      <c r="A77" s="83" t="s">
        <v>309</v>
      </c>
      <c r="B77" s="87" t="str">
        <f>sumifs($B$2:$B$60,$AS$2:$AS$60,"NT")</f>
        <v>#VALUE!</v>
      </c>
      <c r="C77" s="57"/>
      <c r="D77" s="57"/>
      <c r="E77" s="55"/>
      <c r="P77" s="57"/>
    </row>
    <row r="78">
      <c r="A78" s="83" t="s">
        <v>310</v>
      </c>
      <c r="B78" s="87" t="str">
        <f>sumifs($B$2:$B$60,$AS$2:$AS$60,"cover crop")</f>
        <v>#VALUE!</v>
      </c>
      <c r="C78" s="57"/>
      <c r="D78" s="57"/>
      <c r="E78" s="55"/>
      <c r="P78" s="57"/>
    </row>
    <row r="79">
      <c r="A79" s="83" t="s">
        <v>135</v>
      </c>
      <c r="B79" s="87" t="str">
        <f t="shared" ref="B79:B80" si="1">sumifs($B$2:$B$60,$AS$2:$AS$60,A79)</f>
        <v>#VALUE!</v>
      </c>
      <c r="C79" s="57"/>
      <c r="D79" s="57"/>
      <c r="E79" s="55"/>
      <c r="P79" s="57"/>
    </row>
    <row r="80">
      <c r="A80" s="83" t="s">
        <v>83</v>
      </c>
      <c r="B80" s="87" t="str">
        <f t="shared" si="1"/>
        <v>#VALUE!</v>
      </c>
      <c r="C80" s="57"/>
      <c r="D80" s="57"/>
      <c r="E80" s="55"/>
      <c r="P80" s="57"/>
    </row>
    <row r="81">
      <c r="A81" s="264"/>
      <c r="B81" s="87" t="str">
        <f t="shared" ref="B81:B84" si="2">sumifs($B$2:$B$60,$AD$2:$AD$60,A81)</f>
        <v>#VALUE!</v>
      </c>
      <c r="C81" s="57"/>
      <c r="D81" s="57"/>
      <c r="E81" s="55"/>
      <c r="P81" s="57"/>
    </row>
    <row r="82">
      <c r="A82" s="265"/>
      <c r="B82" s="87" t="str">
        <f t="shared" si="2"/>
        <v>#VALUE!</v>
      </c>
      <c r="C82" s="57"/>
      <c r="D82" s="57"/>
      <c r="E82" s="55"/>
      <c r="P82" s="57"/>
    </row>
    <row r="83">
      <c r="A83" s="264"/>
      <c r="B83" s="87" t="str">
        <f t="shared" si="2"/>
        <v>#VALUE!</v>
      </c>
      <c r="C83" s="57"/>
      <c r="D83" s="57"/>
      <c r="E83" s="55"/>
      <c r="P83" s="57"/>
    </row>
    <row r="84">
      <c r="A84" s="90"/>
      <c r="B84" s="87" t="str">
        <f t="shared" si="2"/>
        <v>#VALUE!</v>
      </c>
      <c r="C84" s="57"/>
      <c r="D84" s="57"/>
      <c r="E84" s="55"/>
      <c r="P84" s="57"/>
    </row>
    <row r="85">
      <c r="A85" s="15"/>
      <c r="C85" s="57"/>
      <c r="D85" s="57"/>
      <c r="E85" s="55"/>
      <c r="P85" s="57"/>
    </row>
    <row r="86">
      <c r="A86" s="15"/>
      <c r="B86" s="91" t="str">
        <f>sum(B63:B84)</f>
        <v>#VALUE!</v>
      </c>
      <c r="C86" s="57"/>
      <c r="D86" s="57"/>
      <c r="E86" s="55"/>
      <c r="P86" s="57"/>
    </row>
    <row r="87">
      <c r="B87" s="266"/>
      <c r="C87" s="57"/>
      <c r="D87" s="57"/>
      <c r="E87" s="55"/>
      <c r="P87" s="57"/>
    </row>
    <row r="88">
      <c r="B88" s="266"/>
      <c r="C88" s="57"/>
      <c r="D88" s="57"/>
      <c r="E88" s="55"/>
      <c r="P88" s="57"/>
    </row>
    <row r="89">
      <c r="B89" s="266"/>
      <c r="C89" s="57"/>
      <c r="D89" s="57"/>
      <c r="E89" s="55"/>
      <c r="P89" s="57"/>
    </row>
    <row r="90">
      <c r="B90" s="266"/>
      <c r="C90" s="57"/>
      <c r="D90" s="267"/>
    </row>
    <row r="91">
      <c r="B91" s="266"/>
      <c r="C91" s="57"/>
      <c r="D91" s="267"/>
    </row>
    <row r="92">
      <c r="B92" s="266"/>
      <c r="C92" s="57"/>
      <c r="D92" s="267"/>
    </row>
    <row r="93">
      <c r="B93" s="266"/>
      <c r="C93" s="57"/>
      <c r="D93" s="267"/>
    </row>
    <row r="94">
      <c r="B94" s="266"/>
      <c r="C94" s="57"/>
      <c r="D94" s="267"/>
    </row>
    <row r="95">
      <c r="B95" s="266"/>
      <c r="C95" s="57"/>
      <c r="D95" s="267"/>
    </row>
    <row r="96">
      <c r="B96" s="266"/>
      <c r="C96" s="57"/>
      <c r="D96" s="267"/>
    </row>
    <row r="97">
      <c r="B97" s="266"/>
      <c r="C97" s="57"/>
      <c r="D97" s="267"/>
    </row>
    <row r="98">
      <c r="B98" s="266"/>
      <c r="C98" s="57"/>
      <c r="D98" s="267"/>
    </row>
    <row r="99">
      <c r="B99" s="266"/>
      <c r="C99" s="57"/>
      <c r="D99" s="267"/>
    </row>
    <row r="100">
      <c r="B100" s="266"/>
      <c r="C100" s="57"/>
      <c r="D100" s="267"/>
    </row>
    <row r="101">
      <c r="B101" s="266"/>
      <c r="C101" s="57"/>
      <c r="D101" s="267"/>
    </row>
    <row r="102">
      <c r="B102" s="266"/>
      <c r="C102" s="57"/>
      <c r="D102" s="267"/>
    </row>
    <row r="103">
      <c r="B103" s="266"/>
      <c r="C103" s="57"/>
      <c r="D103" s="267"/>
    </row>
    <row r="104">
      <c r="B104" s="266"/>
      <c r="C104" s="57"/>
      <c r="D104" s="267"/>
    </row>
    <row r="105">
      <c r="B105" s="266"/>
      <c r="C105" s="57"/>
      <c r="D105" s="267"/>
    </row>
    <row r="106">
      <c r="B106" s="266"/>
      <c r="C106" s="57"/>
      <c r="D106" s="267"/>
    </row>
    <row r="107">
      <c r="B107" s="266"/>
      <c r="C107" s="57"/>
      <c r="D107" s="267"/>
    </row>
    <row r="108">
      <c r="B108" s="266"/>
      <c r="C108" s="57"/>
      <c r="D108" s="267"/>
    </row>
    <row r="109">
      <c r="B109" s="266"/>
      <c r="C109" s="57"/>
      <c r="D109" s="267"/>
    </row>
    <row r="110">
      <c r="B110" s="266"/>
      <c r="C110" s="57"/>
      <c r="D110" s="267"/>
    </row>
    <row r="111">
      <c r="B111" s="266"/>
      <c r="C111" s="57"/>
      <c r="D111" s="267"/>
    </row>
    <row r="112">
      <c r="B112" s="266"/>
      <c r="C112" s="57"/>
      <c r="D112" s="267"/>
    </row>
    <row r="113">
      <c r="B113" s="266"/>
      <c r="C113" s="57"/>
      <c r="D113" s="267"/>
    </row>
    <row r="114">
      <c r="B114" s="266"/>
      <c r="C114" s="57"/>
      <c r="D114" s="267"/>
    </row>
    <row r="115">
      <c r="B115" s="266"/>
      <c r="C115" s="57"/>
      <c r="D115" s="267"/>
    </row>
    <row r="116">
      <c r="B116" s="266"/>
      <c r="C116" s="57"/>
      <c r="D116" s="267"/>
    </row>
    <row r="117">
      <c r="B117" s="266"/>
      <c r="C117" s="57"/>
      <c r="D117" s="267"/>
    </row>
    <row r="118">
      <c r="B118" s="266"/>
      <c r="C118" s="57"/>
      <c r="D118" s="267"/>
    </row>
    <row r="119">
      <c r="B119" s="266"/>
      <c r="C119" s="57"/>
      <c r="D119" s="267"/>
    </row>
    <row r="120">
      <c r="B120" s="266"/>
      <c r="C120" s="57"/>
      <c r="D120" s="267"/>
    </row>
    <row r="121">
      <c r="B121" s="266"/>
      <c r="C121" s="57"/>
      <c r="D121" s="267"/>
    </row>
    <row r="122">
      <c r="B122" s="266"/>
      <c r="C122" s="57"/>
      <c r="D122" s="267"/>
    </row>
    <row r="123">
      <c r="B123" s="266"/>
      <c r="C123" s="57"/>
      <c r="D123" s="267"/>
    </row>
    <row r="124">
      <c r="B124" s="266"/>
      <c r="C124" s="57"/>
      <c r="D124" s="267"/>
    </row>
    <row r="125">
      <c r="B125" s="266"/>
      <c r="C125" s="57"/>
      <c r="D125" s="267"/>
    </row>
    <row r="126">
      <c r="B126" s="266"/>
      <c r="C126" s="57"/>
      <c r="D126" s="267"/>
    </row>
    <row r="127">
      <c r="B127" s="266"/>
      <c r="C127" s="57"/>
      <c r="D127" s="267"/>
    </row>
    <row r="128">
      <c r="B128" s="266"/>
      <c r="C128" s="57"/>
      <c r="D128" s="267"/>
    </row>
    <row r="129">
      <c r="B129" s="266"/>
      <c r="C129" s="57"/>
      <c r="D129" s="267"/>
    </row>
    <row r="130">
      <c r="B130" s="266"/>
      <c r="C130" s="57"/>
      <c r="D130" s="267"/>
    </row>
    <row r="131">
      <c r="B131" s="266"/>
      <c r="C131" s="57"/>
      <c r="D131" s="267"/>
    </row>
    <row r="132">
      <c r="B132" s="266"/>
      <c r="C132" s="57"/>
      <c r="D132" s="267"/>
    </row>
    <row r="133">
      <c r="B133" s="266"/>
      <c r="C133" s="57"/>
      <c r="D133" s="267"/>
    </row>
    <row r="134">
      <c r="B134" s="266"/>
      <c r="C134" s="57"/>
      <c r="D134" s="267"/>
    </row>
    <row r="135">
      <c r="B135" s="266"/>
      <c r="C135" s="57"/>
      <c r="D135" s="267"/>
    </row>
    <row r="136">
      <c r="B136" s="266"/>
      <c r="C136" s="57"/>
      <c r="D136" s="267"/>
    </row>
    <row r="137">
      <c r="B137" s="266"/>
      <c r="C137" s="57"/>
      <c r="D137" s="267"/>
    </row>
    <row r="138">
      <c r="B138" s="266"/>
      <c r="C138" s="57"/>
      <c r="D138" s="267"/>
    </row>
    <row r="139">
      <c r="B139" s="266"/>
      <c r="C139" s="57"/>
      <c r="D139" s="267"/>
    </row>
    <row r="140">
      <c r="B140" s="266"/>
      <c r="C140" s="57"/>
      <c r="D140" s="267"/>
    </row>
    <row r="141">
      <c r="B141" s="266"/>
      <c r="C141" s="57"/>
      <c r="D141" s="267"/>
    </row>
    <row r="142">
      <c r="B142" s="266"/>
      <c r="C142" s="57"/>
      <c r="D142" s="267"/>
    </row>
    <row r="143">
      <c r="B143" s="266"/>
      <c r="C143" s="57"/>
      <c r="D143" s="267"/>
    </row>
    <row r="144">
      <c r="B144" s="266"/>
      <c r="C144" s="57"/>
      <c r="D144" s="267"/>
    </row>
    <row r="145">
      <c r="B145" s="266"/>
      <c r="C145" s="57"/>
      <c r="D145" s="267"/>
    </row>
    <row r="146">
      <c r="B146" s="266"/>
      <c r="C146" s="57"/>
      <c r="D146" s="267"/>
    </row>
    <row r="147">
      <c r="B147" s="266"/>
      <c r="C147" s="57"/>
      <c r="D147" s="267"/>
    </row>
    <row r="148">
      <c r="B148" s="266"/>
      <c r="C148" s="57"/>
      <c r="D148" s="267"/>
    </row>
    <row r="149">
      <c r="B149" s="266"/>
      <c r="C149" s="57"/>
      <c r="D149" s="267"/>
    </row>
    <row r="150">
      <c r="B150" s="266"/>
      <c r="C150" s="57"/>
      <c r="D150" s="267"/>
    </row>
    <row r="151">
      <c r="B151" s="266"/>
      <c r="C151" s="57"/>
      <c r="D151" s="267"/>
    </row>
    <row r="152">
      <c r="B152" s="266"/>
      <c r="C152" s="57"/>
      <c r="D152" s="267"/>
    </row>
    <row r="153">
      <c r="B153" s="266"/>
      <c r="C153" s="57"/>
      <c r="D153" s="267"/>
    </row>
    <row r="154">
      <c r="B154" s="266"/>
      <c r="C154" s="57"/>
      <c r="D154" s="267"/>
    </row>
    <row r="155">
      <c r="B155" s="266"/>
      <c r="C155" s="57"/>
      <c r="D155" s="267"/>
    </row>
    <row r="156">
      <c r="B156" s="266"/>
      <c r="C156" s="57"/>
      <c r="D156" s="267"/>
    </row>
    <row r="157">
      <c r="B157" s="266"/>
      <c r="C157" s="57"/>
      <c r="D157" s="267"/>
    </row>
    <row r="158">
      <c r="B158" s="266"/>
      <c r="C158" s="57"/>
      <c r="D158" s="267"/>
    </row>
    <row r="159">
      <c r="B159" s="266"/>
      <c r="C159" s="57"/>
      <c r="D159" s="267"/>
    </row>
    <row r="160">
      <c r="B160" s="266"/>
      <c r="C160" s="57"/>
      <c r="D160" s="267"/>
    </row>
    <row r="161">
      <c r="B161" s="266"/>
      <c r="C161" s="57"/>
      <c r="D161" s="267"/>
    </row>
    <row r="162">
      <c r="B162" s="266"/>
      <c r="C162" s="57"/>
      <c r="D162" s="267"/>
    </row>
    <row r="163">
      <c r="B163" s="266"/>
      <c r="C163" s="57"/>
      <c r="D163" s="267"/>
    </row>
    <row r="164">
      <c r="B164" s="266"/>
      <c r="C164" s="57"/>
      <c r="D164" s="267"/>
    </row>
    <row r="165">
      <c r="B165" s="266"/>
      <c r="C165" s="57"/>
      <c r="D165" s="267"/>
    </row>
    <row r="166">
      <c r="B166" s="266"/>
      <c r="C166" s="57"/>
      <c r="D166" s="267"/>
    </row>
    <row r="167">
      <c r="B167" s="266"/>
      <c r="C167" s="57"/>
      <c r="D167" s="267"/>
    </row>
    <row r="168">
      <c r="B168" s="266"/>
      <c r="C168" s="57"/>
      <c r="D168" s="267"/>
    </row>
    <row r="169">
      <c r="B169" s="266"/>
      <c r="C169" s="57"/>
      <c r="D169" s="267"/>
    </row>
    <row r="170">
      <c r="B170" s="266"/>
      <c r="C170" s="57"/>
      <c r="D170" s="267"/>
    </row>
    <row r="171">
      <c r="B171" s="266"/>
      <c r="C171" s="57"/>
      <c r="D171" s="267"/>
    </row>
    <row r="172">
      <c r="B172" s="266"/>
      <c r="C172" s="57"/>
      <c r="D172" s="267"/>
    </row>
    <row r="173">
      <c r="B173" s="266"/>
      <c r="C173" s="57"/>
      <c r="D173" s="267"/>
    </row>
    <row r="174">
      <c r="B174" s="266"/>
      <c r="C174" s="57"/>
      <c r="D174" s="267"/>
    </row>
    <row r="175">
      <c r="B175" s="266"/>
      <c r="C175" s="57"/>
      <c r="D175" s="267"/>
    </row>
    <row r="176">
      <c r="B176" s="266"/>
      <c r="C176" s="57"/>
      <c r="D176" s="267"/>
    </row>
    <row r="177">
      <c r="B177" s="266"/>
      <c r="C177" s="57"/>
      <c r="D177" s="267"/>
    </row>
    <row r="178">
      <c r="B178" s="266"/>
      <c r="C178" s="57"/>
      <c r="D178" s="267"/>
    </row>
    <row r="179">
      <c r="B179" s="266"/>
      <c r="C179" s="57"/>
      <c r="D179" s="267"/>
    </row>
    <row r="180">
      <c r="B180" s="266"/>
      <c r="C180" s="57"/>
      <c r="D180" s="267"/>
    </row>
    <row r="181">
      <c r="B181" s="266"/>
      <c r="C181" s="57"/>
      <c r="D181" s="267"/>
    </row>
    <row r="182">
      <c r="B182" s="266"/>
      <c r="C182" s="57"/>
      <c r="D182" s="267"/>
    </row>
    <row r="183">
      <c r="B183" s="266"/>
      <c r="C183" s="57"/>
      <c r="D183" s="267"/>
    </row>
    <row r="184">
      <c r="B184" s="266"/>
      <c r="C184" s="57"/>
      <c r="D184" s="267"/>
    </row>
    <row r="185">
      <c r="B185" s="266"/>
      <c r="C185" s="57"/>
      <c r="D185" s="267"/>
    </row>
    <row r="186">
      <c r="B186" s="266"/>
      <c r="C186" s="57"/>
      <c r="D186" s="267"/>
    </row>
    <row r="187">
      <c r="B187" s="266"/>
      <c r="C187" s="57"/>
      <c r="D187" s="267"/>
    </row>
    <row r="188">
      <c r="B188" s="266"/>
      <c r="C188" s="57"/>
      <c r="D188" s="267"/>
    </row>
    <row r="189">
      <c r="B189" s="266"/>
      <c r="C189" s="57"/>
      <c r="D189" s="267"/>
    </row>
    <row r="190">
      <c r="B190" s="266"/>
      <c r="C190" s="57"/>
      <c r="D190" s="267"/>
    </row>
    <row r="191">
      <c r="B191" s="266"/>
      <c r="C191" s="57"/>
      <c r="D191" s="267"/>
    </row>
    <row r="192">
      <c r="B192" s="266"/>
      <c r="C192" s="57"/>
      <c r="D192" s="267"/>
    </row>
    <row r="193">
      <c r="B193" s="266"/>
      <c r="C193" s="57"/>
      <c r="D193" s="267"/>
    </row>
    <row r="194">
      <c r="B194" s="266"/>
      <c r="C194" s="57"/>
      <c r="D194" s="267"/>
    </row>
    <row r="195">
      <c r="B195" s="266"/>
      <c r="C195" s="57"/>
      <c r="D195" s="267"/>
    </row>
    <row r="196">
      <c r="B196" s="266"/>
      <c r="C196" s="57"/>
      <c r="D196" s="267"/>
    </row>
    <row r="197">
      <c r="B197" s="266"/>
      <c r="C197" s="57"/>
      <c r="D197" s="267"/>
    </row>
    <row r="198">
      <c r="B198" s="266"/>
      <c r="C198" s="57"/>
      <c r="D198" s="267"/>
    </row>
    <row r="199">
      <c r="B199" s="266"/>
      <c r="C199" s="57"/>
      <c r="D199" s="267"/>
    </row>
    <row r="200">
      <c r="B200" s="266"/>
      <c r="C200" s="57"/>
      <c r="D200" s="267"/>
    </row>
    <row r="201">
      <c r="B201" s="266"/>
      <c r="C201" s="57"/>
      <c r="D201" s="267"/>
    </row>
    <row r="202">
      <c r="B202" s="266"/>
      <c r="C202" s="57"/>
      <c r="D202" s="267"/>
    </row>
    <row r="203">
      <c r="B203" s="266"/>
      <c r="C203" s="57"/>
      <c r="D203" s="267"/>
    </row>
    <row r="204">
      <c r="B204" s="266"/>
      <c r="C204" s="57"/>
      <c r="D204" s="267"/>
    </row>
    <row r="205">
      <c r="B205" s="266"/>
      <c r="C205" s="57"/>
      <c r="D205" s="267"/>
    </row>
    <row r="206">
      <c r="B206" s="266"/>
      <c r="C206" s="57"/>
      <c r="D206" s="267"/>
    </row>
    <row r="207">
      <c r="B207" s="266"/>
      <c r="C207" s="57"/>
      <c r="D207" s="267"/>
    </row>
    <row r="208">
      <c r="B208" s="266"/>
      <c r="C208" s="57"/>
      <c r="D208" s="267"/>
    </row>
    <row r="209">
      <c r="B209" s="266"/>
      <c r="C209" s="57"/>
      <c r="D209" s="267"/>
    </row>
    <row r="210">
      <c r="B210" s="266"/>
      <c r="C210" s="57"/>
      <c r="D210" s="267"/>
    </row>
    <row r="211">
      <c r="B211" s="266"/>
      <c r="C211" s="57"/>
      <c r="D211" s="267"/>
    </row>
    <row r="212">
      <c r="B212" s="266"/>
      <c r="C212" s="57"/>
      <c r="D212" s="267"/>
    </row>
    <row r="213">
      <c r="B213" s="266"/>
      <c r="C213" s="57"/>
      <c r="D213" s="267"/>
    </row>
    <row r="214">
      <c r="B214" s="266"/>
      <c r="C214" s="57"/>
      <c r="D214" s="267"/>
    </row>
    <row r="215">
      <c r="B215" s="266"/>
      <c r="C215" s="57"/>
      <c r="D215" s="267"/>
    </row>
    <row r="216">
      <c r="B216" s="266"/>
      <c r="C216" s="57"/>
      <c r="D216" s="267"/>
    </row>
    <row r="217">
      <c r="B217" s="266"/>
      <c r="C217" s="57"/>
      <c r="D217" s="267"/>
    </row>
    <row r="218">
      <c r="B218" s="266"/>
      <c r="C218" s="57"/>
      <c r="D218" s="267"/>
    </row>
    <row r="219">
      <c r="B219" s="266"/>
      <c r="C219" s="57"/>
      <c r="D219" s="267"/>
    </row>
    <row r="220">
      <c r="B220" s="266"/>
      <c r="C220" s="57"/>
      <c r="D220" s="267"/>
    </row>
    <row r="221">
      <c r="B221" s="266"/>
      <c r="C221" s="57"/>
      <c r="D221" s="267"/>
    </row>
    <row r="222">
      <c r="B222" s="266"/>
      <c r="C222" s="57"/>
      <c r="D222" s="267"/>
    </row>
    <row r="223">
      <c r="B223" s="266"/>
      <c r="C223" s="57"/>
      <c r="D223" s="267"/>
    </row>
    <row r="224">
      <c r="B224" s="266"/>
      <c r="C224" s="57"/>
      <c r="D224" s="267"/>
    </row>
    <row r="225">
      <c r="B225" s="266"/>
      <c r="C225" s="57"/>
      <c r="D225" s="267"/>
    </row>
    <row r="226">
      <c r="B226" s="266"/>
      <c r="C226" s="57"/>
      <c r="D226" s="267"/>
    </row>
    <row r="227">
      <c r="B227" s="266"/>
      <c r="C227" s="57"/>
      <c r="D227" s="267"/>
    </row>
    <row r="228">
      <c r="B228" s="266"/>
      <c r="C228" s="57"/>
      <c r="D228" s="267"/>
    </row>
    <row r="229">
      <c r="B229" s="266"/>
      <c r="C229" s="57"/>
      <c r="D229" s="267"/>
    </row>
    <row r="230">
      <c r="B230" s="266"/>
      <c r="C230" s="57"/>
      <c r="D230" s="267"/>
    </row>
    <row r="231">
      <c r="B231" s="266"/>
      <c r="C231" s="57"/>
      <c r="D231" s="267"/>
    </row>
    <row r="232">
      <c r="B232" s="266"/>
      <c r="C232" s="57"/>
      <c r="D232" s="267"/>
    </row>
    <row r="233">
      <c r="B233" s="266"/>
      <c r="C233" s="57"/>
      <c r="D233" s="267"/>
    </row>
    <row r="234">
      <c r="B234" s="266"/>
      <c r="C234" s="57"/>
      <c r="D234" s="267"/>
    </row>
    <row r="235">
      <c r="B235" s="266"/>
      <c r="C235" s="57"/>
      <c r="D235" s="267"/>
    </row>
    <row r="236">
      <c r="B236" s="266"/>
      <c r="C236" s="57"/>
      <c r="D236" s="267"/>
    </row>
    <row r="237">
      <c r="B237" s="266"/>
      <c r="C237" s="57"/>
      <c r="D237" s="267"/>
    </row>
    <row r="238">
      <c r="B238" s="266"/>
      <c r="C238" s="57"/>
      <c r="D238" s="267"/>
    </row>
    <row r="239">
      <c r="B239" s="266"/>
      <c r="C239" s="57"/>
      <c r="D239" s="267"/>
    </row>
    <row r="240">
      <c r="B240" s="266"/>
      <c r="C240" s="57"/>
      <c r="D240" s="267"/>
    </row>
    <row r="241">
      <c r="B241" s="266"/>
      <c r="C241" s="57"/>
      <c r="D241" s="267"/>
    </row>
    <row r="242">
      <c r="B242" s="266"/>
      <c r="C242" s="57"/>
      <c r="D242" s="267"/>
    </row>
    <row r="243">
      <c r="B243" s="266"/>
      <c r="C243" s="57"/>
      <c r="D243" s="267"/>
    </row>
    <row r="244">
      <c r="B244" s="266"/>
      <c r="C244" s="57"/>
      <c r="D244" s="267"/>
    </row>
    <row r="245">
      <c r="B245" s="266"/>
      <c r="C245" s="57"/>
      <c r="D245" s="267"/>
    </row>
    <row r="246">
      <c r="B246" s="266"/>
      <c r="C246" s="57"/>
      <c r="D246" s="267"/>
    </row>
    <row r="247">
      <c r="B247" s="266"/>
      <c r="C247" s="57"/>
      <c r="D247" s="267"/>
    </row>
    <row r="248">
      <c r="B248" s="266"/>
      <c r="C248" s="57"/>
      <c r="D248" s="267"/>
    </row>
    <row r="249">
      <c r="B249" s="266"/>
      <c r="C249" s="57"/>
      <c r="D249" s="267"/>
    </row>
    <row r="250">
      <c r="B250" s="266"/>
      <c r="C250" s="57"/>
      <c r="D250" s="267"/>
    </row>
    <row r="251">
      <c r="B251" s="266"/>
      <c r="C251" s="57"/>
      <c r="D251" s="267"/>
    </row>
    <row r="252">
      <c r="B252" s="266"/>
      <c r="C252" s="57"/>
      <c r="D252" s="267"/>
    </row>
    <row r="253">
      <c r="B253" s="266"/>
      <c r="C253" s="57"/>
      <c r="D253" s="267"/>
    </row>
    <row r="254">
      <c r="B254" s="266"/>
      <c r="C254" s="57"/>
      <c r="D254" s="267"/>
    </row>
    <row r="255">
      <c r="B255" s="266"/>
      <c r="C255" s="57"/>
      <c r="D255" s="267"/>
    </row>
    <row r="256">
      <c r="B256" s="266"/>
      <c r="C256" s="57"/>
      <c r="D256" s="267"/>
    </row>
    <row r="257">
      <c r="B257" s="266"/>
      <c r="C257" s="57"/>
      <c r="D257" s="267"/>
    </row>
    <row r="258">
      <c r="B258" s="266"/>
      <c r="C258" s="57"/>
      <c r="D258" s="267"/>
    </row>
    <row r="259">
      <c r="B259" s="266"/>
      <c r="C259" s="57"/>
      <c r="D259" s="267"/>
    </row>
    <row r="260">
      <c r="B260" s="266"/>
      <c r="C260" s="57"/>
      <c r="D260" s="267"/>
    </row>
    <row r="261">
      <c r="B261" s="266"/>
      <c r="C261" s="57"/>
      <c r="D261" s="267"/>
    </row>
    <row r="262">
      <c r="B262" s="266"/>
      <c r="C262" s="57"/>
      <c r="D262" s="267"/>
    </row>
    <row r="263">
      <c r="B263" s="266"/>
      <c r="C263" s="57"/>
      <c r="D263" s="267"/>
    </row>
    <row r="264">
      <c r="B264" s="266"/>
      <c r="C264" s="57"/>
      <c r="D264" s="267"/>
    </row>
    <row r="265">
      <c r="B265" s="266"/>
      <c r="C265" s="57"/>
      <c r="D265" s="267"/>
    </row>
    <row r="266">
      <c r="B266" s="266"/>
      <c r="C266" s="57"/>
      <c r="D266" s="267"/>
    </row>
    <row r="267">
      <c r="B267" s="266"/>
      <c r="C267" s="57"/>
      <c r="D267" s="267"/>
    </row>
    <row r="268">
      <c r="B268" s="266"/>
      <c r="C268" s="57"/>
      <c r="D268" s="267"/>
    </row>
    <row r="269">
      <c r="B269" s="266"/>
      <c r="C269" s="57"/>
      <c r="D269" s="267"/>
    </row>
    <row r="270">
      <c r="B270" s="266"/>
      <c r="C270" s="57"/>
      <c r="D270" s="267"/>
    </row>
    <row r="271">
      <c r="B271" s="266"/>
      <c r="C271" s="57"/>
      <c r="D271" s="267"/>
    </row>
    <row r="272">
      <c r="B272" s="266"/>
      <c r="C272" s="57"/>
      <c r="D272" s="267"/>
    </row>
    <row r="273">
      <c r="B273" s="266"/>
      <c r="C273" s="57"/>
      <c r="D273" s="267"/>
    </row>
    <row r="274">
      <c r="B274" s="266"/>
      <c r="C274" s="57"/>
      <c r="D274" s="267"/>
    </row>
    <row r="275">
      <c r="B275" s="266"/>
      <c r="C275" s="57"/>
      <c r="D275" s="267"/>
    </row>
    <row r="276">
      <c r="B276" s="266"/>
      <c r="C276" s="57"/>
      <c r="D276" s="267"/>
    </row>
    <row r="277">
      <c r="B277" s="266"/>
      <c r="C277" s="57"/>
      <c r="D277" s="267"/>
    </row>
    <row r="278">
      <c r="B278" s="266"/>
      <c r="C278" s="57"/>
      <c r="D278" s="267"/>
    </row>
    <row r="279">
      <c r="B279" s="266"/>
      <c r="C279" s="57"/>
      <c r="D279" s="267"/>
    </row>
    <row r="280">
      <c r="B280" s="266"/>
      <c r="C280" s="57"/>
      <c r="D280" s="267"/>
    </row>
    <row r="281">
      <c r="B281" s="266"/>
      <c r="C281" s="57"/>
      <c r="D281" s="267"/>
    </row>
    <row r="282">
      <c r="B282" s="266"/>
      <c r="C282" s="57"/>
      <c r="D282" s="267"/>
    </row>
    <row r="283">
      <c r="B283" s="266"/>
      <c r="C283" s="57"/>
      <c r="D283" s="267"/>
    </row>
    <row r="284">
      <c r="B284" s="266"/>
      <c r="C284" s="57"/>
      <c r="D284" s="267"/>
    </row>
    <row r="285">
      <c r="B285" s="266"/>
      <c r="C285" s="57"/>
      <c r="D285" s="267"/>
    </row>
    <row r="286">
      <c r="B286" s="266"/>
      <c r="C286" s="57"/>
      <c r="D286" s="267"/>
    </row>
    <row r="287">
      <c r="B287" s="266"/>
      <c r="C287" s="57"/>
      <c r="D287" s="267"/>
    </row>
    <row r="288">
      <c r="B288" s="266"/>
      <c r="C288" s="57"/>
      <c r="D288" s="267"/>
    </row>
    <row r="289">
      <c r="B289" s="266"/>
      <c r="C289" s="57"/>
      <c r="D289" s="267"/>
    </row>
    <row r="290">
      <c r="B290" s="266"/>
      <c r="C290" s="57"/>
      <c r="D290" s="267"/>
    </row>
    <row r="291">
      <c r="B291" s="266"/>
      <c r="C291" s="57"/>
      <c r="D291" s="267"/>
    </row>
    <row r="292">
      <c r="B292" s="266"/>
      <c r="C292" s="57"/>
      <c r="D292" s="267"/>
    </row>
    <row r="293">
      <c r="B293" s="266"/>
      <c r="C293" s="57"/>
      <c r="D293" s="267"/>
    </row>
    <row r="294">
      <c r="B294" s="266"/>
      <c r="C294" s="57"/>
      <c r="D294" s="267"/>
    </row>
    <row r="295">
      <c r="B295" s="266"/>
      <c r="C295" s="57"/>
      <c r="D295" s="267"/>
    </row>
    <row r="296">
      <c r="B296" s="266"/>
      <c r="C296" s="57"/>
      <c r="D296" s="267"/>
    </row>
    <row r="297">
      <c r="B297" s="266"/>
      <c r="C297" s="57"/>
      <c r="D297" s="267"/>
    </row>
    <row r="298">
      <c r="B298" s="266"/>
      <c r="C298" s="57"/>
      <c r="D298" s="267"/>
    </row>
    <row r="299">
      <c r="B299" s="266"/>
      <c r="C299" s="57"/>
      <c r="D299" s="267"/>
    </row>
    <row r="300">
      <c r="B300" s="266"/>
      <c r="C300" s="57"/>
      <c r="D300" s="267"/>
    </row>
    <row r="301">
      <c r="B301" s="266"/>
      <c r="C301" s="57"/>
      <c r="D301" s="267"/>
    </row>
    <row r="302">
      <c r="B302" s="266"/>
      <c r="C302" s="57"/>
      <c r="D302" s="267"/>
    </row>
    <row r="303">
      <c r="B303" s="266"/>
      <c r="C303" s="57"/>
      <c r="D303" s="267"/>
    </row>
    <row r="304">
      <c r="B304" s="266"/>
      <c r="C304" s="57"/>
      <c r="D304" s="267"/>
    </row>
    <row r="305">
      <c r="B305" s="266"/>
      <c r="C305" s="57"/>
      <c r="D305" s="267"/>
    </row>
    <row r="306">
      <c r="B306" s="266"/>
      <c r="C306" s="57"/>
      <c r="D306" s="267"/>
    </row>
    <row r="307">
      <c r="B307" s="266"/>
      <c r="C307" s="57"/>
      <c r="D307" s="267"/>
    </row>
    <row r="308">
      <c r="B308" s="266"/>
      <c r="C308" s="57"/>
      <c r="D308" s="267"/>
    </row>
    <row r="309">
      <c r="B309" s="266"/>
      <c r="C309" s="57"/>
      <c r="D309" s="267"/>
    </row>
    <row r="310">
      <c r="B310" s="266"/>
      <c r="C310" s="57"/>
      <c r="D310" s="267"/>
    </row>
    <row r="311">
      <c r="B311" s="266"/>
      <c r="C311" s="57"/>
      <c r="D311" s="267"/>
    </row>
    <row r="312">
      <c r="B312" s="266"/>
      <c r="C312" s="57"/>
      <c r="D312" s="267"/>
    </row>
    <row r="313">
      <c r="B313" s="266"/>
      <c r="C313" s="57"/>
      <c r="D313" s="267"/>
    </row>
    <row r="314">
      <c r="B314" s="266"/>
      <c r="C314" s="57"/>
      <c r="D314" s="267"/>
    </row>
    <row r="315">
      <c r="B315" s="266"/>
      <c r="C315" s="57"/>
      <c r="D315" s="267"/>
    </row>
    <row r="316">
      <c r="B316" s="266"/>
      <c r="C316" s="57"/>
      <c r="D316" s="267"/>
    </row>
    <row r="317">
      <c r="B317" s="266"/>
      <c r="C317" s="57"/>
      <c r="D317" s="267"/>
    </row>
    <row r="318">
      <c r="B318" s="266"/>
      <c r="C318" s="57"/>
      <c r="D318" s="267"/>
    </row>
    <row r="319">
      <c r="B319" s="266"/>
      <c r="C319" s="57"/>
      <c r="D319" s="267"/>
    </row>
    <row r="320">
      <c r="B320" s="266"/>
      <c r="C320" s="57"/>
      <c r="D320" s="267"/>
    </row>
    <row r="321">
      <c r="B321" s="266"/>
      <c r="C321" s="57"/>
      <c r="D321" s="267"/>
    </row>
    <row r="322">
      <c r="B322" s="266"/>
      <c r="C322" s="57"/>
      <c r="D322" s="267"/>
    </row>
    <row r="323">
      <c r="B323" s="266"/>
      <c r="C323" s="57"/>
      <c r="D323" s="267"/>
    </row>
    <row r="324">
      <c r="B324" s="266"/>
      <c r="C324" s="57"/>
      <c r="D324" s="267"/>
    </row>
    <row r="325">
      <c r="B325" s="266"/>
      <c r="C325" s="57"/>
      <c r="D325" s="267"/>
    </row>
    <row r="326">
      <c r="B326" s="266"/>
      <c r="C326" s="57"/>
      <c r="D326" s="267"/>
    </row>
    <row r="327">
      <c r="B327" s="266"/>
      <c r="C327" s="57"/>
      <c r="D327" s="267"/>
    </row>
    <row r="328">
      <c r="B328" s="266"/>
      <c r="C328" s="57"/>
      <c r="D328" s="267"/>
    </row>
    <row r="329">
      <c r="B329" s="266"/>
      <c r="C329" s="57"/>
      <c r="D329" s="267"/>
    </row>
    <row r="330">
      <c r="B330" s="266"/>
      <c r="C330" s="57"/>
      <c r="D330" s="267"/>
    </row>
    <row r="331">
      <c r="B331" s="266"/>
      <c r="C331" s="57"/>
      <c r="D331" s="267"/>
    </row>
    <row r="332">
      <c r="B332" s="266"/>
      <c r="C332" s="57"/>
      <c r="D332" s="267"/>
    </row>
    <row r="333">
      <c r="B333" s="266"/>
      <c r="C333" s="57"/>
      <c r="D333" s="267"/>
    </row>
    <row r="334">
      <c r="B334" s="266"/>
      <c r="C334" s="57"/>
      <c r="D334" s="267"/>
    </row>
    <row r="335">
      <c r="B335" s="266"/>
      <c r="C335" s="57"/>
      <c r="D335" s="267"/>
    </row>
    <row r="336">
      <c r="B336" s="266"/>
      <c r="C336" s="57"/>
      <c r="D336" s="267"/>
    </row>
    <row r="337">
      <c r="B337" s="266"/>
      <c r="C337" s="57"/>
      <c r="D337" s="267"/>
    </row>
    <row r="338">
      <c r="B338" s="266"/>
      <c r="C338" s="57"/>
      <c r="D338" s="267"/>
    </row>
    <row r="339">
      <c r="B339" s="266"/>
      <c r="C339" s="57"/>
      <c r="D339" s="267"/>
    </row>
    <row r="340">
      <c r="B340" s="266"/>
      <c r="C340" s="57"/>
      <c r="D340" s="267"/>
    </row>
    <row r="341">
      <c r="B341" s="266"/>
      <c r="C341" s="57"/>
      <c r="D341" s="267"/>
    </row>
    <row r="342">
      <c r="B342" s="266"/>
      <c r="C342" s="57"/>
      <c r="D342" s="267"/>
    </row>
    <row r="343">
      <c r="B343" s="266"/>
      <c r="C343" s="57"/>
      <c r="D343" s="267"/>
    </row>
    <row r="344">
      <c r="B344" s="266"/>
      <c r="C344" s="57"/>
      <c r="D344" s="267"/>
    </row>
    <row r="345">
      <c r="B345" s="266"/>
      <c r="C345" s="57"/>
      <c r="D345" s="267"/>
    </row>
    <row r="346">
      <c r="B346" s="266"/>
      <c r="C346" s="57"/>
      <c r="D346" s="267"/>
    </row>
    <row r="347">
      <c r="B347" s="266"/>
      <c r="C347" s="57"/>
      <c r="D347" s="267"/>
    </row>
    <row r="348">
      <c r="B348" s="266"/>
      <c r="C348" s="57"/>
      <c r="D348" s="267"/>
    </row>
    <row r="349">
      <c r="B349" s="266"/>
      <c r="C349" s="57"/>
      <c r="D349" s="267"/>
    </row>
    <row r="350">
      <c r="B350" s="266"/>
      <c r="C350" s="57"/>
      <c r="D350" s="267"/>
    </row>
    <row r="351">
      <c r="B351" s="266"/>
      <c r="C351" s="57"/>
      <c r="D351" s="267"/>
    </row>
    <row r="352">
      <c r="B352" s="266"/>
      <c r="C352" s="57"/>
      <c r="D352" s="267"/>
    </row>
    <row r="353">
      <c r="B353" s="266"/>
      <c r="C353" s="57"/>
      <c r="D353" s="267"/>
    </row>
    <row r="354">
      <c r="B354" s="266"/>
      <c r="C354" s="57"/>
      <c r="D354" s="267"/>
    </row>
    <row r="355">
      <c r="B355" s="266"/>
      <c r="C355" s="57"/>
      <c r="D355" s="267"/>
    </row>
    <row r="356">
      <c r="B356" s="266"/>
      <c r="C356" s="57"/>
      <c r="D356" s="267"/>
    </row>
    <row r="357">
      <c r="B357" s="266"/>
      <c r="C357" s="57"/>
      <c r="D357" s="267"/>
    </row>
    <row r="358">
      <c r="B358" s="266"/>
      <c r="C358" s="57"/>
      <c r="D358" s="267"/>
    </row>
    <row r="359">
      <c r="B359" s="266"/>
      <c r="C359" s="57"/>
      <c r="D359" s="267"/>
    </row>
    <row r="360">
      <c r="B360" s="266"/>
      <c r="C360" s="57"/>
      <c r="D360" s="267"/>
    </row>
    <row r="361">
      <c r="B361" s="266"/>
      <c r="C361" s="57"/>
      <c r="D361" s="267"/>
    </row>
    <row r="362">
      <c r="B362" s="266"/>
      <c r="C362" s="57"/>
      <c r="D362" s="267"/>
    </row>
    <row r="363">
      <c r="B363" s="266"/>
      <c r="C363" s="57"/>
      <c r="D363" s="267"/>
    </row>
    <row r="364">
      <c r="B364" s="266"/>
      <c r="C364" s="57"/>
      <c r="D364" s="267"/>
    </row>
    <row r="365">
      <c r="B365" s="266"/>
      <c r="C365" s="57"/>
      <c r="D365" s="267"/>
    </row>
    <row r="366">
      <c r="B366" s="266"/>
      <c r="C366" s="57"/>
      <c r="D366" s="267"/>
    </row>
    <row r="367">
      <c r="B367" s="266"/>
      <c r="C367" s="57"/>
      <c r="D367" s="267"/>
    </row>
    <row r="368">
      <c r="B368" s="266"/>
      <c r="C368" s="57"/>
      <c r="D368" s="267"/>
    </row>
    <row r="369">
      <c r="B369" s="266"/>
      <c r="C369" s="57"/>
      <c r="D369" s="267"/>
    </row>
    <row r="370">
      <c r="B370" s="266"/>
      <c r="C370" s="57"/>
      <c r="D370" s="267"/>
    </row>
    <row r="371">
      <c r="B371" s="266"/>
      <c r="C371" s="57"/>
      <c r="D371" s="267"/>
    </row>
    <row r="372">
      <c r="B372" s="266"/>
      <c r="C372" s="57"/>
      <c r="D372" s="267"/>
    </row>
    <row r="373">
      <c r="B373" s="266"/>
      <c r="C373" s="57"/>
      <c r="D373" s="267"/>
    </row>
    <row r="374">
      <c r="B374" s="266"/>
      <c r="C374" s="57"/>
      <c r="D374" s="267"/>
    </row>
    <row r="375">
      <c r="B375" s="266"/>
      <c r="C375" s="57"/>
      <c r="D375" s="267"/>
    </row>
    <row r="376">
      <c r="B376" s="266"/>
      <c r="C376" s="57"/>
      <c r="D376" s="267"/>
    </row>
    <row r="377">
      <c r="B377" s="266"/>
      <c r="C377" s="57"/>
      <c r="D377" s="267"/>
    </row>
    <row r="378">
      <c r="B378" s="266"/>
      <c r="C378" s="57"/>
      <c r="D378" s="267"/>
    </row>
    <row r="379">
      <c r="B379" s="266"/>
      <c r="C379" s="57"/>
      <c r="D379" s="267"/>
    </row>
    <row r="380">
      <c r="B380" s="266"/>
      <c r="C380" s="57"/>
      <c r="D380" s="267"/>
    </row>
    <row r="381">
      <c r="B381" s="266"/>
      <c r="C381" s="57"/>
      <c r="D381" s="267"/>
    </row>
    <row r="382">
      <c r="B382" s="266"/>
      <c r="C382" s="57"/>
      <c r="D382" s="267"/>
    </row>
    <row r="383">
      <c r="B383" s="266"/>
      <c r="C383" s="57"/>
      <c r="D383" s="267"/>
    </row>
    <row r="384">
      <c r="B384" s="266"/>
      <c r="C384" s="57"/>
      <c r="D384" s="267"/>
    </row>
    <row r="385">
      <c r="B385" s="266"/>
      <c r="C385" s="57"/>
      <c r="D385" s="267"/>
    </row>
    <row r="386">
      <c r="B386" s="266"/>
      <c r="C386" s="57"/>
      <c r="D386" s="267"/>
    </row>
    <row r="387">
      <c r="B387" s="266"/>
      <c r="C387" s="57"/>
      <c r="D387" s="267"/>
    </row>
    <row r="388">
      <c r="B388" s="266"/>
      <c r="C388" s="57"/>
      <c r="D388" s="267"/>
    </row>
    <row r="389">
      <c r="B389" s="266"/>
      <c r="C389" s="57"/>
      <c r="D389" s="267"/>
    </row>
    <row r="390">
      <c r="B390" s="266"/>
      <c r="C390" s="57"/>
      <c r="D390" s="267"/>
    </row>
    <row r="391">
      <c r="B391" s="266"/>
      <c r="C391" s="57"/>
      <c r="D391" s="267"/>
    </row>
    <row r="392">
      <c r="B392" s="266"/>
      <c r="C392" s="57"/>
      <c r="D392" s="267"/>
    </row>
    <row r="393">
      <c r="B393" s="266"/>
      <c r="C393" s="57"/>
      <c r="D393" s="267"/>
    </row>
    <row r="394">
      <c r="B394" s="266"/>
      <c r="C394" s="57"/>
      <c r="D394" s="267"/>
    </row>
    <row r="395">
      <c r="B395" s="266"/>
      <c r="C395" s="57"/>
      <c r="D395" s="267"/>
    </row>
    <row r="396">
      <c r="B396" s="266"/>
      <c r="C396" s="57"/>
      <c r="D396" s="267"/>
    </row>
    <row r="397">
      <c r="B397" s="266"/>
      <c r="C397" s="57"/>
      <c r="D397" s="267"/>
    </row>
    <row r="398">
      <c r="B398" s="266"/>
      <c r="C398" s="57"/>
      <c r="D398" s="267"/>
    </row>
    <row r="399">
      <c r="B399" s="266"/>
      <c r="C399" s="57"/>
      <c r="D399" s="267"/>
    </row>
    <row r="400">
      <c r="B400" s="266"/>
      <c r="C400" s="57"/>
      <c r="D400" s="267"/>
    </row>
    <row r="401">
      <c r="B401" s="266"/>
      <c r="C401" s="57"/>
      <c r="D401" s="267"/>
    </row>
    <row r="402">
      <c r="B402" s="266"/>
      <c r="C402" s="57"/>
      <c r="D402" s="267"/>
    </row>
    <row r="403">
      <c r="B403" s="266"/>
      <c r="C403" s="57"/>
      <c r="D403" s="267"/>
    </row>
    <row r="404">
      <c r="B404" s="266"/>
      <c r="C404" s="57"/>
      <c r="D404" s="267"/>
    </row>
    <row r="405">
      <c r="B405" s="266"/>
      <c r="C405" s="57"/>
      <c r="D405" s="267"/>
    </row>
    <row r="406">
      <c r="B406" s="266"/>
      <c r="C406" s="57"/>
      <c r="D406" s="267"/>
    </row>
    <row r="407">
      <c r="B407" s="266"/>
      <c r="C407" s="57"/>
      <c r="D407" s="267"/>
    </row>
    <row r="408">
      <c r="B408" s="266"/>
      <c r="C408" s="57"/>
      <c r="D408" s="267"/>
    </row>
    <row r="409">
      <c r="B409" s="266"/>
      <c r="C409" s="57"/>
      <c r="D409" s="267"/>
    </row>
    <row r="410">
      <c r="B410" s="266"/>
      <c r="C410" s="57"/>
      <c r="D410" s="267"/>
    </row>
    <row r="411">
      <c r="B411" s="266"/>
      <c r="C411" s="57"/>
      <c r="D411" s="267"/>
    </row>
    <row r="412">
      <c r="B412" s="266"/>
      <c r="C412" s="57"/>
      <c r="D412" s="267"/>
    </row>
    <row r="413">
      <c r="B413" s="266"/>
      <c r="C413" s="57"/>
      <c r="D413" s="267"/>
    </row>
    <row r="414">
      <c r="B414" s="266"/>
      <c r="C414" s="57"/>
      <c r="D414" s="267"/>
    </row>
    <row r="415">
      <c r="B415" s="266"/>
      <c r="C415" s="57"/>
      <c r="D415" s="267"/>
    </row>
    <row r="416">
      <c r="B416" s="266"/>
      <c r="C416" s="57"/>
      <c r="D416" s="267"/>
    </row>
    <row r="417">
      <c r="B417" s="266"/>
      <c r="C417" s="57"/>
      <c r="D417" s="267"/>
    </row>
    <row r="418">
      <c r="B418" s="266"/>
      <c r="C418" s="57"/>
      <c r="D418" s="267"/>
    </row>
    <row r="419">
      <c r="B419" s="266"/>
      <c r="C419" s="57"/>
      <c r="D419" s="267"/>
    </row>
    <row r="420">
      <c r="B420" s="266"/>
      <c r="C420" s="57"/>
      <c r="D420" s="267"/>
    </row>
    <row r="421">
      <c r="B421" s="266"/>
      <c r="C421" s="57"/>
      <c r="D421" s="267"/>
    </row>
    <row r="422">
      <c r="B422" s="266"/>
      <c r="C422" s="57"/>
      <c r="D422" s="267"/>
    </row>
    <row r="423">
      <c r="B423" s="266"/>
      <c r="C423" s="57"/>
      <c r="D423" s="267"/>
    </row>
    <row r="424">
      <c r="B424" s="266"/>
      <c r="C424" s="57"/>
      <c r="D424" s="267"/>
    </row>
    <row r="425">
      <c r="B425" s="266"/>
      <c r="C425" s="57"/>
      <c r="D425" s="267"/>
    </row>
    <row r="426">
      <c r="B426" s="266"/>
      <c r="C426" s="57"/>
      <c r="D426" s="267"/>
    </row>
    <row r="427">
      <c r="B427" s="266"/>
      <c r="C427" s="57"/>
      <c r="D427" s="267"/>
    </row>
    <row r="428">
      <c r="B428" s="266"/>
      <c r="C428" s="57"/>
      <c r="D428" s="267"/>
    </row>
    <row r="429">
      <c r="B429" s="266"/>
      <c r="C429" s="57"/>
      <c r="D429" s="267"/>
    </row>
    <row r="430">
      <c r="B430" s="266"/>
      <c r="C430" s="57"/>
      <c r="D430" s="267"/>
    </row>
    <row r="431">
      <c r="B431" s="266"/>
      <c r="C431" s="57"/>
      <c r="D431" s="267"/>
    </row>
    <row r="432">
      <c r="B432" s="266"/>
      <c r="C432" s="57"/>
      <c r="D432" s="267"/>
    </row>
    <row r="433">
      <c r="B433" s="266"/>
      <c r="C433" s="57"/>
      <c r="D433" s="267"/>
    </row>
    <row r="434">
      <c r="B434" s="266"/>
      <c r="C434" s="57"/>
      <c r="D434" s="267"/>
    </row>
    <row r="435">
      <c r="B435" s="266"/>
      <c r="C435" s="57"/>
      <c r="D435" s="267"/>
    </row>
    <row r="436">
      <c r="B436" s="266"/>
      <c r="C436" s="57"/>
      <c r="D436" s="267"/>
    </row>
    <row r="437">
      <c r="B437" s="266"/>
      <c r="C437" s="57"/>
      <c r="D437" s="267"/>
    </row>
    <row r="438">
      <c r="B438" s="266"/>
      <c r="C438" s="57"/>
      <c r="D438" s="267"/>
    </row>
    <row r="439">
      <c r="B439" s="266"/>
      <c r="C439" s="57"/>
      <c r="D439" s="267"/>
    </row>
    <row r="440">
      <c r="B440" s="266"/>
      <c r="C440" s="57"/>
      <c r="D440" s="267"/>
    </row>
    <row r="441">
      <c r="B441" s="266"/>
      <c r="C441" s="57"/>
      <c r="D441" s="267"/>
    </row>
    <row r="442">
      <c r="B442" s="266"/>
      <c r="C442" s="57"/>
      <c r="D442" s="267"/>
    </row>
    <row r="443">
      <c r="B443" s="266"/>
      <c r="C443" s="57"/>
      <c r="D443" s="267"/>
    </row>
    <row r="444">
      <c r="B444" s="266"/>
      <c r="C444" s="57"/>
      <c r="D444" s="267"/>
    </row>
    <row r="445">
      <c r="B445" s="266"/>
      <c r="C445" s="57"/>
      <c r="D445" s="267"/>
    </row>
    <row r="446">
      <c r="B446" s="266"/>
      <c r="C446" s="57"/>
      <c r="D446" s="267"/>
    </row>
    <row r="447">
      <c r="B447" s="266"/>
      <c r="C447" s="57"/>
      <c r="D447" s="267"/>
    </row>
    <row r="448">
      <c r="B448" s="266"/>
      <c r="C448" s="57"/>
      <c r="D448" s="267"/>
    </row>
    <row r="449">
      <c r="B449" s="266"/>
      <c r="C449" s="57"/>
      <c r="D449" s="267"/>
    </row>
    <row r="450">
      <c r="B450" s="266"/>
      <c r="C450" s="57"/>
      <c r="D450" s="267"/>
    </row>
    <row r="451">
      <c r="B451" s="266"/>
      <c r="C451" s="57"/>
      <c r="D451" s="267"/>
    </row>
    <row r="452">
      <c r="B452" s="266"/>
      <c r="C452" s="57"/>
      <c r="D452" s="267"/>
    </row>
    <row r="453">
      <c r="B453" s="266"/>
      <c r="C453" s="57"/>
      <c r="D453" s="267"/>
    </row>
    <row r="454">
      <c r="B454" s="266"/>
      <c r="C454" s="57"/>
      <c r="D454" s="267"/>
    </row>
    <row r="455">
      <c r="B455" s="266"/>
      <c r="C455" s="57"/>
      <c r="D455" s="267"/>
    </row>
    <row r="456">
      <c r="B456" s="266"/>
      <c r="C456" s="57"/>
      <c r="D456" s="267"/>
    </row>
    <row r="457">
      <c r="B457" s="266"/>
      <c r="C457" s="57"/>
      <c r="D457" s="267"/>
    </row>
    <row r="458">
      <c r="B458" s="266"/>
      <c r="C458" s="57"/>
      <c r="D458" s="267"/>
    </row>
    <row r="459">
      <c r="B459" s="266"/>
      <c r="C459" s="57"/>
      <c r="D459" s="267"/>
    </row>
    <row r="460">
      <c r="B460" s="266"/>
      <c r="C460" s="57"/>
      <c r="D460" s="267"/>
    </row>
    <row r="461">
      <c r="B461" s="266"/>
      <c r="C461" s="57"/>
      <c r="D461" s="267"/>
    </row>
    <row r="462">
      <c r="B462" s="266"/>
      <c r="C462" s="57"/>
      <c r="D462" s="267"/>
    </row>
    <row r="463">
      <c r="B463" s="266"/>
      <c r="C463" s="57"/>
      <c r="D463" s="267"/>
    </row>
    <row r="464">
      <c r="B464" s="266"/>
      <c r="C464" s="57"/>
      <c r="D464" s="267"/>
    </row>
    <row r="465">
      <c r="B465" s="266"/>
      <c r="C465" s="57"/>
      <c r="D465" s="267"/>
    </row>
    <row r="466">
      <c r="B466" s="266"/>
      <c r="C466" s="57"/>
      <c r="D466" s="267"/>
    </row>
    <row r="467">
      <c r="B467" s="266"/>
      <c r="C467" s="57"/>
      <c r="D467" s="267"/>
    </row>
    <row r="468">
      <c r="B468" s="266"/>
      <c r="C468" s="57"/>
      <c r="D468" s="267"/>
    </row>
    <row r="469">
      <c r="B469" s="266"/>
      <c r="C469" s="57"/>
      <c r="D469" s="267"/>
    </row>
    <row r="470">
      <c r="B470" s="266"/>
      <c r="C470" s="57"/>
      <c r="D470" s="267"/>
    </row>
    <row r="471">
      <c r="B471" s="266"/>
      <c r="C471" s="57"/>
      <c r="D471" s="267"/>
    </row>
    <row r="472">
      <c r="B472" s="266"/>
      <c r="C472" s="57"/>
      <c r="D472" s="267"/>
    </row>
    <row r="473">
      <c r="B473" s="266"/>
      <c r="C473" s="57"/>
      <c r="D473" s="267"/>
    </row>
    <row r="474">
      <c r="B474" s="266"/>
      <c r="C474" s="57"/>
      <c r="D474" s="267"/>
    </row>
    <row r="475">
      <c r="B475" s="266"/>
      <c r="C475" s="57"/>
      <c r="D475" s="267"/>
    </row>
    <row r="476">
      <c r="B476" s="266"/>
      <c r="C476" s="57"/>
      <c r="D476" s="267"/>
    </row>
    <row r="477">
      <c r="B477" s="266"/>
      <c r="C477" s="57"/>
      <c r="D477" s="267"/>
    </row>
    <row r="478">
      <c r="B478" s="266"/>
      <c r="C478" s="57"/>
      <c r="D478" s="267"/>
    </row>
    <row r="479">
      <c r="B479" s="266"/>
      <c r="C479" s="57"/>
      <c r="D479" s="267"/>
    </row>
    <row r="480">
      <c r="B480" s="266"/>
      <c r="C480" s="57"/>
      <c r="D480" s="267"/>
    </row>
    <row r="481">
      <c r="B481" s="266"/>
      <c r="C481" s="57"/>
      <c r="D481" s="267"/>
    </row>
    <row r="482">
      <c r="B482" s="266"/>
      <c r="C482" s="57"/>
      <c r="D482" s="267"/>
    </row>
    <row r="483">
      <c r="B483" s="266"/>
      <c r="C483" s="57"/>
      <c r="D483" s="267"/>
    </row>
    <row r="484">
      <c r="B484" s="266"/>
      <c r="C484" s="57"/>
      <c r="D484" s="267"/>
    </row>
    <row r="485">
      <c r="B485" s="266"/>
      <c r="C485" s="57"/>
      <c r="D485" s="267"/>
    </row>
    <row r="486">
      <c r="B486" s="266"/>
      <c r="C486" s="57"/>
      <c r="D486" s="267"/>
    </row>
    <row r="487">
      <c r="B487" s="266"/>
      <c r="C487" s="57"/>
      <c r="D487" s="267"/>
    </row>
    <row r="488">
      <c r="B488" s="266"/>
      <c r="C488" s="57"/>
      <c r="D488" s="267"/>
    </row>
    <row r="489">
      <c r="B489" s="266"/>
      <c r="C489" s="57"/>
      <c r="D489" s="267"/>
    </row>
    <row r="490">
      <c r="B490" s="266"/>
      <c r="C490" s="57"/>
      <c r="D490" s="267"/>
    </row>
    <row r="491">
      <c r="B491" s="266"/>
      <c r="C491" s="57"/>
      <c r="D491" s="267"/>
    </row>
    <row r="492">
      <c r="B492" s="266"/>
      <c r="C492" s="57"/>
      <c r="D492" s="267"/>
    </row>
    <row r="493">
      <c r="B493" s="266"/>
      <c r="C493" s="57"/>
      <c r="D493" s="267"/>
    </row>
    <row r="494">
      <c r="B494" s="266"/>
      <c r="C494" s="57"/>
      <c r="D494" s="267"/>
    </row>
    <row r="495">
      <c r="B495" s="266"/>
      <c r="C495" s="57"/>
      <c r="D495" s="267"/>
    </row>
    <row r="496">
      <c r="B496" s="266"/>
      <c r="C496" s="57"/>
      <c r="D496" s="267"/>
    </row>
    <row r="497">
      <c r="B497" s="266"/>
      <c r="C497" s="57"/>
      <c r="D497" s="267"/>
    </row>
    <row r="498">
      <c r="B498" s="266"/>
      <c r="C498" s="57"/>
      <c r="D498" s="267"/>
    </row>
    <row r="499">
      <c r="B499" s="266"/>
      <c r="C499" s="57"/>
      <c r="D499" s="267"/>
    </row>
    <row r="500">
      <c r="B500" s="266"/>
      <c r="C500" s="57"/>
      <c r="D500" s="267"/>
    </row>
    <row r="501">
      <c r="B501" s="266"/>
      <c r="C501" s="57"/>
      <c r="D501" s="267"/>
    </row>
    <row r="502">
      <c r="B502" s="266"/>
      <c r="C502" s="57"/>
      <c r="D502" s="267"/>
    </row>
    <row r="503">
      <c r="B503" s="266"/>
      <c r="C503" s="57"/>
      <c r="D503" s="267"/>
    </row>
    <row r="504">
      <c r="B504" s="266"/>
      <c r="C504" s="57"/>
      <c r="D504" s="267"/>
    </row>
    <row r="505">
      <c r="B505" s="266"/>
      <c r="C505" s="57"/>
      <c r="D505" s="267"/>
    </row>
    <row r="506">
      <c r="B506" s="266"/>
      <c r="C506" s="57"/>
      <c r="D506" s="267"/>
    </row>
    <row r="507">
      <c r="B507" s="266"/>
      <c r="C507" s="57"/>
      <c r="D507" s="267"/>
    </row>
    <row r="508">
      <c r="B508" s="266"/>
      <c r="C508" s="57"/>
      <c r="D508" s="267"/>
    </row>
    <row r="509">
      <c r="B509" s="266"/>
      <c r="C509" s="57"/>
      <c r="D509" s="267"/>
    </row>
    <row r="510">
      <c r="B510" s="266"/>
      <c r="C510" s="57"/>
      <c r="D510" s="267"/>
    </row>
    <row r="511">
      <c r="B511" s="266"/>
      <c r="C511" s="57"/>
      <c r="D511" s="267"/>
    </row>
    <row r="512">
      <c r="B512" s="266"/>
      <c r="C512" s="57"/>
      <c r="D512" s="267"/>
    </row>
    <row r="513">
      <c r="B513" s="266"/>
      <c r="C513" s="57"/>
      <c r="D513" s="267"/>
    </row>
    <row r="514">
      <c r="B514" s="266"/>
      <c r="C514" s="57"/>
      <c r="D514" s="267"/>
    </row>
    <row r="515">
      <c r="B515" s="266"/>
      <c r="C515" s="57"/>
      <c r="D515" s="267"/>
    </row>
    <row r="516">
      <c r="B516" s="266"/>
      <c r="C516" s="57"/>
      <c r="D516" s="267"/>
    </row>
    <row r="517">
      <c r="B517" s="266"/>
      <c r="C517" s="57"/>
      <c r="D517" s="267"/>
    </row>
    <row r="518">
      <c r="B518" s="266"/>
      <c r="C518" s="57"/>
      <c r="D518" s="267"/>
    </row>
    <row r="519">
      <c r="B519" s="266"/>
      <c r="C519" s="57"/>
      <c r="D519" s="267"/>
    </row>
    <row r="520">
      <c r="B520" s="266"/>
      <c r="C520" s="57"/>
      <c r="D520" s="267"/>
    </row>
    <row r="521">
      <c r="B521" s="266"/>
      <c r="C521" s="57"/>
      <c r="D521" s="267"/>
    </row>
    <row r="522">
      <c r="B522" s="266"/>
      <c r="C522" s="57"/>
      <c r="D522" s="267"/>
    </row>
    <row r="523">
      <c r="B523" s="266"/>
      <c r="C523" s="57"/>
      <c r="D523" s="267"/>
    </row>
    <row r="524">
      <c r="B524" s="266"/>
      <c r="C524" s="57"/>
      <c r="D524" s="267"/>
    </row>
    <row r="525">
      <c r="B525" s="266"/>
      <c r="C525" s="57"/>
      <c r="D525" s="267"/>
    </row>
    <row r="526">
      <c r="B526" s="266"/>
      <c r="C526" s="57"/>
      <c r="D526" s="267"/>
    </row>
    <row r="527">
      <c r="B527" s="266"/>
      <c r="C527" s="57"/>
      <c r="D527" s="267"/>
    </row>
    <row r="528">
      <c r="B528" s="266"/>
      <c r="C528" s="57"/>
      <c r="D528" s="267"/>
    </row>
    <row r="529">
      <c r="B529" s="266"/>
      <c r="C529" s="57"/>
      <c r="D529" s="267"/>
    </row>
    <row r="530">
      <c r="B530" s="266"/>
      <c r="C530" s="57"/>
      <c r="D530" s="267"/>
    </row>
    <row r="531">
      <c r="B531" s="266"/>
      <c r="C531" s="57"/>
      <c r="D531" s="267"/>
    </row>
    <row r="532">
      <c r="B532" s="266"/>
      <c r="C532" s="57"/>
      <c r="D532" s="267"/>
    </row>
    <row r="533">
      <c r="B533" s="266"/>
      <c r="C533" s="57"/>
      <c r="D533" s="267"/>
    </row>
    <row r="534">
      <c r="B534" s="266"/>
      <c r="C534" s="57"/>
      <c r="D534" s="267"/>
    </row>
    <row r="535">
      <c r="B535" s="266"/>
      <c r="C535" s="57"/>
      <c r="D535" s="267"/>
    </row>
    <row r="536">
      <c r="B536" s="266"/>
      <c r="C536" s="57"/>
      <c r="D536" s="267"/>
    </row>
    <row r="537">
      <c r="B537" s="266"/>
      <c r="C537" s="57"/>
      <c r="D537" s="267"/>
    </row>
    <row r="538">
      <c r="B538" s="266"/>
      <c r="C538" s="57"/>
      <c r="D538" s="267"/>
    </row>
    <row r="539">
      <c r="B539" s="266"/>
      <c r="C539" s="57"/>
      <c r="D539" s="267"/>
    </row>
    <row r="540">
      <c r="B540" s="266"/>
      <c r="C540" s="57"/>
      <c r="D540" s="267"/>
    </row>
    <row r="541">
      <c r="B541" s="266"/>
      <c r="C541" s="57"/>
      <c r="D541" s="267"/>
    </row>
    <row r="542">
      <c r="B542" s="266"/>
      <c r="C542" s="57"/>
      <c r="D542" s="267"/>
    </row>
    <row r="543">
      <c r="B543" s="266"/>
      <c r="C543" s="57"/>
      <c r="D543" s="267"/>
    </row>
    <row r="544">
      <c r="B544" s="266"/>
      <c r="C544" s="57"/>
      <c r="D544" s="267"/>
    </row>
    <row r="545">
      <c r="B545" s="266"/>
      <c r="C545" s="57"/>
      <c r="D545" s="267"/>
    </row>
    <row r="546">
      <c r="B546" s="266"/>
      <c r="C546" s="57"/>
      <c r="D546" s="267"/>
    </row>
    <row r="547">
      <c r="B547" s="266"/>
      <c r="C547" s="57"/>
      <c r="D547" s="267"/>
    </row>
    <row r="548">
      <c r="B548" s="266"/>
      <c r="C548" s="57"/>
      <c r="D548" s="267"/>
    </row>
    <row r="549">
      <c r="B549" s="266"/>
      <c r="C549" s="57"/>
      <c r="D549" s="267"/>
    </row>
    <row r="550">
      <c r="B550" s="266"/>
      <c r="C550" s="57"/>
      <c r="D550" s="267"/>
    </row>
    <row r="551">
      <c r="B551" s="266"/>
      <c r="C551" s="57"/>
      <c r="D551" s="267"/>
    </row>
    <row r="552">
      <c r="B552" s="266"/>
      <c r="C552" s="57"/>
      <c r="D552" s="267"/>
    </row>
    <row r="553">
      <c r="B553" s="266"/>
      <c r="C553" s="57"/>
      <c r="D553" s="267"/>
    </row>
    <row r="554">
      <c r="B554" s="266"/>
      <c r="C554" s="57"/>
      <c r="D554" s="267"/>
    </row>
    <row r="555">
      <c r="B555" s="266"/>
      <c r="C555" s="57"/>
      <c r="D555" s="267"/>
    </row>
    <row r="556">
      <c r="B556" s="266"/>
      <c r="C556" s="57"/>
      <c r="D556" s="267"/>
    </row>
    <row r="557">
      <c r="B557" s="266"/>
      <c r="C557" s="57"/>
      <c r="D557" s="267"/>
    </row>
    <row r="558">
      <c r="B558" s="266"/>
      <c r="C558" s="57"/>
      <c r="D558" s="267"/>
    </row>
    <row r="559">
      <c r="B559" s="266"/>
      <c r="C559" s="57"/>
      <c r="D559" s="267"/>
    </row>
    <row r="560">
      <c r="B560" s="266"/>
      <c r="C560" s="57"/>
      <c r="D560" s="267"/>
    </row>
    <row r="561">
      <c r="B561" s="266"/>
      <c r="C561" s="57"/>
      <c r="D561" s="267"/>
    </row>
    <row r="562">
      <c r="B562" s="266"/>
      <c r="C562" s="57"/>
      <c r="D562" s="267"/>
    </row>
    <row r="563">
      <c r="B563" s="266"/>
      <c r="C563" s="57"/>
      <c r="D563" s="267"/>
    </row>
    <row r="564">
      <c r="B564" s="266"/>
      <c r="C564" s="57"/>
      <c r="D564" s="267"/>
    </row>
    <row r="565">
      <c r="B565" s="266"/>
      <c r="C565" s="57"/>
      <c r="D565" s="267"/>
    </row>
    <row r="566">
      <c r="B566" s="266"/>
      <c r="C566" s="57"/>
      <c r="D566" s="267"/>
    </row>
    <row r="567">
      <c r="B567" s="266"/>
      <c r="C567" s="57"/>
      <c r="D567" s="267"/>
    </row>
    <row r="568">
      <c r="B568" s="266"/>
      <c r="C568" s="57"/>
      <c r="D568" s="267"/>
    </row>
    <row r="569">
      <c r="B569" s="266"/>
      <c r="C569" s="57"/>
      <c r="D569" s="267"/>
    </row>
    <row r="570">
      <c r="B570" s="266"/>
      <c r="C570" s="57"/>
      <c r="D570" s="267"/>
    </row>
    <row r="571">
      <c r="B571" s="266"/>
      <c r="C571" s="57"/>
      <c r="D571" s="267"/>
    </row>
    <row r="572">
      <c r="B572" s="266"/>
      <c r="C572" s="57"/>
      <c r="D572" s="267"/>
    </row>
    <row r="573">
      <c r="B573" s="266"/>
      <c r="C573" s="57"/>
      <c r="D573" s="267"/>
    </row>
    <row r="574">
      <c r="B574" s="266"/>
      <c r="C574" s="57"/>
      <c r="D574" s="267"/>
    </row>
    <row r="575">
      <c r="B575" s="266"/>
      <c r="C575" s="57"/>
      <c r="D575" s="267"/>
    </row>
    <row r="576">
      <c r="B576" s="266"/>
      <c r="C576" s="57"/>
      <c r="D576" s="267"/>
    </row>
    <row r="577">
      <c r="B577" s="266"/>
      <c r="C577" s="57"/>
      <c r="D577" s="267"/>
    </row>
    <row r="578">
      <c r="B578" s="266"/>
      <c r="C578" s="57"/>
      <c r="D578" s="267"/>
    </row>
    <row r="579">
      <c r="B579" s="266"/>
      <c r="C579" s="57"/>
      <c r="D579" s="267"/>
    </row>
    <row r="580">
      <c r="B580" s="266"/>
      <c r="C580" s="57"/>
      <c r="D580" s="267"/>
    </row>
    <row r="581">
      <c r="B581" s="266"/>
      <c r="C581" s="57"/>
      <c r="D581" s="267"/>
    </row>
    <row r="582">
      <c r="B582" s="266"/>
      <c r="C582" s="57"/>
      <c r="D582" s="267"/>
    </row>
    <row r="583">
      <c r="B583" s="266"/>
      <c r="C583" s="57"/>
      <c r="D583" s="267"/>
    </row>
    <row r="584">
      <c r="B584" s="266"/>
      <c r="C584" s="57"/>
      <c r="D584" s="267"/>
    </row>
    <row r="585">
      <c r="B585" s="266"/>
      <c r="C585" s="57"/>
      <c r="D585" s="267"/>
    </row>
    <row r="586">
      <c r="B586" s="266"/>
      <c r="C586" s="57"/>
      <c r="D586" s="267"/>
    </row>
    <row r="587">
      <c r="B587" s="266"/>
      <c r="C587" s="57"/>
      <c r="D587" s="267"/>
    </row>
    <row r="588">
      <c r="B588" s="266"/>
      <c r="C588" s="57"/>
      <c r="D588" s="267"/>
    </row>
    <row r="589">
      <c r="B589" s="266"/>
      <c r="C589" s="57"/>
      <c r="D589" s="267"/>
    </row>
    <row r="590">
      <c r="B590" s="266"/>
      <c r="C590" s="57"/>
      <c r="D590" s="267"/>
    </row>
    <row r="591">
      <c r="B591" s="266"/>
      <c r="C591" s="57"/>
      <c r="D591" s="267"/>
    </row>
    <row r="592">
      <c r="B592" s="266"/>
      <c r="C592" s="57"/>
      <c r="D592" s="267"/>
    </row>
    <row r="593">
      <c r="B593" s="266"/>
      <c r="C593" s="57"/>
      <c r="D593" s="267"/>
    </row>
    <row r="594">
      <c r="B594" s="266"/>
      <c r="C594" s="57"/>
      <c r="D594" s="267"/>
    </row>
    <row r="595">
      <c r="B595" s="266"/>
      <c r="C595" s="57"/>
      <c r="D595" s="267"/>
    </row>
    <row r="596">
      <c r="B596" s="266"/>
      <c r="C596" s="57"/>
      <c r="D596" s="267"/>
    </row>
    <row r="597">
      <c r="B597" s="266"/>
      <c r="C597" s="57"/>
      <c r="D597" s="267"/>
    </row>
    <row r="598">
      <c r="B598" s="266"/>
      <c r="C598" s="57"/>
      <c r="D598" s="267"/>
    </row>
    <row r="599">
      <c r="B599" s="266"/>
      <c r="C599" s="57"/>
      <c r="D599" s="267"/>
    </row>
    <row r="600">
      <c r="B600" s="266"/>
      <c r="C600" s="57"/>
      <c r="D600" s="267"/>
    </row>
    <row r="601">
      <c r="B601" s="266"/>
      <c r="C601" s="57"/>
      <c r="D601" s="267"/>
    </row>
    <row r="602">
      <c r="B602" s="266"/>
      <c r="C602" s="57"/>
      <c r="D602" s="267"/>
    </row>
    <row r="603">
      <c r="B603" s="266"/>
      <c r="C603" s="57"/>
      <c r="D603" s="267"/>
    </row>
    <row r="604">
      <c r="B604" s="266"/>
      <c r="C604" s="57"/>
      <c r="D604" s="267"/>
    </row>
    <row r="605">
      <c r="B605" s="266"/>
      <c r="C605" s="57"/>
      <c r="D605" s="267"/>
    </row>
    <row r="606">
      <c r="B606" s="266"/>
      <c r="C606" s="57"/>
      <c r="D606" s="267"/>
    </row>
    <row r="607">
      <c r="B607" s="266"/>
      <c r="C607" s="57"/>
      <c r="D607" s="267"/>
    </row>
    <row r="608">
      <c r="B608" s="266"/>
      <c r="C608" s="57"/>
      <c r="D608" s="267"/>
    </row>
    <row r="609">
      <c r="B609" s="266"/>
      <c r="C609" s="57"/>
      <c r="D609" s="267"/>
    </row>
    <row r="610">
      <c r="B610" s="266"/>
      <c r="C610" s="57"/>
      <c r="D610" s="267"/>
    </row>
    <row r="611">
      <c r="B611" s="266"/>
      <c r="C611" s="57"/>
      <c r="D611" s="267"/>
    </row>
    <row r="612">
      <c r="B612" s="266"/>
      <c r="C612" s="57"/>
      <c r="D612" s="267"/>
    </row>
    <row r="613">
      <c r="B613" s="266"/>
      <c r="C613" s="57"/>
      <c r="D613" s="267"/>
    </row>
    <row r="614">
      <c r="B614" s="266"/>
      <c r="C614" s="57"/>
      <c r="D614" s="267"/>
    </row>
    <row r="615">
      <c r="B615" s="266"/>
      <c r="C615" s="57"/>
      <c r="D615" s="267"/>
    </row>
    <row r="616">
      <c r="B616" s="266"/>
      <c r="C616" s="57"/>
      <c r="D616" s="267"/>
    </row>
    <row r="617">
      <c r="B617" s="266"/>
      <c r="C617" s="57"/>
      <c r="D617" s="267"/>
    </row>
    <row r="618">
      <c r="B618" s="266"/>
      <c r="C618" s="57"/>
      <c r="D618" s="267"/>
    </row>
    <row r="619">
      <c r="B619" s="266"/>
      <c r="C619" s="57"/>
      <c r="D619" s="267"/>
    </row>
    <row r="620">
      <c r="B620" s="266"/>
      <c r="C620" s="57"/>
      <c r="D620" s="267"/>
    </row>
    <row r="621">
      <c r="B621" s="266"/>
      <c r="C621" s="57"/>
      <c r="D621" s="267"/>
    </row>
    <row r="622">
      <c r="B622" s="266"/>
      <c r="C622" s="57"/>
      <c r="D622" s="267"/>
    </row>
    <row r="623">
      <c r="B623" s="266"/>
      <c r="C623" s="57"/>
      <c r="D623" s="267"/>
    </row>
    <row r="624">
      <c r="B624" s="266"/>
      <c r="C624" s="57"/>
      <c r="D624" s="267"/>
    </row>
    <row r="625">
      <c r="B625" s="266"/>
      <c r="C625" s="57"/>
      <c r="D625" s="267"/>
    </row>
    <row r="626">
      <c r="B626" s="266"/>
      <c r="C626" s="57"/>
      <c r="D626" s="267"/>
    </row>
    <row r="627">
      <c r="B627" s="266"/>
      <c r="C627" s="57"/>
      <c r="D627" s="267"/>
    </row>
    <row r="628">
      <c r="B628" s="266"/>
      <c r="C628" s="57"/>
      <c r="D628" s="267"/>
    </row>
    <row r="629">
      <c r="B629" s="266"/>
      <c r="C629" s="57"/>
      <c r="D629" s="267"/>
    </row>
    <row r="630">
      <c r="B630" s="266"/>
      <c r="C630" s="57"/>
      <c r="D630" s="267"/>
    </row>
    <row r="631">
      <c r="B631" s="266"/>
      <c r="C631" s="57"/>
      <c r="D631" s="267"/>
    </row>
    <row r="632">
      <c r="B632" s="266"/>
      <c r="C632" s="57"/>
      <c r="D632" s="267"/>
    </row>
    <row r="633">
      <c r="B633" s="266"/>
      <c r="C633" s="57"/>
      <c r="D633" s="267"/>
    </row>
    <row r="634">
      <c r="B634" s="266"/>
      <c r="C634" s="57"/>
      <c r="D634" s="267"/>
    </row>
    <row r="635">
      <c r="B635" s="266"/>
      <c r="C635" s="57"/>
      <c r="D635" s="267"/>
    </row>
    <row r="636">
      <c r="B636" s="266"/>
      <c r="C636" s="57"/>
      <c r="D636" s="267"/>
    </row>
    <row r="637">
      <c r="B637" s="266"/>
      <c r="C637" s="57"/>
      <c r="D637" s="267"/>
    </row>
    <row r="638">
      <c r="B638" s="266"/>
      <c r="C638" s="57"/>
      <c r="D638" s="267"/>
    </row>
    <row r="639">
      <c r="B639" s="266"/>
      <c r="C639" s="57"/>
      <c r="D639" s="267"/>
    </row>
    <row r="640">
      <c r="B640" s="266"/>
      <c r="C640" s="57"/>
      <c r="D640" s="267"/>
    </row>
    <row r="641">
      <c r="B641" s="266"/>
      <c r="C641" s="57"/>
      <c r="D641" s="267"/>
    </row>
    <row r="642">
      <c r="B642" s="266"/>
      <c r="C642" s="57"/>
      <c r="D642" s="267"/>
    </row>
    <row r="643">
      <c r="B643" s="266"/>
      <c r="C643" s="57"/>
      <c r="D643" s="267"/>
    </row>
    <row r="644">
      <c r="B644" s="266"/>
      <c r="C644" s="57"/>
      <c r="D644" s="267"/>
    </row>
    <row r="645">
      <c r="B645" s="266"/>
      <c r="C645" s="57"/>
      <c r="D645" s="267"/>
    </row>
    <row r="646">
      <c r="B646" s="266"/>
      <c r="C646" s="57"/>
      <c r="D646" s="267"/>
    </row>
    <row r="647">
      <c r="B647" s="266"/>
      <c r="C647" s="57"/>
      <c r="D647" s="267"/>
    </row>
    <row r="648">
      <c r="B648" s="266"/>
      <c r="C648" s="57"/>
      <c r="D648" s="267"/>
    </row>
    <row r="649">
      <c r="B649" s="266"/>
      <c r="C649" s="57"/>
      <c r="D649" s="267"/>
    </row>
    <row r="650">
      <c r="B650" s="266"/>
      <c r="C650" s="57"/>
      <c r="D650" s="267"/>
    </row>
    <row r="651">
      <c r="B651" s="266"/>
      <c r="C651" s="57"/>
      <c r="D651" s="267"/>
    </row>
    <row r="652">
      <c r="B652" s="266"/>
      <c r="C652" s="57"/>
      <c r="D652" s="267"/>
    </row>
    <row r="653">
      <c r="B653" s="266"/>
      <c r="C653" s="57"/>
      <c r="D653" s="267"/>
    </row>
    <row r="654">
      <c r="B654" s="266"/>
      <c r="C654" s="57"/>
      <c r="D654" s="267"/>
    </row>
    <row r="655">
      <c r="B655" s="266"/>
      <c r="C655" s="57"/>
      <c r="D655" s="267"/>
    </row>
    <row r="656">
      <c r="B656" s="266"/>
      <c r="C656" s="57"/>
      <c r="D656" s="267"/>
    </row>
    <row r="657">
      <c r="B657" s="266"/>
      <c r="C657" s="57"/>
      <c r="D657" s="267"/>
    </row>
    <row r="658">
      <c r="B658" s="266"/>
      <c r="C658" s="57"/>
      <c r="D658" s="267"/>
    </row>
    <row r="659">
      <c r="B659" s="266"/>
      <c r="C659" s="57"/>
      <c r="D659" s="267"/>
    </row>
    <row r="660">
      <c r="B660" s="266"/>
      <c r="C660" s="57"/>
      <c r="D660" s="267"/>
    </row>
    <row r="661">
      <c r="B661" s="266"/>
      <c r="C661" s="57"/>
      <c r="D661" s="267"/>
    </row>
    <row r="662">
      <c r="B662" s="266"/>
      <c r="C662" s="57"/>
      <c r="D662" s="267"/>
    </row>
    <row r="663">
      <c r="B663" s="266"/>
      <c r="C663" s="57"/>
      <c r="D663" s="267"/>
    </row>
    <row r="664">
      <c r="B664" s="266"/>
      <c r="C664" s="57"/>
      <c r="D664" s="267"/>
    </row>
    <row r="665">
      <c r="B665" s="266"/>
      <c r="C665" s="57"/>
      <c r="D665" s="267"/>
    </row>
    <row r="666">
      <c r="B666" s="266"/>
      <c r="C666" s="57"/>
      <c r="D666" s="267"/>
    </row>
    <row r="667">
      <c r="B667" s="266"/>
      <c r="C667" s="57"/>
      <c r="D667" s="267"/>
    </row>
    <row r="668">
      <c r="B668" s="266"/>
      <c r="C668" s="57"/>
      <c r="D668" s="267"/>
    </row>
    <row r="669">
      <c r="B669" s="266"/>
      <c r="C669" s="57"/>
      <c r="D669" s="267"/>
    </row>
    <row r="670">
      <c r="B670" s="266"/>
      <c r="C670" s="57"/>
      <c r="D670" s="267"/>
    </row>
    <row r="671">
      <c r="B671" s="266"/>
      <c r="C671" s="57"/>
      <c r="D671" s="267"/>
    </row>
    <row r="672">
      <c r="B672" s="266"/>
      <c r="C672" s="57"/>
      <c r="D672" s="267"/>
    </row>
    <row r="673">
      <c r="B673" s="266"/>
      <c r="C673" s="57"/>
      <c r="D673" s="267"/>
    </row>
    <row r="674">
      <c r="B674" s="266"/>
      <c r="C674" s="57"/>
      <c r="D674" s="267"/>
    </row>
    <row r="675">
      <c r="B675" s="266"/>
      <c r="C675" s="57"/>
      <c r="D675" s="267"/>
    </row>
    <row r="676">
      <c r="B676" s="266"/>
      <c r="C676" s="57"/>
      <c r="D676" s="267"/>
    </row>
    <row r="677">
      <c r="B677" s="266"/>
      <c r="C677" s="57"/>
      <c r="D677" s="267"/>
    </row>
    <row r="678">
      <c r="B678" s="266"/>
      <c r="C678" s="57"/>
      <c r="D678" s="267"/>
    </row>
    <row r="679">
      <c r="B679" s="266"/>
      <c r="C679" s="57"/>
      <c r="D679" s="267"/>
    </row>
    <row r="680">
      <c r="B680" s="266"/>
      <c r="C680" s="57"/>
      <c r="D680" s="267"/>
    </row>
    <row r="681">
      <c r="B681" s="266"/>
      <c r="C681" s="57"/>
      <c r="D681" s="267"/>
    </row>
    <row r="682">
      <c r="B682" s="266"/>
      <c r="C682" s="57"/>
      <c r="D682" s="267"/>
    </row>
    <row r="683">
      <c r="B683" s="266"/>
      <c r="C683" s="57"/>
      <c r="D683" s="267"/>
    </row>
    <row r="684">
      <c r="B684" s="266"/>
      <c r="C684" s="57"/>
      <c r="D684" s="267"/>
    </row>
    <row r="685">
      <c r="B685" s="266"/>
      <c r="C685" s="57"/>
      <c r="D685" s="267"/>
    </row>
    <row r="686">
      <c r="B686" s="266"/>
      <c r="C686" s="57"/>
      <c r="D686" s="267"/>
    </row>
    <row r="687">
      <c r="B687" s="266"/>
      <c r="C687" s="57"/>
      <c r="D687" s="267"/>
    </row>
    <row r="688">
      <c r="B688" s="266"/>
      <c r="C688" s="57"/>
      <c r="D688" s="267"/>
    </row>
    <row r="689">
      <c r="B689" s="266"/>
      <c r="C689" s="57"/>
      <c r="D689" s="267"/>
    </row>
    <row r="690">
      <c r="B690" s="266"/>
      <c r="C690" s="57"/>
      <c r="D690" s="267"/>
    </row>
    <row r="691">
      <c r="B691" s="266"/>
      <c r="C691" s="57"/>
      <c r="D691" s="267"/>
    </row>
    <row r="692">
      <c r="B692" s="266"/>
      <c r="C692" s="57"/>
      <c r="D692" s="267"/>
    </row>
    <row r="693">
      <c r="B693" s="266"/>
      <c r="C693" s="57"/>
      <c r="D693" s="267"/>
    </row>
    <row r="694">
      <c r="B694" s="266"/>
      <c r="C694" s="57"/>
      <c r="D694" s="267"/>
    </row>
    <row r="695">
      <c r="B695" s="266"/>
      <c r="C695" s="57"/>
      <c r="D695" s="267"/>
    </row>
    <row r="696">
      <c r="B696" s="266"/>
      <c r="C696" s="57"/>
      <c r="D696" s="267"/>
    </row>
    <row r="697">
      <c r="B697" s="266"/>
      <c r="C697" s="57"/>
      <c r="D697" s="267"/>
    </row>
    <row r="698">
      <c r="B698" s="266"/>
      <c r="C698" s="57"/>
      <c r="D698" s="267"/>
    </row>
    <row r="699">
      <c r="B699" s="266"/>
      <c r="C699" s="57"/>
      <c r="D699" s="267"/>
    </row>
    <row r="700">
      <c r="B700" s="266"/>
      <c r="C700" s="57"/>
      <c r="D700" s="267"/>
    </row>
    <row r="701">
      <c r="B701" s="266"/>
      <c r="C701" s="57"/>
      <c r="D701" s="267"/>
    </row>
    <row r="702">
      <c r="B702" s="266"/>
      <c r="C702" s="57"/>
      <c r="D702" s="267"/>
    </row>
    <row r="703">
      <c r="B703" s="266"/>
      <c r="C703" s="57"/>
      <c r="D703" s="267"/>
    </row>
    <row r="704">
      <c r="B704" s="266"/>
      <c r="C704" s="57"/>
      <c r="D704" s="267"/>
    </row>
    <row r="705">
      <c r="B705" s="266"/>
      <c r="C705" s="57"/>
      <c r="D705" s="267"/>
    </row>
    <row r="706">
      <c r="B706" s="266"/>
      <c r="C706" s="57"/>
      <c r="D706" s="267"/>
    </row>
    <row r="707">
      <c r="B707" s="266"/>
      <c r="C707" s="57"/>
      <c r="D707" s="267"/>
    </row>
    <row r="708">
      <c r="B708" s="266"/>
      <c r="C708" s="57"/>
      <c r="D708" s="267"/>
    </row>
    <row r="709">
      <c r="B709" s="266"/>
      <c r="C709" s="57"/>
      <c r="D709" s="267"/>
    </row>
    <row r="710">
      <c r="B710" s="266"/>
      <c r="C710" s="57"/>
      <c r="D710" s="267"/>
    </row>
    <row r="711">
      <c r="B711" s="266"/>
      <c r="C711" s="57"/>
      <c r="D711" s="267"/>
    </row>
    <row r="712">
      <c r="B712" s="266"/>
      <c r="C712" s="57"/>
      <c r="D712" s="267"/>
    </row>
    <row r="713">
      <c r="B713" s="266"/>
      <c r="C713" s="57"/>
      <c r="D713" s="267"/>
    </row>
    <row r="714">
      <c r="B714" s="266"/>
      <c r="C714" s="57"/>
      <c r="D714" s="267"/>
    </row>
    <row r="715">
      <c r="B715" s="266"/>
      <c r="C715" s="57"/>
      <c r="D715" s="267"/>
    </row>
    <row r="716">
      <c r="B716" s="266"/>
      <c r="C716" s="57"/>
      <c r="D716" s="267"/>
    </row>
    <row r="717">
      <c r="B717" s="266"/>
      <c r="C717" s="57"/>
      <c r="D717" s="267"/>
    </row>
    <row r="718">
      <c r="B718" s="266"/>
      <c r="C718" s="57"/>
      <c r="D718" s="267"/>
    </row>
    <row r="719">
      <c r="B719" s="266"/>
      <c r="C719" s="57"/>
      <c r="D719" s="267"/>
    </row>
    <row r="720">
      <c r="B720" s="266"/>
      <c r="C720" s="57"/>
      <c r="D720" s="267"/>
    </row>
    <row r="721">
      <c r="B721" s="266"/>
      <c r="C721" s="57"/>
      <c r="D721" s="267"/>
    </row>
    <row r="722">
      <c r="B722" s="266"/>
      <c r="C722" s="57"/>
      <c r="D722" s="267"/>
    </row>
    <row r="723">
      <c r="B723" s="266"/>
      <c r="C723" s="57"/>
      <c r="D723" s="267"/>
    </row>
    <row r="724">
      <c r="B724" s="266"/>
      <c r="C724" s="57"/>
      <c r="D724" s="267"/>
    </row>
    <row r="725">
      <c r="B725" s="266"/>
      <c r="C725" s="57"/>
      <c r="D725" s="267"/>
    </row>
    <row r="726">
      <c r="B726" s="266"/>
      <c r="C726" s="57"/>
      <c r="D726" s="267"/>
    </row>
    <row r="727">
      <c r="B727" s="266"/>
      <c r="C727" s="57"/>
      <c r="D727" s="267"/>
    </row>
    <row r="728">
      <c r="B728" s="266"/>
      <c r="C728" s="57"/>
      <c r="D728" s="267"/>
    </row>
    <row r="729">
      <c r="B729" s="266"/>
      <c r="C729" s="57"/>
      <c r="D729" s="267"/>
    </row>
    <row r="730">
      <c r="B730" s="266"/>
      <c r="C730" s="57"/>
      <c r="D730" s="267"/>
    </row>
    <row r="731">
      <c r="B731" s="266"/>
      <c r="C731" s="57"/>
      <c r="D731" s="267"/>
    </row>
    <row r="732">
      <c r="B732" s="266"/>
      <c r="C732" s="57"/>
      <c r="D732" s="267"/>
    </row>
    <row r="733">
      <c r="B733" s="266"/>
      <c r="C733" s="57"/>
      <c r="D733" s="267"/>
    </row>
    <row r="734">
      <c r="B734" s="266"/>
      <c r="C734" s="57"/>
      <c r="D734" s="267"/>
    </row>
    <row r="735">
      <c r="B735" s="266"/>
      <c r="C735" s="57"/>
      <c r="D735" s="267"/>
    </row>
    <row r="736">
      <c r="B736" s="266"/>
      <c r="C736" s="57"/>
      <c r="D736" s="267"/>
    </row>
    <row r="737">
      <c r="B737" s="266"/>
      <c r="C737" s="57"/>
      <c r="D737" s="267"/>
    </row>
    <row r="738">
      <c r="B738" s="266"/>
      <c r="C738" s="57"/>
      <c r="D738" s="267"/>
    </row>
    <row r="739">
      <c r="B739" s="266"/>
      <c r="C739" s="57"/>
      <c r="D739" s="267"/>
    </row>
    <row r="740">
      <c r="B740" s="266"/>
      <c r="C740" s="57"/>
      <c r="D740" s="267"/>
    </row>
    <row r="741">
      <c r="B741" s="266"/>
      <c r="C741" s="57"/>
      <c r="D741" s="267"/>
    </row>
    <row r="742">
      <c r="B742" s="266"/>
      <c r="C742" s="57"/>
      <c r="D742" s="267"/>
    </row>
    <row r="743">
      <c r="B743" s="266"/>
      <c r="C743" s="57"/>
      <c r="D743" s="267"/>
    </row>
    <row r="744">
      <c r="B744" s="266"/>
      <c r="C744" s="57"/>
      <c r="D744" s="267"/>
    </row>
    <row r="745">
      <c r="B745" s="266"/>
      <c r="C745" s="57"/>
      <c r="D745" s="267"/>
    </row>
    <row r="746">
      <c r="B746" s="266"/>
      <c r="C746" s="57"/>
      <c r="D746" s="267"/>
    </row>
    <row r="747">
      <c r="B747" s="266"/>
      <c r="C747" s="57"/>
      <c r="D747" s="267"/>
    </row>
    <row r="748">
      <c r="B748" s="266"/>
      <c r="C748" s="57"/>
      <c r="D748" s="267"/>
    </row>
    <row r="749">
      <c r="B749" s="266"/>
      <c r="C749" s="57"/>
      <c r="D749" s="267"/>
    </row>
    <row r="750">
      <c r="B750" s="266"/>
      <c r="C750" s="57"/>
      <c r="D750" s="267"/>
    </row>
    <row r="751">
      <c r="B751" s="266"/>
      <c r="C751" s="57"/>
      <c r="D751" s="267"/>
    </row>
    <row r="752">
      <c r="B752" s="266"/>
      <c r="C752" s="57"/>
      <c r="D752" s="267"/>
    </row>
    <row r="753">
      <c r="B753" s="266"/>
      <c r="C753" s="57"/>
      <c r="D753" s="267"/>
    </row>
    <row r="754">
      <c r="B754" s="266"/>
      <c r="C754" s="57"/>
      <c r="D754" s="267"/>
    </row>
    <row r="755">
      <c r="B755" s="266"/>
      <c r="C755" s="57"/>
      <c r="D755" s="267"/>
    </row>
    <row r="756">
      <c r="B756" s="266"/>
      <c r="C756" s="57"/>
      <c r="D756" s="267"/>
    </row>
    <row r="757">
      <c r="B757" s="266"/>
      <c r="C757" s="57"/>
      <c r="D757" s="267"/>
    </row>
    <row r="758">
      <c r="B758" s="266"/>
      <c r="C758" s="57"/>
      <c r="D758" s="267"/>
    </row>
    <row r="759">
      <c r="B759" s="266"/>
      <c r="C759" s="57"/>
      <c r="D759" s="267"/>
    </row>
    <row r="760">
      <c r="B760" s="266"/>
      <c r="C760" s="57"/>
      <c r="D760" s="267"/>
    </row>
    <row r="761">
      <c r="B761" s="266"/>
      <c r="C761" s="57"/>
      <c r="D761" s="267"/>
    </row>
    <row r="762">
      <c r="B762" s="266"/>
      <c r="C762" s="57"/>
      <c r="D762" s="267"/>
    </row>
    <row r="763">
      <c r="B763" s="266"/>
      <c r="C763" s="57"/>
      <c r="D763" s="267"/>
    </row>
    <row r="764">
      <c r="B764" s="266"/>
      <c r="C764" s="57"/>
      <c r="D764" s="267"/>
    </row>
    <row r="765">
      <c r="B765" s="266"/>
      <c r="C765" s="57"/>
      <c r="D765" s="267"/>
    </row>
    <row r="766">
      <c r="B766" s="266"/>
      <c r="C766" s="57"/>
      <c r="D766" s="267"/>
    </row>
    <row r="767">
      <c r="B767" s="266"/>
      <c r="C767" s="57"/>
      <c r="D767" s="267"/>
    </row>
    <row r="768">
      <c r="B768" s="266"/>
      <c r="C768" s="57"/>
      <c r="D768" s="267"/>
    </row>
    <row r="769">
      <c r="B769" s="266"/>
      <c r="C769" s="57"/>
      <c r="D769" s="267"/>
    </row>
    <row r="770">
      <c r="B770" s="266"/>
      <c r="C770" s="57"/>
      <c r="D770" s="267"/>
    </row>
    <row r="771">
      <c r="B771" s="266"/>
      <c r="C771" s="57"/>
      <c r="D771" s="267"/>
    </row>
    <row r="772">
      <c r="B772" s="266"/>
      <c r="C772" s="57"/>
      <c r="D772" s="267"/>
    </row>
    <row r="773">
      <c r="B773" s="266"/>
      <c r="C773" s="57"/>
      <c r="D773" s="267"/>
    </row>
    <row r="774">
      <c r="B774" s="266"/>
      <c r="C774" s="57"/>
      <c r="D774" s="267"/>
    </row>
    <row r="775">
      <c r="B775" s="266"/>
      <c r="C775" s="57"/>
      <c r="D775" s="267"/>
    </row>
    <row r="776">
      <c r="B776" s="266"/>
      <c r="C776" s="57"/>
      <c r="D776" s="267"/>
    </row>
    <row r="777">
      <c r="B777" s="266"/>
      <c r="C777" s="57"/>
      <c r="D777" s="267"/>
    </row>
    <row r="778">
      <c r="B778" s="266"/>
      <c r="C778" s="57"/>
      <c r="D778" s="267"/>
    </row>
    <row r="779">
      <c r="B779" s="266"/>
      <c r="C779" s="57"/>
      <c r="D779" s="267"/>
    </row>
    <row r="780">
      <c r="B780" s="266"/>
      <c r="C780" s="57"/>
      <c r="D780" s="267"/>
    </row>
    <row r="781">
      <c r="B781" s="266"/>
      <c r="C781" s="57"/>
      <c r="D781" s="267"/>
    </row>
    <row r="782">
      <c r="B782" s="266"/>
      <c r="C782" s="57"/>
      <c r="D782" s="267"/>
    </row>
    <row r="783">
      <c r="B783" s="266"/>
      <c r="C783" s="57"/>
      <c r="D783" s="267"/>
    </row>
    <row r="784">
      <c r="B784" s="266"/>
      <c r="C784" s="57"/>
      <c r="D784" s="267"/>
    </row>
    <row r="785">
      <c r="B785" s="266"/>
      <c r="C785" s="57"/>
      <c r="D785" s="267"/>
    </row>
    <row r="786">
      <c r="B786" s="266"/>
      <c r="C786" s="57"/>
      <c r="D786" s="267"/>
    </row>
    <row r="787">
      <c r="B787" s="266"/>
      <c r="C787" s="57"/>
      <c r="D787" s="267"/>
    </row>
    <row r="788">
      <c r="B788" s="266"/>
      <c r="C788" s="57"/>
      <c r="D788" s="267"/>
    </row>
    <row r="789">
      <c r="B789" s="266"/>
      <c r="C789" s="57"/>
      <c r="D789" s="267"/>
    </row>
    <row r="790">
      <c r="B790" s="266"/>
      <c r="C790" s="57"/>
      <c r="D790" s="267"/>
    </row>
    <row r="791">
      <c r="B791" s="266"/>
      <c r="C791" s="57"/>
      <c r="D791" s="267"/>
    </row>
    <row r="792">
      <c r="B792" s="266"/>
      <c r="C792" s="57"/>
      <c r="D792" s="267"/>
    </row>
    <row r="793">
      <c r="B793" s="266"/>
      <c r="C793" s="57"/>
      <c r="D793" s="267"/>
    </row>
    <row r="794">
      <c r="B794" s="266"/>
      <c r="C794" s="57"/>
      <c r="D794" s="267"/>
    </row>
    <row r="795">
      <c r="B795" s="266"/>
      <c r="C795" s="57"/>
      <c r="D795" s="267"/>
    </row>
    <row r="796">
      <c r="B796" s="266"/>
      <c r="C796" s="57"/>
      <c r="D796" s="267"/>
    </row>
    <row r="797">
      <c r="B797" s="266"/>
      <c r="C797" s="57"/>
      <c r="D797" s="267"/>
    </row>
    <row r="798">
      <c r="B798" s="266"/>
      <c r="C798" s="57"/>
      <c r="D798" s="267"/>
    </row>
    <row r="799">
      <c r="B799" s="266"/>
      <c r="C799" s="57"/>
      <c r="D799" s="267"/>
    </row>
    <row r="800">
      <c r="B800" s="266"/>
      <c r="C800" s="57"/>
      <c r="D800" s="267"/>
    </row>
    <row r="801">
      <c r="B801" s="266"/>
      <c r="C801" s="57"/>
      <c r="D801" s="267"/>
    </row>
    <row r="802">
      <c r="B802" s="266"/>
      <c r="C802" s="57"/>
      <c r="D802" s="267"/>
    </row>
    <row r="803">
      <c r="B803" s="266"/>
      <c r="C803" s="57"/>
      <c r="D803" s="267"/>
    </row>
    <row r="804">
      <c r="B804" s="266"/>
      <c r="C804" s="57"/>
      <c r="D804" s="267"/>
    </row>
    <row r="805">
      <c r="B805" s="266"/>
      <c r="C805" s="57"/>
      <c r="D805" s="267"/>
    </row>
    <row r="806">
      <c r="B806" s="266"/>
      <c r="C806" s="57"/>
      <c r="D806" s="267"/>
    </row>
    <row r="807">
      <c r="B807" s="266"/>
      <c r="C807" s="57"/>
      <c r="D807" s="267"/>
    </row>
    <row r="808">
      <c r="B808" s="266"/>
      <c r="C808" s="57"/>
      <c r="D808" s="267"/>
    </row>
    <row r="809">
      <c r="B809" s="266"/>
      <c r="C809" s="57"/>
      <c r="D809" s="267"/>
    </row>
    <row r="810">
      <c r="B810" s="266"/>
      <c r="C810" s="57"/>
      <c r="D810" s="267"/>
    </row>
    <row r="811">
      <c r="B811" s="266"/>
      <c r="C811" s="57"/>
      <c r="D811" s="267"/>
    </row>
    <row r="812">
      <c r="B812" s="266"/>
      <c r="C812" s="57"/>
      <c r="D812" s="267"/>
    </row>
    <row r="813">
      <c r="B813" s="266"/>
      <c r="C813" s="57"/>
      <c r="D813" s="267"/>
    </row>
    <row r="814">
      <c r="B814" s="266"/>
      <c r="C814" s="57"/>
      <c r="D814" s="267"/>
    </row>
    <row r="815">
      <c r="B815" s="266"/>
      <c r="C815" s="57"/>
      <c r="D815" s="267"/>
    </row>
    <row r="816">
      <c r="B816" s="266"/>
      <c r="C816" s="57"/>
      <c r="D816" s="267"/>
    </row>
    <row r="817">
      <c r="B817" s="266"/>
      <c r="C817" s="57"/>
      <c r="D817" s="267"/>
    </row>
    <row r="818">
      <c r="B818" s="266"/>
      <c r="C818" s="57"/>
      <c r="D818" s="267"/>
    </row>
    <row r="819">
      <c r="B819" s="266"/>
      <c r="C819" s="57"/>
      <c r="D819" s="267"/>
    </row>
    <row r="820">
      <c r="B820" s="266"/>
      <c r="C820" s="57"/>
      <c r="D820" s="267"/>
    </row>
    <row r="821">
      <c r="B821" s="266"/>
      <c r="C821" s="57"/>
      <c r="D821" s="267"/>
    </row>
    <row r="822">
      <c r="B822" s="266"/>
      <c r="C822" s="57"/>
      <c r="D822" s="267"/>
    </row>
    <row r="823">
      <c r="B823" s="266"/>
      <c r="C823" s="57"/>
      <c r="D823" s="267"/>
    </row>
    <row r="824">
      <c r="B824" s="266"/>
      <c r="C824" s="57"/>
      <c r="D824" s="267"/>
    </row>
    <row r="825">
      <c r="B825" s="266"/>
      <c r="C825" s="57"/>
      <c r="D825" s="267"/>
    </row>
    <row r="826">
      <c r="B826" s="266"/>
      <c r="C826" s="57"/>
      <c r="D826" s="267"/>
    </row>
    <row r="827">
      <c r="B827" s="266"/>
      <c r="C827" s="57"/>
      <c r="D827" s="267"/>
    </row>
    <row r="828">
      <c r="B828" s="266"/>
      <c r="C828" s="57"/>
      <c r="D828" s="267"/>
    </row>
    <row r="829">
      <c r="B829" s="266"/>
      <c r="C829" s="57"/>
      <c r="D829" s="267"/>
    </row>
    <row r="830">
      <c r="B830" s="266"/>
      <c r="C830" s="57"/>
      <c r="D830" s="267"/>
    </row>
    <row r="831">
      <c r="B831" s="266"/>
      <c r="C831" s="57"/>
      <c r="D831" s="267"/>
    </row>
    <row r="832">
      <c r="B832" s="266"/>
      <c r="C832" s="57"/>
      <c r="D832" s="267"/>
    </row>
    <row r="833">
      <c r="B833" s="266"/>
      <c r="C833" s="57"/>
      <c r="D833" s="267"/>
    </row>
    <row r="834">
      <c r="B834" s="266"/>
      <c r="C834" s="57"/>
      <c r="D834" s="267"/>
    </row>
    <row r="835">
      <c r="B835" s="266"/>
      <c r="C835" s="57"/>
      <c r="D835" s="267"/>
    </row>
    <row r="836">
      <c r="B836" s="266"/>
      <c r="C836" s="57"/>
      <c r="D836" s="267"/>
    </row>
    <row r="837">
      <c r="B837" s="266"/>
      <c r="C837" s="57"/>
      <c r="D837" s="267"/>
    </row>
    <row r="838">
      <c r="B838" s="266"/>
      <c r="C838" s="57"/>
      <c r="D838" s="267"/>
    </row>
    <row r="839">
      <c r="B839" s="266"/>
      <c r="C839" s="57"/>
      <c r="D839" s="267"/>
    </row>
    <row r="840">
      <c r="B840" s="266"/>
      <c r="C840" s="57"/>
      <c r="D840" s="267"/>
    </row>
    <row r="841">
      <c r="B841" s="266"/>
      <c r="C841" s="57"/>
      <c r="D841" s="267"/>
    </row>
    <row r="842">
      <c r="B842" s="266"/>
      <c r="C842" s="57"/>
      <c r="D842" s="267"/>
    </row>
    <row r="843">
      <c r="B843" s="266"/>
      <c r="C843" s="57"/>
      <c r="D843" s="267"/>
    </row>
    <row r="844">
      <c r="B844" s="266"/>
      <c r="C844" s="57"/>
      <c r="D844" s="267"/>
    </row>
    <row r="845">
      <c r="B845" s="266"/>
      <c r="C845" s="57"/>
      <c r="D845" s="267"/>
    </row>
    <row r="846">
      <c r="B846" s="266"/>
      <c r="C846" s="57"/>
      <c r="D846" s="267"/>
    </row>
    <row r="847">
      <c r="B847" s="266"/>
      <c r="C847" s="57"/>
      <c r="D847" s="267"/>
    </row>
    <row r="848">
      <c r="B848" s="266"/>
      <c r="C848" s="57"/>
      <c r="D848" s="267"/>
    </row>
    <row r="849">
      <c r="B849" s="266"/>
      <c r="C849" s="57"/>
      <c r="D849" s="267"/>
    </row>
    <row r="850">
      <c r="B850" s="266"/>
      <c r="C850" s="57"/>
      <c r="D850" s="267"/>
    </row>
    <row r="851">
      <c r="B851" s="266"/>
      <c r="C851" s="57"/>
      <c r="D851" s="267"/>
    </row>
    <row r="852">
      <c r="B852" s="266"/>
      <c r="C852" s="57"/>
      <c r="D852" s="267"/>
    </row>
    <row r="853">
      <c r="B853" s="266"/>
      <c r="C853" s="57"/>
      <c r="D853" s="267"/>
    </row>
    <row r="854">
      <c r="B854" s="266"/>
      <c r="C854" s="57"/>
      <c r="D854" s="267"/>
    </row>
    <row r="855">
      <c r="B855" s="266"/>
      <c r="C855" s="57"/>
      <c r="D855" s="267"/>
    </row>
    <row r="856">
      <c r="B856" s="266"/>
      <c r="C856" s="57"/>
      <c r="D856" s="267"/>
    </row>
    <row r="857">
      <c r="B857" s="266"/>
      <c r="C857" s="57"/>
      <c r="D857" s="267"/>
    </row>
    <row r="858">
      <c r="B858" s="266"/>
      <c r="C858" s="57"/>
      <c r="D858" s="267"/>
    </row>
    <row r="859">
      <c r="B859" s="266"/>
      <c r="C859" s="57"/>
      <c r="D859" s="267"/>
    </row>
    <row r="860">
      <c r="B860" s="266"/>
      <c r="C860" s="57"/>
      <c r="D860" s="267"/>
    </row>
    <row r="861">
      <c r="B861" s="266"/>
      <c r="C861" s="57"/>
      <c r="D861" s="267"/>
    </row>
    <row r="862">
      <c r="B862" s="266"/>
      <c r="C862" s="57"/>
      <c r="D862" s="267"/>
    </row>
    <row r="863">
      <c r="B863" s="266"/>
      <c r="C863" s="57"/>
      <c r="D863" s="267"/>
    </row>
    <row r="864">
      <c r="B864" s="266"/>
      <c r="C864" s="57"/>
      <c r="D864" s="267"/>
    </row>
    <row r="865">
      <c r="B865" s="266"/>
      <c r="C865" s="57"/>
      <c r="D865" s="267"/>
    </row>
    <row r="866">
      <c r="B866" s="266"/>
      <c r="C866" s="57"/>
      <c r="D866" s="267"/>
    </row>
    <row r="867">
      <c r="B867" s="266"/>
      <c r="C867" s="57"/>
      <c r="D867" s="267"/>
    </row>
    <row r="868">
      <c r="B868" s="266"/>
      <c r="C868" s="57"/>
      <c r="D868" s="267"/>
    </row>
    <row r="869">
      <c r="B869" s="266"/>
      <c r="C869" s="57"/>
      <c r="D869" s="267"/>
    </row>
    <row r="870">
      <c r="B870" s="266"/>
      <c r="C870" s="57"/>
      <c r="D870" s="267"/>
    </row>
    <row r="871">
      <c r="B871" s="266"/>
      <c r="C871" s="57"/>
      <c r="D871" s="267"/>
    </row>
    <row r="872">
      <c r="B872" s="266"/>
      <c r="C872" s="57"/>
      <c r="D872" s="267"/>
    </row>
    <row r="873">
      <c r="B873" s="266"/>
      <c r="C873" s="57"/>
      <c r="D873" s="267"/>
    </row>
    <row r="874">
      <c r="B874" s="266"/>
      <c r="C874" s="57"/>
      <c r="D874" s="267"/>
    </row>
    <row r="875">
      <c r="B875" s="266"/>
      <c r="C875" s="57"/>
      <c r="D875" s="267"/>
    </row>
    <row r="876">
      <c r="B876" s="266"/>
      <c r="C876" s="57"/>
      <c r="D876" s="267"/>
    </row>
    <row r="877">
      <c r="B877" s="266"/>
      <c r="C877" s="57"/>
      <c r="D877" s="267"/>
    </row>
    <row r="878">
      <c r="B878" s="266"/>
      <c r="C878" s="57"/>
      <c r="D878" s="267"/>
    </row>
    <row r="879">
      <c r="B879" s="266"/>
      <c r="C879" s="57"/>
      <c r="D879" s="267"/>
    </row>
    <row r="880">
      <c r="B880" s="266"/>
      <c r="C880" s="57"/>
      <c r="D880" s="267"/>
    </row>
    <row r="881">
      <c r="B881" s="266"/>
      <c r="C881" s="57"/>
      <c r="D881" s="267"/>
    </row>
    <row r="882">
      <c r="B882" s="266"/>
      <c r="C882" s="57"/>
      <c r="D882" s="267"/>
    </row>
    <row r="883">
      <c r="B883" s="266"/>
      <c r="C883" s="57"/>
      <c r="D883" s="267"/>
    </row>
    <row r="884">
      <c r="B884" s="266"/>
      <c r="C884" s="57"/>
      <c r="D884" s="267"/>
    </row>
    <row r="885">
      <c r="B885" s="266"/>
      <c r="C885" s="57"/>
      <c r="D885" s="267"/>
    </row>
    <row r="886">
      <c r="B886" s="266"/>
      <c r="C886" s="57"/>
      <c r="D886" s="267"/>
    </row>
    <row r="887">
      <c r="B887" s="266"/>
      <c r="C887" s="57"/>
      <c r="D887" s="267"/>
    </row>
    <row r="888">
      <c r="B888" s="266"/>
      <c r="C888" s="57"/>
      <c r="D888" s="267"/>
    </row>
    <row r="889">
      <c r="B889" s="266"/>
      <c r="C889" s="57"/>
      <c r="D889" s="267"/>
    </row>
    <row r="890">
      <c r="B890" s="266"/>
      <c r="C890" s="57"/>
      <c r="D890" s="267"/>
    </row>
    <row r="891">
      <c r="B891" s="266"/>
      <c r="C891" s="57"/>
      <c r="D891" s="267"/>
    </row>
    <row r="892">
      <c r="B892" s="266"/>
      <c r="C892" s="57"/>
      <c r="D892" s="267"/>
    </row>
    <row r="893">
      <c r="B893" s="266"/>
      <c r="C893" s="57"/>
      <c r="D893" s="267"/>
    </row>
    <row r="894">
      <c r="B894" s="266"/>
      <c r="C894" s="57"/>
      <c r="D894" s="267"/>
    </row>
    <row r="895">
      <c r="B895" s="266"/>
      <c r="C895" s="57"/>
      <c r="D895" s="267"/>
    </row>
    <row r="896">
      <c r="B896" s="266"/>
      <c r="C896" s="57"/>
      <c r="D896" s="267"/>
    </row>
    <row r="897">
      <c r="B897" s="266"/>
      <c r="C897" s="57"/>
      <c r="D897" s="267"/>
    </row>
    <row r="898">
      <c r="B898" s="266"/>
      <c r="C898" s="57"/>
      <c r="D898" s="267"/>
    </row>
    <row r="899">
      <c r="B899" s="266"/>
      <c r="C899" s="57"/>
      <c r="D899" s="267"/>
    </row>
    <row r="900">
      <c r="B900" s="266"/>
      <c r="C900" s="57"/>
      <c r="D900" s="267"/>
    </row>
    <row r="901">
      <c r="B901" s="266"/>
      <c r="C901" s="57"/>
      <c r="D901" s="267"/>
    </row>
    <row r="902">
      <c r="B902" s="266"/>
      <c r="C902" s="57"/>
      <c r="D902" s="267"/>
    </row>
    <row r="903">
      <c r="B903" s="266"/>
      <c r="C903" s="57"/>
      <c r="D903" s="267"/>
    </row>
    <row r="904">
      <c r="B904" s="266"/>
      <c r="C904" s="57"/>
      <c r="D904" s="267"/>
    </row>
    <row r="905">
      <c r="B905" s="266"/>
      <c r="C905" s="57"/>
      <c r="D905" s="267"/>
    </row>
    <row r="906">
      <c r="B906" s="266"/>
      <c r="C906" s="57"/>
      <c r="D906" s="267"/>
    </row>
    <row r="907">
      <c r="B907" s="266"/>
      <c r="C907" s="57"/>
      <c r="D907" s="267"/>
    </row>
    <row r="908">
      <c r="B908" s="266"/>
      <c r="C908" s="57"/>
      <c r="D908" s="267"/>
    </row>
    <row r="909">
      <c r="B909" s="266"/>
      <c r="C909" s="57"/>
      <c r="D909" s="267"/>
    </row>
    <row r="910">
      <c r="B910" s="266"/>
      <c r="C910" s="57"/>
      <c r="D910" s="267"/>
    </row>
    <row r="911">
      <c r="B911" s="266"/>
      <c r="C911" s="57"/>
      <c r="D911" s="267"/>
    </row>
    <row r="912">
      <c r="B912" s="266"/>
      <c r="C912" s="57"/>
      <c r="D912" s="267"/>
    </row>
    <row r="913">
      <c r="B913" s="266"/>
      <c r="C913" s="57"/>
      <c r="D913" s="267"/>
    </row>
    <row r="914">
      <c r="B914" s="266"/>
      <c r="C914" s="57"/>
      <c r="D914" s="267"/>
    </row>
    <row r="915">
      <c r="B915" s="266"/>
      <c r="C915" s="57"/>
      <c r="D915" s="267"/>
    </row>
    <row r="916">
      <c r="B916" s="266"/>
      <c r="C916" s="57"/>
      <c r="D916" s="267"/>
    </row>
    <row r="917">
      <c r="B917" s="266"/>
      <c r="C917" s="57"/>
      <c r="D917" s="267"/>
    </row>
    <row r="918">
      <c r="B918" s="266"/>
      <c r="C918" s="57"/>
      <c r="D918" s="267"/>
    </row>
    <row r="919">
      <c r="B919" s="266"/>
      <c r="C919" s="57"/>
      <c r="D919" s="267"/>
    </row>
    <row r="920">
      <c r="B920" s="266"/>
      <c r="C920" s="57"/>
      <c r="D920" s="267"/>
    </row>
    <row r="921">
      <c r="B921" s="266"/>
      <c r="C921" s="57"/>
      <c r="D921" s="267"/>
    </row>
    <row r="922">
      <c r="B922" s="266"/>
      <c r="C922" s="57"/>
      <c r="D922" s="267"/>
    </row>
    <row r="923">
      <c r="B923" s="266"/>
      <c r="C923" s="57"/>
      <c r="D923" s="267"/>
    </row>
    <row r="924">
      <c r="B924" s="266"/>
      <c r="C924" s="57"/>
      <c r="D924" s="267"/>
    </row>
    <row r="925">
      <c r="B925" s="266"/>
      <c r="C925" s="57"/>
      <c r="D925" s="267"/>
    </row>
    <row r="926">
      <c r="B926" s="266"/>
      <c r="C926" s="57"/>
      <c r="D926" s="267"/>
    </row>
    <row r="927">
      <c r="B927" s="266"/>
      <c r="C927" s="57"/>
      <c r="D927" s="267"/>
    </row>
    <row r="928">
      <c r="B928" s="266"/>
      <c r="C928" s="57"/>
      <c r="D928" s="267"/>
    </row>
    <row r="929">
      <c r="B929" s="266"/>
      <c r="C929" s="57"/>
      <c r="D929" s="267"/>
    </row>
    <row r="930">
      <c r="B930" s="266"/>
      <c r="C930" s="57"/>
      <c r="D930" s="267"/>
    </row>
    <row r="931">
      <c r="B931" s="266"/>
      <c r="C931" s="57"/>
      <c r="D931" s="267"/>
    </row>
    <row r="932">
      <c r="B932" s="266"/>
      <c r="C932" s="57"/>
      <c r="D932" s="267"/>
    </row>
    <row r="933">
      <c r="B933" s="266"/>
      <c r="C933" s="57"/>
      <c r="D933" s="267"/>
    </row>
    <row r="934">
      <c r="B934" s="266"/>
      <c r="C934" s="57"/>
      <c r="D934" s="267"/>
    </row>
    <row r="935">
      <c r="B935" s="266"/>
      <c r="C935" s="57"/>
      <c r="D935" s="267"/>
    </row>
    <row r="936">
      <c r="B936" s="266"/>
      <c r="C936" s="57"/>
      <c r="D936" s="267"/>
    </row>
    <row r="937">
      <c r="B937" s="266"/>
      <c r="C937" s="57"/>
      <c r="D937" s="267"/>
    </row>
    <row r="938">
      <c r="B938" s="266"/>
      <c r="C938" s="57"/>
      <c r="D938" s="267"/>
    </row>
    <row r="939">
      <c r="B939" s="266"/>
      <c r="C939" s="57"/>
      <c r="D939" s="267"/>
    </row>
    <row r="940">
      <c r="B940" s="266"/>
      <c r="C940" s="57"/>
      <c r="D940" s="267"/>
    </row>
  </sheetData>
  <dataValidations>
    <dataValidation type="list" allowBlank="1" sqref="D2:D59 O2:O59">
      <formula1>'Pat notes'!$A$55:$A$77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5"/>
    <col customWidth="1" min="4" max="4" width="14.88"/>
  </cols>
  <sheetData>
    <row r="1">
      <c r="A1" s="1">
        <v>26541.0</v>
      </c>
      <c r="B1" s="2" t="s">
        <v>205</v>
      </c>
      <c r="C1" s="3"/>
      <c r="D1" s="268" t="s">
        <v>311</v>
      </c>
      <c r="E1" s="269" t="s">
        <v>312</v>
      </c>
    </row>
    <row r="2">
      <c r="A2" s="15" t="s">
        <v>313</v>
      </c>
      <c r="B2" s="7">
        <v>260.0</v>
      </c>
      <c r="D2" s="268">
        <v>254.0</v>
      </c>
      <c r="E2" s="269">
        <v>254.0</v>
      </c>
    </row>
    <row r="3">
      <c r="A3" s="15" t="s">
        <v>23</v>
      </c>
      <c r="B3" s="7">
        <v>28.0</v>
      </c>
      <c r="D3" s="268">
        <v>26.6</v>
      </c>
      <c r="E3" s="269">
        <v>26.6</v>
      </c>
    </row>
    <row r="4">
      <c r="A4" s="8" t="s">
        <v>294</v>
      </c>
      <c r="B4" s="7">
        <v>100.0</v>
      </c>
      <c r="D4" s="268">
        <v>100.0</v>
      </c>
      <c r="E4" s="269">
        <v>100.0</v>
      </c>
    </row>
    <row r="5">
      <c r="A5" s="8" t="s">
        <v>33</v>
      </c>
      <c r="B5" s="7">
        <v>40.0</v>
      </c>
      <c r="D5" s="268">
        <v>34.0</v>
      </c>
      <c r="E5" s="269">
        <v>34.0</v>
      </c>
    </row>
    <row r="6">
      <c r="A6" s="15" t="s">
        <v>295</v>
      </c>
      <c r="B6" s="7">
        <v>11.0</v>
      </c>
      <c r="D6" s="268">
        <v>11.4</v>
      </c>
      <c r="E6" s="269">
        <v>11.4</v>
      </c>
    </row>
    <row r="7">
      <c r="A7" s="15" t="s">
        <v>40</v>
      </c>
      <c r="B7" s="7">
        <v>154.0</v>
      </c>
      <c r="D7" s="268">
        <v>149.0</v>
      </c>
      <c r="E7" s="269">
        <v>149.0</v>
      </c>
    </row>
    <row r="8">
      <c r="A8" s="15" t="s">
        <v>43</v>
      </c>
      <c r="B8" s="7">
        <v>153.0</v>
      </c>
      <c r="D8" s="268">
        <v>154.0</v>
      </c>
      <c r="E8" s="269">
        <v>148.0</v>
      </c>
      <c r="F8" s="7" t="s">
        <v>314</v>
      </c>
    </row>
    <row r="9">
      <c r="A9" s="15" t="s">
        <v>45</v>
      </c>
      <c r="B9" s="7">
        <v>41.0</v>
      </c>
      <c r="D9" s="268">
        <v>41.0</v>
      </c>
      <c r="E9" s="269">
        <v>41.0</v>
      </c>
    </row>
    <row r="10">
      <c r="A10" s="15" t="s">
        <v>49</v>
      </c>
      <c r="B10" s="7">
        <v>58.0</v>
      </c>
      <c r="D10" s="268">
        <v>54.0</v>
      </c>
      <c r="E10" s="269">
        <v>54.0</v>
      </c>
    </row>
    <row r="11">
      <c r="A11" s="15" t="s">
        <v>51</v>
      </c>
      <c r="B11" s="7">
        <v>58.0</v>
      </c>
      <c r="D11" s="268">
        <v>53.0</v>
      </c>
      <c r="E11" s="269">
        <v>56.0</v>
      </c>
      <c r="F11" s="7" t="s">
        <v>314</v>
      </c>
    </row>
    <row r="12">
      <c r="A12" s="15" t="s">
        <v>143</v>
      </c>
      <c r="B12" s="7">
        <v>35.0</v>
      </c>
      <c r="D12" s="268">
        <v>35.0</v>
      </c>
      <c r="E12" s="269">
        <v>40.0</v>
      </c>
      <c r="F12" s="7" t="s">
        <v>314</v>
      </c>
    </row>
    <row r="13">
      <c r="A13" s="15" t="s">
        <v>54</v>
      </c>
      <c r="B13" s="7">
        <v>68.0</v>
      </c>
      <c r="D13" s="268">
        <v>68.0</v>
      </c>
      <c r="E13" s="269">
        <v>68.0</v>
      </c>
    </row>
    <row r="14">
      <c r="A14" s="15" t="s">
        <v>56</v>
      </c>
      <c r="B14" s="7">
        <v>11.0</v>
      </c>
      <c r="D14" s="268">
        <v>11.0</v>
      </c>
      <c r="E14" s="269">
        <v>11.0</v>
      </c>
    </row>
    <row r="15">
      <c r="A15" s="15" t="s">
        <v>59</v>
      </c>
      <c r="B15" s="7">
        <v>8.0</v>
      </c>
      <c r="D15" s="268">
        <v>9.0</v>
      </c>
      <c r="E15" s="269">
        <v>8.76</v>
      </c>
    </row>
    <row r="16">
      <c r="A16" s="15" t="s">
        <v>60</v>
      </c>
      <c r="B16" s="7">
        <v>48.0</v>
      </c>
      <c r="D16" s="268">
        <v>47.0</v>
      </c>
      <c r="E16" s="269">
        <v>47.0</v>
      </c>
    </row>
    <row r="17">
      <c r="A17" s="15" t="s">
        <v>63</v>
      </c>
      <c r="B17" s="7">
        <v>14.0</v>
      </c>
      <c r="D17" s="268">
        <v>14.0</v>
      </c>
      <c r="E17" s="269">
        <v>14.0</v>
      </c>
    </row>
    <row r="18">
      <c r="A18" s="270" t="s">
        <v>64</v>
      </c>
      <c r="B18" s="271">
        <v>50.0</v>
      </c>
      <c r="C18" s="149"/>
      <c r="D18" s="272"/>
      <c r="E18" s="273"/>
    </row>
    <row r="19">
      <c r="A19" s="270" t="s">
        <v>65</v>
      </c>
      <c r="B19" s="271">
        <v>61.0</v>
      </c>
      <c r="C19" s="149"/>
      <c r="D19" s="272"/>
      <c r="E19" s="269" t="s">
        <v>315</v>
      </c>
    </row>
    <row r="20">
      <c r="A20" s="270" t="s">
        <v>66</v>
      </c>
      <c r="B20" s="271">
        <v>175.0</v>
      </c>
      <c r="C20" s="149"/>
      <c r="D20" s="272"/>
      <c r="E20" s="273"/>
    </row>
    <row r="21">
      <c r="A21" s="270" t="s">
        <v>316</v>
      </c>
      <c r="B21" s="271">
        <v>90.0</v>
      </c>
      <c r="C21" s="149"/>
      <c r="D21" s="272"/>
      <c r="E21" s="273"/>
    </row>
    <row r="22">
      <c r="A22" s="15" t="s">
        <v>71</v>
      </c>
      <c r="B22" s="7">
        <v>200.0</v>
      </c>
      <c r="D22" s="268">
        <v>181.93</v>
      </c>
      <c r="E22" s="269">
        <v>181.93</v>
      </c>
    </row>
    <row r="23">
      <c r="A23" s="8" t="s">
        <v>145</v>
      </c>
      <c r="D23" s="272"/>
      <c r="E23" s="273"/>
    </row>
    <row r="24">
      <c r="A24" s="15" t="s">
        <v>76</v>
      </c>
      <c r="B24" s="7">
        <v>74.0</v>
      </c>
      <c r="D24" s="268">
        <v>74.0</v>
      </c>
      <c r="E24" s="269">
        <v>74.0</v>
      </c>
    </row>
    <row r="25">
      <c r="A25" s="15" t="s">
        <v>79</v>
      </c>
      <c r="B25" s="7">
        <v>35.0</v>
      </c>
      <c r="D25" s="268">
        <v>37.68</v>
      </c>
      <c r="E25" s="269">
        <v>37.68</v>
      </c>
    </row>
    <row r="26">
      <c r="A26" s="42" t="s">
        <v>142</v>
      </c>
      <c r="B26" s="7">
        <v>28.0</v>
      </c>
      <c r="D26" s="268">
        <v>22.0</v>
      </c>
      <c r="E26" s="269">
        <v>19.12</v>
      </c>
      <c r="F26" s="7" t="s">
        <v>314</v>
      </c>
    </row>
    <row r="27">
      <c r="A27" s="42" t="s">
        <v>80</v>
      </c>
      <c r="B27" s="7">
        <v>154.0</v>
      </c>
      <c r="D27" s="268">
        <v>151.62</v>
      </c>
      <c r="E27" s="269">
        <v>151.62</v>
      </c>
    </row>
    <row r="28">
      <c r="A28" s="15" t="s">
        <v>317</v>
      </c>
      <c r="B28" s="7">
        <v>22.0</v>
      </c>
      <c r="D28" s="268">
        <v>22.0</v>
      </c>
      <c r="E28" s="269">
        <v>23.0</v>
      </c>
    </row>
    <row r="29">
      <c r="A29" s="8" t="s">
        <v>88</v>
      </c>
      <c r="B29" s="7">
        <v>132.0</v>
      </c>
      <c r="D29" s="268">
        <v>134.44</v>
      </c>
      <c r="E29" s="269">
        <v>134.44</v>
      </c>
    </row>
    <row r="30">
      <c r="A30" s="8" t="s">
        <v>85</v>
      </c>
      <c r="B30" s="7">
        <v>80.0</v>
      </c>
      <c r="D30" s="268">
        <v>75.46</v>
      </c>
      <c r="E30" s="269">
        <v>75.46</v>
      </c>
    </row>
    <row r="31">
      <c r="A31" s="8" t="s">
        <v>92</v>
      </c>
      <c r="B31" s="7">
        <v>10.0</v>
      </c>
      <c r="D31" s="268">
        <v>6.36</v>
      </c>
      <c r="E31" s="269">
        <v>6.36</v>
      </c>
    </row>
    <row r="32">
      <c r="A32" s="15" t="s">
        <v>91</v>
      </c>
      <c r="B32" s="7">
        <v>18.0</v>
      </c>
      <c r="D32" s="268">
        <v>18.0</v>
      </c>
      <c r="E32" s="269">
        <v>18.0</v>
      </c>
    </row>
    <row r="33">
      <c r="A33" s="15" t="s">
        <v>93</v>
      </c>
      <c r="B33" s="7">
        <v>55.0</v>
      </c>
      <c r="D33" s="268">
        <v>56.22</v>
      </c>
      <c r="E33" s="269">
        <v>56.22</v>
      </c>
    </row>
    <row r="34">
      <c r="A34" s="15" t="s">
        <v>95</v>
      </c>
      <c r="B34" s="7">
        <v>135.0</v>
      </c>
      <c r="D34" s="268">
        <v>135.0</v>
      </c>
      <c r="E34" s="269">
        <v>129.0</v>
      </c>
      <c r="F34" s="7" t="s">
        <v>314</v>
      </c>
    </row>
    <row r="35">
      <c r="A35" s="8" t="s">
        <v>318</v>
      </c>
      <c r="B35" s="7">
        <v>90.0</v>
      </c>
      <c r="D35" s="268">
        <v>91.79</v>
      </c>
      <c r="E35" s="269">
        <v>91.79</v>
      </c>
      <c r="F35" s="7" t="s">
        <v>314</v>
      </c>
    </row>
    <row r="36">
      <c r="A36" s="8" t="s">
        <v>100</v>
      </c>
      <c r="B36" s="7">
        <v>102.0</v>
      </c>
      <c r="D36" s="268">
        <v>101.0</v>
      </c>
      <c r="E36" s="269">
        <v>101.0</v>
      </c>
    </row>
    <row r="37">
      <c r="A37" s="8" t="s">
        <v>319</v>
      </c>
      <c r="B37" s="7">
        <v>65.0</v>
      </c>
      <c r="D37" s="268">
        <v>80.0</v>
      </c>
      <c r="E37" s="269">
        <v>80.0</v>
      </c>
      <c r="F37" s="7" t="s">
        <v>320</v>
      </c>
    </row>
    <row r="38">
      <c r="A38" s="8" t="s">
        <v>129</v>
      </c>
      <c r="B38" s="92">
        <v>80.0</v>
      </c>
      <c r="D38" s="268">
        <v>80.0</v>
      </c>
      <c r="E38" s="269">
        <v>80.0</v>
      </c>
    </row>
    <row r="39">
      <c r="A39" s="8" t="s">
        <v>136</v>
      </c>
      <c r="B39" s="7">
        <v>68.0</v>
      </c>
      <c r="D39" s="268" t="s">
        <v>108</v>
      </c>
      <c r="E39" s="269" t="s">
        <v>108</v>
      </c>
      <c r="F39" s="7" t="s">
        <v>321</v>
      </c>
    </row>
    <row r="40">
      <c r="A40" s="8" t="s">
        <v>137</v>
      </c>
      <c r="D40" s="272"/>
      <c r="E40" s="273"/>
    </row>
    <row r="41">
      <c r="A41" s="8" t="s">
        <v>138</v>
      </c>
      <c r="D41" s="272"/>
      <c r="E41" s="273"/>
    </row>
    <row r="42">
      <c r="A42" s="15" t="s">
        <v>141</v>
      </c>
      <c r="B42" s="7">
        <v>10.0</v>
      </c>
      <c r="D42" s="268">
        <v>10.0</v>
      </c>
      <c r="E42" s="269">
        <v>10.0</v>
      </c>
      <c r="F42" s="7" t="s">
        <v>322</v>
      </c>
    </row>
    <row r="43">
      <c r="A43" s="15" t="s">
        <v>110</v>
      </c>
      <c r="B43" s="7">
        <v>95.0</v>
      </c>
      <c r="D43" s="268">
        <v>104.0</v>
      </c>
      <c r="E43" s="269">
        <v>97.0</v>
      </c>
    </row>
    <row r="44">
      <c r="A44" s="15" t="s">
        <v>114</v>
      </c>
      <c r="B44" s="7">
        <v>29.0</v>
      </c>
      <c r="D44" s="268">
        <v>30.0</v>
      </c>
      <c r="E44" s="269">
        <v>26.0</v>
      </c>
      <c r="F44" s="7" t="s">
        <v>314</v>
      </c>
    </row>
    <row r="45">
      <c r="A45" s="42" t="s">
        <v>115</v>
      </c>
      <c r="B45" s="7">
        <v>14.0</v>
      </c>
      <c r="D45" s="268">
        <v>13.0</v>
      </c>
      <c r="E45" s="269">
        <v>15.0</v>
      </c>
    </row>
    <row r="46">
      <c r="A46" s="15" t="s">
        <v>121</v>
      </c>
      <c r="B46" s="7">
        <v>50.0</v>
      </c>
      <c r="D46" s="272"/>
      <c r="E46" s="273"/>
    </row>
    <row r="47">
      <c r="A47" s="8" t="s">
        <v>144</v>
      </c>
      <c r="B47" s="7">
        <v>15.0</v>
      </c>
      <c r="D47" s="272"/>
      <c r="E47" s="273"/>
    </row>
    <row r="48">
      <c r="A48" s="15" t="s">
        <v>147</v>
      </c>
      <c r="B48" s="7"/>
      <c r="D48" s="272"/>
      <c r="E48" s="273"/>
    </row>
    <row r="49">
      <c r="A49" s="15"/>
    </row>
    <row r="51">
      <c r="A51" s="58" t="s">
        <v>323</v>
      </c>
      <c r="B51" s="59">
        <f>sum(B2:B48)</f>
        <v>3024</v>
      </c>
    </row>
    <row r="52">
      <c r="A52" s="263" t="s">
        <v>24</v>
      </c>
      <c r="B52" s="64" t="str">
        <f>sumifs($B$2:$B$49,#REF!,"Corn")</f>
        <v>#VALUE!</v>
      </c>
    </row>
    <row r="53">
      <c r="A53" s="70" t="s">
        <v>25</v>
      </c>
      <c r="B53" s="71" t="str">
        <f>sumifs($B$2:$B$49,#REF!,"white Corn")</f>
        <v>#VALUE!</v>
      </c>
    </row>
    <row r="54">
      <c r="A54" s="70" t="s">
        <v>52</v>
      </c>
      <c r="B54" s="71" t="str">
        <f>sumifs($B$2:$B$49,#REF!,"blue Corn")</f>
        <v>#VALUE!</v>
      </c>
    </row>
    <row r="55">
      <c r="A55" s="70" t="s">
        <v>125</v>
      </c>
      <c r="B55" s="74" t="str">
        <f>SUMIFS($B$2:$B$49,#REF!,"Seed Corn")</f>
        <v>#VALUE!</v>
      </c>
    </row>
    <row r="56">
      <c r="A56" s="70" t="s">
        <v>14</v>
      </c>
      <c r="B56" s="71" t="str">
        <f>sumifs($B$2:$B$49,#REF!,"Soybeans")</f>
        <v>#VALUE!</v>
      </c>
    </row>
    <row r="57">
      <c r="A57" s="78" t="s">
        <v>67</v>
      </c>
      <c r="B57" s="71" t="str">
        <f>sumifs($B$2:$B$49,#REF!,"Peas/snaps")</f>
        <v>#VALUE!</v>
      </c>
    </row>
    <row r="58">
      <c r="A58" s="70" t="s">
        <v>16</v>
      </c>
      <c r="B58" s="71" t="str">
        <f>sumifs($B$2:$B$49,#REF!,"Sorghum")</f>
        <v>#VALUE!</v>
      </c>
    </row>
    <row r="59">
      <c r="A59" s="80" t="s">
        <v>31</v>
      </c>
      <c r="B59" s="71" t="str">
        <f>sumifs($B$2:$B$49,#REF!,"Sweet corn")</f>
        <v>#VALUE!</v>
      </c>
    </row>
    <row r="60">
      <c r="A60" s="70" t="s">
        <v>32</v>
      </c>
      <c r="B60" s="71" t="str">
        <f>sumifs($B$2:$B$49,#REF!,"Lima Beans")</f>
        <v>#VALUE!</v>
      </c>
    </row>
    <row r="61">
      <c r="A61" s="78" t="s">
        <v>87</v>
      </c>
      <c r="B61" s="71" t="str">
        <f>sumifs($B$2:$B$49,#REF!,"Peas")</f>
        <v>#VALUE!</v>
      </c>
    </row>
    <row r="62">
      <c r="A62" s="70" t="s">
        <v>21</v>
      </c>
      <c r="B62" s="71" t="str">
        <f>sumifs($B$2:$B$49,#REF!,"Rye")</f>
        <v>#VALUE!</v>
      </c>
    </row>
    <row r="63">
      <c r="A63" s="70" t="s">
        <v>308</v>
      </c>
      <c r="B63" s="84" t="str">
        <f>sumifs($B$2:$B$49,#REF!,"hay")</f>
        <v>#VALUE!</v>
      </c>
    </row>
    <row r="64">
      <c r="A64" s="83" t="s">
        <v>15</v>
      </c>
      <c r="B64" s="87" t="str">
        <f>sumifs($B$2:$B$49,#REF!,"Wheat")</f>
        <v>#VALUE!</v>
      </c>
    </row>
    <row r="65">
      <c r="A65" s="83" t="s">
        <v>133</v>
      </c>
      <c r="B65" s="87" t="str">
        <f>sumifs($B$2:$B$49,#REF!,"out")</f>
        <v>#VALUE!</v>
      </c>
    </row>
    <row r="66">
      <c r="A66" s="83" t="s">
        <v>309</v>
      </c>
      <c r="B66" s="87" t="str">
        <f>sumifs($B$2:$B$49,#REF!,"NT")</f>
        <v>#VALUE!</v>
      </c>
    </row>
    <row r="67">
      <c r="A67" s="83" t="s">
        <v>310</v>
      </c>
      <c r="B67" s="87" t="str">
        <f>sumifs($B$2:$B$49,#REF!,"cover crop")</f>
        <v>#VALUE!</v>
      </c>
    </row>
    <row r="68">
      <c r="A68" s="83" t="s">
        <v>135</v>
      </c>
      <c r="B68" s="87" t="str">
        <f t="shared" ref="B68:B73" si="1">sumifs($B$2:$B$49,#REF!,A68)</f>
        <v>#VALUE!</v>
      </c>
      <c r="T68" s="25"/>
      <c r="V68" s="25"/>
    </row>
    <row r="69">
      <c r="A69" s="83" t="s">
        <v>83</v>
      </c>
      <c r="B69" s="87" t="str">
        <f t="shared" si="1"/>
        <v>#VALUE!</v>
      </c>
      <c r="T69" s="25"/>
      <c r="V69" s="25"/>
    </row>
    <row r="70">
      <c r="A70" s="264"/>
      <c r="B70" s="87" t="str">
        <f t="shared" si="1"/>
        <v>#VALUE!</v>
      </c>
      <c r="T70" s="25"/>
      <c r="V70" s="25"/>
    </row>
    <row r="71">
      <c r="A71" s="265"/>
      <c r="B71" s="87" t="str">
        <f t="shared" si="1"/>
        <v>#VALUE!</v>
      </c>
      <c r="T71" s="25"/>
      <c r="V71" s="25"/>
    </row>
    <row r="72">
      <c r="A72" s="264"/>
      <c r="B72" s="87" t="str">
        <f t="shared" si="1"/>
        <v>#VALUE!</v>
      </c>
      <c r="T72" s="25"/>
      <c r="V72" s="25"/>
    </row>
    <row r="73">
      <c r="A73" s="90"/>
      <c r="B73" s="87" t="str">
        <f t="shared" si="1"/>
        <v>#VALUE!</v>
      </c>
      <c r="T73" s="25"/>
      <c r="V73" s="25"/>
    </row>
    <row r="74">
      <c r="A74" s="15"/>
      <c r="T74" s="25"/>
      <c r="V74" s="25"/>
    </row>
    <row r="75">
      <c r="A75" s="15"/>
      <c r="B75" s="91" t="str">
        <f>sum(B52:B73)</f>
        <v>#VALUE!</v>
      </c>
      <c r="T75" s="25"/>
      <c r="V75" s="25"/>
    </row>
    <row r="76">
      <c r="A76" s="15"/>
      <c r="T76" s="25"/>
      <c r="V76" s="25"/>
    </row>
    <row r="77">
      <c r="A77" s="15"/>
      <c r="T77" s="25"/>
      <c r="V77" s="25"/>
    </row>
    <row r="78">
      <c r="A78" s="15"/>
      <c r="T78" s="25"/>
      <c r="V78" s="25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288</v>
      </c>
      <c r="B1" s="2" t="s">
        <v>0</v>
      </c>
      <c r="D1" s="7" t="s">
        <v>324</v>
      </c>
    </row>
    <row r="2">
      <c r="A2" s="24" t="s">
        <v>290</v>
      </c>
      <c r="B2" s="7">
        <v>260.32</v>
      </c>
      <c r="D2" s="7">
        <v>2020.0</v>
      </c>
      <c r="I2" s="7" t="s">
        <v>325</v>
      </c>
      <c r="J2" s="7" t="s">
        <v>326</v>
      </c>
      <c r="K2" s="7">
        <v>2023.0</v>
      </c>
    </row>
    <row r="3">
      <c r="A3" s="15" t="s">
        <v>23</v>
      </c>
      <c r="B3" s="7">
        <v>25.9</v>
      </c>
      <c r="D3" s="7">
        <v>2023.0</v>
      </c>
      <c r="J3" s="7" t="s">
        <v>327</v>
      </c>
      <c r="K3" s="7">
        <v>2023.0</v>
      </c>
    </row>
    <row r="4">
      <c r="A4" s="8" t="s">
        <v>294</v>
      </c>
      <c r="B4" s="7">
        <v>103.7</v>
      </c>
      <c r="D4" s="7">
        <v>2021.0</v>
      </c>
      <c r="J4" s="7" t="s">
        <v>328</v>
      </c>
      <c r="K4" s="7">
        <v>2021.0</v>
      </c>
    </row>
    <row r="5">
      <c r="A5" s="8" t="s">
        <v>33</v>
      </c>
      <c r="B5" s="7">
        <v>33.7</v>
      </c>
      <c r="D5" s="7">
        <v>2021.0</v>
      </c>
      <c r="J5" s="7" t="s">
        <v>329</v>
      </c>
      <c r="K5" s="7">
        <v>2021.0</v>
      </c>
    </row>
    <row r="6">
      <c r="A6" s="42" t="s">
        <v>295</v>
      </c>
      <c r="B6" s="7">
        <v>48.0</v>
      </c>
      <c r="D6" s="7">
        <v>2023.0</v>
      </c>
      <c r="J6" s="7" t="s">
        <v>330</v>
      </c>
      <c r="K6" s="7">
        <v>2022.0</v>
      </c>
    </row>
    <row r="7">
      <c r="A7" s="15" t="s">
        <v>40</v>
      </c>
      <c r="B7" s="7">
        <v>150.4</v>
      </c>
      <c r="D7" s="7">
        <v>2021.0</v>
      </c>
      <c r="J7" s="7" t="s">
        <v>331</v>
      </c>
      <c r="K7" s="7">
        <v>2022.0</v>
      </c>
    </row>
    <row r="8">
      <c r="A8" s="15" t="s">
        <v>43</v>
      </c>
      <c r="B8" s="7">
        <v>148.01</v>
      </c>
      <c r="D8" s="7">
        <v>2023.0</v>
      </c>
      <c r="J8" s="7" t="s">
        <v>332</v>
      </c>
      <c r="K8" s="7">
        <v>2022.0</v>
      </c>
    </row>
    <row r="9">
      <c r="A9" s="32" t="s">
        <v>44</v>
      </c>
      <c r="B9" s="7">
        <v>11.0</v>
      </c>
      <c r="D9" s="7">
        <v>2022.0</v>
      </c>
      <c r="J9" s="7" t="s">
        <v>333</v>
      </c>
      <c r="K9" s="7">
        <v>2022.0</v>
      </c>
    </row>
    <row r="10">
      <c r="A10" s="15" t="s">
        <v>45</v>
      </c>
      <c r="B10" s="7">
        <v>41.8</v>
      </c>
      <c r="D10" s="7">
        <v>2023.0</v>
      </c>
      <c r="J10" s="7" t="s">
        <v>334</v>
      </c>
      <c r="K10" s="7">
        <v>2022.0</v>
      </c>
    </row>
    <row r="11">
      <c r="A11" s="15" t="s">
        <v>49</v>
      </c>
      <c r="B11" s="7">
        <v>58.8</v>
      </c>
      <c r="D11" s="7">
        <v>2024.0</v>
      </c>
      <c r="J11" s="7" t="s">
        <v>335</v>
      </c>
      <c r="K11" s="7">
        <v>2022.0</v>
      </c>
    </row>
    <row r="12">
      <c r="A12" s="15" t="s">
        <v>51</v>
      </c>
      <c r="B12" s="7">
        <v>58.2</v>
      </c>
      <c r="D12" s="7">
        <v>2022.0</v>
      </c>
      <c r="J12" s="7" t="s">
        <v>336</v>
      </c>
      <c r="K12" s="7">
        <v>2022.0</v>
      </c>
    </row>
    <row r="13">
      <c r="A13" s="15" t="s">
        <v>54</v>
      </c>
      <c r="B13" s="7">
        <v>67.8</v>
      </c>
      <c r="D13" s="7">
        <v>2023.0</v>
      </c>
      <c r="J13" s="7" t="s">
        <v>337</v>
      </c>
      <c r="K13" s="7">
        <v>2021.0</v>
      </c>
    </row>
    <row r="14">
      <c r="A14" s="24" t="s">
        <v>97</v>
      </c>
      <c r="B14" s="7">
        <v>8.0</v>
      </c>
      <c r="J14" s="7" t="s">
        <v>338</v>
      </c>
      <c r="K14" s="7" t="s">
        <v>199</v>
      </c>
    </row>
    <row r="15">
      <c r="A15" s="38" t="s">
        <v>56</v>
      </c>
      <c r="B15" s="7">
        <v>10.7</v>
      </c>
      <c r="D15" s="7">
        <v>2019.0</v>
      </c>
      <c r="J15" s="7" t="s">
        <v>339</v>
      </c>
    </row>
    <row r="16">
      <c r="A16" s="15" t="s">
        <v>59</v>
      </c>
      <c r="B16" s="7">
        <v>8.89</v>
      </c>
      <c r="D16" s="7">
        <v>2023.0</v>
      </c>
    </row>
    <row r="17">
      <c r="A17" s="15" t="s">
        <v>60</v>
      </c>
      <c r="B17" s="7">
        <v>40.0</v>
      </c>
      <c r="D17" s="7">
        <v>2022.0</v>
      </c>
    </row>
    <row r="18">
      <c r="A18" s="8" t="s">
        <v>62</v>
      </c>
      <c r="B18" s="7">
        <v>5.1</v>
      </c>
      <c r="D18" s="7">
        <v>2022.0</v>
      </c>
    </row>
    <row r="19">
      <c r="A19" s="15" t="s">
        <v>63</v>
      </c>
      <c r="B19" s="7">
        <v>13.7</v>
      </c>
      <c r="D19" s="7">
        <v>2022.0</v>
      </c>
    </row>
    <row r="20">
      <c r="A20" s="8" t="s">
        <v>64</v>
      </c>
      <c r="B20" s="7">
        <v>48.4</v>
      </c>
      <c r="D20" s="7">
        <v>2023.0</v>
      </c>
    </row>
    <row r="21">
      <c r="A21" s="8" t="s">
        <v>65</v>
      </c>
      <c r="B21" s="7">
        <v>25.0</v>
      </c>
      <c r="D21" s="7">
        <v>2023.0</v>
      </c>
    </row>
    <row r="22">
      <c r="A22" s="8" t="s">
        <v>66</v>
      </c>
      <c r="B22" s="7">
        <v>165.9</v>
      </c>
      <c r="D22" s="7">
        <v>2023.0</v>
      </c>
    </row>
    <row r="23">
      <c r="A23" s="8" t="s">
        <v>70</v>
      </c>
      <c r="B23" s="7">
        <v>110.0</v>
      </c>
      <c r="D23" s="7">
        <v>2023.0</v>
      </c>
    </row>
    <row r="24">
      <c r="A24" s="15" t="s">
        <v>71</v>
      </c>
      <c r="B24" s="7">
        <v>191.0</v>
      </c>
      <c r="D24" s="7">
        <v>2023.0</v>
      </c>
      <c r="J24" s="85" t="s">
        <v>340</v>
      </c>
    </row>
    <row r="25">
      <c r="A25" s="8" t="s">
        <v>145</v>
      </c>
      <c r="D25" s="7">
        <v>2023.0</v>
      </c>
      <c r="J25" s="7" t="s">
        <v>341</v>
      </c>
    </row>
    <row r="26">
      <c r="A26" s="15" t="s">
        <v>76</v>
      </c>
      <c r="B26" s="7">
        <v>74.3</v>
      </c>
      <c r="D26" s="7">
        <v>2021.0</v>
      </c>
      <c r="J26" s="7" t="s">
        <v>215</v>
      </c>
    </row>
    <row r="27">
      <c r="A27" s="15" t="s">
        <v>79</v>
      </c>
      <c r="B27" s="7">
        <v>37.5</v>
      </c>
      <c r="D27" s="7">
        <v>2022.0</v>
      </c>
      <c r="J27" s="7" t="s">
        <v>97</v>
      </c>
    </row>
    <row r="28">
      <c r="A28" s="42" t="s">
        <v>80</v>
      </c>
      <c r="B28" s="7">
        <v>152.0</v>
      </c>
      <c r="D28" s="7">
        <v>2022.0</v>
      </c>
      <c r="J28" s="7" t="s">
        <v>342</v>
      </c>
    </row>
    <row r="29">
      <c r="A29" s="24" t="s">
        <v>35</v>
      </c>
      <c r="B29" s="7">
        <v>54.0</v>
      </c>
      <c r="D29" s="7">
        <v>2022.0</v>
      </c>
      <c r="J29" s="7" t="s">
        <v>343</v>
      </c>
    </row>
    <row r="30">
      <c r="A30" s="8" t="s">
        <v>81</v>
      </c>
      <c r="B30" s="7">
        <v>22.28</v>
      </c>
      <c r="D30" s="7">
        <v>2022.0</v>
      </c>
      <c r="J30" s="7" t="s">
        <v>344</v>
      </c>
    </row>
    <row r="31">
      <c r="A31" s="8" t="s">
        <v>88</v>
      </c>
      <c r="B31" s="7">
        <v>132.4</v>
      </c>
      <c r="D31" s="7">
        <v>2022.0</v>
      </c>
    </row>
    <row r="32">
      <c r="A32" s="8" t="s">
        <v>85</v>
      </c>
      <c r="B32" s="7">
        <v>80.0</v>
      </c>
      <c r="D32" s="7">
        <v>2022.0</v>
      </c>
      <c r="J32" s="85" t="s">
        <v>345</v>
      </c>
    </row>
    <row r="33">
      <c r="A33" s="8" t="s">
        <v>92</v>
      </c>
      <c r="B33" s="7">
        <v>6.0</v>
      </c>
      <c r="J33" s="7" t="s">
        <v>337</v>
      </c>
    </row>
    <row r="34">
      <c r="A34" s="38" t="s">
        <v>91</v>
      </c>
      <c r="B34" s="7">
        <v>18.4</v>
      </c>
      <c r="D34" s="7">
        <v>2020.0</v>
      </c>
      <c r="J34" s="7" t="s">
        <v>333</v>
      </c>
    </row>
    <row r="35">
      <c r="A35" s="42" t="s">
        <v>93</v>
      </c>
      <c r="B35" s="7">
        <v>55.0</v>
      </c>
      <c r="D35" s="7">
        <v>2022.0</v>
      </c>
    </row>
    <row r="36">
      <c r="A36" s="15" t="s">
        <v>95</v>
      </c>
      <c r="B36" s="7">
        <v>131.0</v>
      </c>
      <c r="D36" s="7">
        <v>2022.0</v>
      </c>
    </row>
    <row r="37">
      <c r="A37" s="8" t="s">
        <v>99</v>
      </c>
      <c r="B37" s="7">
        <v>81.2</v>
      </c>
      <c r="D37" s="7">
        <v>2024.0</v>
      </c>
    </row>
    <row r="38">
      <c r="A38" s="8" t="s">
        <v>98</v>
      </c>
      <c r="B38" s="7">
        <v>31.0</v>
      </c>
      <c r="D38" s="7">
        <v>2023.0</v>
      </c>
    </row>
    <row r="39">
      <c r="A39" s="24" t="s">
        <v>100</v>
      </c>
      <c r="B39" s="7">
        <v>99.9</v>
      </c>
      <c r="D39" s="7">
        <v>2020.0</v>
      </c>
    </row>
    <row r="40">
      <c r="A40" s="8" t="s">
        <v>102</v>
      </c>
      <c r="B40" s="7">
        <v>75.0</v>
      </c>
    </row>
    <row r="41">
      <c r="A41" s="8" t="s">
        <v>129</v>
      </c>
      <c r="B41" s="92"/>
    </row>
    <row r="42">
      <c r="A42" s="8" t="s">
        <v>134</v>
      </c>
      <c r="B42" s="92"/>
    </row>
    <row r="43">
      <c r="A43" s="8" t="s">
        <v>136</v>
      </c>
      <c r="B43" s="7"/>
    </row>
    <row r="44">
      <c r="A44" s="8" t="s">
        <v>137</v>
      </c>
    </row>
    <row r="45">
      <c r="A45" s="8" t="s">
        <v>138</v>
      </c>
    </row>
    <row r="46">
      <c r="A46" s="15" t="s">
        <v>141</v>
      </c>
      <c r="B46" s="21"/>
    </row>
    <row r="47">
      <c r="A47" s="8" t="s">
        <v>118</v>
      </c>
      <c r="B47" s="7">
        <v>31.5</v>
      </c>
      <c r="D47" s="7">
        <v>2024.0</v>
      </c>
      <c r="E47" s="7">
        <v>2024.0</v>
      </c>
    </row>
    <row r="48">
      <c r="A48" s="8" t="s">
        <v>107</v>
      </c>
      <c r="B48" s="7">
        <v>137.0</v>
      </c>
      <c r="D48" s="7">
        <v>2024.0</v>
      </c>
    </row>
    <row r="49">
      <c r="A49" s="8" t="s">
        <v>109</v>
      </c>
      <c r="B49" s="7">
        <v>153.0</v>
      </c>
      <c r="D49" s="7">
        <v>2024.0</v>
      </c>
    </row>
    <row r="50">
      <c r="A50" s="15" t="s">
        <v>110</v>
      </c>
      <c r="B50" s="7">
        <v>98.4</v>
      </c>
      <c r="D50" s="7">
        <v>2022.0</v>
      </c>
    </row>
    <row r="51">
      <c r="A51" s="15" t="s">
        <v>114</v>
      </c>
      <c r="B51" s="7">
        <v>28.3</v>
      </c>
      <c r="D51" s="7">
        <v>2021.0</v>
      </c>
    </row>
    <row r="52">
      <c r="A52" s="42" t="s">
        <v>115</v>
      </c>
      <c r="B52" s="7">
        <v>14.0</v>
      </c>
      <c r="D52" s="7">
        <v>2019.0</v>
      </c>
    </row>
    <row r="53">
      <c r="A53" s="32" t="s">
        <v>305</v>
      </c>
      <c r="B53" s="7">
        <v>145.0</v>
      </c>
      <c r="D53" s="7">
        <v>2024.0</v>
      </c>
    </row>
    <row r="54">
      <c r="A54" s="32" t="s">
        <v>120</v>
      </c>
      <c r="B54" s="7">
        <v>131.0</v>
      </c>
      <c r="D54" s="7">
        <v>2024.0</v>
      </c>
    </row>
    <row r="55">
      <c r="A55" s="15" t="s">
        <v>121</v>
      </c>
      <c r="B55" s="7">
        <v>72.0</v>
      </c>
      <c r="D55" s="7">
        <v>2024.0</v>
      </c>
    </row>
    <row r="56">
      <c r="A56" s="8" t="s">
        <v>144</v>
      </c>
    </row>
    <row r="57">
      <c r="A57" s="15" t="s">
        <v>147</v>
      </c>
      <c r="B57" s="7"/>
    </row>
    <row r="58">
      <c r="A58" s="15"/>
    </row>
    <row r="60">
      <c r="A60" s="58" t="s">
        <v>346</v>
      </c>
      <c r="B60" s="59">
        <f>sum(B2:B57)</f>
        <v>3494.5</v>
      </c>
    </row>
    <row r="61">
      <c r="A61" s="263" t="s">
        <v>24</v>
      </c>
      <c r="B61" s="64">
        <f>sumifs($B$2:$B$58,$Z$2:$Z$58,"Corn")</f>
        <v>0</v>
      </c>
    </row>
    <row r="62">
      <c r="A62" s="70" t="s">
        <v>25</v>
      </c>
      <c r="B62" s="71">
        <f>sumifs($B$2:$B$58,$Z$2:$Z$58,"white Corn")</f>
        <v>0</v>
      </c>
    </row>
    <row r="63">
      <c r="A63" s="70" t="s">
        <v>52</v>
      </c>
      <c r="B63" s="71">
        <f>sumifs($B$2:$B$58,$Z$2:$Z$58,"blue Corn")</f>
        <v>0</v>
      </c>
    </row>
    <row r="64">
      <c r="A64" s="70" t="s">
        <v>125</v>
      </c>
      <c r="B64" s="74">
        <f>SUMIFS($B$2:$B$58,$Z$2:$Z$58,"Seed Corn")</f>
        <v>0</v>
      </c>
    </row>
    <row r="65">
      <c r="A65" s="70" t="s">
        <v>14</v>
      </c>
      <c r="B65" s="71">
        <f>sumifs($B$2:$B$58,$Z$2:$Z$58,"Soybeans")</f>
        <v>0</v>
      </c>
    </row>
    <row r="66">
      <c r="A66" s="78" t="s">
        <v>67</v>
      </c>
      <c r="B66" s="71">
        <f>sumifs($B$2:$B$58,$Z$2:$Z$58,"Peas/snaps")</f>
        <v>0</v>
      </c>
    </row>
    <row r="67">
      <c r="A67" s="70" t="s">
        <v>16</v>
      </c>
      <c r="B67" s="71">
        <f>sumifs($B$2:$B$58,$Z$2:$Z$58,"Sorghum")</f>
        <v>0</v>
      </c>
    </row>
    <row r="68">
      <c r="A68" s="80" t="s">
        <v>31</v>
      </c>
      <c r="B68" s="71">
        <f>sumifs($B$2:$B$58,$Z$2:$Z$58,"Sweetcorn")</f>
        <v>0</v>
      </c>
    </row>
    <row r="69">
      <c r="A69" s="70" t="s">
        <v>32</v>
      </c>
      <c r="B69" s="71">
        <f>sumifs($B$2:$B$58,$Z$2:$Z$58,"Lima Beans")</f>
        <v>0</v>
      </c>
    </row>
    <row r="70">
      <c r="A70" s="70" t="s">
        <v>47</v>
      </c>
      <c r="B70" s="71">
        <f>sumifs($B$2:$B$58,$Z$2:$Z$58,"peas")</f>
        <v>0</v>
      </c>
    </row>
    <row r="71">
      <c r="A71" s="70" t="s">
        <v>21</v>
      </c>
      <c r="B71" s="71">
        <f>sumifs($B$2:$B$58,$Z$2:$Z$58,"Rye")</f>
        <v>0</v>
      </c>
    </row>
    <row r="72">
      <c r="A72" s="70" t="s">
        <v>308</v>
      </c>
      <c r="B72" s="84">
        <f>sumifs($B$2:$B$58,$Z$2:$Z$58,"hay")</f>
        <v>0</v>
      </c>
    </row>
    <row r="73">
      <c r="A73" s="83" t="s">
        <v>15</v>
      </c>
      <c r="B73" s="87">
        <f>sumifs($B$2:$B$58,$Z$2:$Z$58,"Wheat")</f>
        <v>0</v>
      </c>
    </row>
    <row r="74">
      <c r="A74" s="83" t="s">
        <v>133</v>
      </c>
      <c r="B74" s="87">
        <f>sumifs($B$2:$B$58,$Z$2:$Z$58,"out")</f>
        <v>0</v>
      </c>
    </row>
    <row r="75">
      <c r="A75" s="83" t="s">
        <v>309</v>
      </c>
      <c r="B75" s="87">
        <f>sumifs($B$2:$B$58,$Z$2:$Z$58,"NT")</f>
        <v>0</v>
      </c>
    </row>
    <row r="76">
      <c r="A76" s="83" t="s">
        <v>310</v>
      </c>
      <c r="B76" s="87">
        <f>sumifs($B$2:$B$58,$Z$2:$Z$58,"cover crop")</f>
        <v>0</v>
      </c>
    </row>
    <row r="77">
      <c r="A77" s="83" t="s">
        <v>135</v>
      </c>
      <c r="B77" s="87">
        <f t="shared" ref="B77:B78" si="1">sumifs($B$2:$B$58,$W$2:$W$58,A77)</f>
        <v>0</v>
      </c>
    </row>
    <row r="78">
      <c r="A78" s="83" t="s">
        <v>83</v>
      </c>
      <c r="B78" s="87">
        <f t="shared" si="1"/>
        <v>0</v>
      </c>
    </row>
    <row r="79">
      <c r="A79" s="264"/>
      <c r="B79" s="87">
        <f t="shared" ref="B79:B82" si="2">sumifs($B$2:$B$58,$U$2:$U$58,A79)</f>
        <v>0</v>
      </c>
    </row>
    <row r="80">
      <c r="A80" s="265"/>
      <c r="B80" s="87">
        <f t="shared" si="2"/>
        <v>0</v>
      </c>
    </row>
    <row r="81">
      <c r="A81" s="264"/>
      <c r="B81" s="87">
        <f t="shared" si="2"/>
        <v>0</v>
      </c>
    </row>
    <row r="82">
      <c r="A82" s="90"/>
      <c r="B82" s="87">
        <f t="shared" si="2"/>
        <v>0</v>
      </c>
    </row>
    <row r="83">
      <c r="A83" s="15"/>
    </row>
    <row r="84">
      <c r="A84" s="15"/>
      <c r="B84" s="91">
        <f>sum(B61:B82)</f>
        <v>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