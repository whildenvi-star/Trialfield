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POPBEAN20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<sst xmlns="http://schemas.openxmlformats.org/spreadsheetml/2006/main" count="213" uniqueCount="85">
  <si>
    <t>CONVENTIONAL BEANS 2024- Version 1.05</t>
  </si>
  <si>
    <t>NON-GMO SOYBEANS</t>
  </si>
  <si>
    <t>Last edit    4/12/2024</t>
  </si>
  <si>
    <t>BAGS/TOTE</t>
  </si>
  <si>
    <t xml:space="preserve">SEEDS PER </t>
  </si>
  <si>
    <t>UNIT</t>
  </si>
  <si>
    <t>CONVENTIONAL</t>
  </si>
  <si>
    <t xml:space="preserve">TOTAL </t>
  </si>
  <si>
    <t xml:space="preserve">Total </t>
  </si>
  <si>
    <t>Tillage</t>
  </si>
  <si>
    <t>Burndown Cover Crop</t>
  </si>
  <si>
    <t>FARM</t>
  </si>
  <si>
    <t>ACRES</t>
  </si>
  <si>
    <t>VARIETY</t>
  </si>
  <si>
    <t>POP</t>
  </si>
  <si>
    <t>SEEDS/LB</t>
  </si>
  <si>
    <t>UNITS</t>
  </si>
  <si>
    <t>Totes</t>
  </si>
  <si>
    <t>POUNDS</t>
  </si>
  <si>
    <t>LBS/AC</t>
  </si>
  <si>
    <t>NO TILL</t>
  </si>
  <si>
    <t>Bakke</t>
  </si>
  <si>
    <t>21A20</t>
  </si>
  <si>
    <t>SPRING WORK</t>
  </si>
  <si>
    <t>Klug Davis</t>
  </si>
  <si>
    <t>Daun</t>
  </si>
  <si>
    <t>Fox Kettle</t>
  </si>
  <si>
    <t xml:space="preserve">Inman south CRP </t>
  </si>
  <si>
    <t>Inman</t>
  </si>
  <si>
    <t xml:space="preserve">Klug North </t>
  </si>
  <si>
    <t>Lake</t>
  </si>
  <si>
    <t>Murray</t>
  </si>
  <si>
    <t>Suiter</t>
  </si>
  <si>
    <t>TOTAL PIONEER 21A20</t>
  </si>
  <si>
    <t>Last edit    4/17/2024</t>
  </si>
  <si>
    <t xml:space="preserve">Airport W Juniors </t>
  </si>
  <si>
    <t>DF 155 F</t>
  </si>
  <si>
    <t>Home</t>
  </si>
  <si>
    <t>Gessert Dry  bottom</t>
  </si>
  <si>
    <t>Gessert Dry Top</t>
  </si>
  <si>
    <t>Gessert Irrigated</t>
  </si>
  <si>
    <t>TOTAL DF155 F</t>
  </si>
  <si>
    <t xml:space="preserve">NON-GMO SEED GRADE </t>
  </si>
  <si>
    <t>CONVENTIONAL SOYBEANS</t>
  </si>
  <si>
    <t>Gessert Irrigated West 110</t>
  </si>
  <si>
    <t>SEED GRADE</t>
  </si>
  <si>
    <t>DF 214 N</t>
  </si>
  <si>
    <t>Hoff</t>
  </si>
  <si>
    <t>DF 187 N</t>
  </si>
  <si>
    <t>approx</t>
  </si>
  <si>
    <t>TOTAL GRO ALLIANCE</t>
  </si>
  <si>
    <t>ENLIST</t>
  </si>
  <si>
    <t>Soybeans</t>
  </si>
  <si>
    <t>P21a53E</t>
  </si>
  <si>
    <t>Wes</t>
  </si>
  <si>
    <t>5PSPF20</t>
  </si>
  <si>
    <t>TOTAL Enlist</t>
  </si>
  <si>
    <t>LIMA BEANS</t>
  </si>
  <si>
    <t>SEED SIZE, POP, ETC</t>
  </si>
  <si>
    <t>INFO SUBJECT TO CHANGE</t>
  </si>
  <si>
    <t>TALK TO MIKE KRAUSE</t>
  </si>
  <si>
    <t>Blues North</t>
  </si>
  <si>
    <t>?</t>
  </si>
  <si>
    <t>751-0089</t>
  </si>
  <si>
    <t xml:space="preserve">Blues South </t>
  </si>
  <si>
    <t>RED = ??</t>
  </si>
  <si>
    <t>TOTAL LIMA ACRES</t>
  </si>
  <si>
    <t>NOTES:</t>
  </si>
  <si>
    <t>PEAS  TO SNAPS</t>
  </si>
  <si>
    <t>PEAS</t>
  </si>
  <si>
    <t>Gessley</t>
  </si>
  <si>
    <t>TOTAL PEAS</t>
  </si>
  <si>
    <t>ORGANIC BROADLEAF v1.05</t>
  </si>
  <si>
    <t>ORGANIC FOOD GRADE SOYBEANS</t>
  </si>
  <si>
    <t>Avalon Rd</t>
  </si>
  <si>
    <t>PURIS PS135</t>
  </si>
  <si>
    <t>Glen Erin</t>
  </si>
  <si>
    <t>ORG NATTO BEAN</t>
  </si>
  <si>
    <t>ORGANIC SUNFLOWERS</t>
  </si>
  <si>
    <t>Sunflowers</t>
  </si>
  <si>
    <t>Pioneer P63ME80</t>
  </si>
  <si>
    <t>TOTAL SUNFLOWERS</t>
  </si>
  <si>
    <t>Variety</t>
  </si>
  <si>
    <t>Lot</t>
  </si>
  <si>
    <t>Units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</si>
</sst>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#,##0.0"/>
    <numFmt numFmtId="166" formatCode="m/d/yy"/>
  </numFmts>
  <fonts count="198">
    <font>
      <sz val="11.0"/>
      <color rgb="FF000000"/>
      <name val="Calibri"/>
    </font>
    <font>
      <sz val="23.0"/>
      <color rgb="FF000000"/>
      <name val="Calibri"/>
    </font>
    <font>
      <b/>
      <sz val="29.0"/>
      <color rgb="FF000000"/>
      <name val="Calibri"/>
    </font>
    <font>
      <sz val="12.0"/>
    </font>
    <font>
      <sz val="12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sz val="15.0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8.0"/>
      <color rgb="FF000000"/>
      <name val="Calibri"/>
    </font>
    <font>
      <b/>
      <u/>
      <sz val="15.0"/>
      <color rgb="FF000000"/>
      <name val="Calibri"/>
    </font>
    <font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8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sz val="11.0"/>
      <name val="Calibri"/>
    </font>
    <font>
      <sz val="15.0"/>
      <name val="Calibri"/>
    </font>
    <font>
      <b/>
      <u/>
      <sz val="15.0"/>
      <color rgb="FF000000"/>
      <name val="Calibri"/>
    </font>
    <font/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sz val="15.0"/>
      <color rgb="FF000000"/>
      <name val="Docs-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FF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FF0000"/>
      <name val="Calibri"/>
    </font>
    <font>
      <u/>
      <sz val="15.0"/>
      <color rgb="FF000000"/>
      <name val="Calibri"/>
    </font>
    <font>
      <u/>
      <sz val="15.0"/>
      <color rgb="FF000000"/>
      <name val="Calibri"/>
    </font>
    <font>
      <u/>
      <sz val="15.0"/>
      <color rgb="FF000000"/>
      <name val="Calibri"/>
    </font>
    <font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sz val="15.0"/>
      <color rgb="FFFF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sz val="15.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sz val="38.0"/>
    </font>
    <font>
      <sz val="38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u/>
      <sz val="12.0"/>
      <color rgb="FF000000"/>
      <name val="Calibri"/>
    </font>
    <font>
      <u/>
      <sz val="12.0"/>
      <color rgb="FF000000"/>
      <name val="Calibri"/>
    </font>
    <font>
      <u/>
      <sz val="12.0"/>
      <color rgb="FF000000"/>
      <name val="Calibri"/>
    </font>
    <font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sz val="12.0"/>
    </font>
    <font>
      <b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E06666"/>
        <bgColor rgb="FFE06666"/>
      </patternFill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  <fill>
      <patternFill patternType="solid">
        <fgColor rgb="FF00FFFF"/>
        <bgColor rgb="FF00FFFF"/>
      </patternFill>
    </fill>
    <fill>
      <patternFill patternType="solid">
        <fgColor rgb="FF93C47D"/>
        <bgColor rgb="FF93C47D"/>
      </patternFill>
    </fill>
    <fill>
      <patternFill patternType="solid">
        <fgColor rgb="FFC9DAF8"/>
        <bgColor rgb="FFC9DAF8"/>
      </patternFill>
    </fill>
    <fill>
      <patternFill patternType="solid">
        <fgColor rgb="FF6D9EEB"/>
        <bgColor rgb="FF6D9EEB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8E7CC3"/>
        <bgColor rgb="FF8E7CC3"/>
      </patternFill>
    </fill>
    <fill>
      <patternFill patternType="solid">
        <fgColor rgb="FFFFFF00"/>
        <bgColor rgb="FFFFFF00"/>
      </patternFill>
    </fill>
  </fills>
  <borders count="56">
    <border/>
    <border>
      <bottom style="thin">
        <color rgb="FF000000"/>
      </bottom>
    </border>
    <border>
      <bottom style="thick">
        <color rgb="FF000000"/>
      </bottom>
    </border>
    <border>
      <left style="thick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medium">
        <color rgb="FF000000"/>
      </left>
      <right style="thin">
        <color rgb="FFFFFFFF"/>
      </right>
      <top style="medium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medium">
        <color rgb="FF000000"/>
      </top>
      <bottom style="thin">
        <color rgb="FFFFFFFF"/>
      </bottom>
    </border>
    <border>
      <left style="thin">
        <color rgb="FFFFFFFF"/>
      </left>
      <right style="medium">
        <color rgb="FF000000"/>
      </right>
      <top style="medium">
        <color rgb="FF000000"/>
      </top>
      <bottom style="thin">
        <color rgb="FFFFFFFF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medium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medium">
        <color rgb="FF000000"/>
      </left>
      <right style="thin">
        <color rgb="FFFFFFFF"/>
      </right>
      <top style="thin">
        <color rgb="FFFFFFFF"/>
      </top>
      <bottom style="medium">
        <color rgb="FF000000"/>
      </bottom>
    </border>
    <border>
      <left style="thin">
        <color rgb="FFFFFFFF"/>
      </left>
      <right style="medium">
        <color rgb="FF000000"/>
      </right>
      <top style="thin">
        <color rgb="FFFFFFFF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thick">
        <color rgb="FF000000"/>
      </top>
    </border>
    <border>
      <left style="thin">
        <color rgb="FF000000"/>
      </left>
      <right style="medium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ck">
        <color rgb="FF000000"/>
      </top>
      <bottom style="thick">
        <color rgb="FF000000"/>
      </bottom>
    </border>
    <border>
      <right style="medium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top style="thick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22">
    <xf borderId="0" fillId="0" fontId="0" numFmtId="0" xfId="0" applyAlignment="1" applyFont="1">
      <alignment readingOrder="0" shrinkToFit="0" vertical="bottom" wrapText="0"/>
    </xf>
    <xf borderId="0" fillId="2" fontId="1" numFmtId="14" xfId="0" applyAlignment="1" applyFill="1" applyFont="1" applyNumberFormat="1">
      <alignment horizontal="center" readingOrder="0" vertical="bottom"/>
    </xf>
    <xf borderId="1" fillId="0" fontId="1" numFmtId="14" xfId="0" applyAlignment="1" applyBorder="1" applyFont="1" applyNumberForma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2" fillId="3" fontId="2" numFmtId="0" xfId="0" applyAlignment="1" applyBorder="1" applyFill="1" applyFont="1">
      <alignment readingOrder="0" shrinkToFit="0" wrapText="0"/>
    </xf>
    <xf borderId="2" fillId="3" fontId="3" numFmtId="0" xfId="0" applyBorder="1" applyFont="1"/>
    <xf borderId="2" fillId="3" fontId="4" numFmtId="0" xfId="0" applyAlignment="1" applyBorder="1" applyFont="1">
      <alignment readingOrder="0"/>
    </xf>
    <xf borderId="2" fillId="3" fontId="3" numFmtId="164" xfId="0" applyBorder="1" applyFont="1" applyNumberFormat="1"/>
    <xf borderId="2" fillId="3" fontId="3" numFmtId="165" xfId="0" applyBorder="1" applyFont="1" applyNumberFormat="1"/>
    <xf borderId="0" fillId="2" fontId="5" numFmtId="0" xfId="0" applyAlignment="1" applyFont="1">
      <alignment readingOrder="0"/>
    </xf>
    <xf borderId="3" fillId="4" fontId="6" numFmtId="0" xfId="0" applyAlignment="1" applyBorder="1" applyFill="1" applyFont="1">
      <alignment readingOrder="0"/>
    </xf>
    <xf borderId="0" fillId="4" fontId="7" numFmtId="0" xfId="0" applyAlignment="1" applyFont="1">
      <alignment readingOrder="0"/>
    </xf>
    <xf borderId="4" fillId="4" fontId="8" numFmtId="0" xfId="0" applyAlignment="1" applyBorder="1" applyFont="1">
      <alignment readingOrder="0"/>
    </xf>
    <xf borderId="4" fillId="4" fontId="9" numFmtId="0" xfId="0" applyBorder="1" applyFont="1"/>
    <xf borderId="4" fillId="4" fontId="10" numFmtId="0" xfId="0" applyBorder="1" applyFont="1"/>
    <xf borderId="4" fillId="4" fontId="11" numFmtId="164" xfId="0" applyAlignment="1" applyBorder="1" applyFont="1" applyNumberFormat="1">
      <alignment horizontal="right"/>
    </xf>
    <xf borderId="4" fillId="4" fontId="12" numFmtId="164" xfId="0" applyAlignment="1" applyBorder="1" applyFont="1" applyNumberFormat="1">
      <alignment readingOrder="0"/>
    </xf>
    <xf borderId="4" fillId="4" fontId="13" numFmtId="165" xfId="0" applyAlignment="1" applyBorder="1" applyFont="1" applyNumberFormat="1">
      <alignment readingOrder="0"/>
    </xf>
    <xf borderId="5" fillId="4" fontId="9" numFmtId="0" xfId="0" applyBorder="1" applyFont="1"/>
    <xf borderId="6" fillId="4" fontId="14" numFmtId="0" xfId="0" applyBorder="1" applyFont="1"/>
    <xf borderId="6" fillId="4" fontId="15" numFmtId="164" xfId="0" applyAlignment="1" applyBorder="1" applyFont="1" applyNumberFormat="1">
      <alignment horizontal="right"/>
    </xf>
    <xf borderId="6" fillId="4" fontId="16" numFmtId="164" xfId="0" applyAlignment="1" applyBorder="1" applyFont="1" applyNumberFormat="1">
      <alignment horizontal="right" readingOrder="0"/>
    </xf>
    <xf borderId="6" fillId="4" fontId="17" numFmtId="165" xfId="0" applyAlignment="1" applyBorder="1" applyFont="1" applyNumberFormat="1">
      <alignment horizontal="right"/>
    </xf>
    <xf borderId="7" fillId="4" fontId="9" numFmtId="0" xfId="0" applyBorder="1" applyFont="1"/>
    <xf borderId="0" fillId="4" fontId="18" numFmtId="0" xfId="0" applyAlignment="1" applyFont="1">
      <alignment readingOrder="0"/>
    </xf>
    <xf borderId="6" fillId="4" fontId="19" numFmtId="0" xfId="0" applyAlignment="1" applyBorder="1" applyFont="1">
      <alignment horizontal="right"/>
    </xf>
    <xf borderId="0" fillId="2" fontId="20" numFmtId="0" xfId="0" applyAlignment="1" applyFont="1">
      <alignment readingOrder="0"/>
    </xf>
    <xf borderId="3" fillId="4" fontId="20" numFmtId="0" xfId="0" applyAlignment="1" applyBorder="1" applyFont="1">
      <alignment readingOrder="0"/>
    </xf>
    <xf borderId="0" fillId="4" fontId="20" numFmtId="0" xfId="0" applyAlignment="1" applyFont="1">
      <alignment readingOrder="0"/>
    </xf>
    <xf borderId="6" fillId="4" fontId="20" numFmtId="0" xfId="0" applyAlignment="1" applyBorder="1" applyFont="1">
      <alignment readingOrder="0"/>
    </xf>
    <xf borderId="6" fillId="4" fontId="9" numFmtId="0" xfId="0" applyBorder="1" applyFont="1"/>
    <xf borderId="6" fillId="4" fontId="20" numFmtId="164" xfId="0" applyAlignment="1" applyBorder="1" applyFont="1" applyNumberFormat="1">
      <alignment readingOrder="0"/>
    </xf>
    <xf borderId="6" fillId="4" fontId="21" numFmtId="164" xfId="0" applyBorder="1" applyFont="1" applyNumberFormat="1"/>
    <xf borderId="6" fillId="4" fontId="20" numFmtId="164" xfId="0" applyBorder="1" applyFont="1" applyNumberFormat="1"/>
    <xf borderId="6" fillId="4" fontId="20" numFmtId="1" xfId="0" applyAlignment="1" applyBorder="1" applyFont="1" applyNumberFormat="1">
      <alignment readingOrder="0"/>
    </xf>
    <xf borderId="6" fillId="4" fontId="20" numFmtId="165" xfId="0" applyBorder="1" applyFont="1" applyNumberFormat="1"/>
    <xf borderId="0" fillId="2" fontId="9" numFmtId="0" xfId="0" applyAlignment="1" applyFont="1">
      <alignment readingOrder="0"/>
    </xf>
    <xf borderId="3" fillId="4" fontId="9" numFmtId="0" xfId="0" applyAlignment="1" applyBorder="1" applyFont="1">
      <alignment readingOrder="0"/>
    </xf>
    <xf borderId="6" fillId="4" fontId="9" numFmtId="0" xfId="0" applyAlignment="1" applyBorder="1" applyFont="1">
      <alignment readingOrder="0"/>
    </xf>
    <xf borderId="0" fillId="4" fontId="9" numFmtId="0" xfId="0" applyAlignment="1" applyFont="1">
      <alignment readingOrder="0"/>
    </xf>
    <xf borderId="6" fillId="4" fontId="22" numFmtId="0" xfId="0" applyAlignment="1" applyBorder="1" applyFont="1">
      <alignment readingOrder="0"/>
    </xf>
    <xf borderId="6" fillId="4" fontId="20" numFmtId="1" xfId="0" applyBorder="1" applyFont="1" applyNumberFormat="1"/>
    <xf borderId="6" fillId="4" fontId="23" numFmtId="164" xfId="0" applyBorder="1" applyFont="1" applyNumberFormat="1"/>
    <xf borderId="6" fillId="4" fontId="24" numFmtId="165" xfId="0" applyBorder="1" applyFont="1" applyNumberFormat="1"/>
    <xf borderId="3" fillId="5" fontId="25" numFmtId="0" xfId="0" applyAlignment="1" applyBorder="1" applyFill="1" applyFont="1">
      <alignment readingOrder="0"/>
    </xf>
    <xf borderId="0" fillId="5" fontId="26" numFmtId="0" xfId="0" applyAlignment="1" applyFont="1">
      <alignment readingOrder="0"/>
    </xf>
    <xf borderId="8" fillId="5" fontId="27" numFmtId="0" xfId="0" applyAlignment="1" applyBorder="1" applyFont="1">
      <alignment readingOrder="0"/>
    </xf>
    <xf borderId="8" fillId="5" fontId="9" numFmtId="0" xfId="0" applyBorder="1" applyFont="1"/>
    <xf borderId="8" fillId="5" fontId="28" numFmtId="164" xfId="0" applyBorder="1" applyFont="1" applyNumberFormat="1"/>
    <xf borderId="8" fillId="5" fontId="20" numFmtId="164" xfId="0" applyBorder="1" applyFont="1" applyNumberFormat="1"/>
    <xf borderId="8" fillId="5" fontId="20" numFmtId="1" xfId="0" applyBorder="1" applyFont="1" applyNumberFormat="1"/>
    <xf borderId="8" fillId="5" fontId="29" numFmtId="165" xfId="0" applyBorder="1" applyFont="1" applyNumberFormat="1"/>
    <xf borderId="9" fillId="5" fontId="9" numFmtId="0" xfId="0" applyBorder="1" applyFont="1"/>
    <xf borderId="0" fillId="2" fontId="9" numFmtId="0" xfId="0" applyFont="1"/>
    <xf borderId="10" fillId="2" fontId="9" numFmtId="0" xfId="0" applyBorder="1" applyFont="1"/>
    <xf borderId="10" fillId="2" fontId="20" numFmtId="164" xfId="0" applyBorder="1" applyFont="1" applyNumberFormat="1"/>
    <xf borderId="10" fillId="2" fontId="20" numFmtId="1" xfId="0" applyBorder="1" applyFont="1" applyNumberFormat="1"/>
    <xf borderId="10" fillId="2" fontId="20" numFmtId="165" xfId="0" applyBorder="1" applyFont="1" applyNumberFormat="1"/>
    <xf borderId="3" fillId="6" fontId="30" numFmtId="0" xfId="0" applyAlignment="1" applyBorder="1" applyFill="1" applyFont="1">
      <alignment readingOrder="0"/>
    </xf>
    <xf borderId="0" fillId="6" fontId="31" numFmtId="0" xfId="0" applyAlignment="1" applyFont="1">
      <alignment readingOrder="0"/>
    </xf>
    <xf borderId="4" fillId="6" fontId="32" numFmtId="0" xfId="0" applyAlignment="1" applyBorder="1" applyFont="1">
      <alignment readingOrder="0"/>
    </xf>
    <xf borderId="4" fillId="6" fontId="9" numFmtId="0" xfId="0" applyBorder="1" applyFont="1"/>
    <xf borderId="4" fillId="6" fontId="33" numFmtId="0" xfId="0" applyBorder="1" applyFont="1"/>
    <xf borderId="4" fillId="6" fontId="34" numFmtId="164" xfId="0" applyAlignment="1" applyBorder="1" applyFont="1" applyNumberFormat="1">
      <alignment horizontal="right"/>
    </xf>
    <xf borderId="4" fillId="6" fontId="35" numFmtId="164" xfId="0" applyAlignment="1" applyBorder="1" applyFont="1" applyNumberFormat="1">
      <alignment readingOrder="0"/>
    </xf>
    <xf borderId="4" fillId="6" fontId="36" numFmtId="165" xfId="0" applyAlignment="1" applyBorder="1" applyFont="1" applyNumberFormat="1">
      <alignment readingOrder="0"/>
    </xf>
    <xf borderId="5" fillId="6" fontId="9" numFmtId="0" xfId="0" applyBorder="1" applyFont="1"/>
    <xf borderId="6" fillId="6" fontId="37" numFmtId="0" xfId="0" applyBorder="1" applyFont="1"/>
    <xf borderId="6" fillId="6" fontId="38" numFmtId="164" xfId="0" applyAlignment="1" applyBorder="1" applyFont="1" applyNumberFormat="1">
      <alignment horizontal="right"/>
    </xf>
    <xf borderId="6" fillId="6" fontId="39" numFmtId="164" xfId="0" applyAlignment="1" applyBorder="1" applyFont="1" applyNumberFormat="1">
      <alignment horizontal="right" readingOrder="0"/>
    </xf>
    <xf borderId="6" fillId="6" fontId="40" numFmtId="165" xfId="0" applyAlignment="1" applyBorder="1" applyFont="1" applyNumberFormat="1">
      <alignment horizontal="right"/>
    </xf>
    <xf borderId="7" fillId="6" fontId="9" numFmtId="0" xfId="0" applyBorder="1" applyFont="1"/>
    <xf borderId="0" fillId="2" fontId="41" numFmtId="0" xfId="0" applyFont="1"/>
    <xf borderId="3" fillId="6" fontId="42" numFmtId="0" xfId="0" applyBorder="1" applyFont="1"/>
    <xf borderId="0" fillId="6" fontId="43" numFmtId="0" xfId="0" applyAlignment="1" applyFont="1">
      <alignment readingOrder="0"/>
    </xf>
    <xf borderId="6" fillId="6" fontId="44" numFmtId="0" xfId="0" applyAlignment="1" applyBorder="1" applyFont="1">
      <alignment horizontal="right"/>
    </xf>
    <xf borderId="3" fillId="6" fontId="20" numFmtId="0" xfId="0" applyAlignment="1" applyBorder="1" applyFont="1">
      <alignment readingOrder="0"/>
    </xf>
    <xf borderId="0" fillId="6" fontId="20" numFmtId="0" xfId="0" applyAlignment="1" applyFont="1">
      <alignment readingOrder="0"/>
    </xf>
    <xf borderId="6" fillId="6" fontId="20" numFmtId="0" xfId="0" applyAlignment="1" applyBorder="1" applyFont="1">
      <alignment readingOrder="0"/>
    </xf>
    <xf borderId="6" fillId="6" fontId="9" numFmtId="0" xfId="0" applyBorder="1" applyFont="1"/>
    <xf borderId="6" fillId="6" fontId="20" numFmtId="164" xfId="0" applyAlignment="1" applyBorder="1" applyFont="1" applyNumberFormat="1">
      <alignment readingOrder="0"/>
    </xf>
    <xf borderId="6" fillId="6" fontId="45" numFmtId="164" xfId="0" applyBorder="1" applyFont="1" applyNumberFormat="1"/>
    <xf borderId="6" fillId="6" fontId="20" numFmtId="164" xfId="0" applyBorder="1" applyFont="1" applyNumberFormat="1"/>
    <xf borderId="6" fillId="6" fontId="20" numFmtId="1" xfId="0" applyAlignment="1" applyBorder="1" applyFont="1" applyNumberFormat="1">
      <alignment readingOrder="0"/>
    </xf>
    <xf borderId="6" fillId="6" fontId="20" numFmtId="165" xfId="0" applyBorder="1" applyFont="1" applyNumberFormat="1"/>
    <xf borderId="3" fillId="6" fontId="9" numFmtId="0" xfId="0" applyAlignment="1" applyBorder="1" applyFont="1">
      <alignment readingOrder="0"/>
    </xf>
    <xf borderId="6" fillId="6" fontId="9" numFmtId="0" xfId="0" applyAlignment="1" applyBorder="1" applyFont="1">
      <alignment readingOrder="0"/>
    </xf>
    <xf borderId="6" fillId="6" fontId="46" numFmtId="0" xfId="0" applyAlignment="1" applyBorder="1" applyFont="1">
      <alignment readingOrder="0"/>
    </xf>
    <xf borderId="6" fillId="6" fontId="20" numFmtId="1" xfId="0" applyBorder="1" applyFont="1" applyNumberFormat="1"/>
    <xf borderId="6" fillId="6" fontId="47" numFmtId="164" xfId="0" applyBorder="1" applyFont="1" applyNumberFormat="1"/>
    <xf borderId="6" fillId="6" fontId="48" numFmtId="165" xfId="0" applyBorder="1" applyFont="1" applyNumberFormat="1"/>
    <xf borderId="11" fillId="7" fontId="49" numFmtId="0" xfId="0" applyAlignment="1" applyBorder="1" applyFill="1" applyFont="1">
      <alignment readingOrder="0"/>
    </xf>
    <xf borderId="2" fillId="7" fontId="50" numFmtId="0" xfId="0" applyAlignment="1" applyBorder="1" applyFont="1">
      <alignment readingOrder="0"/>
    </xf>
    <xf borderId="12" fillId="7" fontId="51" numFmtId="0" xfId="0" applyAlignment="1" applyBorder="1" applyFont="1">
      <alignment readingOrder="0"/>
    </xf>
    <xf borderId="12" fillId="7" fontId="9" numFmtId="0" xfId="0" applyBorder="1" applyFont="1"/>
    <xf borderId="12" fillId="7" fontId="52" numFmtId="164" xfId="0" applyBorder="1" applyFont="1" applyNumberFormat="1"/>
    <xf borderId="12" fillId="7" fontId="20" numFmtId="164" xfId="0" applyBorder="1" applyFont="1" applyNumberFormat="1"/>
    <xf borderId="12" fillId="7" fontId="20" numFmtId="1" xfId="0" applyBorder="1" applyFont="1" applyNumberFormat="1"/>
    <xf borderId="12" fillId="7" fontId="53" numFmtId="164" xfId="0" applyBorder="1" applyFont="1" applyNumberFormat="1"/>
    <xf borderId="12" fillId="7" fontId="54" numFmtId="165" xfId="0" applyBorder="1" applyFont="1" applyNumberFormat="1"/>
    <xf borderId="13" fillId="7" fontId="9" numFmtId="0" xfId="0" applyBorder="1" applyFont="1"/>
    <xf borderId="0" fillId="2" fontId="20" numFmtId="164" xfId="0" applyFont="1" applyNumberFormat="1"/>
    <xf borderId="0" fillId="2" fontId="20" numFmtId="1" xfId="0" applyFont="1" applyNumberFormat="1"/>
    <xf borderId="0" fillId="2" fontId="20" numFmtId="165" xfId="0" applyFont="1" applyNumberFormat="1"/>
    <xf borderId="14" fillId="8" fontId="55" numFmtId="0" xfId="0" applyAlignment="1" applyBorder="1" applyFill="1" applyFont="1">
      <alignment readingOrder="0"/>
    </xf>
    <xf borderId="15" fillId="9" fontId="56" numFmtId="0" xfId="0" applyAlignment="1" applyBorder="1" applyFill="1" applyFont="1">
      <alignment readingOrder="0"/>
    </xf>
    <xf borderId="16" fillId="9" fontId="57" numFmtId="0" xfId="0" applyAlignment="1" applyBorder="1" applyFont="1">
      <alignment readingOrder="0"/>
    </xf>
    <xf borderId="16" fillId="9" fontId="9" numFmtId="0" xfId="0" applyBorder="1" applyFont="1"/>
    <xf borderId="16" fillId="9" fontId="58" numFmtId="0" xfId="0" applyBorder="1" applyFont="1"/>
    <xf borderId="16" fillId="9" fontId="59" numFmtId="164" xfId="0" applyAlignment="1" applyBorder="1" applyFont="1" applyNumberFormat="1">
      <alignment horizontal="right"/>
    </xf>
    <xf borderId="16" fillId="9" fontId="60" numFmtId="164" xfId="0" applyAlignment="1" applyBorder="1" applyFont="1" applyNumberFormat="1">
      <alignment readingOrder="0"/>
    </xf>
    <xf borderId="16" fillId="9" fontId="61" numFmtId="165" xfId="0" applyAlignment="1" applyBorder="1" applyFont="1" applyNumberFormat="1">
      <alignment readingOrder="0"/>
    </xf>
    <xf borderId="17" fillId="9" fontId="9" numFmtId="0" xfId="0" applyBorder="1" applyFont="1"/>
    <xf borderId="3" fillId="9" fontId="62" numFmtId="0" xfId="0" applyAlignment="1" applyBorder="1" applyFont="1">
      <alignment readingOrder="0"/>
    </xf>
    <xf borderId="0" fillId="9" fontId="63" numFmtId="0" xfId="0" applyAlignment="1" applyFont="1">
      <alignment readingOrder="0"/>
    </xf>
    <xf borderId="6" fillId="9" fontId="64" numFmtId="0" xfId="0" applyBorder="1" applyFont="1"/>
    <xf borderId="6" fillId="9" fontId="65" numFmtId="164" xfId="0" applyAlignment="1" applyBorder="1" applyFont="1" applyNumberFormat="1">
      <alignment horizontal="right"/>
    </xf>
    <xf borderId="6" fillId="9" fontId="66" numFmtId="164" xfId="0" applyAlignment="1" applyBorder="1" applyFont="1" applyNumberFormat="1">
      <alignment horizontal="right" readingOrder="0"/>
    </xf>
    <xf borderId="6" fillId="9" fontId="67" numFmtId="165" xfId="0" applyAlignment="1" applyBorder="1" applyFont="1" applyNumberFormat="1">
      <alignment horizontal="right"/>
    </xf>
    <xf borderId="7" fillId="9" fontId="9" numFmtId="0" xfId="0" applyBorder="1" applyFont="1"/>
    <xf borderId="3" fillId="9" fontId="68" numFmtId="0" xfId="0" applyBorder="1" applyFont="1"/>
    <xf borderId="0" fillId="9" fontId="69" numFmtId="0" xfId="0" applyFont="1"/>
    <xf borderId="6" fillId="9" fontId="70" numFmtId="0" xfId="0" applyAlignment="1" applyBorder="1" applyFont="1">
      <alignment horizontal="right"/>
    </xf>
    <xf borderId="8" fillId="9" fontId="71" numFmtId="0" xfId="0" applyBorder="1" applyFont="1"/>
    <xf borderId="18" fillId="2" fontId="72" numFmtId="0" xfId="0" applyAlignment="1" applyBorder="1" applyFont="1">
      <alignment vertical="bottom"/>
    </xf>
    <xf borderId="0" fillId="9" fontId="73" numFmtId="0" xfId="0" applyAlignment="1" applyFont="1">
      <alignment vertical="bottom"/>
    </xf>
    <xf borderId="19" fillId="9" fontId="72" numFmtId="0" xfId="0" applyAlignment="1" applyBorder="1" applyFont="1">
      <alignment vertical="bottom"/>
    </xf>
    <xf borderId="20" fillId="9" fontId="73" numFmtId="0" xfId="0" applyAlignment="1" applyBorder="1" applyFont="1">
      <alignment vertical="bottom"/>
    </xf>
    <xf borderId="20" fillId="9" fontId="72" numFmtId="164" xfId="0" applyAlignment="1" applyBorder="1" applyFont="1" applyNumberFormat="1">
      <alignment vertical="bottom"/>
    </xf>
    <xf borderId="20" fillId="9" fontId="20" numFmtId="164" xfId="0" applyAlignment="1" applyBorder="1" applyFont="1" applyNumberFormat="1">
      <alignment horizontal="right" vertical="bottom"/>
    </xf>
    <xf borderId="20" fillId="9" fontId="20" numFmtId="164" xfId="0" applyAlignment="1" applyBorder="1" applyFont="1" applyNumberFormat="1">
      <alignment vertical="bottom"/>
    </xf>
    <xf borderId="20" fillId="10" fontId="20" numFmtId="164" xfId="0" applyAlignment="1" applyBorder="1" applyFill="1" applyFont="1" applyNumberFormat="1">
      <alignment vertical="bottom"/>
    </xf>
    <xf borderId="20" fillId="9" fontId="20" numFmtId="1" xfId="0" applyAlignment="1" applyBorder="1" applyFont="1" applyNumberFormat="1">
      <alignment horizontal="right" vertical="bottom"/>
    </xf>
    <xf borderId="20" fillId="9" fontId="20" numFmtId="165" xfId="0" applyAlignment="1" applyBorder="1" applyFont="1" applyNumberFormat="1">
      <alignment horizontal="right" vertical="bottom"/>
    </xf>
    <xf borderId="21" fillId="9" fontId="72" numFmtId="0" xfId="0" applyAlignment="1" applyBorder="1" applyFont="1">
      <alignment vertical="bottom"/>
    </xf>
    <xf borderId="3" fillId="9" fontId="20" numFmtId="0" xfId="0" applyAlignment="1" applyBorder="1" applyFont="1">
      <alignment readingOrder="0"/>
    </xf>
    <xf borderId="0" fillId="9" fontId="20" numFmtId="0" xfId="0" applyAlignment="1" applyFont="1">
      <alignment readingOrder="0"/>
    </xf>
    <xf borderId="6" fillId="9" fontId="9" numFmtId="0" xfId="0" applyAlignment="1" applyBorder="1" applyFont="1">
      <alignment readingOrder="0"/>
    </xf>
    <xf borderId="6" fillId="9" fontId="20" numFmtId="164" xfId="0" applyAlignment="1" applyBorder="1" applyFont="1" applyNumberFormat="1">
      <alignment readingOrder="0"/>
    </xf>
    <xf borderId="6" fillId="9" fontId="74" numFmtId="164" xfId="0" applyAlignment="1" applyBorder="1" applyFont="1" applyNumberFormat="1">
      <alignment readingOrder="0"/>
    </xf>
    <xf borderId="6" fillId="8" fontId="20" numFmtId="164" xfId="0" applyAlignment="1" applyBorder="1" applyFont="1" applyNumberFormat="1">
      <alignment readingOrder="0"/>
    </xf>
    <xf borderId="6" fillId="9" fontId="20" numFmtId="1" xfId="0" applyAlignment="1" applyBorder="1" applyFont="1" applyNumberFormat="1">
      <alignment readingOrder="0"/>
    </xf>
    <xf borderId="22" fillId="9" fontId="20" numFmtId="164" xfId="0" applyBorder="1" applyFont="1" applyNumberFormat="1"/>
    <xf borderId="23" fillId="9" fontId="20" numFmtId="1" xfId="0" applyAlignment="1" applyBorder="1" applyFont="1" applyNumberFormat="1">
      <alignment readingOrder="0"/>
    </xf>
    <xf borderId="20" fillId="9" fontId="20" numFmtId="164" xfId="0" applyBorder="1" applyFont="1" applyNumberFormat="1"/>
    <xf borderId="6" fillId="9" fontId="20" numFmtId="164" xfId="0" applyBorder="1" applyFont="1" applyNumberFormat="1"/>
    <xf borderId="6" fillId="9" fontId="20" numFmtId="165" xfId="0" applyBorder="1" applyFont="1" applyNumberFormat="1"/>
    <xf borderId="18" fillId="9" fontId="75" numFmtId="0" xfId="0" applyBorder="1" applyFont="1"/>
    <xf borderId="6" fillId="9" fontId="20" numFmtId="0" xfId="0" applyAlignment="1" applyBorder="1" applyFont="1">
      <alignment readingOrder="0"/>
    </xf>
    <xf borderId="6" fillId="9" fontId="9" numFmtId="0" xfId="0" applyBorder="1" applyFont="1"/>
    <xf borderId="6" fillId="9" fontId="76" numFmtId="164" xfId="0" applyBorder="1" applyFont="1" applyNumberFormat="1"/>
    <xf borderId="24" fillId="9" fontId="20" numFmtId="1" xfId="0" applyAlignment="1" applyBorder="1" applyFont="1" applyNumberFormat="1">
      <alignment readingOrder="0"/>
    </xf>
    <xf borderId="11" fillId="11" fontId="77" numFmtId="0" xfId="0" applyAlignment="1" applyBorder="1" applyFill="1" applyFont="1">
      <alignment readingOrder="0"/>
    </xf>
    <xf borderId="2" fillId="11" fontId="78" numFmtId="0" xfId="0" applyAlignment="1" applyBorder="1" applyFont="1">
      <alignment readingOrder="0"/>
    </xf>
    <xf borderId="12" fillId="11" fontId="79" numFmtId="0" xfId="0" applyAlignment="1" applyBorder="1" applyFont="1">
      <alignment readingOrder="0"/>
    </xf>
    <xf borderId="12" fillId="11" fontId="9" numFmtId="0" xfId="0" applyBorder="1" applyFont="1"/>
    <xf borderId="12" fillId="11" fontId="80" numFmtId="164" xfId="0" applyAlignment="1" applyBorder="1" applyFont="1" applyNumberFormat="1">
      <alignment readingOrder="0"/>
    </xf>
    <xf borderId="13" fillId="11" fontId="9" numFmtId="0" xfId="0" applyBorder="1" applyFont="1"/>
    <xf borderId="14" fillId="12" fontId="81" numFmtId="0" xfId="0" applyAlignment="1" applyBorder="1" applyFill="1" applyFont="1">
      <alignment readingOrder="0"/>
    </xf>
    <xf borderId="15" fillId="12" fontId="82" numFmtId="0" xfId="0" applyAlignment="1" applyBorder="1" applyFont="1">
      <alignment readingOrder="0"/>
    </xf>
    <xf borderId="16" fillId="12" fontId="83" numFmtId="0" xfId="0" applyAlignment="1" applyBorder="1" applyFont="1">
      <alignment readingOrder="0"/>
    </xf>
    <xf borderId="16" fillId="12" fontId="9" numFmtId="0" xfId="0" applyBorder="1" applyFont="1"/>
    <xf borderId="16" fillId="12" fontId="84" numFmtId="0" xfId="0" applyBorder="1" applyFont="1"/>
    <xf borderId="16" fillId="12" fontId="85" numFmtId="164" xfId="0" applyAlignment="1" applyBorder="1" applyFont="1" applyNumberFormat="1">
      <alignment horizontal="right"/>
    </xf>
    <xf borderId="16" fillId="12" fontId="86" numFmtId="164" xfId="0" applyAlignment="1" applyBorder="1" applyFont="1" applyNumberFormat="1">
      <alignment readingOrder="0"/>
    </xf>
    <xf borderId="16" fillId="12" fontId="87" numFmtId="165" xfId="0" applyAlignment="1" applyBorder="1" applyFont="1" applyNumberFormat="1">
      <alignment readingOrder="0"/>
    </xf>
    <xf borderId="17" fillId="12" fontId="9" numFmtId="0" xfId="0" applyBorder="1" applyFont="1"/>
    <xf borderId="3" fillId="12" fontId="88" numFmtId="0" xfId="0" applyAlignment="1" applyBorder="1" applyFont="1">
      <alignment readingOrder="0"/>
    </xf>
    <xf borderId="0" fillId="12" fontId="89" numFmtId="0" xfId="0" applyAlignment="1" applyFont="1">
      <alignment readingOrder="0"/>
    </xf>
    <xf borderId="6" fillId="12" fontId="90" numFmtId="0" xfId="0" applyBorder="1" applyFont="1"/>
    <xf borderId="6" fillId="12" fontId="91" numFmtId="164" xfId="0" applyAlignment="1" applyBorder="1" applyFont="1" applyNumberFormat="1">
      <alignment horizontal="right"/>
    </xf>
    <xf borderId="6" fillId="12" fontId="92" numFmtId="164" xfId="0" applyAlignment="1" applyBorder="1" applyFont="1" applyNumberFormat="1">
      <alignment horizontal="right" readingOrder="0"/>
    </xf>
    <xf borderId="6" fillId="12" fontId="93" numFmtId="165" xfId="0" applyAlignment="1" applyBorder="1" applyFont="1" applyNumberFormat="1">
      <alignment horizontal="right"/>
    </xf>
    <xf borderId="7" fillId="12" fontId="9" numFmtId="0" xfId="0" applyBorder="1" applyFont="1"/>
    <xf borderId="0" fillId="2" fontId="94" numFmtId="0" xfId="0" applyAlignment="1" applyFont="1">
      <alignment horizontal="left" readingOrder="0"/>
    </xf>
    <xf borderId="0" fillId="12" fontId="94" numFmtId="0" xfId="0" applyAlignment="1" applyFont="1">
      <alignment horizontal="left" readingOrder="0"/>
    </xf>
    <xf borderId="0" fillId="12" fontId="95" numFmtId="0" xfId="0" applyFont="1"/>
    <xf borderId="6" fillId="12" fontId="96" numFmtId="0" xfId="0" applyAlignment="1" applyBorder="1" applyFont="1">
      <alignment horizontal="right"/>
    </xf>
    <xf borderId="8" fillId="12" fontId="97" numFmtId="0" xfId="0" applyBorder="1" applyFont="1"/>
    <xf borderId="3" fillId="12" fontId="20" numFmtId="0" xfId="0" applyAlignment="1" applyBorder="1" applyFont="1">
      <alignment readingOrder="0"/>
    </xf>
    <xf borderId="0" fillId="12" fontId="20" numFmtId="0" xfId="0" applyAlignment="1" applyFont="1">
      <alignment readingOrder="0"/>
    </xf>
    <xf borderId="6" fillId="12" fontId="9" numFmtId="0" xfId="0" applyAlignment="1" applyBorder="1" applyFont="1">
      <alignment readingOrder="0"/>
    </xf>
    <xf borderId="6" fillId="12" fontId="20" numFmtId="164" xfId="0" applyAlignment="1" applyBorder="1" applyFont="1" applyNumberFormat="1">
      <alignment readingOrder="0"/>
    </xf>
    <xf borderId="6" fillId="12" fontId="98" numFmtId="164" xfId="0" applyAlignment="1" applyBorder="1" applyFont="1" applyNumberFormat="1">
      <alignment readingOrder="0"/>
    </xf>
    <xf borderId="6" fillId="12" fontId="20" numFmtId="1" xfId="0" applyAlignment="1" applyBorder="1" applyFont="1" applyNumberFormat="1">
      <alignment readingOrder="0"/>
    </xf>
    <xf borderId="22" fillId="12" fontId="20" numFmtId="164" xfId="0" applyBorder="1" applyFont="1" applyNumberFormat="1"/>
    <xf borderId="23" fillId="12" fontId="20" numFmtId="1" xfId="0" applyAlignment="1" applyBorder="1" applyFont="1" applyNumberFormat="1">
      <alignment readingOrder="0"/>
    </xf>
    <xf borderId="20" fillId="12" fontId="20" numFmtId="164" xfId="0" applyBorder="1" applyFont="1" applyNumberFormat="1"/>
    <xf borderId="6" fillId="12" fontId="20" numFmtId="164" xfId="0" applyBorder="1" applyFont="1" applyNumberFormat="1"/>
    <xf borderId="6" fillId="12" fontId="20" numFmtId="165" xfId="0" applyBorder="1" applyFont="1" applyNumberFormat="1"/>
    <xf borderId="18" fillId="12" fontId="75" numFmtId="0" xfId="0" applyBorder="1" applyFont="1"/>
    <xf borderId="8" fillId="12" fontId="9" numFmtId="0" xfId="0" applyAlignment="1" applyBorder="1" applyFont="1">
      <alignment readingOrder="0"/>
    </xf>
    <xf borderId="8" fillId="12" fontId="20" numFmtId="164" xfId="0" applyAlignment="1" applyBorder="1" applyFont="1" applyNumberFormat="1">
      <alignment readingOrder="0"/>
    </xf>
    <xf borderId="8" fillId="12" fontId="99" numFmtId="164" xfId="0" applyAlignment="1" applyBorder="1" applyFont="1" applyNumberFormat="1">
      <alignment readingOrder="0"/>
    </xf>
    <xf borderId="8" fillId="12" fontId="20" numFmtId="164" xfId="0" applyBorder="1" applyFont="1" applyNumberFormat="1"/>
    <xf borderId="8" fillId="12" fontId="20" numFmtId="1" xfId="0" applyAlignment="1" applyBorder="1" applyFont="1" applyNumberFormat="1">
      <alignment readingOrder="0"/>
    </xf>
    <xf borderId="25" fillId="12" fontId="20" numFmtId="164" xfId="0" applyBorder="1" applyFont="1" applyNumberFormat="1"/>
    <xf borderId="24" fillId="12" fontId="20" numFmtId="1" xfId="0" applyAlignment="1" applyBorder="1" applyFont="1" applyNumberFormat="1">
      <alignment readingOrder="0"/>
    </xf>
    <xf borderId="26" fillId="12" fontId="20" numFmtId="164" xfId="0" applyBorder="1" applyFont="1" applyNumberFormat="1"/>
    <xf borderId="8" fillId="12" fontId="20" numFmtId="165" xfId="0" applyBorder="1" applyFont="1" applyNumberFormat="1"/>
    <xf borderId="11" fillId="13" fontId="100" numFmtId="0" xfId="0" applyAlignment="1" applyBorder="1" applyFill="1" applyFont="1">
      <alignment readingOrder="0"/>
    </xf>
    <xf borderId="2" fillId="13" fontId="101" numFmtId="0" xfId="0" applyAlignment="1" applyBorder="1" applyFont="1">
      <alignment readingOrder="0"/>
    </xf>
    <xf borderId="12" fillId="13" fontId="102" numFmtId="0" xfId="0" applyAlignment="1" applyBorder="1" applyFont="1">
      <alignment readingOrder="0"/>
    </xf>
    <xf borderId="12" fillId="13" fontId="9" numFmtId="0" xfId="0" applyBorder="1" applyFont="1"/>
    <xf borderId="12" fillId="13" fontId="103" numFmtId="164" xfId="0" applyBorder="1" applyFont="1" applyNumberFormat="1"/>
    <xf borderId="12" fillId="13" fontId="20" numFmtId="164" xfId="0" applyBorder="1" applyFont="1" applyNumberFormat="1"/>
    <xf borderId="12" fillId="13" fontId="20" numFmtId="1" xfId="0" applyBorder="1" applyFont="1" applyNumberFormat="1"/>
    <xf borderId="27" fillId="13" fontId="20" numFmtId="1" xfId="0" applyBorder="1" applyFont="1" applyNumberFormat="1"/>
    <xf borderId="12" fillId="13" fontId="104" numFmtId="164" xfId="0" applyBorder="1" applyFont="1" applyNumberFormat="1"/>
    <xf borderId="12" fillId="13" fontId="105" numFmtId="165" xfId="0" applyBorder="1" applyFont="1" applyNumberFormat="1"/>
    <xf borderId="13" fillId="13" fontId="9" numFmtId="0" xfId="0" applyBorder="1" applyFont="1"/>
    <xf borderId="14" fillId="14" fontId="106" numFmtId="0" xfId="0" applyAlignment="1" applyBorder="1" applyFill="1" applyFont="1">
      <alignment readingOrder="0"/>
    </xf>
    <xf borderId="15" fillId="14" fontId="107" numFmtId="0" xfId="0" applyAlignment="1" applyBorder="1" applyFont="1">
      <alignment readingOrder="0"/>
    </xf>
    <xf borderId="16" fillId="14" fontId="108" numFmtId="14" xfId="0" applyAlignment="1" applyBorder="1" applyFont="1" applyNumberFormat="1">
      <alignment readingOrder="0"/>
    </xf>
    <xf borderId="16" fillId="14" fontId="9" numFmtId="0" xfId="0" applyBorder="1" applyFont="1"/>
    <xf borderId="16" fillId="14" fontId="109" numFmtId="0" xfId="0" applyBorder="1" applyFont="1"/>
    <xf borderId="16" fillId="14" fontId="110" numFmtId="0" xfId="0" applyAlignment="1" applyBorder="1" applyFont="1">
      <alignment readingOrder="0"/>
    </xf>
    <xf borderId="16" fillId="14" fontId="111" numFmtId="164" xfId="0" applyAlignment="1" applyBorder="1" applyFont="1" applyNumberFormat="1">
      <alignment horizontal="right"/>
    </xf>
    <xf borderId="16" fillId="14" fontId="112" numFmtId="164" xfId="0" applyAlignment="1" applyBorder="1" applyFont="1" applyNumberFormat="1">
      <alignment readingOrder="0"/>
    </xf>
    <xf borderId="16" fillId="14" fontId="113" numFmtId="165" xfId="0" applyAlignment="1" applyBorder="1" applyFont="1" applyNumberFormat="1">
      <alignment readingOrder="0"/>
    </xf>
    <xf borderId="17" fillId="14" fontId="9" numFmtId="0" xfId="0" applyBorder="1" applyFont="1"/>
    <xf borderId="0" fillId="2" fontId="114" numFmtId="0" xfId="0" applyAlignment="1" applyFont="1">
      <alignment readingOrder="0"/>
    </xf>
    <xf borderId="3" fillId="14" fontId="115" numFmtId="0" xfId="0" applyAlignment="1" applyBorder="1" applyFont="1">
      <alignment readingOrder="0"/>
    </xf>
    <xf borderId="0" fillId="14" fontId="116" numFmtId="0" xfId="0" applyAlignment="1" applyFont="1">
      <alignment readingOrder="0"/>
    </xf>
    <xf borderId="6" fillId="14" fontId="117" numFmtId="0" xfId="0" applyAlignment="1" applyBorder="1" applyFont="1">
      <alignment readingOrder="0"/>
    </xf>
    <xf borderId="6" fillId="14" fontId="9" numFmtId="0" xfId="0" applyBorder="1" applyFont="1"/>
    <xf borderId="6" fillId="14" fontId="118" numFmtId="0" xfId="0" applyBorder="1" applyFont="1"/>
    <xf borderId="6" fillId="14" fontId="119" numFmtId="164" xfId="0" applyAlignment="1" applyBorder="1" applyFont="1" applyNumberFormat="1">
      <alignment horizontal="right"/>
    </xf>
    <xf borderId="6" fillId="14" fontId="120" numFmtId="164" xfId="0" applyAlignment="1" applyBorder="1" applyFont="1" applyNumberFormat="1">
      <alignment horizontal="right" readingOrder="0"/>
    </xf>
    <xf borderId="6" fillId="14" fontId="121" numFmtId="165" xfId="0" applyAlignment="1" applyBorder="1" applyFont="1" applyNumberFormat="1">
      <alignment horizontal="right"/>
    </xf>
    <xf borderId="7" fillId="14" fontId="9" numFmtId="0" xfId="0" applyBorder="1" applyFont="1"/>
    <xf borderId="6" fillId="14" fontId="122" numFmtId="0" xfId="0" applyAlignment="1" applyBorder="1" applyFont="1">
      <alignment horizontal="right"/>
    </xf>
    <xf borderId="6" fillId="14" fontId="20" numFmtId="164" xfId="0" applyAlignment="1" applyBorder="1" applyFont="1" applyNumberFormat="1">
      <alignment readingOrder="0"/>
    </xf>
    <xf borderId="6" fillId="14" fontId="20" numFmtId="164" xfId="0" applyBorder="1" applyFont="1" applyNumberFormat="1"/>
    <xf borderId="6" fillId="14" fontId="123" numFmtId="164" xfId="0" applyAlignment="1" applyBorder="1" applyFont="1" applyNumberFormat="1">
      <alignment readingOrder="0"/>
    </xf>
    <xf borderId="6" fillId="14" fontId="123" numFmtId="1" xfId="0" applyAlignment="1" applyBorder="1" applyFont="1" applyNumberFormat="1">
      <alignment readingOrder="0"/>
    </xf>
    <xf borderId="6" fillId="14" fontId="20" numFmtId="165" xfId="0" applyBorder="1" applyFont="1" applyNumberFormat="1"/>
    <xf borderId="0" fillId="2" fontId="123" numFmtId="0" xfId="0" applyAlignment="1" applyFont="1">
      <alignment readingOrder="0"/>
    </xf>
    <xf borderId="3" fillId="14" fontId="123" numFmtId="0" xfId="0" applyAlignment="1" applyBorder="1" applyFont="1">
      <alignment readingOrder="0"/>
    </xf>
    <xf borderId="0" fillId="14" fontId="123" numFmtId="0" xfId="0" applyAlignment="1" applyFont="1">
      <alignment readingOrder="0"/>
    </xf>
    <xf borderId="3" fillId="13" fontId="124" numFmtId="0" xfId="0" applyAlignment="1" applyBorder="1" applyFont="1">
      <alignment readingOrder="0"/>
    </xf>
    <xf borderId="0" fillId="13" fontId="125" numFmtId="0" xfId="0" applyAlignment="1" applyFont="1">
      <alignment readingOrder="0"/>
    </xf>
    <xf borderId="8" fillId="13" fontId="126" numFmtId="0" xfId="0" applyAlignment="1" applyBorder="1" applyFont="1">
      <alignment readingOrder="0"/>
    </xf>
    <xf borderId="8" fillId="13" fontId="9" numFmtId="0" xfId="0" applyBorder="1" applyFont="1"/>
    <xf borderId="8" fillId="13" fontId="127" numFmtId="164" xfId="0" applyBorder="1" applyFont="1" applyNumberFormat="1"/>
    <xf borderId="8" fillId="13" fontId="20" numFmtId="164" xfId="0" applyBorder="1" applyFont="1" applyNumberFormat="1"/>
    <xf borderId="8" fillId="13" fontId="20" numFmtId="1" xfId="0" applyBorder="1" applyFont="1" applyNumberFormat="1"/>
    <xf borderId="8" fillId="13" fontId="128" numFmtId="165" xfId="0" applyBorder="1" applyFont="1" applyNumberFormat="1"/>
    <xf borderId="9" fillId="13" fontId="9" numFmtId="0" xfId="0" applyBorder="1" applyFont="1"/>
    <xf borderId="15" fillId="2" fontId="9" numFmtId="0" xfId="0" applyBorder="1" applyFont="1"/>
    <xf borderId="15" fillId="2" fontId="20" numFmtId="164" xfId="0" applyBorder="1" applyFont="1" applyNumberFormat="1"/>
    <xf borderId="15" fillId="2" fontId="20" numFmtId="1" xfId="0" applyBorder="1" applyFont="1" applyNumberFormat="1"/>
    <xf borderId="15" fillId="2" fontId="20" numFmtId="165" xfId="0" applyBorder="1" applyFont="1" applyNumberFormat="1"/>
    <xf borderId="0" fillId="2" fontId="20" numFmtId="14" xfId="0" applyAlignment="1" applyFont="1" applyNumberFormat="1">
      <alignment horizontal="center" vertical="bottom"/>
    </xf>
    <xf borderId="1" fillId="0" fontId="20" numFmtId="14" xfId="0" applyAlignment="1" applyBorder="1" applyFont="1" applyNumberFormat="1">
      <alignment horizontal="center" vertical="bottom"/>
    </xf>
    <xf borderId="1" fillId="0" fontId="73" numFmtId="0" xfId="0" applyAlignment="1" applyBorder="1" applyFont="1">
      <alignment vertical="bottom"/>
    </xf>
    <xf borderId="1" fillId="0" fontId="73" numFmtId="164" xfId="0" applyAlignment="1" applyBorder="1" applyFont="1" applyNumberFormat="1">
      <alignment vertical="bottom"/>
    </xf>
    <xf borderId="0" fillId="2" fontId="20" numFmtId="164" xfId="0" applyAlignment="1" applyFont="1" applyNumberFormat="1">
      <alignment readingOrder="0"/>
    </xf>
    <xf borderId="28" fillId="2" fontId="20" numFmtId="164" xfId="0" applyAlignment="1" applyBorder="1" applyFont="1" applyNumberFormat="1">
      <alignment readingOrder="0"/>
    </xf>
    <xf borderId="29" fillId="2" fontId="20" numFmtId="164" xfId="0" applyBorder="1" applyFont="1" applyNumberFormat="1"/>
    <xf borderId="29" fillId="2" fontId="20" numFmtId="1" xfId="0" applyBorder="1" applyFont="1" applyNumberFormat="1"/>
    <xf borderId="29" fillId="2" fontId="20" numFmtId="165" xfId="0" applyBorder="1" applyFont="1" applyNumberFormat="1"/>
    <xf borderId="30" fillId="2" fontId="9" numFmtId="0" xfId="0" applyBorder="1" applyFont="1"/>
    <xf borderId="0" fillId="2" fontId="129" numFmtId="0" xfId="0" applyAlignment="1" applyFont="1">
      <alignment horizontal="right" vertical="bottom"/>
    </xf>
    <xf borderId="31" fillId="4" fontId="129" numFmtId="0" xfId="0" applyAlignment="1" applyBorder="1" applyFont="1">
      <alignment horizontal="right" vertical="bottom"/>
    </xf>
    <xf borderId="1" fillId="4" fontId="129" numFmtId="0" xfId="0" applyAlignment="1" applyBorder="1" applyFont="1">
      <alignment horizontal="right" vertical="bottom"/>
    </xf>
    <xf borderId="1" fillId="4" fontId="129" numFmtId="0" xfId="0" applyAlignment="1" applyBorder="1" applyFont="1">
      <alignment readingOrder="0" vertical="bottom"/>
    </xf>
    <xf borderId="1" fillId="4" fontId="73" numFmtId="0" xfId="0" applyAlignment="1" applyBorder="1" applyFont="1">
      <alignment vertical="bottom"/>
    </xf>
    <xf borderId="32" fillId="4" fontId="73" numFmtId="164" xfId="0" applyAlignment="1" applyBorder="1" applyFont="1" applyNumberFormat="1">
      <alignment vertical="bottom"/>
    </xf>
    <xf borderId="33" fillId="2" fontId="20" numFmtId="164" xfId="0" applyBorder="1" applyFont="1" applyNumberFormat="1"/>
    <xf borderId="34" fillId="2" fontId="20" numFmtId="164" xfId="0" applyBorder="1" applyFont="1" applyNumberFormat="1"/>
    <xf borderId="34" fillId="2" fontId="20" numFmtId="1" xfId="0" applyBorder="1" applyFont="1" applyNumberFormat="1"/>
    <xf borderId="34" fillId="2" fontId="20" numFmtId="165" xfId="0" applyBorder="1" applyFont="1" applyNumberFormat="1"/>
    <xf borderId="35" fillId="2" fontId="9" numFmtId="0" xfId="0" applyBorder="1" applyFont="1"/>
    <xf borderId="0" fillId="2" fontId="130" numFmtId="0" xfId="0" applyAlignment="1" applyFont="1">
      <alignment vertical="bottom"/>
    </xf>
    <xf borderId="36" fillId="9" fontId="131" numFmtId="0" xfId="0" applyAlignment="1" applyBorder="1" applyFont="1">
      <alignment vertical="bottom"/>
    </xf>
    <xf borderId="0" fillId="9" fontId="132" numFmtId="0" xfId="0" applyAlignment="1" applyFont="1">
      <alignment vertical="bottom"/>
    </xf>
    <xf borderId="0" fillId="9" fontId="73" numFmtId="0" xfId="0" applyAlignment="1" applyFont="1">
      <alignment vertical="bottom"/>
    </xf>
    <xf borderId="19" fillId="9" fontId="133" numFmtId="164" xfId="0" applyAlignment="1" applyBorder="1" applyFont="1" applyNumberFormat="1">
      <alignment vertical="bottom"/>
    </xf>
    <xf borderId="37" fillId="2" fontId="20" numFmtId="1" xfId="0" applyAlignment="1" applyBorder="1" applyFont="1" applyNumberFormat="1">
      <alignment readingOrder="0"/>
    </xf>
    <xf borderId="37" fillId="2" fontId="20" numFmtId="164" xfId="0" applyBorder="1" applyFont="1" applyNumberFormat="1"/>
    <xf borderId="37" fillId="2" fontId="20" numFmtId="1" xfId="0" applyBorder="1" applyFont="1" applyNumberFormat="1"/>
    <xf borderId="37" fillId="2" fontId="20" numFmtId="165" xfId="0" applyBorder="1" applyFont="1" applyNumberFormat="1"/>
    <xf borderId="0" fillId="2" fontId="73" numFmtId="0" xfId="0" applyAlignment="1" applyFont="1">
      <alignment readingOrder="0" vertical="bottom"/>
    </xf>
    <xf borderId="36" fillId="9" fontId="73" numFmtId="0" xfId="0" applyAlignment="1" applyBorder="1" applyFont="1">
      <alignment readingOrder="0" vertical="bottom"/>
    </xf>
    <xf borderId="0" fillId="9" fontId="73" numFmtId="0" xfId="0" applyAlignment="1" applyFont="1">
      <alignment readingOrder="0" vertical="bottom"/>
    </xf>
    <xf borderId="19" fillId="9" fontId="73" numFmtId="164" xfId="0" applyAlignment="1" applyBorder="1" applyFont="1" applyNumberFormat="1">
      <alignment horizontal="right" readingOrder="0" vertical="bottom"/>
    </xf>
    <xf borderId="38" fillId="2" fontId="20" numFmtId="1" xfId="0" applyBorder="1" applyFont="1" applyNumberFormat="1"/>
    <xf borderId="38" fillId="2" fontId="20" numFmtId="164" xfId="0" applyBorder="1" applyFont="1" applyNumberFormat="1"/>
    <xf borderId="38" fillId="2" fontId="20" numFmtId="165" xfId="0" applyBorder="1" applyFont="1" applyNumberFormat="1"/>
    <xf borderId="0" fillId="2" fontId="20" numFmtId="0" xfId="0" applyAlignment="1" applyFont="1">
      <alignment vertical="bottom"/>
    </xf>
    <xf borderId="36" fillId="9" fontId="20" numFmtId="0" xfId="0" applyAlignment="1" applyBorder="1" applyFont="1">
      <alignment vertical="bottom"/>
    </xf>
    <xf borderId="0" fillId="9" fontId="20" numFmtId="0" xfId="0" applyAlignment="1" applyFont="1">
      <alignment vertical="bottom"/>
    </xf>
    <xf borderId="19" fillId="9" fontId="20" numFmtId="164" xfId="0" applyAlignment="1" applyBorder="1" applyFont="1" applyNumberFormat="1">
      <alignment horizontal="right" vertical="bottom"/>
    </xf>
    <xf borderId="31" fillId="9" fontId="134" numFmtId="0" xfId="0" applyAlignment="1" applyBorder="1" applyFont="1">
      <alignment vertical="bottom"/>
    </xf>
    <xf borderId="1" fillId="9" fontId="135" numFmtId="0" xfId="0" applyAlignment="1" applyBorder="1" applyFont="1">
      <alignment vertical="bottom"/>
    </xf>
    <xf borderId="1" fillId="9" fontId="73" numFmtId="0" xfId="0" applyAlignment="1" applyBorder="1" applyFont="1">
      <alignment vertical="bottom"/>
    </xf>
    <xf borderId="32" fillId="9" fontId="136" numFmtId="164" xfId="0" applyAlignment="1" applyBorder="1" applyFont="1" applyNumberFormat="1">
      <alignment horizontal="right" vertical="bottom"/>
    </xf>
    <xf borderId="0" fillId="2" fontId="73" numFmtId="0" xfId="0" applyAlignment="1" applyFont="1">
      <alignment vertical="bottom"/>
    </xf>
    <xf borderId="31" fillId="4" fontId="73" numFmtId="0" xfId="0" applyAlignment="1" applyBorder="1" applyFont="1">
      <alignment vertical="bottom"/>
    </xf>
    <xf borderId="0" fillId="2" fontId="3" numFmtId="0" xfId="0" applyFont="1"/>
    <xf borderId="0" fillId="2" fontId="4" numFmtId="164" xfId="0" applyFont="1" applyNumberFormat="1"/>
    <xf borderId="33" fillId="2" fontId="4" numFmtId="164" xfId="0" applyBorder="1" applyFont="1" applyNumberFormat="1"/>
    <xf borderId="34" fillId="2" fontId="4" numFmtId="164" xfId="0" applyBorder="1" applyFont="1" applyNumberFormat="1"/>
    <xf borderId="38" fillId="2" fontId="4" numFmtId="1" xfId="0" applyBorder="1" applyFont="1" applyNumberFormat="1"/>
    <xf borderId="38" fillId="2" fontId="4" numFmtId="164" xfId="0" applyBorder="1" applyFont="1" applyNumberFormat="1"/>
    <xf borderId="38" fillId="2" fontId="4" numFmtId="165" xfId="0" applyBorder="1" applyFont="1" applyNumberFormat="1"/>
    <xf borderId="35" fillId="2" fontId="3" numFmtId="0" xfId="0" applyBorder="1" applyFont="1"/>
    <xf borderId="39" fillId="2" fontId="4" numFmtId="164" xfId="0" applyBorder="1" applyFont="1" applyNumberFormat="1"/>
    <xf borderId="37" fillId="2" fontId="4" numFmtId="164" xfId="0" applyBorder="1" applyFont="1" applyNumberFormat="1"/>
    <xf borderId="37" fillId="2" fontId="4" numFmtId="1" xfId="0" applyBorder="1" applyFont="1" applyNumberFormat="1"/>
    <xf borderId="37" fillId="2" fontId="4" numFmtId="165" xfId="0" applyBorder="1" applyFont="1" applyNumberFormat="1"/>
    <xf borderId="40" fillId="2" fontId="3" numFmtId="0" xfId="0" applyBorder="1" applyFont="1"/>
    <xf borderId="0" fillId="2" fontId="137" numFmtId="166" xfId="0" applyAlignment="1" applyFont="1" applyNumberFormat="1">
      <alignment readingOrder="0"/>
    </xf>
    <xf borderId="41" fillId="2" fontId="137" numFmtId="166" xfId="0" applyAlignment="1" applyBorder="1" applyFont="1" applyNumberFormat="1">
      <alignment readingOrder="0"/>
    </xf>
    <xf borderId="42" fillId="2" fontId="137" numFmtId="166" xfId="0" applyAlignment="1" applyBorder="1" applyFont="1" applyNumberFormat="1">
      <alignment readingOrder="0"/>
    </xf>
    <xf borderId="42" fillId="2" fontId="137" numFmtId="0" xfId="0" applyBorder="1" applyFont="1"/>
    <xf borderId="42" fillId="2" fontId="138" numFmtId="164" xfId="0" applyBorder="1" applyFont="1" applyNumberFormat="1"/>
    <xf borderId="42" fillId="2" fontId="138" numFmtId="164" xfId="0" applyAlignment="1" applyBorder="1" applyFont="1" applyNumberFormat="1">
      <alignment readingOrder="0"/>
    </xf>
    <xf borderId="42" fillId="2" fontId="138" numFmtId="1" xfId="0" applyBorder="1" applyFont="1" applyNumberFormat="1"/>
    <xf borderId="42" fillId="2" fontId="138" numFmtId="165" xfId="0" applyBorder="1" applyFont="1" applyNumberFormat="1"/>
    <xf borderId="43" fillId="2" fontId="137" numFmtId="0" xfId="0" applyBorder="1" applyFont="1"/>
    <xf borderId="0" fillId="2" fontId="139" numFmtId="0" xfId="0" applyAlignment="1" applyFont="1">
      <alignment readingOrder="0"/>
    </xf>
    <xf borderId="44" fillId="15" fontId="140" numFmtId="0" xfId="0" applyAlignment="1" applyBorder="1" applyFill="1" applyFont="1">
      <alignment readingOrder="0"/>
    </xf>
    <xf borderId="15" fillId="15" fontId="141" numFmtId="0" xfId="0" applyAlignment="1" applyBorder="1" applyFont="1">
      <alignment readingOrder="0"/>
    </xf>
    <xf borderId="16" fillId="15" fontId="142" numFmtId="14" xfId="0" applyAlignment="1" applyBorder="1" applyFont="1" applyNumberFormat="1">
      <alignment readingOrder="0"/>
    </xf>
    <xf borderId="16" fillId="15" fontId="3" numFmtId="0" xfId="0" applyBorder="1" applyFont="1"/>
    <xf borderId="16" fillId="15" fontId="143" numFmtId="0" xfId="0" applyBorder="1" applyFont="1"/>
    <xf borderId="16" fillId="15" fontId="144" numFmtId="0" xfId="0" applyAlignment="1" applyBorder="1" applyFont="1">
      <alignment readingOrder="0"/>
    </xf>
    <xf borderId="16" fillId="15" fontId="145" numFmtId="164" xfId="0" applyAlignment="1" applyBorder="1" applyFont="1" applyNumberFormat="1">
      <alignment horizontal="right"/>
    </xf>
    <xf borderId="16" fillId="15" fontId="146" numFmtId="164" xfId="0" applyAlignment="1" applyBorder="1" applyFont="1" applyNumberFormat="1">
      <alignment readingOrder="0"/>
    </xf>
    <xf borderId="16" fillId="15" fontId="147" numFmtId="165" xfId="0" applyAlignment="1" applyBorder="1" applyFont="1" applyNumberFormat="1">
      <alignment readingOrder="0"/>
    </xf>
    <xf borderId="45" fillId="15" fontId="3" numFmtId="0" xfId="0" applyBorder="1" applyFont="1"/>
    <xf borderId="0" fillId="2" fontId="148" numFmtId="0" xfId="0" applyAlignment="1" applyFont="1">
      <alignment readingOrder="0"/>
    </xf>
    <xf borderId="46" fillId="15" fontId="149" numFmtId="0" xfId="0" applyAlignment="1" applyBorder="1" applyFont="1">
      <alignment readingOrder="0"/>
    </xf>
    <xf borderId="0" fillId="15" fontId="150" numFmtId="0" xfId="0" applyAlignment="1" applyFont="1">
      <alignment readingOrder="0"/>
    </xf>
    <xf borderId="6" fillId="15" fontId="151" numFmtId="0" xfId="0" applyAlignment="1" applyBorder="1" applyFont="1">
      <alignment readingOrder="0"/>
    </xf>
    <xf borderId="6" fillId="15" fontId="3" numFmtId="0" xfId="0" applyBorder="1" applyFont="1"/>
    <xf borderId="6" fillId="15" fontId="152" numFmtId="0" xfId="0" applyBorder="1" applyFont="1"/>
    <xf borderId="6" fillId="15" fontId="153" numFmtId="164" xfId="0" applyAlignment="1" applyBorder="1" applyFont="1" applyNumberFormat="1">
      <alignment horizontal="right"/>
    </xf>
    <xf borderId="6" fillId="15" fontId="154" numFmtId="164" xfId="0" applyAlignment="1" applyBorder="1" applyFont="1" applyNumberFormat="1">
      <alignment horizontal="right" readingOrder="0"/>
    </xf>
    <xf borderId="6" fillId="15" fontId="155" numFmtId="165" xfId="0" applyAlignment="1" applyBorder="1" applyFont="1" applyNumberFormat="1">
      <alignment horizontal="right"/>
    </xf>
    <xf borderId="47" fillId="15" fontId="3" numFmtId="0" xfId="0" applyBorder="1" applyFont="1"/>
    <xf borderId="6" fillId="15" fontId="156" numFmtId="0" xfId="0" applyAlignment="1" applyBorder="1" applyFont="1">
      <alignment horizontal="right"/>
    </xf>
    <xf borderId="6" fillId="15" fontId="4" numFmtId="164" xfId="0" applyAlignment="1" applyBorder="1" applyFont="1" applyNumberFormat="1">
      <alignment readingOrder="0"/>
    </xf>
    <xf borderId="6" fillId="15" fontId="4" numFmtId="164" xfId="0" applyBorder="1" applyFont="1" applyNumberFormat="1"/>
    <xf borderId="6" fillId="15" fontId="4" numFmtId="1" xfId="0" applyAlignment="1" applyBorder="1" applyFont="1" applyNumberFormat="1">
      <alignment readingOrder="0"/>
    </xf>
    <xf borderId="6" fillId="15" fontId="4" numFmtId="165" xfId="0" applyBorder="1" applyFont="1" applyNumberFormat="1"/>
    <xf borderId="46" fillId="16" fontId="157" numFmtId="0" xfId="0" applyAlignment="1" applyBorder="1" applyFill="1" applyFont="1">
      <alignment readingOrder="0"/>
    </xf>
    <xf borderId="0" fillId="16" fontId="158" numFmtId="0" xfId="0" applyAlignment="1" applyFont="1">
      <alignment readingOrder="0"/>
    </xf>
    <xf borderId="8" fillId="16" fontId="159" numFmtId="0" xfId="0" applyAlignment="1" applyBorder="1" applyFont="1">
      <alignment readingOrder="0"/>
    </xf>
    <xf borderId="8" fillId="16" fontId="3" numFmtId="0" xfId="0" applyBorder="1" applyFont="1"/>
    <xf borderId="8" fillId="16" fontId="160" numFmtId="164" xfId="0" applyBorder="1" applyFont="1" applyNumberFormat="1"/>
    <xf borderId="8" fillId="16" fontId="4" numFmtId="164" xfId="0" applyBorder="1" applyFont="1" applyNumberFormat="1"/>
    <xf borderId="8" fillId="16" fontId="4" numFmtId="1" xfId="0" applyBorder="1" applyFont="1" applyNumberFormat="1"/>
    <xf borderId="8" fillId="16" fontId="161" numFmtId="165" xfId="0" applyBorder="1" applyFont="1" applyNumberFormat="1"/>
    <xf borderId="48" fillId="16" fontId="3" numFmtId="0" xfId="0" applyBorder="1" applyFont="1"/>
    <xf borderId="0" fillId="2" fontId="162" numFmtId="14" xfId="0" applyAlignment="1" applyFont="1" applyNumberFormat="1">
      <alignment readingOrder="0"/>
    </xf>
    <xf borderId="49" fillId="0" fontId="163" numFmtId="14" xfId="0" applyAlignment="1" applyBorder="1" applyFont="1" applyNumberFormat="1">
      <alignment readingOrder="0"/>
    </xf>
    <xf borderId="10" fillId="0" fontId="164" numFmtId="14" xfId="0" applyAlignment="1" applyBorder="1" applyFont="1" applyNumberFormat="1">
      <alignment readingOrder="0"/>
    </xf>
    <xf borderId="10" fillId="0" fontId="3" numFmtId="0" xfId="0" applyBorder="1" applyFont="1"/>
    <xf borderId="10" fillId="0" fontId="165" numFmtId="0" xfId="0" applyBorder="1" applyFont="1"/>
    <xf borderId="10" fillId="0" fontId="166" numFmtId="164" xfId="0" applyAlignment="1" applyBorder="1" applyFont="1" applyNumberFormat="1">
      <alignment horizontal="right"/>
    </xf>
    <xf borderId="10" fillId="0" fontId="167" numFmtId="164" xfId="0" applyAlignment="1" applyBorder="1" applyFont="1" applyNumberFormat="1">
      <alignment readingOrder="0"/>
    </xf>
    <xf borderId="10" fillId="0" fontId="168" numFmtId="165" xfId="0" applyAlignment="1" applyBorder="1" applyFont="1" applyNumberFormat="1">
      <alignment readingOrder="0"/>
    </xf>
    <xf borderId="50" fillId="0" fontId="3" numFmtId="0" xfId="0" applyBorder="1" applyFont="1"/>
    <xf borderId="0" fillId="2" fontId="169" numFmtId="0" xfId="0" applyFont="1"/>
    <xf borderId="49" fillId="0" fontId="170" numFmtId="0" xfId="0" applyBorder="1" applyFont="1"/>
    <xf borderId="10" fillId="0" fontId="171" numFmtId="164" xfId="0" applyBorder="1" applyFont="1" applyNumberFormat="1"/>
    <xf borderId="10" fillId="0" fontId="4" numFmtId="164" xfId="0" applyBorder="1" applyFont="1" applyNumberFormat="1"/>
    <xf borderId="10" fillId="0" fontId="4" numFmtId="1" xfId="0" applyBorder="1" applyFont="1" applyNumberFormat="1"/>
    <xf borderId="10" fillId="0" fontId="172" numFmtId="165" xfId="0" applyBorder="1" applyFont="1" applyNumberFormat="1"/>
    <xf borderId="46" fillId="5" fontId="173" numFmtId="0" xfId="0" applyAlignment="1" applyBorder="1" applyFont="1">
      <alignment readingOrder="0"/>
    </xf>
    <xf borderId="0" fillId="5" fontId="174" numFmtId="0" xfId="0" applyAlignment="1" applyFont="1">
      <alignment readingOrder="0"/>
    </xf>
    <xf borderId="4" fillId="5" fontId="175" numFmtId="14" xfId="0" applyAlignment="1" applyBorder="1" applyFont="1" applyNumberFormat="1">
      <alignment readingOrder="0"/>
    </xf>
    <xf borderId="4" fillId="5" fontId="3" numFmtId="0" xfId="0" applyBorder="1" applyFont="1"/>
    <xf borderId="4" fillId="5" fontId="176" numFmtId="0" xfId="0" applyBorder="1" applyFont="1"/>
    <xf borderId="4" fillId="5" fontId="177" numFmtId="0" xfId="0" applyAlignment="1" applyBorder="1" applyFont="1">
      <alignment readingOrder="0"/>
    </xf>
    <xf borderId="4" fillId="5" fontId="178" numFmtId="164" xfId="0" applyAlignment="1" applyBorder="1" applyFont="1" applyNumberFormat="1">
      <alignment horizontal="right"/>
    </xf>
    <xf borderId="4" fillId="5" fontId="179" numFmtId="164" xfId="0" applyAlignment="1" applyBorder="1" applyFont="1" applyNumberFormat="1">
      <alignment readingOrder="0"/>
    </xf>
    <xf borderId="4" fillId="5" fontId="180" numFmtId="165" xfId="0" applyAlignment="1" applyBorder="1" applyFont="1" applyNumberFormat="1">
      <alignment readingOrder="0"/>
    </xf>
    <xf borderId="51" fillId="5" fontId="3" numFmtId="0" xfId="0" applyBorder="1" applyFont="1"/>
    <xf borderId="46" fillId="5" fontId="181" numFmtId="0" xfId="0" applyBorder="1" applyFont="1"/>
    <xf borderId="0" fillId="5" fontId="182" numFmtId="0" xfId="0" applyFont="1"/>
    <xf borderId="6" fillId="5" fontId="183" numFmtId="0" xfId="0" applyBorder="1" applyFont="1"/>
    <xf borderId="6" fillId="5" fontId="184" numFmtId="0" xfId="0" applyAlignment="1" applyBorder="1" applyFont="1">
      <alignment horizontal="right"/>
    </xf>
    <xf borderId="6" fillId="5" fontId="185" numFmtId="164" xfId="0" applyAlignment="1" applyBorder="1" applyFont="1" applyNumberFormat="1">
      <alignment horizontal="right"/>
    </xf>
    <xf borderId="6" fillId="5" fontId="186" numFmtId="164" xfId="0" applyAlignment="1" applyBorder="1" applyFont="1" applyNumberFormat="1">
      <alignment horizontal="right" readingOrder="0"/>
    </xf>
    <xf borderId="6" fillId="5" fontId="187" numFmtId="165" xfId="0" applyAlignment="1" applyBorder="1" applyFont="1" applyNumberFormat="1">
      <alignment horizontal="right"/>
    </xf>
    <xf borderId="47" fillId="5" fontId="3" numFmtId="0" xfId="0" applyBorder="1" applyFont="1"/>
    <xf borderId="0" fillId="2" fontId="3" numFmtId="0" xfId="0" applyAlignment="1" applyFont="1">
      <alignment readingOrder="0"/>
    </xf>
    <xf borderId="46" fillId="5" fontId="3" numFmtId="0" xfId="0" applyAlignment="1" applyBorder="1" applyFont="1">
      <alignment readingOrder="0"/>
    </xf>
    <xf borderId="0" fillId="5" fontId="3" numFmtId="0" xfId="0" applyAlignment="1" applyFont="1">
      <alignment readingOrder="0"/>
    </xf>
    <xf borderId="6" fillId="5" fontId="3" numFmtId="0" xfId="0" applyAlignment="1" applyBorder="1" applyFont="1">
      <alignment readingOrder="0"/>
    </xf>
    <xf borderId="6" fillId="5" fontId="3" numFmtId="0" xfId="0" applyBorder="1" applyFont="1"/>
    <xf borderId="6" fillId="5" fontId="4" numFmtId="164" xfId="0" applyAlignment="1" applyBorder="1" applyFont="1" applyNumberFormat="1">
      <alignment readingOrder="0"/>
    </xf>
    <xf borderId="6" fillId="5" fontId="4" numFmtId="164" xfId="0" applyBorder="1" applyFont="1" applyNumberFormat="1"/>
    <xf borderId="6" fillId="5" fontId="4" numFmtId="1" xfId="0" applyAlignment="1" applyBorder="1" applyFont="1" applyNumberFormat="1">
      <alignment readingOrder="0"/>
    </xf>
    <xf borderId="6" fillId="5" fontId="4" numFmtId="165" xfId="0" applyBorder="1" applyFont="1" applyNumberFormat="1"/>
    <xf borderId="0" fillId="2" fontId="188" numFmtId="0" xfId="0" applyAlignment="1" applyFont="1">
      <alignment readingOrder="0"/>
    </xf>
    <xf borderId="46" fillId="17" fontId="188" numFmtId="0" xfId="0" applyAlignment="1" applyBorder="1" applyFill="1" applyFont="1">
      <alignment readingOrder="0"/>
    </xf>
    <xf borderId="0" fillId="17" fontId="188" numFmtId="0" xfId="0" applyAlignment="1" applyFont="1">
      <alignment readingOrder="0"/>
    </xf>
    <xf borderId="8" fillId="17" fontId="188" numFmtId="0" xfId="0" applyAlignment="1" applyBorder="1" applyFont="1">
      <alignment readingOrder="0"/>
    </xf>
    <xf borderId="8" fillId="17" fontId="188" numFmtId="0" xfId="0" applyBorder="1" applyFont="1"/>
    <xf borderId="8" fillId="17" fontId="189" numFmtId="164" xfId="0" applyAlignment="1" applyBorder="1" applyFont="1" applyNumberFormat="1">
      <alignment readingOrder="0"/>
    </xf>
    <xf borderId="8" fillId="17" fontId="189" numFmtId="164" xfId="0" applyBorder="1" applyFont="1" applyNumberFormat="1"/>
    <xf borderId="8" fillId="17" fontId="189" numFmtId="1" xfId="0" applyAlignment="1" applyBorder="1" applyFont="1" applyNumberFormat="1">
      <alignment readingOrder="0"/>
    </xf>
    <xf borderId="8" fillId="17" fontId="189" numFmtId="165" xfId="0" applyAlignment="1" applyBorder="1" applyFont="1" applyNumberFormat="1">
      <alignment readingOrder="0"/>
    </xf>
    <xf borderId="48" fillId="17" fontId="188" numFmtId="0" xfId="0" applyBorder="1" applyFont="1"/>
    <xf borderId="44" fillId="0" fontId="190" numFmtId="0" xfId="0" applyBorder="1" applyFont="1"/>
    <xf borderId="15" fillId="0" fontId="191" numFmtId="0" xfId="0" applyBorder="1" applyFont="1"/>
    <xf borderId="15" fillId="0" fontId="3" numFmtId="0" xfId="0" applyBorder="1" applyFont="1"/>
    <xf borderId="15" fillId="0" fontId="192" numFmtId="164" xfId="0" applyBorder="1" applyFont="1" applyNumberFormat="1"/>
    <xf borderId="15" fillId="0" fontId="193" numFmtId="165" xfId="0" applyBorder="1" applyFont="1" applyNumberFormat="1"/>
    <xf borderId="52" fillId="0" fontId="3" numFmtId="0" xfId="0" applyBorder="1" applyFont="1"/>
    <xf borderId="53" fillId="0" fontId="194" numFmtId="0" xfId="0" applyBorder="1" applyFont="1"/>
    <xf borderId="54" fillId="0" fontId="195" numFmtId="0" xfId="0" applyBorder="1" applyFont="1"/>
    <xf borderId="54" fillId="0" fontId="3" numFmtId="0" xfId="0" applyBorder="1" applyFont="1"/>
    <xf borderId="54" fillId="0" fontId="196" numFmtId="164" xfId="0" applyBorder="1" applyFont="1" applyNumberFormat="1"/>
    <xf borderId="54" fillId="0" fontId="197" numFmtId="165" xfId="0" applyBorder="1" applyFont="1" applyNumberFormat="1"/>
    <xf borderId="55" fillId="0" fontId="3" numFmtId="0" xfId="0" applyBorder="1" applyFont="1"/>
    <xf borderId="0" fillId="0" fontId="7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34.0"/>
    <col customWidth="1" min="3" max="3" width="15.43"/>
    <col customWidth="1" min="4" max="4" width="33.43"/>
    <col customWidth="1" hidden="1" min="5" max="5" width="1.0"/>
    <col customWidth="1" min="6" max="6" width="8.57"/>
    <col customWidth="1" min="7" max="7" width="5.29"/>
    <col customWidth="1" min="8" max="9" width="23.14"/>
    <col customWidth="1" hidden="1" min="10" max="10" width="2.43"/>
    <col customWidth="1" min="11" max="11" width="14.86"/>
    <col customWidth="1" min="12" max="12" width="3.86"/>
    <col customWidth="1" min="13" max="13" width="14.29"/>
    <col customWidth="1" min="14" max="14" width="0.14"/>
    <col customWidth="1" min="15" max="15" width="13.43"/>
    <col customWidth="1" min="16" max="16" width="9.43"/>
    <col customWidth="1" min="17" max="17" width="8.71"/>
    <col customWidth="1" min="18" max="18" width="12.57"/>
    <col customWidth="1" min="19" max="19" width="3.43"/>
    <col customWidth="1" min="20" max="20" width="9.0"/>
    <col customWidth="1" min="21" max="21" width="8.86"/>
  </cols>
  <sheetData>
    <row r="1" ht="42.75" customHeight="1">
      <c r="A1" s="1"/>
      <c r="B1" s="2">
        <v>45399.0</v>
      </c>
      <c r="C1" s="3"/>
      <c r="D1" s="4" t="s">
        <v>0</v>
      </c>
      <c r="E1" s="5"/>
      <c r="F1" s="5"/>
      <c r="G1" s="5"/>
      <c r="H1" s="6"/>
      <c r="I1" s="6"/>
      <c r="J1" s="5"/>
      <c r="K1" s="5"/>
      <c r="L1" s="5"/>
      <c r="M1" s="5"/>
      <c r="N1" s="5"/>
      <c r="O1" s="7"/>
      <c r="P1" s="5"/>
      <c r="Q1" s="7"/>
      <c r="R1" s="8"/>
      <c r="S1" s="5"/>
      <c r="T1" s="5"/>
      <c r="U1" s="5"/>
    </row>
    <row r="2" ht="14.25" customHeight="1">
      <c r="A2" s="9"/>
      <c r="B2" s="10" t="s">
        <v>1</v>
      </c>
      <c r="C2" s="11"/>
      <c r="D2" s="12" t="s">
        <v>2</v>
      </c>
      <c r="E2" s="13"/>
      <c r="F2" s="13"/>
      <c r="G2" s="14"/>
      <c r="H2" s="13"/>
      <c r="I2" s="13"/>
      <c r="J2" s="13"/>
      <c r="K2" s="14" t="s">
        <v>3</v>
      </c>
      <c r="L2" s="12">
        <v>40.0</v>
      </c>
      <c r="M2" s="14"/>
      <c r="N2" s="14"/>
      <c r="O2" s="15" t="s">
        <v>4</v>
      </c>
      <c r="P2" s="14" t="s">
        <v>5</v>
      </c>
      <c r="Q2" s="16"/>
      <c r="R2" s="17">
        <v>140000.0</v>
      </c>
      <c r="S2" s="13"/>
      <c r="T2" s="13"/>
      <c r="U2" s="18"/>
    </row>
    <row r="3" ht="14.25" customHeight="1">
      <c r="A3" s="9"/>
      <c r="B3" s="10" t="s">
        <v>6</v>
      </c>
      <c r="C3" s="11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 t="s">
        <v>7</v>
      </c>
      <c r="P3" s="19"/>
      <c r="Q3" s="21" t="s">
        <v>8</v>
      </c>
      <c r="R3" s="22" t="s">
        <v>7</v>
      </c>
      <c r="S3" s="19"/>
      <c r="T3" s="19"/>
      <c r="U3" s="23"/>
    </row>
    <row r="4" ht="14.25" customHeight="1">
      <c r="A4" s="9"/>
      <c r="B4" s="10" t="s">
        <v>9</v>
      </c>
      <c r="C4" s="24" t="s">
        <v>10</v>
      </c>
      <c r="D4" s="19" t="s">
        <v>11</v>
      </c>
      <c r="E4" s="19"/>
      <c r="F4" s="25" t="s">
        <v>12</v>
      </c>
      <c r="G4" s="19"/>
      <c r="H4" s="19"/>
      <c r="I4" s="19" t="s">
        <v>13</v>
      </c>
      <c r="J4" s="19"/>
      <c r="K4" s="25" t="s">
        <v>14</v>
      </c>
      <c r="L4" s="19"/>
      <c r="M4" s="19" t="s">
        <v>15</v>
      </c>
      <c r="N4" s="19"/>
      <c r="O4" s="20" t="s">
        <v>16</v>
      </c>
      <c r="P4" s="19"/>
      <c r="Q4" s="21" t="s">
        <v>17</v>
      </c>
      <c r="R4" s="22" t="s">
        <v>18</v>
      </c>
      <c r="S4" s="19"/>
      <c r="T4" s="25" t="s">
        <v>19</v>
      </c>
      <c r="U4" s="23"/>
    </row>
    <row r="5" ht="14.25" customHeight="1">
      <c r="A5" s="26"/>
      <c r="B5" s="27" t="s">
        <v>20</v>
      </c>
      <c r="C5" s="28" t="b">
        <v>1</v>
      </c>
      <c r="D5" s="29" t="s">
        <v>21</v>
      </c>
      <c r="E5" s="30"/>
      <c r="F5" s="31">
        <v>25.9</v>
      </c>
      <c r="G5" s="32"/>
      <c r="H5" s="31"/>
      <c r="I5" s="31" t="s">
        <v>22</v>
      </c>
      <c r="J5" s="33"/>
      <c r="K5" s="34">
        <v>135000.0</v>
      </c>
      <c r="L5" s="33"/>
      <c r="M5" s="34">
        <v>2561.0</v>
      </c>
      <c r="N5" s="33"/>
      <c r="O5" s="33">
        <f t="shared" ref="O5:O14" si="1">(F5*K5)/$R$2</f>
        <v>24.975</v>
      </c>
      <c r="P5" s="33"/>
      <c r="Q5" s="33">
        <f t="shared" ref="Q5:Q14" si="2">O5/$L$2</f>
        <v>0.624375</v>
      </c>
      <c r="R5" s="35">
        <f t="shared" ref="R5:R14" si="3">F5*T5</f>
        <v>1365.286997</v>
      </c>
      <c r="S5" s="33"/>
      <c r="T5" s="33">
        <f t="shared" ref="T5:T14" si="4">K5/M5</f>
        <v>52.71378368</v>
      </c>
      <c r="U5" s="23"/>
    </row>
    <row r="6">
      <c r="A6" s="36"/>
      <c r="B6" s="37" t="s">
        <v>23</v>
      </c>
      <c r="C6" s="28"/>
      <c r="D6" s="38" t="s">
        <v>24</v>
      </c>
      <c r="E6" s="30"/>
      <c r="F6" s="31">
        <v>132.4</v>
      </c>
      <c r="G6" s="33"/>
      <c r="H6" s="31"/>
      <c r="I6" s="31" t="s">
        <v>22</v>
      </c>
      <c r="J6" s="33"/>
      <c r="K6" s="34">
        <v>135000.0</v>
      </c>
      <c r="L6" s="33"/>
      <c r="M6" s="34">
        <v>2561.0</v>
      </c>
      <c r="N6" s="33"/>
      <c r="O6" s="33">
        <f t="shared" si="1"/>
        <v>127.6714286</v>
      </c>
      <c r="P6" s="33"/>
      <c r="Q6" s="33">
        <f t="shared" si="2"/>
        <v>3.191785714</v>
      </c>
      <c r="R6" s="35">
        <f t="shared" si="3"/>
        <v>6979.304959</v>
      </c>
      <c r="S6" s="33"/>
      <c r="T6" s="33">
        <f t="shared" si="4"/>
        <v>52.71378368</v>
      </c>
      <c r="U6" s="23"/>
    </row>
    <row r="7" ht="14.25" customHeight="1">
      <c r="A7" s="26"/>
      <c r="B7" s="27" t="s">
        <v>23</v>
      </c>
      <c r="C7" s="28"/>
      <c r="D7" s="29" t="s">
        <v>25</v>
      </c>
      <c r="E7" s="30"/>
      <c r="F7" s="31">
        <v>11.0</v>
      </c>
      <c r="G7" s="32"/>
      <c r="H7" s="31"/>
      <c r="I7" s="31" t="s">
        <v>22</v>
      </c>
      <c r="J7" s="33"/>
      <c r="K7" s="34">
        <v>135000.0</v>
      </c>
      <c r="L7" s="33"/>
      <c r="M7" s="34">
        <v>2561.0</v>
      </c>
      <c r="N7" s="33"/>
      <c r="O7" s="33">
        <f t="shared" si="1"/>
        <v>10.60714286</v>
      </c>
      <c r="P7" s="33"/>
      <c r="Q7" s="33">
        <f t="shared" si="2"/>
        <v>0.2651785714</v>
      </c>
      <c r="R7" s="35">
        <f t="shared" si="3"/>
        <v>579.8516205</v>
      </c>
      <c r="S7" s="33"/>
      <c r="T7" s="33">
        <f t="shared" si="4"/>
        <v>52.71378368</v>
      </c>
      <c r="U7" s="23"/>
    </row>
    <row r="8" ht="14.25" customHeight="1">
      <c r="A8" s="36"/>
      <c r="B8" s="37" t="s">
        <v>20</v>
      </c>
      <c r="C8" s="28" t="b">
        <v>1</v>
      </c>
      <c r="D8" s="38" t="s">
        <v>26</v>
      </c>
      <c r="E8" s="30"/>
      <c r="F8" s="31">
        <v>45.1</v>
      </c>
      <c r="G8" s="33"/>
      <c r="H8" s="31"/>
      <c r="I8" s="31" t="s">
        <v>22</v>
      </c>
      <c r="J8" s="33"/>
      <c r="K8" s="34">
        <v>135000.0</v>
      </c>
      <c r="L8" s="33"/>
      <c r="M8" s="34">
        <v>2561.0</v>
      </c>
      <c r="N8" s="33"/>
      <c r="O8" s="33">
        <f t="shared" si="1"/>
        <v>43.48928571</v>
      </c>
      <c r="P8" s="33"/>
      <c r="Q8" s="33">
        <f t="shared" si="2"/>
        <v>1.087232143</v>
      </c>
      <c r="R8" s="35">
        <f t="shared" si="3"/>
        <v>2377.391644</v>
      </c>
      <c r="S8" s="33"/>
      <c r="T8" s="33">
        <f t="shared" si="4"/>
        <v>52.71378368</v>
      </c>
      <c r="U8" s="23"/>
    </row>
    <row r="9" ht="14.25" customHeight="1">
      <c r="A9" s="36"/>
      <c r="B9" s="37" t="s">
        <v>20</v>
      </c>
      <c r="C9" s="28" t="b">
        <v>1</v>
      </c>
      <c r="D9" s="38" t="s">
        <v>27</v>
      </c>
      <c r="E9" s="30"/>
      <c r="F9" s="31">
        <v>17.8</v>
      </c>
      <c r="G9" s="33"/>
      <c r="H9" s="31"/>
      <c r="I9" s="31" t="s">
        <v>22</v>
      </c>
      <c r="J9" s="33"/>
      <c r="K9" s="34">
        <v>135000.0</v>
      </c>
      <c r="L9" s="33"/>
      <c r="M9" s="34">
        <v>2561.0</v>
      </c>
      <c r="N9" s="33"/>
      <c r="O9" s="33">
        <f t="shared" si="1"/>
        <v>17.16428571</v>
      </c>
      <c r="P9" s="33"/>
      <c r="Q9" s="33">
        <f t="shared" si="2"/>
        <v>0.4291071429</v>
      </c>
      <c r="R9" s="35">
        <f t="shared" si="3"/>
        <v>938.3053495</v>
      </c>
      <c r="S9" s="33"/>
      <c r="T9" s="33">
        <f t="shared" si="4"/>
        <v>52.71378368</v>
      </c>
      <c r="U9" s="23"/>
    </row>
    <row r="10" ht="14.25" customHeight="1">
      <c r="A10" s="36"/>
      <c r="B10" s="37" t="s">
        <v>23</v>
      </c>
      <c r="C10" s="28"/>
      <c r="D10" s="38" t="s">
        <v>28</v>
      </c>
      <c r="E10" s="30"/>
      <c r="F10" s="31">
        <v>134.2</v>
      </c>
      <c r="G10" s="33"/>
      <c r="H10" s="31"/>
      <c r="I10" s="31" t="s">
        <v>22</v>
      </c>
      <c r="J10" s="33"/>
      <c r="K10" s="34">
        <v>135000.0</v>
      </c>
      <c r="L10" s="33"/>
      <c r="M10" s="34">
        <v>2561.0</v>
      </c>
      <c r="N10" s="33"/>
      <c r="O10" s="33">
        <f t="shared" si="1"/>
        <v>129.4071429</v>
      </c>
      <c r="P10" s="33"/>
      <c r="Q10" s="33">
        <f t="shared" si="2"/>
        <v>3.235178571</v>
      </c>
      <c r="R10" s="35">
        <f t="shared" si="3"/>
        <v>7074.18977</v>
      </c>
      <c r="S10" s="33"/>
      <c r="T10" s="33">
        <f t="shared" si="4"/>
        <v>52.71378368</v>
      </c>
      <c r="U10" s="23"/>
    </row>
    <row r="11">
      <c r="A11" s="36"/>
      <c r="B11" s="37" t="s">
        <v>23</v>
      </c>
      <c r="C11" s="28"/>
      <c r="D11" s="38" t="s">
        <v>29</v>
      </c>
      <c r="E11" s="30"/>
      <c r="F11" s="31">
        <v>80.0</v>
      </c>
      <c r="G11" s="33"/>
      <c r="H11" s="31"/>
      <c r="I11" s="31" t="s">
        <v>22</v>
      </c>
      <c r="J11" s="33"/>
      <c r="K11" s="34">
        <v>135000.0</v>
      </c>
      <c r="L11" s="33"/>
      <c r="M11" s="34">
        <v>2561.0</v>
      </c>
      <c r="N11" s="33"/>
      <c r="O11" s="33">
        <f t="shared" si="1"/>
        <v>77.14285714</v>
      </c>
      <c r="P11" s="33"/>
      <c r="Q11" s="33">
        <f t="shared" si="2"/>
        <v>1.928571429</v>
      </c>
      <c r="R11" s="35">
        <f t="shared" si="3"/>
        <v>4217.102694</v>
      </c>
      <c r="S11" s="33"/>
      <c r="T11" s="33">
        <f t="shared" si="4"/>
        <v>52.71378368</v>
      </c>
      <c r="U11" s="23"/>
    </row>
    <row r="12">
      <c r="A12" s="36"/>
      <c r="B12" s="37" t="s">
        <v>20</v>
      </c>
      <c r="C12" s="28" t="b">
        <v>1</v>
      </c>
      <c r="D12" s="38" t="s">
        <v>30</v>
      </c>
      <c r="E12" s="30"/>
      <c r="F12" s="31">
        <v>18.4</v>
      </c>
      <c r="G12" s="33"/>
      <c r="H12" s="31"/>
      <c r="I12" s="31" t="s">
        <v>22</v>
      </c>
      <c r="J12" s="33"/>
      <c r="K12" s="34">
        <v>135000.0</v>
      </c>
      <c r="L12" s="33"/>
      <c r="M12" s="34">
        <v>2561.0</v>
      </c>
      <c r="N12" s="33"/>
      <c r="O12" s="33">
        <f t="shared" si="1"/>
        <v>17.74285714</v>
      </c>
      <c r="P12" s="33"/>
      <c r="Q12" s="33">
        <f t="shared" si="2"/>
        <v>0.4435714286</v>
      </c>
      <c r="R12" s="35">
        <f t="shared" si="3"/>
        <v>969.9336197</v>
      </c>
      <c r="S12" s="33"/>
      <c r="T12" s="33">
        <f t="shared" si="4"/>
        <v>52.71378368</v>
      </c>
      <c r="U12" s="23"/>
    </row>
    <row r="13">
      <c r="A13" s="36"/>
      <c r="B13" s="37" t="s">
        <v>23</v>
      </c>
      <c r="C13" s="28"/>
      <c r="D13" s="38" t="s">
        <v>31</v>
      </c>
      <c r="E13" s="30"/>
      <c r="F13" s="31">
        <v>131.0</v>
      </c>
      <c r="G13" s="33"/>
      <c r="H13" s="31"/>
      <c r="I13" s="31" t="s">
        <v>22</v>
      </c>
      <c r="J13" s="33"/>
      <c r="K13" s="34">
        <v>135000.0</v>
      </c>
      <c r="L13" s="33"/>
      <c r="M13" s="34">
        <v>2561.0</v>
      </c>
      <c r="N13" s="33"/>
      <c r="O13" s="33">
        <f t="shared" si="1"/>
        <v>126.3214286</v>
      </c>
      <c r="P13" s="33"/>
      <c r="Q13" s="33">
        <f t="shared" si="2"/>
        <v>3.158035714</v>
      </c>
      <c r="R13" s="35">
        <f t="shared" si="3"/>
        <v>6905.505662</v>
      </c>
      <c r="S13" s="33"/>
      <c r="T13" s="33">
        <f t="shared" si="4"/>
        <v>52.71378368</v>
      </c>
      <c r="U13" s="23"/>
    </row>
    <row r="14">
      <c r="A14" s="36"/>
      <c r="B14" s="37" t="s">
        <v>23</v>
      </c>
      <c r="C14" s="28"/>
      <c r="D14" s="38" t="s">
        <v>32</v>
      </c>
      <c r="E14" s="30"/>
      <c r="F14" s="31">
        <v>14.0</v>
      </c>
      <c r="G14" s="33"/>
      <c r="H14" s="31"/>
      <c r="I14" s="31" t="s">
        <v>22</v>
      </c>
      <c r="J14" s="33"/>
      <c r="K14" s="34">
        <v>135000.0</v>
      </c>
      <c r="L14" s="33"/>
      <c r="M14" s="34">
        <v>2561.0</v>
      </c>
      <c r="N14" s="33"/>
      <c r="O14" s="33">
        <f t="shared" si="1"/>
        <v>13.5</v>
      </c>
      <c r="P14" s="33"/>
      <c r="Q14" s="33">
        <f t="shared" si="2"/>
        <v>0.3375</v>
      </c>
      <c r="R14" s="35">
        <f t="shared" si="3"/>
        <v>737.9929715</v>
      </c>
      <c r="S14" s="33"/>
      <c r="T14" s="33">
        <f t="shared" si="4"/>
        <v>52.71378368</v>
      </c>
      <c r="U14" s="23"/>
    </row>
    <row r="15">
      <c r="A15" s="36"/>
      <c r="B15" s="37"/>
      <c r="C15" s="39"/>
      <c r="D15" s="38"/>
      <c r="E15" s="30"/>
      <c r="F15" s="31"/>
      <c r="G15" s="33"/>
      <c r="H15" s="31"/>
      <c r="I15" s="31"/>
      <c r="J15" s="33"/>
      <c r="K15" s="34"/>
      <c r="L15" s="33"/>
      <c r="M15" s="34"/>
      <c r="N15" s="33"/>
      <c r="O15" s="33"/>
      <c r="P15" s="33"/>
      <c r="Q15" s="33"/>
      <c r="R15" s="35"/>
      <c r="S15" s="33"/>
      <c r="T15" s="33"/>
      <c r="U15" s="23"/>
    </row>
    <row r="16" ht="14.25" customHeight="1">
      <c r="A16" s="9"/>
      <c r="B16" s="10"/>
      <c r="C16" s="11"/>
      <c r="D16" s="40"/>
      <c r="E16" s="30"/>
      <c r="F16" s="32"/>
      <c r="G16" s="33"/>
      <c r="H16" s="33"/>
      <c r="I16" s="33"/>
      <c r="J16" s="33"/>
      <c r="K16" s="41"/>
      <c r="L16" s="33"/>
      <c r="M16" s="41"/>
      <c r="N16" s="33"/>
      <c r="O16" s="32"/>
      <c r="P16" s="33"/>
      <c r="Q16" s="42"/>
      <c r="R16" s="43"/>
      <c r="S16" s="33"/>
      <c r="T16" s="33"/>
      <c r="U16" s="23"/>
    </row>
    <row r="17" ht="14.25" customHeight="1">
      <c r="A17" s="9"/>
      <c r="B17" s="44"/>
      <c r="C17" s="45"/>
      <c r="D17" s="46" t="s">
        <v>33</v>
      </c>
      <c r="E17" s="47"/>
      <c r="F17" s="48">
        <f>SUM(F5:F14)</f>
        <v>609.8</v>
      </c>
      <c r="G17" s="49"/>
      <c r="H17" s="49"/>
      <c r="I17" s="49"/>
      <c r="J17" s="49"/>
      <c r="K17" s="50"/>
      <c r="L17" s="49"/>
      <c r="M17" s="50"/>
      <c r="N17" s="49"/>
      <c r="O17" s="48">
        <f>SUM(O5:O16)</f>
        <v>588.0214286</v>
      </c>
      <c r="P17" s="48"/>
      <c r="Q17" s="48">
        <f t="shared" ref="Q17:R17" si="5">SUM(Q5:Q16)</f>
        <v>14.70053571</v>
      </c>
      <c r="R17" s="51">
        <f t="shared" si="5"/>
        <v>32144.86529</v>
      </c>
      <c r="S17" s="48"/>
      <c r="T17" s="49"/>
      <c r="U17" s="52"/>
    </row>
    <row r="18" ht="14.25" customHeight="1">
      <c r="A18" s="53"/>
      <c r="B18" s="54"/>
      <c r="C18" s="54"/>
      <c r="D18" s="54"/>
      <c r="E18" s="54"/>
      <c r="F18" s="55"/>
      <c r="G18" s="55"/>
      <c r="H18" s="55"/>
      <c r="I18" s="55"/>
      <c r="J18" s="55"/>
      <c r="K18" s="56"/>
      <c r="L18" s="55"/>
      <c r="M18" s="56"/>
      <c r="N18" s="55"/>
      <c r="O18" s="55"/>
      <c r="P18" s="55"/>
      <c r="Q18" s="55"/>
      <c r="R18" s="57"/>
      <c r="S18" s="55"/>
      <c r="T18" s="55"/>
      <c r="U18" s="54"/>
    </row>
    <row r="19" ht="14.25" customHeight="1">
      <c r="A19" s="9"/>
      <c r="B19" s="58" t="s">
        <v>1</v>
      </c>
      <c r="C19" s="59"/>
      <c r="D19" s="60" t="s">
        <v>34</v>
      </c>
      <c r="E19" s="61"/>
      <c r="F19" s="61"/>
      <c r="G19" s="62"/>
      <c r="H19" s="61"/>
      <c r="I19" s="61"/>
      <c r="J19" s="61"/>
      <c r="K19" s="62" t="s">
        <v>3</v>
      </c>
      <c r="L19" s="60">
        <v>30.0</v>
      </c>
      <c r="M19" s="62"/>
      <c r="N19" s="62"/>
      <c r="O19" s="63" t="s">
        <v>4</v>
      </c>
      <c r="P19" s="62" t="s">
        <v>5</v>
      </c>
      <c r="Q19" s="64"/>
      <c r="R19" s="65">
        <v>140000.0</v>
      </c>
      <c r="S19" s="61"/>
      <c r="T19" s="61"/>
      <c r="U19" s="66"/>
    </row>
    <row r="20" ht="14.25" customHeight="1">
      <c r="A20" s="9"/>
      <c r="B20" s="58" t="s">
        <v>6</v>
      </c>
      <c r="C20" s="59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8" t="s">
        <v>7</v>
      </c>
      <c r="P20" s="67"/>
      <c r="Q20" s="69" t="s">
        <v>8</v>
      </c>
      <c r="R20" s="70" t="s">
        <v>7</v>
      </c>
      <c r="S20" s="67"/>
      <c r="T20" s="67"/>
      <c r="U20" s="71"/>
    </row>
    <row r="21" ht="14.25" customHeight="1">
      <c r="A21" s="72"/>
      <c r="B21" s="73"/>
      <c r="C21" s="74" t="s">
        <v>10</v>
      </c>
      <c r="D21" s="67" t="s">
        <v>11</v>
      </c>
      <c r="E21" s="67"/>
      <c r="F21" s="75" t="s">
        <v>12</v>
      </c>
      <c r="G21" s="67"/>
      <c r="H21" s="67"/>
      <c r="I21" s="67" t="s">
        <v>13</v>
      </c>
      <c r="J21" s="67"/>
      <c r="K21" s="75" t="s">
        <v>14</v>
      </c>
      <c r="L21" s="67"/>
      <c r="M21" s="67" t="s">
        <v>15</v>
      </c>
      <c r="N21" s="67"/>
      <c r="O21" s="68" t="s">
        <v>16</v>
      </c>
      <c r="P21" s="67"/>
      <c r="Q21" s="69" t="s">
        <v>17</v>
      </c>
      <c r="R21" s="70" t="s">
        <v>18</v>
      </c>
      <c r="S21" s="67"/>
      <c r="T21" s="75" t="s">
        <v>19</v>
      </c>
      <c r="U21" s="71"/>
    </row>
    <row r="22" ht="14.25" customHeight="1">
      <c r="A22" s="26"/>
      <c r="B22" s="76" t="s">
        <v>20</v>
      </c>
      <c r="C22" s="77" t="b">
        <v>1</v>
      </c>
      <c r="D22" s="78" t="s">
        <v>35</v>
      </c>
      <c r="E22" s="79"/>
      <c r="F22" s="80">
        <v>260.32</v>
      </c>
      <c r="G22" s="81"/>
      <c r="H22" s="80"/>
      <c r="I22" s="80" t="s">
        <v>36</v>
      </c>
      <c r="J22" s="82"/>
      <c r="K22" s="83">
        <v>135000.0</v>
      </c>
      <c r="L22" s="82"/>
      <c r="M22" s="83">
        <v>2354.0</v>
      </c>
      <c r="N22" s="82"/>
      <c r="O22" s="82">
        <f t="shared" ref="O22:O26" si="6">(F22*K22)/$R$2</f>
        <v>251.0228571</v>
      </c>
      <c r="P22" s="82"/>
      <c r="Q22" s="82">
        <f t="shared" ref="Q22:Q26" si="7">O22/$L$19</f>
        <v>8.367428571</v>
      </c>
      <c r="R22" s="84">
        <f t="shared" ref="R22:R26" si="8">F22*T22</f>
        <v>14929.14189</v>
      </c>
      <c r="S22" s="82"/>
      <c r="T22" s="82">
        <f t="shared" ref="T22:T26" si="9">K22/M22</f>
        <v>57.34919286</v>
      </c>
      <c r="U22" s="71"/>
    </row>
    <row r="23" ht="14.25" customHeight="1">
      <c r="A23" s="26"/>
      <c r="B23" s="76" t="s">
        <v>20</v>
      </c>
      <c r="C23" s="77" t="b">
        <v>1</v>
      </c>
      <c r="D23" s="78" t="s">
        <v>37</v>
      </c>
      <c r="E23" s="79"/>
      <c r="F23" s="80">
        <v>37.9</v>
      </c>
      <c r="G23" s="81"/>
      <c r="H23" s="80"/>
      <c r="I23" s="80" t="s">
        <v>36</v>
      </c>
      <c r="J23" s="82"/>
      <c r="K23" s="83">
        <v>135000.0</v>
      </c>
      <c r="L23" s="82"/>
      <c r="M23" s="83">
        <v>2354.0</v>
      </c>
      <c r="N23" s="82"/>
      <c r="O23" s="82">
        <f t="shared" si="6"/>
        <v>36.54642857</v>
      </c>
      <c r="P23" s="82"/>
      <c r="Q23" s="82">
        <f t="shared" si="7"/>
        <v>1.218214286</v>
      </c>
      <c r="R23" s="84">
        <f t="shared" si="8"/>
        <v>2173.53441</v>
      </c>
      <c r="S23" s="82"/>
      <c r="T23" s="82">
        <f t="shared" si="9"/>
        <v>57.34919286</v>
      </c>
      <c r="U23" s="71"/>
    </row>
    <row r="24" ht="14.25" customHeight="1">
      <c r="A24" s="26"/>
      <c r="B24" s="76" t="s">
        <v>23</v>
      </c>
      <c r="C24" s="77"/>
      <c r="D24" s="78" t="s">
        <v>38</v>
      </c>
      <c r="E24" s="79"/>
      <c r="F24" s="80">
        <v>48.4</v>
      </c>
      <c r="G24" s="81"/>
      <c r="H24" s="80"/>
      <c r="I24" s="80" t="s">
        <v>36</v>
      </c>
      <c r="J24" s="82"/>
      <c r="K24" s="83">
        <v>135000.0</v>
      </c>
      <c r="L24" s="82"/>
      <c r="M24" s="83">
        <v>2354.0</v>
      </c>
      <c r="N24" s="82"/>
      <c r="O24" s="82">
        <f t="shared" si="6"/>
        <v>46.67142857</v>
      </c>
      <c r="P24" s="82"/>
      <c r="Q24" s="82">
        <f t="shared" si="7"/>
        <v>1.555714286</v>
      </c>
      <c r="R24" s="84">
        <f t="shared" si="8"/>
        <v>2775.700935</v>
      </c>
      <c r="S24" s="82"/>
      <c r="T24" s="82">
        <f t="shared" si="9"/>
        <v>57.34919286</v>
      </c>
      <c r="U24" s="71"/>
    </row>
    <row r="25" ht="14.25" customHeight="1">
      <c r="A25" s="36"/>
      <c r="B25" s="85" t="s">
        <v>23</v>
      </c>
      <c r="C25" s="77"/>
      <c r="D25" s="86" t="s">
        <v>39</v>
      </c>
      <c r="E25" s="79"/>
      <c r="F25" s="80">
        <v>25.0</v>
      </c>
      <c r="G25" s="82"/>
      <c r="H25" s="80"/>
      <c r="I25" s="80" t="s">
        <v>36</v>
      </c>
      <c r="J25" s="82"/>
      <c r="K25" s="83">
        <v>135000.0</v>
      </c>
      <c r="L25" s="82"/>
      <c r="M25" s="83">
        <v>2354.0</v>
      </c>
      <c r="N25" s="82"/>
      <c r="O25" s="82">
        <f t="shared" si="6"/>
        <v>24.10714286</v>
      </c>
      <c r="P25" s="82"/>
      <c r="Q25" s="82">
        <f t="shared" si="7"/>
        <v>0.8035714286</v>
      </c>
      <c r="R25" s="84">
        <f t="shared" si="8"/>
        <v>1433.729822</v>
      </c>
      <c r="S25" s="82"/>
      <c r="T25" s="82">
        <f t="shared" si="9"/>
        <v>57.34919286</v>
      </c>
      <c r="U25" s="71"/>
    </row>
    <row r="26" ht="14.25" customHeight="1">
      <c r="A26" s="36"/>
      <c r="B26" s="85" t="s">
        <v>23</v>
      </c>
      <c r="C26" s="77"/>
      <c r="D26" s="86" t="s">
        <v>40</v>
      </c>
      <c r="E26" s="79"/>
      <c r="F26" s="80">
        <v>165.9</v>
      </c>
      <c r="G26" s="82"/>
      <c r="H26" s="80"/>
      <c r="I26" s="80" t="s">
        <v>36</v>
      </c>
      <c r="J26" s="82"/>
      <c r="K26" s="83">
        <v>135000.0</v>
      </c>
      <c r="L26" s="82"/>
      <c r="M26" s="83">
        <v>2354.0</v>
      </c>
      <c r="N26" s="82"/>
      <c r="O26" s="82">
        <f t="shared" si="6"/>
        <v>159.975</v>
      </c>
      <c r="P26" s="82"/>
      <c r="Q26" s="82">
        <f t="shared" si="7"/>
        <v>5.3325</v>
      </c>
      <c r="R26" s="84">
        <f t="shared" si="8"/>
        <v>9514.231096</v>
      </c>
      <c r="S26" s="82"/>
      <c r="T26" s="82">
        <f t="shared" si="9"/>
        <v>57.34919286</v>
      </c>
      <c r="U26" s="71"/>
    </row>
    <row r="27">
      <c r="A27" s="36"/>
      <c r="B27" s="85"/>
      <c r="C27" s="77"/>
      <c r="D27" s="86"/>
      <c r="E27" s="79"/>
      <c r="F27" s="80"/>
      <c r="G27" s="82"/>
      <c r="H27" s="80"/>
      <c r="I27" s="80"/>
      <c r="J27" s="82"/>
      <c r="K27" s="83"/>
      <c r="L27" s="82"/>
      <c r="M27" s="83"/>
      <c r="N27" s="82"/>
      <c r="O27" s="82"/>
      <c r="P27" s="82"/>
      <c r="Q27" s="82"/>
      <c r="R27" s="84"/>
      <c r="S27" s="82"/>
      <c r="T27" s="82"/>
      <c r="U27" s="71"/>
    </row>
    <row r="28" ht="14.25" customHeight="1">
      <c r="A28" s="9"/>
      <c r="B28" s="58"/>
      <c r="C28" s="59"/>
      <c r="D28" s="87"/>
      <c r="E28" s="79"/>
      <c r="F28" s="81"/>
      <c r="G28" s="82"/>
      <c r="H28" s="82"/>
      <c r="I28" s="82"/>
      <c r="J28" s="82"/>
      <c r="K28" s="88"/>
      <c r="L28" s="82"/>
      <c r="M28" s="88"/>
      <c r="N28" s="82"/>
      <c r="O28" s="81"/>
      <c r="P28" s="82"/>
      <c r="Q28" s="89"/>
      <c r="R28" s="90"/>
      <c r="S28" s="82"/>
      <c r="T28" s="82"/>
      <c r="U28" s="71"/>
    </row>
    <row r="29" ht="14.25" customHeight="1">
      <c r="A29" s="9"/>
      <c r="B29" s="91"/>
      <c r="C29" s="92"/>
      <c r="D29" s="93" t="s">
        <v>41</v>
      </c>
      <c r="E29" s="94"/>
      <c r="F29" s="95">
        <f>SUM(F22:F27)</f>
        <v>537.52</v>
      </c>
      <c r="G29" s="96"/>
      <c r="H29" s="96"/>
      <c r="I29" s="96"/>
      <c r="J29" s="96"/>
      <c r="K29" s="97"/>
      <c r="L29" s="96"/>
      <c r="M29" s="97"/>
      <c r="N29" s="96"/>
      <c r="O29" s="95">
        <f>SUM(O22:O28)</f>
        <v>518.3228571</v>
      </c>
      <c r="P29" s="96"/>
      <c r="Q29" s="98">
        <f t="shared" ref="Q29:R29" si="10">SUM(Q22:Q27)</f>
        <v>17.27742857</v>
      </c>
      <c r="R29" s="99">
        <f t="shared" si="10"/>
        <v>30826.33815</v>
      </c>
      <c r="S29" s="96"/>
      <c r="T29" s="96"/>
      <c r="U29" s="100"/>
    </row>
    <row r="30" ht="14.25" customHeight="1">
      <c r="A30" s="53"/>
      <c r="B30" s="53"/>
      <c r="C30" s="53"/>
      <c r="D30" s="53"/>
      <c r="E30" s="53"/>
      <c r="F30" s="101"/>
      <c r="G30" s="101"/>
      <c r="H30" s="101"/>
      <c r="I30" s="101"/>
      <c r="J30" s="101"/>
      <c r="K30" s="102"/>
      <c r="L30" s="101"/>
      <c r="M30" s="102"/>
      <c r="N30" s="101"/>
      <c r="O30" s="101"/>
      <c r="P30" s="101"/>
      <c r="Q30" s="101"/>
      <c r="R30" s="103"/>
      <c r="S30" s="101"/>
      <c r="T30" s="101"/>
      <c r="U30" s="53"/>
    </row>
    <row r="31" ht="14.25" customHeight="1">
      <c r="A31" s="9"/>
      <c r="B31" s="104" t="s">
        <v>42</v>
      </c>
      <c r="C31" s="105"/>
      <c r="D31" s="106" t="s">
        <v>34</v>
      </c>
      <c r="E31" s="107"/>
      <c r="F31" s="107"/>
      <c r="G31" s="108"/>
      <c r="H31" s="107"/>
      <c r="I31" s="107"/>
      <c r="J31" s="107"/>
      <c r="K31" s="108" t="s">
        <v>3</v>
      </c>
      <c r="L31" s="106">
        <v>35.0</v>
      </c>
      <c r="M31" s="108"/>
      <c r="N31" s="108"/>
      <c r="O31" s="109" t="s">
        <v>4</v>
      </c>
      <c r="P31" s="108" t="s">
        <v>5</v>
      </c>
      <c r="Q31" s="110"/>
      <c r="R31" s="111">
        <v>140000.0</v>
      </c>
      <c r="S31" s="107"/>
      <c r="T31" s="107"/>
      <c r="U31" s="112"/>
    </row>
    <row r="32" ht="14.25" customHeight="1">
      <c r="A32" s="9"/>
      <c r="B32" s="113" t="s">
        <v>43</v>
      </c>
      <c r="C32" s="114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6" t="s">
        <v>7</v>
      </c>
      <c r="P32" s="115"/>
      <c r="Q32" s="117" t="s">
        <v>8</v>
      </c>
      <c r="R32" s="118" t="s">
        <v>7</v>
      </c>
      <c r="S32" s="115"/>
      <c r="T32" s="115"/>
      <c r="U32" s="119"/>
    </row>
    <row r="33" ht="14.25" customHeight="1">
      <c r="A33" s="72"/>
      <c r="B33" s="120"/>
      <c r="C33" s="121"/>
      <c r="D33" s="115" t="s">
        <v>11</v>
      </c>
      <c r="E33" s="115"/>
      <c r="F33" s="122" t="s">
        <v>12</v>
      </c>
      <c r="G33" s="115"/>
      <c r="H33" s="115"/>
      <c r="I33" s="115" t="s">
        <v>13</v>
      </c>
      <c r="J33" s="115"/>
      <c r="K33" s="122" t="s">
        <v>14</v>
      </c>
      <c r="L33" s="115"/>
      <c r="M33" s="123" t="s">
        <v>15</v>
      </c>
      <c r="N33" s="115"/>
      <c r="O33" s="116" t="s">
        <v>16</v>
      </c>
      <c r="P33" s="115"/>
      <c r="Q33" s="117" t="s">
        <v>17</v>
      </c>
      <c r="R33" s="118" t="s">
        <v>18</v>
      </c>
      <c r="S33" s="115"/>
      <c r="T33" s="122" t="s">
        <v>19</v>
      </c>
      <c r="U33" s="119"/>
    </row>
    <row r="34" ht="14.25" customHeight="1">
      <c r="A34" s="124"/>
      <c r="B34" s="125" t="s">
        <v>23</v>
      </c>
      <c r="C34" s="126"/>
      <c r="D34" s="127" t="s">
        <v>44</v>
      </c>
      <c r="E34" s="128"/>
      <c r="F34" s="129">
        <v>110.0</v>
      </c>
      <c r="G34" s="128"/>
      <c r="H34" s="130" t="s">
        <v>45</v>
      </c>
      <c r="I34" s="131" t="s">
        <v>46</v>
      </c>
      <c r="J34" s="128"/>
      <c r="K34" s="132">
        <v>135000.0</v>
      </c>
      <c r="L34" s="128"/>
      <c r="M34" s="132">
        <v>2354.0</v>
      </c>
      <c r="N34" s="128"/>
      <c r="O34" s="129">
        <f t="shared" ref="O34:O35" si="11">(F34*K34)/$R$2</f>
        <v>106.0714286</v>
      </c>
      <c r="P34" s="128"/>
      <c r="Q34" s="129">
        <f>O34/L31</f>
        <v>3.030612245</v>
      </c>
      <c r="R34" s="133">
        <f t="shared" ref="R34:R35" si="12">F34*T34</f>
        <v>6308.411215</v>
      </c>
      <c r="S34" s="128"/>
      <c r="T34" s="129">
        <f t="shared" ref="T34:T35" si="13">K34/M34</f>
        <v>57.34919286</v>
      </c>
      <c r="U34" s="134"/>
    </row>
    <row r="35" ht="14.25" customHeight="1">
      <c r="A35" s="26"/>
      <c r="B35" s="135" t="s">
        <v>20</v>
      </c>
      <c r="C35" s="136" t="b">
        <v>1</v>
      </c>
      <c r="D35" s="137" t="s">
        <v>47</v>
      </c>
      <c r="E35" s="138"/>
      <c r="F35" s="139">
        <v>72.0</v>
      </c>
      <c r="G35" s="138"/>
      <c r="H35" s="138" t="s">
        <v>45</v>
      </c>
      <c r="I35" s="140" t="s">
        <v>48</v>
      </c>
      <c r="J35" s="141"/>
      <c r="K35" s="141">
        <v>135000.0</v>
      </c>
      <c r="L35" s="142"/>
      <c r="M35" s="143">
        <v>2816.0</v>
      </c>
      <c r="N35" s="144"/>
      <c r="O35" s="145">
        <f t="shared" si="11"/>
        <v>69.42857143</v>
      </c>
      <c r="P35" s="145"/>
      <c r="Q35" s="129">
        <f>O35/L31</f>
        <v>1.983673469</v>
      </c>
      <c r="R35" s="146">
        <f t="shared" si="12"/>
        <v>3451.704545</v>
      </c>
      <c r="S35" s="145"/>
      <c r="T35" s="145">
        <f t="shared" si="13"/>
        <v>47.94034091</v>
      </c>
      <c r="U35" s="147"/>
    </row>
    <row r="36" ht="14.25" customHeight="1">
      <c r="A36" s="26"/>
      <c r="B36" s="135"/>
      <c r="C36" s="136"/>
      <c r="D36" s="148"/>
      <c r="E36" s="149"/>
      <c r="F36" s="138"/>
      <c r="G36" s="150"/>
      <c r="H36" s="138"/>
      <c r="I36" s="138"/>
      <c r="J36" s="145"/>
      <c r="K36" s="141"/>
      <c r="L36" s="142"/>
      <c r="M36" s="151" t="s">
        <v>49</v>
      </c>
      <c r="N36" s="144"/>
      <c r="O36" s="145"/>
      <c r="P36" s="145"/>
      <c r="Q36" s="145"/>
      <c r="R36" s="146"/>
      <c r="S36" s="145"/>
      <c r="T36" s="145"/>
      <c r="U36" s="119"/>
    </row>
    <row r="37" ht="14.25" customHeight="1">
      <c r="A37" s="9"/>
      <c r="B37" s="152"/>
      <c r="C37" s="153"/>
      <c r="D37" s="154" t="s">
        <v>50</v>
      </c>
      <c r="E37" s="155"/>
      <c r="F37" s="156">
        <f>SUM(F34:F35)</f>
        <v>182</v>
      </c>
      <c r="G37" s="156"/>
      <c r="H37" s="156"/>
      <c r="I37" s="156"/>
      <c r="J37" s="156">
        <f>SUM(J34:J35)</f>
        <v>0</v>
      </c>
      <c r="K37" s="156"/>
      <c r="L37" s="156"/>
      <c r="M37" s="156"/>
      <c r="N37" s="156">
        <f t="shared" ref="N37:O37" si="14">SUM(N34:N35)</f>
        <v>0</v>
      </c>
      <c r="O37" s="156">
        <f t="shared" si="14"/>
        <v>175.5</v>
      </c>
      <c r="P37" s="156"/>
      <c r="Q37" s="156">
        <f t="shared" ref="Q37:R37" si="15">SUM(Q34:Q35)</f>
        <v>5.014285714</v>
      </c>
      <c r="R37" s="156">
        <f t="shared" si="15"/>
        <v>9760.11576</v>
      </c>
      <c r="S37" s="156"/>
      <c r="T37" s="156"/>
      <c r="U37" s="157"/>
    </row>
    <row r="38" ht="14.25" customHeight="1">
      <c r="A38" s="53"/>
      <c r="B38" s="53"/>
      <c r="C38" s="53"/>
      <c r="D38" s="53"/>
      <c r="E38" s="53"/>
      <c r="F38" s="101"/>
      <c r="G38" s="101"/>
      <c r="H38" s="101"/>
      <c r="I38" s="101"/>
      <c r="J38" s="101"/>
      <c r="K38" s="102"/>
      <c r="L38" s="101"/>
      <c r="M38" s="102"/>
      <c r="N38" s="101"/>
      <c r="O38" s="101"/>
      <c r="P38" s="101"/>
      <c r="Q38" s="101"/>
      <c r="R38" s="103"/>
      <c r="S38" s="101"/>
      <c r="T38" s="101"/>
      <c r="U38" s="53"/>
    </row>
    <row r="39" ht="14.25" customHeight="1">
      <c r="A39" s="9"/>
      <c r="B39" s="158" t="s">
        <v>51</v>
      </c>
      <c r="C39" s="159"/>
      <c r="D39" s="160" t="s">
        <v>2</v>
      </c>
      <c r="E39" s="161"/>
      <c r="F39" s="161"/>
      <c r="G39" s="162"/>
      <c r="H39" s="161"/>
      <c r="I39" s="161"/>
      <c r="J39" s="161"/>
      <c r="K39" s="162" t="s">
        <v>3</v>
      </c>
      <c r="L39" s="160">
        <v>40.0</v>
      </c>
      <c r="M39" s="162"/>
      <c r="N39" s="162"/>
      <c r="O39" s="163" t="s">
        <v>4</v>
      </c>
      <c r="P39" s="162" t="s">
        <v>5</v>
      </c>
      <c r="Q39" s="164"/>
      <c r="R39" s="165">
        <v>140000.0</v>
      </c>
      <c r="S39" s="161"/>
      <c r="T39" s="161"/>
      <c r="U39" s="166"/>
    </row>
    <row r="40" ht="14.25" customHeight="1">
      <c r="A40" s="9"/>
      <c r="B40" s="167" t="s">
        <v>52</v>
      </c>
      <c r="C40" s="168"/>
      <c r="D40" s="169"/>
      <c r="E40" s="169"/>
      <c r="F40" s="169"/>
      <c r="G40" s="169"/>
      <c r="H40" s="169"/>
      <c r="I40" s="169"/>
      <c r="J40" s="169"/>
      <c r="K40" s="169"/>
      <c r="L40" s="169"/>
      <c r="M40" s="169"/>
      <c r="N40" s="169"/>
      <c r="O40" s="170" t="s">
        <v>7</v>
      </c>
      <c r="P40" s="169"/>
      <c r="Q40" s="171" t="s">
        <v>8</v>
      </c>
      <c r="R40" s="172" t="s">
        <v>7</v>
      </c>
      <c r="S40" s="169"/>
      <c r="T40" s="169"/>
      <c r="U40" s="173"/>
    </row>
    <row r="41" ht="14.25" customHeight="1">
      <c r="A41" s="174"/>
      <c r="B41" s="175" t="s">
        <v>53</v>
      </c>
      <c r="C41" s="176"/>
      <c r="D41" s="169" t="s">
        <v>11</v>
      </c>
      <c r="E41" s="169"/>
      <c r="F41" s="177" t="s">
        <v>12</v>
      </c>
      <c r="G41" s="169"/>
      <c r="H41" s="169"/>
      <c r="I41" s="169" t="s">
        <v>13</v>
      </c>
      <c r="J41" s="169"/>
      <c r="K41" s="177" t="s">
        <v>14</v>
      </c>
      <c r="L41" s="169"/>
      <c r="M41" s="178" t="s">
        <v>15</v>
      </c>
      <c r="N41" s="169"/>
      <c r="O41" s="170" t="s">
        <v>16</v>
      </c>
      <c r="P41" s="169"/>
      <c r="Q41" s="171" t="s">
        <v>17</v>
      </c>
      <c r="R41" s="172" t="s">
        <v>18</v>
      </c>
      <c r="S41" s="169"/>
      <c r="T41" s="177" t="s">
        <v>19</v>
      </c>
      <c r="U41" s="173"/>
    </row>
    <row r="42" ht="14.25" customHeight="1">
      <c r="A42" s="26"/>
      <c r="B42" s="179" t="s">
        <v>23</v>
      </c>
      <c r="C42" s="180"/>
      <c r="D42" s="181" t="s">
        <v>54</v>
      </c>
      <c r="E42" s="182"/>
      <c r="F42" s="183">
        <v>75.0</v>
      </c>
      <c r="G42" s="182"/>
      <c r="H42" s="182"/>
      <c r="I42" s="182" t="s">
        <v>55</v>
      </c>
      <c r="J42" s="184"/>
      <c r="K42" s="184">
        <v>125000.0</v>
      </c>
      <c r="L42" s="185"/>
      <c r="M42" s="186">
        <v>2543.0</v>
      </c>
      <c r="N42" s="187"/>
      <c r="O42" s="188">
        <f>(F42*K42)/$R$2</f>
        <v>66.96428571</v>
      </c>
      <c r="P42" s="188"/>
      <c r="Q42" s="188">
        <f>O42/L39</f>
        <v>1.674107143</v>
      </c>
      <c r="R42" s="189">
        <f>F42*T42</f>
        <v>3686.590641</v>
      </c>
      <c r="S42" s="188"/>
      <c r="T42" s="188">
        <f>K42/M42</f>
        <v>49.15454188</v>
      </c>
      <c r="U42" s="190"/>
    </row>
    <row r="43" ht="14.25" customHeight="1">
      <c r="A43" s="26"/>
      <c r="B43" s="179"/>
      <c r="C43" s="180"/>
      <c r="D43" s="191"/>
      <c r="E43" s="192"/>
      <c r="F43" s="193"/>
      <c r="G43" s="192"/>
      <c r="H43" s="194"/>
      <c r="I43" s="194"/>
      <c r="J43" s="195"/>
      <c r="K43" s="195"/>
      <c r="L43" s="196"/>
      <c r="M43" s="197" t="s">
        <v>49</v>
      </c>
      <c r="N43" s="198"/>
      <c r="O43" s="194"/>
      <c r="P43" s="194"/>
      <c r="Q43" s="194"/>
      <c r="R43" s="199"/>
      <c r="S43" s="194"/>
      <c r="T43" s="194"/>
      <c r="U43" s="190"/>
    </row>
    <row r="44" ht="14.25" customHeight="1">
      <c r="A44" s="9"/>
      <c r="B44" s="200"/>
      <c r="C44" s="201"/>
      <c r="D44" s="202" t="s">
        <v>56</v>
      </c>
      <c r="E44" s="203"/>
      <c r="F44" s="204">
        <f>SUM(F42)</f>
        <v>75</v>
      </c>
      <c r="G44" s="205"/>
      <c r="H44" s="205"/>
      <c r="I44" s="205"/>
      <c r="J44" s="205"/>
      <c r="K44" s="206"/>
      <c r="L44" s="205"/>
      <c r="M44" s="207"/>
      <c r="N44" s="205"/>
      <c r="O44" s="204">
        <f>SUM(O42)</f>
        <v>66.96428571</v>
      </c>
      <c r="P44" s="205"/>
      <c r="Q44" s="208">
        <f t="shared" ref="Q44:R44" si="16">SUM(Q42)</f>
        <v>1.674107143</v>
      </c>
      <c r="R44" s="209">
        <f t="shared" si="16"/>
        <v>3686.590641</v>
      </c>
      <c r="S44" s="205"/>
      <c r="T44" s="205"/>
      <c r="U44" s="210"/>
    </row>
    <row r="45" ht="14.25" customHeight="1">
      <c r="A45" s="53"/>
      <c r="B45" s="53"/>
      <c r="C45" s="53"/>
      <c r="D45" s="53"/>
      <c r="E45" s="53"/>
      <c r="F45" s="101"/>
      <c r="G45" s="101"/>
      <c r="H45" s="101"/>
      <c r="I45" s="101"/>
      <c r="J45" s="101"/>
      <c r="K45" s="102"/>
      <c r="L45" s="101"/>
      <c r="M45" s="102"/>
      <c r="N45" s="101"/>
      <c r="O45" s="101"/>
      <c r="P45" s="101"/>
      <c r="Q45" s="101"/>
      <c r="R45" s="103"/>
      <c r="S45" s="101"/>
      <c r="T45" s="101"/>
      <c r="U45" s="53"/>
    </row>
    <row r="46" ht="14.25" customHeight="1">
      <c r="A46" s="53"/>
      <c r="B46" s="53"/>
      <c r="C46" s="53"/>
      <c r="D46" s="53"/>
      <c r="E46" s="53"/>
      <c r="F46" s="101"/>
      <c r="G46" s="101"/>
      <c r="H46" s="101"/>
      <c r="I46" s="101"/>
      <c r="J46" s="101"/>
      <c r="K46" s="102"/>
      <c r="L46" s="101"/>
      <c r="M46" s="102"/>
      <c r="N46" s="101"/>
      <c r="O46" s="101"/>
      <c r="P46" s="101"/>
      <c r="Q46" s="101"/>
      <c r="R46" s="103"/>
      <c r="S46" s="101"/>
      <c r="T46" s="101"/>
      <c r="U46" s="53"/>
    </row>
    <row r="47" ht="14.25" customHeight="1">
      <c r="A47" s="9"/>
      <c r="B47" s="211" t="s">
        <v>57</v>
      </c>
      <c r="C47" s="212"/>
      <c r="D47" s="213"/>
      <c r="E47" s="214"/>
      <c r="F47" s="214"/>
      <c r="G47" s="215"/>
      <c r="H47" s="214"/>
      <c r="I47" s="214"/>
      <c r="J47" s="214"/>
      <c r="K47" s="215" t="s">
        <v>3</v>
      </c>
      <c r="L47" s="216">
        <v>50.0</v>
      </c>
      <c r="M47" s="215"/>
      <c r="N47" s="215"/>
      <c r="O47" s="217" t="s">
        <v>4</v>
      </c>
      <c r="P47" s="215" t="s">
        <v>5</v>
      </c>
      <c r="Q47" s="218"/>
      <c r="R47" s="219">
        <v>75000.0</v>
      </c>
      <c r="S47" s="214"/>
      <c r="T47" s="214"/>
      <c r="U47" s="220"/>
    </row>
    <row r="48">
      <c r="A48" s="221"/>
      <c r="B48" s="222" t="s">
        <v>58</v>
      </c>
      <c r="C48" s="223"/>
      <c r="D48" s="224"/>
      <c r="E48" s="225"/>
      <c r="F48" s="226"/>
      <c r="G48" s="226"/>
      <c r="H48" s="226"/>
      <c r="I48" s="226"/>
      <c r="J48" s="226"/>
      <c r="K48" s="226"/>
      <c r="L48" s="226"/>
      <c r="M48" s="226"/>
      <c r="N48" s="226"/>
      <c r="O48" s="227" t="s">
        <v>7</v>
      </c>
      <c r="P48" s="226"/>
      <c r="Q48" s="228" t="s">
        <v>8</v>
      </c>
      <c r="R48" s="229" t="s">
        <v>7</v>
      </c>
      <c r="S48" s="226"/>
      <c r="T48" s="226"/>
      <c r="U48" s="230"/>
    </row>
    <row r="49">
      <c r="A49" s="221"/>
      <c r="B49" s="222" t="s">
        <v>59</v>
      </c>
      <c r="C49" s="223"/>
      <c r="D49" s="169" t="s">
        <v>11</v>
      </c>
      <c r="E49" s="225"/>
      <c r="F49" s="231" t="s">
        <v>12</v>
      </c>
      <c r="G49" s="226"/>
      <c r="H49" s="226"/>
      <c r="I49" s="226" t="s">
        <v>13</v>
      </c>
      <c r="J49" s="226"/>
      <c r="K49" s="231" t="s">
        <v>14</v>
      </c>
      <c r="L49" s="226"/>
      <c r="M49" s="226" t="s">
        <v>15</v>
      </c>
      <c r="N49" s="226"/>
      <c r="O49" s="227" t="s">
        <v>16</v>
      </c>
      <c r="P49" s="226"/>
      <c r="Q49" s="228" t="s">
        <v>17</v>
      </c>
      <c r="R49" s="229" t="s">
        <v>18</v>
      </c>
      <c r="S49" s="226"/>
      <c r="T49" s="231" t="s">
        <v>19</v>
      </c>
      <c r="U49" s="230"/>
    </row>
    <row r="50">
      <c r="A50" s="221"/>
      <c r="B50" s="222" t="s">
        <v>60</v>
      </c>
      <c r="C50" s="223"/>
      <c r="D50" s="224" t="s">
        <v>61</v>
      </c>
      <c r="E50" s="225"/>
      <c r="F50" s="232">
        <v>103.7</v>
      </c>
      <c r="G50" s="233"/>
      <c r="H50" s="234"/>
      <c r="I50" s="234" t="s">
        <v>62</v>
      </c>
      <c r="J50" s="233"/>
      <c r="K50" s="235">
        <v>135000.0</v>
      </c>
      <c r="L50" s="233"/>
      <c r="M50" s="235">
        <v>1500.0</v>
      </c>
      <c r="N50" s="233"/>
      <c r="O50" s="233">
        <f t="shared" ref="O50:O52" si="17">(F50*K50)/$R$47</f>
        <v>186.66</v>
      </c>
      <c r="P50" s="233"/>
      <c r="Q50" s="233">
        <f t="shared" ref="Q50:Q52" si="18">O50/$L$47</f>
        <v>3.7332</v>
      </c>
      <c r="R50" s="236">
        <f t="shared" ref="R50:R52" si="19">F50*T50</f>
        <v>9333</v>
      </c>
      <c r="S50" s="233"/>
      <c r="T50" s="233">
        <f t="shared" ref="T50:T52" si="20">K50/M50</f>
        <v>90</v>
      </c>
      <c r="U50" s="230"/>
    </row>
    <row r="51">
      <c r="A51" s="221"/>
      <c r="B51" s="222" t="s">
        <v>63</v>
      </c>
      <c r="C51" s="223"/>
      <c r="D51" s="224" t="s">
        <v>64</v>
      </c>
      <c r="E51" s="225"/>
      <c r="F51" s="232">
        <v>33.7</v>
      </c>
      <c r="G51" s="233"/>
      <c r="H51" s="234"/>
      <c r="I51" s="234" t="s">
        <v>62</v>
      </c>
      <c r="J51" s="233"/>
      <c r="K51" s="235">
        <v>135000.0</v>
      </c>
      <c r="L51" s="233"/>
      <c r="M51" s="235">
        <v>1500.0</v>
      </c>
      <c r="N51" s="233"/>
      <c r="O51" s="233">
        <f t="shared" si="17"/>
        <v>60.66</v>
      </c>
      <c r="P51" s="233"/>
      <c r="Q51" s="233">
        <f t="shared" si="18"/>
        <v>1.2132</v>
      </c>
      <c r="R51" s="236">
        <f t="shared" si="19"/>
        <v>3033</v>
      </c>
      <c r="S51" s="233"/>
      <c r="T51" s="233">
        <f t="shared" si="20"/>
        <v>90</v>
      </c>
      <c r="U51" s="230"/>
    </row>
    <row r="52">
      <c r="A52" s="237"/>
      <c r="B52" s="238" t="s">
        <v>65</v>
      </c>
      <c r="C52" s="239"/>
      <c r="D52" s="224"/>
      <c r="E52" s="225"/>
      <c r="F52" s="232"/>
      <c r="G52" s="233"/>
      <c r="H52" s="234"/>
      <c r="I52" s="234"/>
      <c r="J52" s="233"/>
      <c r="K52" s="235">
        <v>135000.0</v>
      </c>
      <c r="L52" s="233"/>
      <c r="M52" s="235">
        <v>1500.0</v>
      </c>
      <c r="N52" s="233"/>
      <c r="O52" s="233">
        <f t="shared" si="17"/>
        <v>0</v>
      </c>
      <c r="P52" s="233"/>
      <c r="Q52" s="233">
        <f t="shared" si="18"/>
        <v>0</v>
      </c>
      <c r="R52" s="236">
        <f t="shared" si="19"/>
        <v>0</v>
      </c>
      <c r="S52" s="233"/>
      <c r="T52" s="233">
        <f t="shared" si="20"/>
        <v>90</v>
      </c>
      <c r="U52" s="230"/>
    </row>
    <row r="53">
      <c r="A53" s="9"/>
      <c r="B53" s="240"/>
      <c r="C53" s="241"/>
      <c r="D53" s="242" t="s">
        <v>66</v>
      </c>
      <c r="E53" s="243"/>
      <c r="F53" s="244">
        <f>SUM(F50:F52)</f>
        <v>137.4</v>
      </c>
      <c r="G53" s="245"/>
      <c r="H53" s="245"/>
      <c r="I53" s="245"/>
      <c r="J53" s="245"/>
      <c r="K53" s="246"/>
      <c r="L53" s="245"/>
      <c r="M53" s="246"/>
      <c r="N53" s="245"/>
      <c r="O53" s="244">
        <f>SUM(O50:O52)</f>
        <v>247.32</v>
      </c>
      <c r="P53" s="244"/>
      <c r="Q53" s="244">
        <f t="shared" ref="Q53:R53" si="21">SUM(Q50:Q52)</f>
        <v>4.9464</v>
      </c>
      <c r="R53" s="247">
        <f t="shared" si="21"/>
        <v>12366</v>
      </c>
      <c r="S53" s="245"/>
      <c r="T53" s="245"/>
      <c r="U53" s="248"/>
    </row>
    <row r="54" ht="16.5" customHeight="1">
      <c r="A54" s="53"/>
      <c r="B54" s="53"/>
      <c r="C54" s="53"/>
      <c r="D54" s="53"/>
      <c r="E54" s="53"/>
      <c r="F54" s="101"/>
      <c r="G54" s="101"/>
      <c r="H54" s="101"/>
      <c r="I54" s="101"/>
      <c r="J54" s="101"/>
      <c r="K54" s="102"/>
      <c r="L54" s="101"/>
      <c r="M54" s="102"/>
      <c r="N54" s="101"/>
      <c r="O54" s="101"/>
      <c r="P54" s="101"/>
      <c r="Q54" s="101"/>
      <c r="R54" s="103"/>
      <c r="S54" s="101"/>
      <c r="T54" s="101"/>
      <c r="U54" s="53"/>
    </row>
    <row r="55" ht="16.5" customHeight="1">
      <c r="A55" s="53"/>
      <c r="B55" s="53"/>
      <c r="C55" s="53"/>
      <c r="D55" s="53"/>
      <c r="E55" s="53"/>
      <c r="F55" s="101"/>
      <c r="G55" s="101"/>
      <c r="H55" s="101"/>
      <c r="I55" s="101"/>
      <c r="J55" s="101"/>
      <c r="K55" s="102"/>
      <c r="L55" s="101"/>
      <c r="M55" s="102"/>
      <c r="N55" s="101"/>
      <c r="O55" s="101"/>
      <c r="P55" s="101"/>
      <c r="Q55" s="101"/>
      <c r="R55" s="103"/>
      <c r="S55" s="101"/>
      <c r="T55" s="101"/>
      <c r="U55" s="53"/>
    </row>
    <row r="56" ht="16.5" customHeight="1">
      <c r="A56" s="53"/>
      <c r="B56" s="53"/>
      <c r="C56" s="53"/>
      <c r="D56" s="53"/>
      <c r="E56" s="53"/>
      <c r="F56" s="101"/>
      <c r="G56" s="101"/>
      <c r="H56" s="101"/>
      <c r="I56" s="101"/>
      <c r="J56" s="101"/>
      <c r="K56" s="102"/>
      <c r="L56" s="101"/>
      <c r="M56" s="102"/>
      <c r="N56" s="101"/>
      <c r="O56" s="101"/>
      <c r="P56" s="101"/>
      <c r="Q56" s="101"/>
      <c r="R56" s="103"/>
      <c r="S56" s="101"/>
      <c r="T56" s="101"/>
      <c r="U56" s="53"/>
    </row>
    <row r="57" ht="16.5" customHeight="1">
      <c r="A57" s="53"/>
      <c r="B57" s="249"/>
      <c r="C57" s="249"/>
      <c r="D57" s="249"/>
      <c r="E57" s="249"/>
      <c r="F57" s="250"/>
      <c r="G57" s="250"/>
      <c r="H57" s="250"/>
      <c r="I57" s="250"/>
      <c r="J57" s="250"/>
      <c r="K57" s="251"/>
      <c r="L57" s="250"/>
      <c r="M57" s="251"/>
      <c r="N57" s="250"/>
      <c r="O57" s="250"/>
      <c r="P57" s="250"/>
      <c r="Q57" s="250"/>
      <c r="R57" s="252"/>
      <c r="S57" s="250"/>
      <c r="T57" s="250"/>
      <c r="U57" s="249"/>
    </row>
    <row r="58">
      <c r="A58" s="253"/>
      <c r="B58" s="254"/>
      <c r="C58" s="254"/>
      <c r="D58" s="255"/>
      <c r="E58" s="255"/>
      <c r="F58" s="256"/>
      <c r="G58" s="101"/>
      <c r="H58" s="257"/>
      <c r="I58" s="258" t="s">
        <v>67</v>
      </c>
      <c r="J58" s="259"/>
      <c r="K58" s="260"/>
      <c r="L58" s="259"/>
      <c r="M58" s="260"/>
      <c r="N58" s="259"/>
      <c r="O58" s="259"/>
      <c r="P58" s="259"/>
      <c r="Q58" s="259"/>
      <c r="R58" s="261"/>
      <c r="S58" s="259"/>
      <c r="T58" s="259"/>
      <c r="U58" s="262"/>
    </row>
    <row r="59" ht="15.0" customHeight="1">
      <c r="A59" s="263"/>
      <c r="B59" s="264" t="s">
        <v>6</v>
      </c>
      <c r="C59" s="265"/>
      <c r="D59" s="266" t="s">
        <v>68</v>
      </c>
      <c r="E59" s="267"/>
      <c r="F59" s="268"/>
      <c r="G59" s="101"/>
      <c r="H59" s="101"/>
      <c r="I59" s="269"/>
      <c r="J59" s="270"/>
      <c r="K59" s="271"/>
      <c r="L59" s="270"/>
      <c r="M59" s="271"/>
      <c r="N59" s="270"/>
      <c r="O59" s="270"/>
      <c r="P59" s="270"/>
      <c r="Q59" s="270"/>
      <c r="R59" s="272"/>
      <c r="S59" s="270"/>
      <c r="T59" s="270"/>
      <c r="U59" s="273"/>
    </row>
    <row r="60">
      <c r="A60" s="274"/>
      <c r="B60" s="275" t="s">
        <v>69</v>
      </c>
      <c r="C60" s="276"/>
      <c r="D60" s="277"/>
      <c r="E60" s="277"/>
      <c r="F60" s="278" t="s">
        <v>12</v>
      </c>
      <c r="G60" s="101"/>
      <c r="H60" s="101"/>
      <c r="I60" s="269"/>
      <c r="J60" s="270"/>
      <c r="K60" s="279"/>
      <c r="L60" s="280"/>
      <c r="M60" s="281"/>
      <c r="N60" s="270"/>
      <c r="O60" s="280"/>
      <c r="P60" s="280"/>
      <c r="Q60" s="280"/>
      <c r="R60" s="282"/>
      <c r="S60" s="280"/>
      <c r="T60" s="280"/>
      <c r="U60" s="273"/>
    </row>
    <row r="61">
      <c r="A61" s="283"/>
      <c r="B61" s="284" t="s">
        <v>70</v>
      </c>
      <c r="C61" s="285"/>
      <c r="D61" s="277"/>
      <c r="E61" s="277"/>
      <c r="F61" s="286">
        <v>191.0</v>
      </c>
      <c r="G61" s="101"/>
      <c r="H61" s="101"/>
      <c r="I61" s="269"/>
      <c r="J61" s="270"/>
      <c r="K61" s="287"/>
      <c r="L61" s="288"/>
      <c r="M61" s="287"/>
      <c r="N61" s="270"/>
      <c r="O61" s="288"/>
      <c r="P61" s="288"/>
      <c r="Q61" s="288"/>
      <c r="R61" s="289"/>
      <c r="S61" s="288"/>
      <c r="T61" s="288"/>
      <c r="U61" s="273"/>
    </row>
    <row r="62">
      <c r="A62" s="290"/>
      <c r="B62" s="291"/>
      <c r="C62" s="292"/>
      <c r="D62" s="277"/>
      <c r="E62" s="277"/>
      <c r="F62" s="293"/>
      <c r="G62" s="101"/>
      <c r="H62" s="101"/>
      <c r="I62" s="269"/>
      <c r="J62" s="270"/>
      <c r="K62" s="281"/>
      <c r="L62" s="280"/>
      <c r="M62" s="281"/>
      <c r="N62" s="270"/>
      <c r="O62" s="280"/>
      <c r="P62" s="280"/>
      <c r="Q62" s="280"/>
      <c r="R62" s="282"/>
      <c r="S62" s="280"/>
      <c r="T62" s="280"/>
      <c r="U62" s="273"/>
    </row>
    <row r="63">
      <c r="A63" s="290"/>
      <c r="B63" s="291"/>
      <c r="C63" s="292"/>
      <c r="D63" s="277"/>
      <c r="E63" s="277"/>
      <c r="F63" s="293"/>
      <c r="G63" s="101"/>
      <c r="H63" s="101"/>
      <c r="I63" s="269"/>
      <c r="J63" s="270"/>
      <c r="K63" s="287"/>
      <c r="L63" s="288"/>
      <c r="M63" s="287"/>
      <c r="N63" s="270"/>
      <c r="O63" s="288"/>
      <c r="P63" s="288"/>
      <c r="Q63" s="288"/>
      <c r="R63" s="289"/>
      <c r="S63" s="288"/>
      <c r="T63" s="288"/>
      <c r="U63" s="273"/>
    </row>
    <row r="64">
      <c r="A64" s="290"/>
      <c r="B64" s="291"/>
      <c r="C64" s="292"/>
      <c r="D64" s="277"/>
      <c r="E64" s="277"/>
      <c r="F64" s="293"/>
      <c r="G64" s="101"/>
      <c r="H64" s="101"/>
      <c r="I64" s="269"/>
      <c r="J64" s="270"/>
      <c r="K64" s="281"/>
      <c r="L64" s="280"/>
      <c r="M64" s="281"/>
      <c r="N64" s="270"/>
      <c r="O64" s="280"/>
      <c r="P64" s="280"/>
      <c r="Q64" s="280"/>
      <c r="R64" s="282"/>
      <c r="S64" s="280"/>
      <c r="T64" s="280"/>
      <c r="U64" s="273"/>
    </row>
    <row r="65">
      <c r="A65" s="290"/>
      <c r="B65" s="291"/>
      <c r="C65" s="292"/>
      <c r="D65" s="277"/>
      <c r="E65" s="277"/>
      <c r="F65" s="293"/>
      <c r="G65" s="101"/>
      <c r="H65" s="101"/>
      <c r="I65" s="269"/>
      <c r="J65" s="270"/>
      <c r="K65" s="287"/>
      <c r="L65" s="288"/>
      <c r="M65" s="287"/>
      <c r="N65" s="270"/>
      <c r="O65" s="288"/>
      <c r="P65" s="288"/>
      <c r="Q65" s="288"/>
      <c r="R65" s="289"/>
      <c r="S65" s="288"/>
      <c r="T65" s="288"/>
      <c r="U65" s="273"/>
    </row>
    <row r="66">
      <c r="A66" s="290"/>
      <c r="B66" s="291"/>
      <c r="C66" s="292"/>
      <c r="D66" s="277"/>
      <c r="E66" s="277"/>
      <c r="F66" s="293"/>
      <c r="G66" s="101"/>
      <c r="H66" s="101"/>
      <c r="I66" s="269"/>
      <c r="J66" s="270"/>
      <c r="K66" s="281"/>
      <c r="L66" s="280"/>
      <c r="M66" s="281"/>
      <c r="N66" s="270"/>
      <c r="O66" s="280"/>
      <c r="P66" s="280"/>
      <c r="Q66" s="280"/>
      <c r="R66" s="282"/>
      <c r="S66" s="280"/>
      <c r="T66" s="280"/>
      <c r="U66" s="273"/>
    </row>
    <row r="67">
      <c r="A67" s="274"/>
      <c r="B67" s="294" t="s">
        <v>71</v>
      </c>
      <c r="C67" s="295"/>
      <c r="D67" s="296"/>
      <c r="E67" s="296"/>
      <c r="F67" s="297">
        <f>SUM(F61:F66)</f>
        <v>191</v>
      </c>
      <c r="G67" s="101"/>
      <c r="H67" s="101"/>
      <c r="I67" s="269"/>
      <c r="J67" s="270"/>
      <c r="K67" s="287"/>
      <c r="L67" s="288"/>
      <c r="M67" s="287"/>
      <c r="N67" s="270"/>
      <c r="O67" s="288"/>
      <c r="P67" s="288"/>
      <c r="Q67" s="288"/>
      <c r="R67" s="289"/>
      <c r="S67" s="288"/>
      <c r="T67" s="288"/>
      <c r="U67" s="273"/>
    </row>
    <row r="68" ht="15.0" customHeight="1">
      <c r="A68" s="298"/>
      <c r="B68" s="299"/>
      <c r="C68" s="267"/>
      <c r="D68" s="268"/>
      <c r="E68" s="268"/>
      <c r="F68" s="268"/>
      <c r="G68" s="101"/>
      <c r="H68" s="101"/>
      <c r="I68" s="269"/>
      <c r="J68" s="270"/>
      <c r="K68" s="281"/>
      <c r="L68" s="280"/>
      <c r="M68" s="281"/>
      <c r="N68" s="270"/>
      <c r="O68" s="280"/>
      <c r="P68" s="280"/>
      <c r="Q68" s="280"/>
      <c r="R68" s="282"/>
      <c r="S68" s="280"/>
      <c r="T68" s="280"/>
      <c r="U68" s="273"/>
    </row>
    <row r="69" ht="15.0" customHeight="1">
      <c r="A69" s="300"/>
      <c r="B69" s="300"/>
      <c r="C69" s="300"/>
      <c r="D69" s="300"/>
      <c r="E69" s="300"/>
      <c r="F69" s="301"/>
      <c r="G69" s="301"/>
      <c r="H69" s="301"/>
      <c r="I69" s="302"/>
      <c r="J69" s="303"/>
      <c r="K69" s="304"/>
      <c r="L69" s="305"/>
      <c r="M69" s="304"/>
      <c r="N69" s="303"/>
      <c r="O69" s="305"/>
      <c r="P69" s="305"/>
      <c r="Q69" s="305"/>
      <c r="R69" s="306"/>
      <c r="S69" s="305"/>
      <c r="T69" s="305"/>
      <c r="U69" s="307"/>
    </row>
    <row r="70" ht="15.0" customHeight="1">
      <c r="A70" s="300"/>
      <c r="B70" s="300"/>
      <c r="C70" s="300"/>
      <c r="D70" s="300"/>
      <c r="E70" s="300"/>
      <c r="F70" s="301"/>
      <c r="G70" s="301"/>
      <c r="H70" s="301"/>
      <c r="I70" s="308"/>
      <c r="J70" s="309"/>
      <c r="K70" s="310"/>
      <c r="L70" s="309"/>
      <c r="M70" s="310"/>
      <c r="N70" s="309"/>
      <c r="O70" s="309"/>
      <c r="P70" s="309"/>
      <c r="Q70" s="309"/>
      <c r="R70" s="311"/>
      <c r="S70" s="309"/>
      <c r="T70" s="309"/>
      <c r="U70" s="312"/>
    </row>
    <row r="71" ht="14.25" customHeight="1">
      <c r="A71" s="313"/>
      <c r="B71" s="314">
        <v>45399.0</v>
      </c>
      <c r="C71" s="315"/>
      <c r="D71" s="316"/>
      <c r="E71" s="316"/>
      <c r="F71" s="317"/>
      <c r="G71" s="317"/>
      <c r="H71" s="318"/>
      <c r="I71" s="318" t="s">
        <v>72</v>
      </c>
      <c r="J71" s="317"/>
      <c r="K71" s="319"/>
      <c r="L71" s="317"/>
      <c r="M71" s="319"/>
      <c r="N71" s="317"/>
      <c r="O71" s="317"/>
      <c r="P71" s="317"/>
      <c r="Q71" s="317"/>
      <c r="R71" s="320"/>
      <c r="S71" s="317"/>
      <c r="T71" s="317"/>
      <c r="U71" s="321"/>
    </row>
    <row r="72" ht="14.25" customHeight="1">
      <c r="A72" s="322"/>
      <c r="B72" s="323" t="s">
        <v>73</v>
      </c>
      <c r="C72" s="324"/>
      <c r="D72" s="325"/>
      <c r="E72" s="326"/>
      <c r="F72" s="326"/>
      <c r="G72" s="327"/>
      <c r="H72" s="326"/>
      <c r="I72" s="326"/>
      <c r="J72" s="326"/>
      <c r="K72" s="327" t="s">
        <v>3</v>
      </c>
      <c r="L72" s="328">
        <v>50.0</v>
      </c>
      <c r="M72" s="327"/>
      <c r="N72" s="327"/>
      <c r="O72" s="329" t="s">
        <v>4</v>
      </c>
      <c r="P72" s="327" t="s">
        <v>5</v>
      </c>
      <c r="Q72" s="330"/>
      <c r="R72" s="331">
        <v>140000.0</v>
      </c>
      <c r="S72" s="326"/>
      <c r="T72" s="326"/>
      <c r="U72" s="332"/>
    </row>
    <row r="73">
      <c r="A73" s="333"/>
      <c r="B73" s="334"/>
      <c r="C73" s="335"/>
      <c r="D73" s="336"/>
      <c r="E73" s="337"/>
      <c r="F73" s="338"/>
      <c r="G73" s="338"/>
      <c r="H73" s="338"/>
      <c r="I73" s="338"/>
      <c r="J73" s="338"/>
      <c r="K73" s="338"/>
      <c r="L73" s="338"/>
      <c r="M73" s="338"/>
      <c r="N73" s="338"/>
      <c r="O73" s="339" t="s">
        <v>7</v>
      </c>
      <c r="P73" s="338"/>
      <c r="Q73" s="340" t="s">
        <v>8</v>
      </c>
      <c r="R73" s="341" t="s">
        <v>7</v>
      </c>
      <c r="S73" s="338"/>
      <c r="T73" s="338"/>
      <c r="U73" s="342"/>
    </row>
    <row r="74">
      <c r="A74" s="333"/>
      <c r="B74" s="334"/>
      <c r="C74" s="335"/>
      <c r="D74" s="338" t="s">
        <v>11</v>
      </c>
      <c r="E74" s="337"/>
      <c r="F74" s="343" t="s">
        <v>12</v>
      </c>
      <c r="G74" s="338"/>
      <c r="H74" s="338"/>
      <c r="I74" s="338" t="s">
        <v>13</v>
      </c>
      <c r="J74" s="338"/>
      <c r="K74" s="343" t="s">
        <v>14</v>
      </c>
      <c r="L74" s="338"/>
      <c r="M74" s="338" t="s">
        <v>15</v>
      </c>
      <c r="N74" s="338"/>
      <c r="O74" s="339" t="s">
        <v>16</v>
      </c>
      <c r="P74" s="338"/>
      <c r="Q74" s="340" t="s">
        <v>17</v>
      </c>
      <c r="R74" s="341" t="s">
        <v>18</v>
      </c>
      <c r="S74" s="338"/>
      <c r="T74" s="343" t="s">
        <v>19</v>
      </c>
      <c r="U74" s="342"/>
    </row>
    <row r="75">
      <c r="A75" s="333"/>
      <c r="B75" s="334"/>
      <c r="C75" s="335"/>
      <c r="D75" s="336"/>
      <c r="E75" s="337"/>
      <c r="F75" s="344"/>
      <c r="G75" s="345"/>
      <c r="H75" s="344"/>
      <c r="I75" s="344"/>
      <c r="J75" s="345"/>
      <c r="K75" s="346"/>
      <c r="L75" s="345"/>
      <c r="M75" s="346"/>
      <c r="N75" s="345"/>
      <c r="O75" s="345"/>
      <c r="P75" s="345"/>
      <c r="Q75" s="345"/>
      <c r="R75" s="347"/>
      <c r="S75" s="345"/>
      <c r="T75" s="345"/>
      <c r="U75" s="342"/>
    </row>
    <row r="76">
      <c r="A76" s="333"/>
      <c r="B76" s="334"/>
      <c r="C76" s="335"/>
      <c r="D76" s="336" t="s">
        <v>74</v>
      </c>
      <c r="E76" s="337"/>
      <c r="F76" s="344">
        <v>31.5</v>
      </c>
      <c r="G76" s="345"/>
      <c r="H76" s="335"/>
      <c r="I76" s="334" t="s">
        <v>75</v>
      </c>
      <c r="J76" s="345"/>
      <c r="K76" s="346">
        <v>200000.0</v>
      </c>
      <c r="L76" s="345"/>
      <c r="M76" s="346">
        <v>4500.0</v>
      </c>
      <c r="N76" s="345"/>
      <c r="O76" s="345">
        <f t="shared" ref="O76:O77" si="22">(F76*K76)/$R$72</f>
        <v>45</v>
      </c>
      <c r="P76" s="345"/>
      <c r="Q76" s="345">
        <f t="shared" ref="Q76:Q77" si="23">O76/$L$72</f>
        <v>0.9</v>
      </c>
      <c r="R76" s="347">
        <f t="shared" ref="R76:R77" si="24">F76*T76</f>
        <v>1400</v>
      </c>
      <c r="S76" s="345"/>
      <c r="T76" s="345">
        <f t="shared" ref="T76:T77" si="25">K76/M76</f>
        <v>44.44444444</v>
      </c>
      <c r="U76" s="342"/>
    </row>
    <row r="77">
      <c r="A77" s="333"/>
      <c r="B77" s="334"/>
      <c r="C77" s="335"/>
      <c r="D77" s="336" t="s">
        <v>76</v>
      </c>
      <c r="E77" s="337"/>
      <c r="F77" s="344">
        <v>6.0</v>
      </c>
      <c r="G77" s="345"/>
      <c r="H77" s="335"/>
      <c r="I77" s="334" t="s">
        <v>75</v>
      </c>
      <c r="J77" s="345"/>
      <c r="K77" s="346">
        <v>200000.0</v>
      </c>
      <c r="L77" s="345"/>
      <c r="M77" s="346">
        <v>4500.0</v>
      </c>
      <c r="N77" s="345"/>
      <c r="O77" s="345">
        <f t="shared" si="22"/>
        <v>8.571428571</v>
      </c>
      <c r="P77" s="345"/>
      <c r="Q77" s="345">
        <f t="shared" si="23"/>
        <v>0.1714285714</v>
      </c>
      <c r="R77" s="347">
        <f t="shared" si="24"/>
        <v>266.6666667</v>
      </c>
      <c r="S77" s="345"/>
      <c r="T77" s="345">
        <f t="shared" si="25"/>
        <v>44.44444444</v>
      </c>
      <c r="U77" s="342"/>
    </row>
    <row r="78">
      <c r="A78" s="333"/>
      <c r="B78" s="334"/>
      <c r="C78" s="335"/>
      <c r="D78" s="336"/>
      <c r="E78" s="337"/>
      <c r="F78" s="344"/>
      <c r="G78" s="345"/>
      <c r="H78" s="344"/>
      <c r="I78" s="344"/>
      <c r="J78" s="345"/>
      <c r="K78" s="346"/>
      <c r="L78" s="345"/>
      <c r="M78" s="346"/>
      <c r="N78" s="345"/>
      <c r="O78" s="345"/>
      <c r="P78" s="345"/>
      <c r="Q78" s="345"/>
      <c r="R78" s="347"/>
      <c r="S78" s="345"/>
      <c r="T78" s="345"/>
      <c r="U78" s="342"/>
    </row>
    <row r="79">
      <c r="A79" s="322"/>
      <c r="B79" s="348"/>
      <c r="C79" s="349"/>
      <c r="D79" s="350" t="s">
        <v>77</v>
      </c>
      <c r="E79" s="351"/>
      <c r="F79" s="352">
        <f>SUM(F75:F78)</f>
        <v>37.5</v>
      </c>
      <c r="G79" s="353"/>
      <c r="H79" s="353"/>
      <c r="I79" s="353"/>
      <c r="J79" s="353"/>
      <c r="K79" s="354"/>
      <c r="L79" s="353"/>
      <c r="M79" s="354"/>
      <c r="N79" s="353"/>
      <c r="O79" s="352">
        <f>SUM(O75:O78)</f>
        <v>53.57142857</v>
      </c>
      <c r="P79" s="352"/>
      <c r="Q79" s="352">
        <f t="shared" ref="Q79:R79" si="26">SUM(Q75:Q78)</f>
        <v>1.071428571</v>
      </c>
      <c r="R79" s="355">
        <f t="shared" si="26"/>
        <v>1666.666667</v>
      </c>
      <c r="S79" s="353"/>
      <c r="T79" s="353"/>
      <c r="U79" s="356"/>
    </row>
    <row r="80" ht="14.25" customHeight="1">
      <c r="A80" s="357"/>
      <c r="B80" s="358"/>
      <c r="C80" s="359"/>
      <c r="D80" s="359"/>
      <c r="E80" s="360"/>
      <c r="F80" s="360"/>
      <c r="G80" s="361"/>
      <c r="H80" s="360"/>
      <c r="I80" s="360"/>
      <c r="J80" s="360"/>
      <c r="K80" s="361"/>
      <c r="L80" s="361"/>
      <c r="M80" s="361"/>
      <c r="N80" s="361"/>
      <c r="O80" s="362"/>
      <c r="P80" s="361"/>
      <c r="Q80" s="363"/>
      <c r="R80" s="364"/>
      <c r="S80" s="360"/>
      <c r="T80" s="360"/>
      <c r="U80" s="365"/>
    </row>
    <row r="81">
      <c r="A81" s="366"/>
      <c r="B81" s="367"/>
      <c r="C81" s="361"/>
      <c r="D81" s="361"/>
      <c r="E81" s="360"/>
      <c r="F81" s="368"/>
      <c r="G81" s="369"/>
      <c r="H81" s="369"/>
      <c r="I81" s="369"/>
      <c r="J81" s="369"/>
      <c r="K81" s="370"/>
      <c r="L81" s="369"/>
      <c r="M81" s="370"/>
      <c r="N81" s="369"/>
      <c r="O81" s="368"/>
      <c r="P81" s="369"/>
      <c r="Q81" s="368"/>
      <c r="R81" s="371"/>
      <c r="S81" s="369"/>
      <c r="T81" s="369"/>
      <c r="U81" s="365"/>
    </row>
    <row r="82" ht="14.25" customHeight="1">
      <c r="A82" s="322"/>
      <c r="B82" s="372" t="s">
        <v>78</v>
      </c>
      <c r="C82" s="373"/>
      <c r="D82" s="374"/>
      <c r="E82" s="375"/>
      <c r="F82" s="375"/>
      <c r="G82" s="376"/>
      <c r="H82" s="375"/>
      <c r="I82" s="375"/>
      <c r="J82" s="375"/>
      <c r="K82" s="376" t="s">
        <v>3</v>
      </c>
      <c r="L82" s="377">
        <v>50.0</v>
      </c>
      <c r="M82" s="376"/>
      <c r="N82" s="376"/>
      <c r="O82" s="378" t="s">
        <v>4</v>
      </c>
      <c r="P82" s="376" t="s">
        <v>5</v>
      </c>
      <c r="Q82" s="379"/>
      <c r="R82" s="380">
        <v>200000.0</v>
      </c>
      <c r="S82" s="375"/>
      <c r="T82" s="375"/>
      <c r="U82" s="381"/>
    </row>
    <row r="83" ht="14.25" customHeight="1">
      <c r="A83" s="366"/>
      <c r="B83" s="382"/>
      <c r="C83" s="383"/>
      <c r="D83" s="384" t="s">
        <v>11</v>
      </c>
      <c r="E83" s="384"/>
      <c r="F83" s="385" t="s">
        <v>12</v>
      </c>
      <c r="G83" s="384"/>
      <c r="H83" s="384"/>
      <c r="I83" s="384" t="s">
        <v>13</v>
      </c>
      <c r="J83" s="384"/>
      <c r="K83" s="385" t="s">
        <v>14</v>
      </c>
      <c r="L83" s="384"/>
      <c r="M83" s="384" t="s">
        <v>15</v>
      </c>
      <c r="N83" s="384"/>
      <c r="O83" s="386" t="s">
        <v>16</v>
      </c>
      <c r="P83" s="384"/>
      <c r="Q83" s="387" t="s">
        <v>17</v>
      </c>
      <c r="R83" s="388" t="s">
        <v>18</v>
      </c>
      <c r="S83" s="384"/>
      <c r="T83" s="385" t="s">
        <v>19</v>
      </c>
      <c r="U83" s="389"/>
    </row>
    <row r="84" ht="14.25" customHeight="1">
      <c r="A84" s="390"/>
      <c r="B84" s="391"/>
      <c r="C84" s="392"/>
      <c r="D84" s="393" t="s">
        <v>79</v>
      </c>
      <c r="E84" s="394"/>
      <c r="F84" s="395">
        <v>212.0</v>
      </c>
      <c r="G84" s="396"/>
      <c r="H84" s="395"/>
      <c r="I84" s="395" t="s">
        <v>80</v>
      </c>
      <c r="J84" s="396"/>
      <c r="K84" s="397">
        <v>27000.0</v>
      </c>
      <c r="L84" s="396"/>
      <c r="M84" s="397">
        <v>4000.0</v>
      </c>
      <c r="N84" s="396"/>
      <c r="O84" s="396">
        <f>(F84*K84)/$R$82</f>
        <v>28.62</v>
      </c>
      <c r="P84" s="396"/>
      <c r="Q84" s="396">
        <f>O84/$L$82</f>
        <v>0.5724</v>
      </c>
      <c r="R84" s="398">
        <f>F84*T84</f>
        <v>1431</v>
      </c>
      <c r="S84" s="396"/>
      <c r="T84" s="396">
        <f>K84/M84</f>
        <v>6.75</v>
      </c>
      <c r="U84" s="389"/>
    </row>
    <row r="85">
      <c r="A85" s="390"/>
      <c r="B85" s="391"/>
      <c r="C85" s="392"/>
      <c r="D85" s="393"/>
      <c r="E85" s="394"/>
      <c r="F85" s="395"/>
      <c r="G85" s="396"/>
      <c r="H85" s="395"/>
      <c r="I85" s="395"/>
      <c r="J85" s="396"/>
      <c r="K85" s="397"/>
      <c r="L85" s="396"/>
      <c r="M85" s="397"/>
      <c r="N85" s="396"/>
      <c r="O85" s="396"/>
      <c r="P85" s="396"/>
      <c r="Q85" s="396"/>
      <c r="R85" s="398"/>
      <c r="S85" s="396"/>
      <c r="T85" s="396"/>
      <c r="U85" s="389"/>
    </row>
    <row r="86">
      <c r="A86" s="390"/>
      <c r="B86" s="391"/>
      <c r="C86" s="392"/>
      <c r="D86" s="393"/>
      <c r="E86" s="394"/>
      <c r="F86" s="395"/>
      <c r="G86" s="396"/>
      <c r="H86" s="395"/>
      <c r="I86" s="395"/>
      <c r="J86" s="396"/>
      <c r="K86" s="397"/>
      <c r="L86" s="396"/>
      <c r="M86" s="397"/>
      <c r="N86" s="396"/>
      <c r="O86" s="396"/>
      <c r="P86" s="396"/>
      <c r="Q86" s="396"/>
      <c r="R86" s="398"/>
      <c r="S86" s="396"/>
      <c r="T86" s="396"/>
      <c r="U86" s="389"/>
    </row>
    <row r="87">
      <c r="A87" s="399"/>
      <c r="B87" s="400"/>
      <c r="C87" s="401"/>
      <c r="D87" s="402" t="s">
        <v>81</v>
      </c>
      <c r="E87" s="403"/>
      <c r="F87" s="404">
        <f>sum(F84:F85)</f>
        <v>212</v>
      </c>
      <c r="G87" s="405"/>
      <c r="H87" s="404"/>
      <c r="I87" s="404"/>
      <c r="J87" s="405"/>
      <c r="K87" s="406"/>
      <c r="L87" s="405"/>
      <c r="M87" s="406"/>
      <c r="N87" s="405"/>
      <c r="O87" s="404">
        <f>sum(O84:O85)</f>
        <v>28.62</v>
      </c>
      <c r="P87" s="405"/>
      <c r="Q87" s="404">
        <f t="shared" ref="Q87:R87" si="27">sum(Q84:Q85)</f>
        <v>0.5724</v>
      </c>
      <c r="R87" s="407">
        <f t="shared" si="27"/>
        <v>1431</v>
      </c>
      <c r="S87" s="405"/>
      <c r="T87" s="404"/>
      <c r="U87" s="408"/>
    </row>
    <row r="88" ht="14.25" customHeight="1">
      <c r="A88" s="366"/>
      <c r="B88" s="409"/>
      <c r="C88" s="410"/>
      <c r="D88" s="410"/>
      <c r="E88" s="411"/>
      <c r="F88" s="412"/>
      <c r="G88" s="412"/>
      <c r="H88" s="412"/>
      <c r="I88" s="412"/>
      <c r="J88" s="412"/>
      <c r="K88" s="412"/>
      <c r="L88" s="412"/>
      <c r="M88" s="412"/>
      <c r="N88" s="412"/>
      <c r="O88" s="412"/>
      <c r="P88" s="412"/>
      <c r="Q88" s="412"/>
      <c r="R88" s="413"/>
      <c r="S88" s="412"/>
      <c r="T88" s="412"/>
      <c r="U88" s="414"/>
    </row>
    <row r="89" ht="14.25" customHeight="1">
      <c r="A89" s="366"/>
      <c r="B89" s="415"/>
      <c r="C89" s="416"/>
      <c r="D89" s="416"/>
      <c r="E89" s="417"/>
      <c r="F89" s="418"/>
      <c r="G89" s="418"/>
      <c r="H89" s="418"/>
      <c r="I89" s="418"/>
      <c r="J89" s="418"/>
      <c r="K89" s="418"/>
      <c r="L89" s="418"/>
      <c r="M89" s="418"/>
      <c r="N89" s="418"/>
      <c r="O89" s="418"/>
      <c r="P89" s="418"/>
      <c r="Q89" s="418"/>
      <c r="R89" s="419"/>
      <c r="S89" s="418"/>
      <c r="T89" s="418"/>
      <c r="U89" s="420"/>
    </row>
  </sheetData>
  <printOptions gridLines="1"/>
  <pageMargins bottom="0.31105398457583544" footer="0.0" header="0.0" left="0.24035989717223652" right="0.32519280205655526" top="1.201799485861182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 ht="14.25" customHeight="1"/>
    <row r="2" ht="14.25" customHeight="1"/>
    <row r="3" ht="14.25" customHeight="1"/>
    <row r="4" ht="14.25" customHeight="1">
      <c r="A4" s="421" t="s">
        <v>82</v>
      </c>
      <c r="C4" s="421" t="s">
        <v>83</v>
      </c>
      <c r="F4" s="421" t="s">
        <v>84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