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INVENTORY" sheetId="1" r:id="rId5"/>
    <sheet state="visible" name="Sheet10" sheetId="2" r:id="rId6"/>
    <sheet state="visible" name="INPUT COMPARISON" sheetId="3" r:id="rId7"/>
    <sheet state="visible" name="SEED COMPARISON" sheetId="4" r:id="rId8"/>
    <sheet state="visible" name="MATRIX" sheetId="5" r:id="rId9"/>
    <sheet state="visible" name="INVOICE ACCOUNT SUMMARIES" sheetId="6" r:id="rId10"/>
    <sheet state="visible" name="MACRO SEED SHEET" sheetId="7" r:id="rId11"/>
  </sheets>
  <definedNames>
    <definedName name="ALBERT_LEA_SEED">#REF!</definedName>
    <definedName name="PIONEER">#REF!</definedName>
    <definedName name="PEAS">MATRIX!$M$3:$M$1003</definedName>
    <definedName name="SEED_CORN">MATRIX!$K$3:$K$1003</definedName>
    <definedName name="SUNFLOWERS">MATRIX!$A$3:$A$1003</definedName>
    <definedName name="KENNEL_SEED_FARMS">#REF!</definedName>
    <definedName name="SNAP_BEANS">MATRIX!$L$3:$L$1003</definedName>
    <definedName name="ORGANIC_YELLOW">#REF!</definedName>
    <definedName name="MAIN">#REF!</definedName>
    <definedName name="ORGANIC_SOYBEANS">#REF!</definedName>
    <definedName name="Oats">MATRIX!$A$3:$N$1003</definedName>
    <definedName name="BLUE_CORN">MATRIX!$I$3:$I$1003</definedName>
    <definedName name="SORGHUM">MATRIX!$B$3:$B$1003</definedName>
    <definedName name="YELLOW_CORN">MATRIX!$D$3:$D$1003</definedName>
    <definedName name="HARTUNG_BROTHERS_SEED">#REF!</definedName>
    <definedName name="KWS">#REF!</definedName>
    <definedName name="RAINBOW_VALLEY_SEED">#REF!</definedName>
    <definedName name="BARLEY">MATRIX!$O$3:$O$1003</definedName>
    <definedName name="SENECA_FOODS">#REF!</definedName>
    <definedName name="TYPE">MATRIX!$R$4:$R$19</definedName>
    <definedName name="WHITE_CORN">MATRIX!$E$3:$E$1003</definedName>
    <definedName name="ALFALFA">MATRIX!$G$3:$G$1003</definedName>
    <definedName name="DELONGS">#REF!</definedName>
    <definedName name="CHAMPAIGN_COUNTY_SEED">#REF!</definedName>
    <definedName name="WHEAT">MATRIX!$F$3:$F$1003</definedName>
    <definedName name="GREAT_HARVEST_ORGANICS">#REF!</definedName>
    <definedName name="LIMA_BEANS">MATRIX!$J$3:$J$1003</definedName>
    <definedName name="HYBRID_RYE">MATRIX!$H$3:$H$1003</definedName>
    <definedName name="SOYBEANS">MATRIX!$C$3:$C$1003</definedName>
  </definedNames>
  <calcPr/>
</workbook>
</file>

<file path=xl/sharedStrings.xml><?xml version="1.0" encoding="utf-8"?>
<sst xmlns="http://schemas.openxmlformats.org/spreadsheetml/2006/main" count="704" uniqueCount="243">
  <si>
    <t xml:space="preserve">DELIVERY </t>
  </si>
  <si>
    <t xml:space="preserve"> delivered</t>
  </si>
  <si>
    <t>Date</t>
  </si>
  <si>
    <t>Name</t>
  </si>
  <si>
    <t>LOT</t>
  </si>
  <si>
    <t>Ticket NUMBER</t>
  </si>
  <si>
    <t>Product type</t>
  </si>
  <si>
    <t>IN/OUT</t>
  </si>
  <si>
    <t>BRAND</t>
  </si>
  <si>
    <t>CROP</t>
  </si>
  <si>
    <t>Variety</t>
  </si>
  <si>
    <t xml:space="preserve"> Quantity</t>
  </si>
  <si>
    <t>Unit type</t>
  </si>
  <si>
    <t>Pack quantity</t>
  </si>
  <si>
    <t>Pack type</t>
  </si>
  <si>
    <t>Input</t>
  </si>
  <si>
    <t>Input Quantity</t>
  </si>
  <si>
    <t>Input unit</t>
  </si>
  <si>
    <t>Notes</t>
  </si>
  <si>
    <t xml:space="preserve"> Return QUANTITY</t>
  </si>
  <si>
    <t>TYPE</t>
  </si>
  <si>
    <t>Randy</t>
  </si>
  <si>
    <t>B22-12024</t>
  </si>
  <si>
    <t>Seed</t>
  </si>
  <si>
    <t>Incoming</t>
  </si>
  <si>
    <t>Albert Lea</t>
  </si>
  <si>
    <t>Barley</t>
  </si>
  <si>
    <t>SB151</t>
  </si>
  <si>
    <t>LBS</t>
  </si>
  <si>
    <t>Units</t>
  </si>
  <si>
    <t>Picked up by Randy S truck 2</t>
  </si>
  <si>
    <t>Bob</t>
  </si>
  <si>
    <t>22U-44WH</t>
  </si>
  <si>
    <t>B22-14970</t>
  </si>
  <si>
    <t>Wheat</t>
  </si>
  <si>
    <t>LCS 3334</t>
  </si>
  <si>
    <t>SOFT TOTE</t>
  </si>
  <si>
    <t>Picked up by Bob O truck 5</t>
  </si>
  <si>
    <t>22U-47WH</t>
  </si>
  <si>
    <t>50lb Paper Bag</t>
  </si>
  <si>
    <t>winter camelina</t>
  </si>
  <si>
    <t>VNS</t>
  </si>
  <si>
    <t>22U-82AK</t>
  </si>
  <si>
    <t>Rye</t>
  </si>
  <si>
    <t>Hazlett</t>
  </si>
  <si>
    <t>TSTS2203</t>
  </si>
  <si>
    <t>Tracy Seeds</t>
  </si>
  <si>
    <t>TW92-22</t>
  </si>
  <si>
    <t>Bag</t>
  </si>
  <si>
    <t>Picked up by Bob O -Tracy's</t>
  </si>
  <si>
    <t>Picked up by Bob O - Tracy's</t>
  </si>
  <si>
    <t xml:space="preserve">Tim </t>
  </si>
  <si>
    <t>0-0-60 Potash</t>
  </si>
  <si>
    <t>Lbs</t>
  </si>
  <si>
    <t>input</t>
  </si>
  <si>
    <t>18-46-0 DAP</t>
  </si>
  <si>
    <t>Bulk</t>
  </si>
  <si>
    <t>0-0-50-17s</t>
  </si>
  <si>
    <t>Picked up by Bob  @ J&amp;L Fert Morris IL</t>
  </si>
  <si>
    <t>Jason</t>
  </si>
  <si>
    <t>S04 30%</t>
  </si>
  <si>
    <t>Picked up by Jason, Milledgville, IL</t>
  </si>
  <si>
    <t>Robert</t>
  </si>
  <si>
    <t>Picked up by Robert, Milledgville, IL</t>
  </si>
  <si>
    <t>jason</t>
  </si>
  <si>
    <t>2.5 gal JUG</t>
  </si>
  <si>
    <t>Eco Tec</t>
  </si>
  <si>
    <t>dropped off by AgriEnergy</t>
  </si>
  <si>
    <t>BioRepel</t>
  </si>
  <si>
    <t>Box</t>
  </si>
  <si>
    <t>Exceed Soy Inoculant (30 Unit)</t>
  </si>
  <si>
    <t>Gary</t>
  </si>
  <si>
    <t>Batallion LFC (2x2.5 Gal)</t>
  </si>
  <si>
    <t>Gallons</t>
  </si>
  <si>
    <t>Pioneer</t>
  </si>
  <si>
    <t>Yellow_Corn</t>
  </si>
  <si>
    <t>P0035</t>
  </si>
  <si>
    <t>5489995P</t>
  </si>
  <si>
    <t>P0075</t>
  </si>
  <si>
    <t>PROBOX</t>
  </si>
  <si>
    <t>5420613P</t>
  </si>
  <si>
    <t>P0057</t>
  </si>
  <si>
    <t xml:space="preserve">Units in PROBOX </t>
  </si>
  <si>
    <t>5420656P</t>
  </si>
  <si>
    <t>5830118P</t>
  </si>
  <si>
    <t>P0157</t>
  </si>
  <si>
    <t>bag</t>
  </si>
  <si>
    <t>80k Paper bag</t>
  </si>
  <si>
    <t>5707984P</t>
  </si>
  <si>
    <t>P0720</t>
  </si>
  <si>
    <t>5773155P</t>
  </si>
  <si>
    <t>P0924</t>
  </si>
  <si>
    <t>Sunflowers</t>
  </si>
  <si>
    <t>P63ME80</t>
  </si>
  <si>
    <t>sorghum</t>
  </si>
  <si>
    <t>88P71</t>
  </si>
  <si>
    <t>Sorghum</t>
  </si>
  <si>
    <t>GAL</t>
  </si>
  <si>
    <t>CX-1 Pro</t>
  </si>
  <si>
    <t>delivered by purple cow</t>
  </si>
  <si>
    <t>Soybeans</t>
  </si>
  <si>
    <t>P21A20</t>
  </si>
  <si>
    <t>46-0-0  Urea</t>
  </si>
  <si>
    <t>Picked up in Clinton</t>
  </si>
  <si>
    <t>Tons</t>
  </si>
  <si>
    <t>10-34-0</t>
  </si>
  <si>
    <t>Delong Blend Ticket # 124253</t>
  </si>
  <si>
    <t>13-0-0-15 Zn (Gal)</t>
  </si>
  <si>
    <t>Tim</t>
  </si>
  <si>
    <t>15 Gal Box</t>
  </si>
  <si>
    <t>Accompish Max</t>
  </si>
  <si>
    <t>Delivered by Nutrien Ag Sys</t>
  </si>
  <si>
    <t>Homeplate</t>
  </si>
  <si>
    <t>return</t>
  </si>
  <si>
    <t>TeraFed</t>
  </si>
  <si>
    <t>QLF</t>
  </si>
  <si>
    <t>A-21</t>
  </si>
  <si>
    <t>B23-03583</t>
  </si>
  <si>
    <t>VIKING 2188</t>
  </si>
  <si>
    <t xml:space="preserve">NE22-273529 </t>
  </si>
  <si>
    <t>units</t>
  </si>
  <si>
    <t>22RP-121WH</t>
  </si>
  <si>
    <t>B22-16807</t>
  </si>
  <si>
    <t>Registered 2188</t>
  </si>
  <si>
    <t>22Q-05WH</t>
  </si>
  <si>
    <t>89Y79</t>
  </si>
  <si>
    <t xml:space="preserve">P8871-N281  Sorghum  30 </t>
  </si>
  <si>
    <t>EMPTY PROBOX</t>
  </si>
  <si>
    <t>Pro boxes  6</t>
  </si>
  <si>
    <t>pallet</t>
  </si>
  <si>
    <t>Pallet 3</t>
  </si>
  <si>
    <t>Willie</t>
  </si>
  <si>
    <t>21GE02-MF</t>
  </si>
  <si>
    <t>TJ-050223-1</t>
  </si>
  <si>
    <t>Kentucky Blue Corn</t>
  </si>
  <si>
    <t>Blue_Corn</t>
  </si>
  <si>
    <t>T1081J</t>
  </si>
  <si>
    <t>C-RD 2211036</t>
  </si>
  <si>
    <t>puris</t>
  </si>
  <si>
    <t>8C179</t>
  </si>
  <si>
    <t xml:space="preserve">Robert </t>
  </si>
  <si>
    <t>Vault SP Bradyrhizobium</t>
  </si>
  <si>
    <t>Viking 2188</t>
  </si>
  <si>
    <t>Viking 2188 Org Soybeans</t>
  </si>
  <si>
    <t>10-60TW</t>
  </si>
  <si>
    <t>Pallet</t>
  </si>
  <si>
    <t>Wheat Follar</t>
  </si>
  <si>
    <t>Accomplish Max</t>
  </si>
  <si>
    <t>Sandy</t>
  </si>
  <si>
    <t>Nuseed</t>
  </si>
  <si>
    <t>N4HM411</t>
  </si>
  <si>
    <t>N4HM354</t>
  </si>
  <si>
    <t>5619060 ,5651455</t>
  </si>
  <si>
    <t>P18A73E</t>
  </si>
  <si>
    <t>Replant Wes, Ryan, Buchanan</t>
  </si>
  <si>
    <t>seed</t>
  </si>
  <si>
    <t>32% Nitrogen</t>
  </si>
  <si>
    <t>J316895</t>
  </si>
  <si>
    <t>Julianne</t>
  </si>
  <si>
    <t>KelPak</t>
  </si>
  <si>
    <t>Total Units Ordered</t>
  </si>
  <si>
    <t>Total Units Delivered</t>
  </si>
  <si>
    <t>Total Units Returned</t>
  </si>
  <si>
    <t>Balance</t>
  </si>
  <si>
    <t>lbs</t>
  </si>
  <si>
    <t>SUB-SUB_GROUP</t>
  </si>
  <si>
    <t>VARIETIES</t>
  </si>
  <si>
    <t>product type</t>
  </si>
  <si>
    <t>in/out</t>
  </si>
  <si>
    <t>name</t>
  </si>
  <si>
    <t>SUNFLOWERS</t>
  </si>
  <si>
    <t>SORGHUM</t>
  </si>
  <si>
    <t>SOYBEANS</t>
  </si>
  <si>
    <t>YELLOW_CORN</t>
  </si>
  <si>
    <t>WHITE_CORN</t>
  </si>
  <si>
    <t>WHEAT</t>
  </si>
  <si>
    <t>ALFALFA</t>
  </si>
  <si>
    <t>HYBRID_RYE</t>
  </si>
  <si>
    <t>BLUE_CORN</t>
  </si>
  <si>
    <t>LIMA_BEANS</t>
  </si>
  <si>
    <t>SEED_CORN</t>
  </si>
  <si>
    <t>SNAP_BEANS</t>
  </si>
  <si>
    <t>PEAS</t>
  </si>
  <si>
    <t>OATS</t>
  </si>
  <si>
    <t>BARLEY</t>
  </si>
  <si>
    <t>TREATMENT</t>
  </si>
  <si>
    <t>PACK TYPE</t>
  </si>
  <si>
    <t>UNIT TYPE</t>
  </si>
  <si>
    <t>P63HE90</t>
  </si>
  <si>
    <t>87P06</t>
  </si>
  <si>
    <t>Viking 051-04GS</t>
  </si>
  <si>
    <t>P1306W</t>
  </si>
  <si>
    <t>sunburst</t>
  </si>
  <si>
    <t>54B66</t>
  </si>
  <si>
    <t>Seraphino_Parent</t>
  </si>
  <si>
    <t>RBV-7000</t>
  </si>
  <si>
    <t>Meadow</t>
  </si>
  <si>
    <t>5G1922BF.0</t>
  </si>
  <si>
    <t>HUNTINGTON</t>
  </si>
  <si>
    <t>Ogle</t>
  </si>
  <si>
    <t>Cobalt II</t>
  </si>
  <si>
    <t>92M10</t>
  </si>
  <si>
    <t>8508W</t>
  </si>
  <si>
    <t>GAA2020WG.1</t>
  </si>
  <si>
    <t>HERCULES</t>
  </si>
  <si>
    <t>BU</t>
  </si>
  <si>
    <t>N4H302</t>
  </si>
  <si>
    <t>Dairyland_2400</t>
  </si>
  <si>
    <t>O46-02</t>
  </si>
  <si>
    <t>X3083</t>
  </si>
  <si>
    <t>25R34 N3431</t>
  </si>
  <si>
    <t>HID4323WE</t>
  </si>
  <si>
    <t>O.18-06UP</t>
  </si>
  <si>
    <t>KS- 1618</t>
  </si>
  <si>
    <t>OZ</t>
  </si>
  <si>
    <t>Tristan</t>
  </si>
  <si>
    <t>55-02</t>
  </si>
  <si>
    <t>Pints</t>
  </si>
  <si>
    <t>51-04</t>
  </si>
  <si>
    <t>5 Lbs Box</t>
  </si>
  <si>
    <t>Bu</t>
  </si>
  <si>
    <t>Nico</t>
  </si>
  <si>
    <t>P0506</t>
  </si>
  <si>
    <t>Yards</t>
  </si>
  <si>
    <t>Other</t>
  </si>
  <si>
    <t>P9998</t>
  </si>
  <si>
    <t>Mike J</t>
  </si>
  <si>
    <t>Ounces</t>
  </si>
  <si>
    <t>cases</t>
  </si>
  <si>
    <t>EMPTY JUG</t>
  </si>
  <si>
    <t>80k Unit PROBOX</t>
  </si>
  <si>
    <t>140 k Rep Bin fill</t>
  </si>
  <si>
    <t>200MK Paper Bag</t>
  </si>
  <si>
    <t>Product</t>
  </si>
  <si>
    <t>Invoice Type</t>
  </si>
  <si>
    <t>Units Invoiced</t>
  </si>
  <si>
    <t>Unit Type</t>
  </si>
  <si>
    <t>Price Per Unit</t>
  </si>
  <si>
    <t>Share Gross Invoice Value</t>
  </si>
  <si>
    <t>Average Price per Unit</t>
  </si>
  <si>
    <t>Date invoiced</t>
  </si>
  <si>
    <t>Paid?</t>
  </si>
  <si>
    <t>Vendor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</si>
</sst>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/dd/yy"/>
    <numFmt numFmtId="165" formatCode="m/d/yy"/>
    <numFmt numFmtId="166" formatCode="m/d/yyyy"/>
    <numFmt numFmtId="167" formatCode="m&quot;/&quot;d&quot;/&quot;yy"/>
    <numFmt numFmtId="168" formatCode="0.0"/>
    <numFmt numFmtId="169" formatCode="&quot;$&quot;#,##0.00"/>
    <numFmt numFmtId="170" formatCode="_-&quot;$&quot;* #,##0.00_-;_-&quot;$&quot;* \(#,##0.00\)_-;_-&quot;$&quot;* &quot;-&quot;??;_-@"/>
    <numFmt numFmtId="171" formatCode="mm/dd/yyyy"/>
  </numFmts>
  <fonts count="2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&quot;Helvetica Neue&quot;"/>
    </font>
    <font>
      <color theme="1"/>
      <name val="Arial"/>
    </font>
    <font>
      <sz val="11.0"/>
      <color rgb="FF000000"/>
      <name val="Inconsolata"/>
    </font>
    <font>
      <b/>
      <color theme="1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sz val="14.0"/>
      <color theme="1"/>
      <name val="Times New Roman"/>
    </font>
    <font>
      <b/>
      <sz val="14.0"/>
      <color theme="1"/>
      <name val="Times New Roman"/>
    </font>
    <font>
      <b/>
      <sz val="14.0"/>
      <color rgb="FF000000"/>
      <name val="Times New Roman"/>
    </font>
    <font>
      <color theme="1"/>
      <name val="Times New Roman"/>
    </font>
    <font>
      <b/>
      <sz val="12.0"/>
      <color rgb="FF0A0101"/>
      <name val="&quot;Helvetica Neue&quot;"/>
    </font>
    <font>
      <sz val="11.0"/>
      <color rgb="FF000000"/>
      <name val="Calibri"/>
    </font>
    <font>
      <color rgb="FF000000"/>
      <name val="Arial"/>
    </font>
    <font>
      <sz val="11.0"/>
      <color theme="1"/>
      <name val="Calibri"/>
    </font>
    <font>
      <b/>
      <sz val="9.0"/>
      <color rgb="FF000000"/>
      <name val="&quot;Helvetica Neue&quot;"/>
    </font>
    <font>
      <color rgb="FF000000"/>
      <name val="&quot;Helvetica Neue&quot;"/>
    </font>
    <font>
      <color theme="1"/>
      <name val="&quot;Helvetica Neue&quot;"/>
    </font>
  </fonts>
  <fills count="21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F1C232"/>
        <bgColor rgb="FFF1C232"/>
      </patternFill>
    </fill>
    <fill>
      <patternFill patternType="solid">
        <fgColor rgb="FF76A5AF"/>
        <bgColor rgb="FF76A5AF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6FA8DC"/>
        <bgColor rgb="FF6FA8DC"/>
      </patternFill>
    </fill>
    <fill>
      <patternFill patternType="solid">
        <fgColor rgb="FFA2C4C9"/>
        <bgColor rgb="FFA2C4C9"/>
      </patternFill>
    </fill>
  </fills>
  <borders count="23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right style="thick">
        <color rgb="FF000000"/>
      </right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right" readingOrder="0"/>
    </xf>
    <xf borderId="2" fillId="2" fontId="1" numFmtId="0" xfId="0" applyAlignment="1" applyBorder="1" applyFont="1">
      <alignment readingOrder="0"/>
    </xf>
    <xf borderId="2" fillId="2" fontId="2" numFmtId="0" xfId="0" applyBorder="1" applyFont="1"/>
    <xf borderId="2" fillId="3" fontId="2" numFmtId="0" xfId="0" applyBorder="1" applyFill="1" applyFont="1"/>
    <xf borderId="2" fillId="2" fontId="2" numFmtId="0" xfId="0" applyAlignment="1" applyBorder="1" applyFont="1">
      <alignment readingOrder="0"/>
    </xf>
    <xf borderId="3" fillId="2" fontId="2" numFmtId="0" xfId="0" applyBorder="1" applyFont="1"/>
    <xf borderId="0" fillId="3" fontId="2" numFmtId="0" xfId="0" applyFont="1"/>
    <xf borderId="4" fillId="4" fontId="2" numFmtId="0" xfId="0" applyBorder="1" applyFill="1" applyFont="1"/>
    <xf borderId="0" fillId="4" fontId="2" numFmtId="0" xfId="0" applyFont="1"/>
    <xf borderId="5" fillId="4" fontId="2" numFmtId="0" xfId="0" applyBorder="1" applyFont="1"/>
    <xf borderId="0" fillId="5" fontId="2" numFmtId="0" xfId="0" applyFill="1" applyFont="1"/>
    <xf borderId="2" fillId="6" fontId="2" numFmtId="0" xfId="0" applyBorder="1" applyFill="1" applyFont="1"/>
    <xf borderId="6" fillId="6" fontId="2" numFmtId="0" xfId="0" applyBorder="1" applyFont="1"/>
    <xf borderId="7" fillId="2" fontId="1" numFmtId="0" xfId="0" applyAlignment="1" applyBorder="1" applyFont="1">
      <alignment readingOrder="0"/>
    </xf>
    <xf borderId="7" fillId="2" fontId="1" numFmtId="0" xfId="0" applyAlignment="1" applyBorder="1" applyFont="1">
      <alignment horizontal="right" readingOrder="0"/>
    </xf>
    <xf borderId="8" fillId="2" fontId="1" numFmtId="0" xfId="0" applyAlignment="1" applyBorder="1" applyFont="1">
      <alignment readingOrder="0"/>
    </xf>
    <xf borderId="8" fillId="3" fontId="1" numFmtId="0" xfId="0" applyAlignment="1" applyBorder="1" applyFont="1">
      <alignment readingOrder="0"/>
    </xf>
    <xf borderId="9" fillId="2" fontId="1" numFmtId="0" xfId="0" applyAlignment="1" applyBorder="1" applyFont="1">
      <alignment readingOrder="0"/>
    </xf>
    <xf borderId="10" fillId="3" fontId="1" numFmtId="0" xfId="0" applyAlignment="1" applyBorder="1" applyFont="1">
      <alignment readingOrder="0"/>
    </xf>
    <xf borderId="11" fillId="4" fontId="1" numFmtId="0" xfId="0" applyAlignment="1" applyBorder="1" applyFont="1">
      <alignment readingOrder="0"/>
    </xf>
    <xf borderId="10" fillId="4" fontId="1" numFmtId="0" xfId="0" applyAlignment="1" applyBorder="1" applyFont="1">
      <alignment readingOrder="0"/>
    </xf>
    <xf borderId="12" fillId="4" fontId="1" numFmtId="0" xfId="0" applyAlignment="1" applyBorder="1" applyFont="1">
      <alignment readingOrder="0"/>
    </xf>
    <xf borderId="10" fillId="5" fontId="1" numFmtId="0" xfId="0" applyAlignment="1" applyBorder="1" applyFont="1">
      <alignment readingOrder="0"/>
    </xf>
    <xf borderId="8" fillId="6" fontId="1" numFmtId="0" xfId="0" applyAlignment="1" applyBorder="1" applyFont="1">
      <alignment readingOrder="0"/>
    </xf>
    <xf borderId="12" fillId="6" fontId="1" numFmtId="0" xfId="0" applyAlignment="1" applyBorder="1" applyFont="1">
      <alignment readingOrder="0"/>
    </xf>
    <xf borderId="10" fillId="5" fontId="3" numFmtId="49" xfId="0" applyAlignment="1" applyBorder="1" applyFont="1" applyNumberFormat="1">
      <alignment horizontal="center" readingOrder="0" vertical="top"/>
    </xf>
    <xf borderId="0" fillId="5" fontId="3" numFmtId="49" xfId="0" applyAlignment="1" applyFont="1" applyNumberFormat="1">
      <alignment horizontal="center" readingOrder="0" vertical="top"/>
    </xf>
    <xf borderId="1" fillId="2" fontId="2" numFmtId="164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horizontal="right"/>
    </xf>
    <xf borderId="2" fillId="3" fontId="2" numFmtId="0" xfId="0" applyAlignment="1" applyBorder="1" applyFont="1">
      <alignment readingOrder="0"/>
    </xf>
    <xf borderId="3" fillId="2" fontId="2" numFmtId="0" xfId="0" applyAlignment="1" applyBorder="1" applyFont="1">
      <alignment readingOrder="0"/>
    </xf>
    <xf borderId="5" fillId="2" fontId="2" numFmtId="0" xfId="0" applyAlignment="1" applyBorder="1" applyFont="1">
      <alignment readingOrder="0"/>
    </xf>
    <xf borderId="2" fillId="4" fontId="2" numFmtId="0" xfId="0" applyAlignment="1" applyBorder="1" applyFont="1">
      <alignment readingOrder="0"/>
    </xf>
    <xf borderId="3" fillId="4" fontId="2" numFmtId="0" xfId="0" applyAlignment="1" applyBorder="1" applyFont="1">
      <alignment readingOrder="0"/>
    </xf>
    <xf borderId="5" fillId="4" fontId="2" numFmtId="0" xfId="0" applyAlignment="1" applyBorder="1" applyFont="1">
      <alignment readingOrder="0"/>
    </xf>
    <xf borderId="0" fillId="5" fontId="2" numFmtId="0" xfId="0" applyAlignment="1" applyFont="1">
      <alignment readingOrder="0"/>
    </xf>
    <xf borderId="1" fillId="2" fontId="2" numFmtId="0" xfId="0" applyAlignment="1" applyBorder="1" applyFont="1">
      <alignment horizontal="right" readingOrder="0"/>
    </xf>
    <xf borderId="2" fillId="2" fontId="2" numFmtId="3" xfId="0" applyAlignment="1" applyBorder="1" applyFont="1" applyNumberFormat="1">
      <alignment readingOrder="0"/>
    </xf>
    <xf borderId="1" fillId="2" fontId="2" numFmtId="165" xfId="0" applyAlignment="1" applyBorder="1" applyFont="1" applyNumberFormat="1">
      <alignment readingOrder="0"/>
    </xf>
    <xf borderId="1" fillId="2" fontId="2" numFmtId="166" xfId="0" applyAlignment="1" applyBorder="1" applyFont="1" applyNumberFormat="1">
      <alignment readingOrder="0"/>
    </xf>
    <xf borderId="0" fillId="7" fontId="2" numFmtId="0" xfId="0" applyFill="1" applyFont="1"/>
    <xf borderId="1" fillId="2" fontId="2" numFmtId="167" xfId="0" applyAlignment="1" applyBorder="1" applyFont="1" applyNumberFormat="1">
      <alignment readingOrder="0"/>
    </xf>
    <xf borderId="2" fillId="2" fontId="2" numFmtId="4" xfId="0" applyAlignment="1" applyBorder="1" applyFont="1" applyNumberFormat="1">
      <alignment readingOrder="0"/>
    </xf>
    <xf borderId="2" fillId="2" fontId="2" numFmtId="2" xfId="0" applyAlignment="1" applyBorder="1" applyFont="1" applyNumberFormat="1">
      <alignment readingOrder="0"/>
    </xf>
    <xf borderId="2" fillId="6" fontId="2" numFmtId="0" xfId="0" applyAlignment="1" applyBorder="1" applyFont="1">
      <alignment readingOrder="0"/>
    </xf>
    <xf borderId="6" fillId="6" fontId="2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0" fillId="5" fontId="2" numFmtId="0" xfId="0" applyAlignment="1" applyFont="1">
      <alignment horizontal="left" readingOrder="0"/>
    </xf>
    <xf borderId="0" fillId="5" fontId="2" numFmtId="0" xfId="0" applyAlignment="1" applyFont="1">
      <alignment horizontal="center"/>
    </xf>
    <xf borderId="2" fillId="2" fontId="2" numFmtId="0" xfId="0" applyAlignment="1" applyBorder="1" applyFont="1">
      <alignment horizontal="right" readingOrder="0"/>
    </xf>
    <xf borderId="1" fillId="2" fontId="4" numFmtId="0" xfId="0" applyAlignment="1" applyBorder="1" applyFont="1">
      <alignment readingOrder="0" vertical="bottom"/>
    </xf>
    <xf borderId="1" fillId="3" fontId="4" numFmtId="0" xfId="0" applyAlignment="1" applyBorder="1" applyFont="1">
      <alignment vertical="bottom"/>
    </xf>
    <xf borderId="1" fillId="2" fontId="4" numFmtId="0" xfId="0" applyAlignment="1" applyBorder="1" applyFont="1">
      <alignment horizontal="right" readingOrder="0" vertical="bottom"/>
    </xf>
    <xf borderId="0" fillId="2" fontId="4" numFmtId="0" xfId="0" applyAlignment="1" applyFont="1">
      <alignment readingOrder="0" shrinkToFit="0" vertical="bottom" wrapText="0"/>
    </xf>
    <xf borderId="2" fillId="2" fontId="4" numFmtId="0" xfId="0" applyAlignment="1" applyBorder="1" applyFont="1">
      <alignment readingOrder="0" vertical="bottom"/>
    </xf>
    <xf borderId="1" fillId="3" fontId="4" numFmtId="0" xfId="0" applyAlignment="1" applyBorder="1" applyFont="1">
      <alignment vertical="bottom"/>
    </xf>
    <xf borderId="6" fillId="4" fontId="4" numFmtId="0" xfId="0" applyAlignment="1" applyBorder="1" applyFont="1">
      <alignment readingOrder="0" vertical="bottom"/>
    </xf>
    <xf borderId="1" fillId="4" fontId="4" numFmtId="0" xfId="0" applyAlignment="1" applyBorder="1" applyFont="1">
      <alignment readingOrder="0" vertical="bottom"/>
    </xf>
    <xf borderId="1" fillId="5" fontId="4" numFmtId="0" xfId="0" applyAlignment="1" applyBorder="1" applyFont="1">
      <alignment readingOrder="0" vertical="bottom"/>
    </xf>
    <xf borderId="6" fillId="6" fontId="4" numFmtId="0" xfId="0" applyAlignment="1" applyBorder="1" applyFont="1">
      <alignment vertical="bottom"/>
    </xf>
    <xf borderId="6" fillId="4" fontId="4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1" fillId="5" fontId="4" numFmtId="0" xfId="0" applyAlignment="1" applyBorder="1" applyFont="1">
      <alignment vertical="bottom"/>
    </xf>
    <xf borderId="6" fillId="6" fontId="4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0" fillId="2" fontId="2" numFmtId="0" xfId="0" applyAlignment="1" applyFont="1">
      <alignment readingOrder="0"/>
    </xf>
    <xf borderId="3" fillId="2" fontId="2" numFmtId="0" xfId="0" applyAlignment="1" applyBorder="1" applyFont="1">
      <alignment horizontal="right" readingOrder="0"/>
    </xf>
    <xf borderId="0" fillId="8" fontId="2" numFmtId="0" xfId="0" applyAlignment="1" applyFill="1" applyFont="1">
      <alignment readingOrder="0"/>
    </xf>
    <xf borderId="3" fillId="4" fontId="2" numFmtId="3" xfId="0" applyAlignment="1" applyBorder="1" applyFont="1" applyNumberFormat="1">
      <alignment readingOrder="0"/>
    </xf>
    <xf borderId="0" fillId="7" fontId="2" numFmtId="0" xfId="0" applyAlignment="1" applyFont="1">
      <alignment readingOrder="0"/>
    </xf>
    <xf borderId="1" fillId="2" fontId="2" numFmtId="0" xfId="0" applyBorder="1" applyFont="1"/>
    <xf borderId="0" fillId="9" fontId="5" numFmtId="0" xfId="0" applyFill="1" applyFont="1"/>
    <xf borderId="0" fillId="0" fontId="2" numFmtId="0" xfId="0" applyFont="1"/>
    <xf borderId="0" fillId="10" fontId="6" numFmtId="0" xfId="0" applyAlignment="1" applyFill="1" applyFont="1">
      <alignment readingOrder="0"/>
    </xf>
    <xf borderId="0" fillId="11" fontId="6" numFmtId="0" xfId="0" applyAlignment="1" applyFill="1" applyFont="1">
      <alignment readingOrder="0"/>
    </xf>
    <xf borderId="0" fillId="12" fontId="6" numFmtId="0" xfId="0" applyAlignment="1" applyFill="1" applyFont="1">
      <alignment readingOrder="0"/>
    </xf>
    <xf borderId="13" fillId="13" fontId="6" numFmtId="0" xfId="0" applyAlignment="1" applyBorder="1" applyFill="1" applyFont="1">
      <alignment readingOrder="0"/>
    </xf>
    <xf borderId="14" fillId="10" fontId="7" numFmtId="0" xfId="0" applyAlignment="1" applyBorder="1" applyFont="1">
      <alignment readingOrder="0"/>
    </xf>
    <xf borderId="14" fillId="10" fontId="7" numFmtId="0" xfId="0" applyBorder="1" applyFont="1"/>
    <xf borderId="14" fillId="11" fontId="7" numFmtId="0" xfId="0" applyAlignment="1" applyBorder="1" applyFont="1">
      <alignment readingOrder="0"/>
    </xf>
    <xf borderId="14" fillId="11" fontId="7" numFmtId="0" xfId="0" applyBorder="1" applyFont="1"/>
    <xf borderId="14" fillId="12" fontId="7" numFmtId="0" xfId="0" applyAlignment="1" applyBorder="1" applyFont="1">
      <alignment readingOrder="0"/>
    </xf>
    <xf borderId="14" fillId="12" fontId="7" numFmtId="0" xfId="0" applyBorder="1" applyFont="1"/>
    <xf borderId="13" fillId="13" fontId="7" numFmtId="0" xfId="0" applyAlignment="1" applyBorder="1" applyFont="1">
      <alignment readingOrder="0"/>
    </xf>
    <xf borderId="0" fillId="14" fontId="8" numFmtId="14" xfId="0" applyFill="1" applyFont="1" applyNumberFormat="1"/>
    <xf borderId="0" fillId="14" fontId="6" numFmtId="0" xfId="0" applyAlignment="1" applyFont="1">
      <alignment readingOrder="0"/>
    </xf>
    <xf borderId="0" fillId="14" fontId="6" numFmtId="0" xfId="0" applyAlignment="1" applyFont="1">
      <alignment horizontal="left" readingOrder="0"/>
    </xf>
    <xf borderId="0" fillId="15" fontId="6" numFmtId="0" xfId="0" applyAlignment="1" applyFill="1" applyFont="1">
      <alignment readingOrder="0"/>
    </xf>
    <xf borderId="14" fillId="14" fontId="9" numFmtId="0" xfId="0" applyBorder="1" applyFont="1"/>
    <xf borderId="14" fillId="14" fontId="10" numFmtId="0" xfId="0" applyBorder="1" applyFont="1"/>
    <xf borderId="14" fillId="14" fontId="10" numFmtId="0" xfId="0" applyAlignment="1" applyBorder="1" applyFont="1">
      <alignment horizontal="left"/>
    </xf>
    <xf borderId="14" fillId="15" fontId="10" numFmtId="0" xfId="0" applyBorder="1" applyFont="1"/>
    <xf borderId="14" fillId="15" fontId="11" numFmtId="0" xfId="0" applyAlignment="1" applyBorder="1" applyFont="1">
      <alignment readingOrder="0"/>
    </xf>
    <xf borderId="14" fillId="10" fontId="11" numFmtId="0" xfId="0" applyAlignment="1" applyBorder="1" applyFont="1">
      <alignment readingOrder="0"/>
    </xf>
    <xf borderId="14" fillId="10" fontId="11" numFmtId="0" xfId="0" applyBorder="1" applyFont="1"/>
    <xf borderId="14" fillId="11" fontId="11" numFmtId="0" xfId="0" applyAlignment="1" applyBorder="1" applyFont="1">
      <alignment readingOrder="0"/>
    </xf>
    <xf borderId="14" fillId="11" fontId="11" numFmtId="0" xfId="0" applyBorder="1" applyFont="1"/>
    <xf borderId="14" fillId="12" fontId="11" numFmtId="0" xfId="0" applyAlignment="1" applyBorder="1" applyFont="1">
      <alignment readingOrder="0"/>
    </xf>
    <xf borderId="14" fillId="12" fontId="11" numFmtId="0" xfId="0" applyBorder="1" applyFont="1"/>
    <xf borderId="13" fillId="13" fontId="11" numFmtId="0" xfId="0" applyAlignment="1" applyBorder="1" applyFont="1">
      <alignment readingOrder="0"/>
    </xf>
    <xf borderId="15" fillId="8" fontId="12" numFmtId="0" xfId="0" applyBorder="1" applyFont="1"/>
    <xf borderId="15" fillId="8" fontId="12" numFmtId="168" xfId="0" applyBorder="1" applyFont="1" applyNumberFormat="1"/>
    <xf borderId="15" fillId="8" fontId="12" numFmtId="168" xfId="0" applyAlignment="1" applyBorder="1" applyFont="1" applyNumberFormat="1">
      <alignment horizontal="left"/>
    </xf>
    <xf borderId="15" fillId="16" fontId="12" numFmtId="168" xfId="0" applyBorder="1" applyFill="1" applyFont="1" applyNumberFormat="1"/>
    <xf borderId="15" fillId="16" fontId="12" numFmtId="0" xfId="0" applyBorder="1" applyFont="1"/>
    <xf borderId="15" fillId="4" fontId="8" numFmtId="0" xfId="0" applyBorder="1" applyFont="1"/>
    <xf borderId="15" fillId="4" fontId="12" numFmtId="0" xfId="0" applyBorder="1" applyFont="1"/>
    <xf borderId="15" fillId="17" fontId="12" numFmtId="0" xfId="0" applyBorder="1" applyFill="1" applyFont="1"/>
    <xf borderId="14" fillId="6" fontId="8" numFmtId="0" xfId="0" applyBorder="1" applyFont="1"/>
    <xf borderId="15" fillId="6" fontId="12" numFmtId="0" xfId="0" applyBorder="1" applyFont="1"/>
    <xf borderId="13" fillId="18" fontId="12" numFmtId="0" xfId="0" applyBorder="1" applyFill="1" applyFont="1"/>
    <xf borderId="15" fillId="6" fontId="8" numFmtId="0" xfId="0" applyBorder="1" applyFont="1"/>
    <xf borderId="15" fillId="8" fontId="12" numFmtId="1" xfId="0" applyAlignment="1" applyBorder="1" applyFont="1" applyNumberFormat="1">
      <alignment horizontal="left"/>
    </xf>
    <xf borderId="15" fillId="4" fontId="12" numFmtId="0" xfId="0" applyAlignment="1" applyBorder="1" applyFont="1">
      <alignment readingOrder="0"/>
    </xf>
    <xf borderId="15" fillId="8" fontId="12" numFmtId="0" xfId="0" applyAlignment="1" applyBorder="1" applyFont="1">
      <alignment horizontal="left"/>
    </xf>
    <xf borderId="15" fillId="8" fontId="12" numFmtId="0" xfId="0" applyAlignment="1" applyBorder="1" applyFont="1">
      <alignment readingOrder="0"/>
    </xf>
    <xf borderId="16" fillId="8" fontId="12" numFmtId="0" xfId="0" applyBorder="1" applyFont="1"/>
    <xf borderId="16" fillId="8" fontId="12" numFmtId="0" xfId="0" applyAlignment="1" applyBorder="1" applyFont="1">
      <alignment horizontal="left"/>
    </xf>
    <xf borderId="16" fillId="16" fontId="12" numFmtId="168" xfId="0" applyBorder="1" applyFont="1" applyNumberFormat="1"/>
    <xf borderId="16" fillId="16" fontId="12" numFmtId="0" xfId="0" applyBorder="1" applyFont="1"/>
    <xf borderId="16" fillId="4" fontId="8" numFmtId="0" xfId="0" applyBorder="1" applyFont="1"/>
    <xf borderId="16" fillId="4" fontId="12" numFmtId="0" xfId="0" applyBorder="1" applyFont="1"/>
    <xf borderId="16" fillId="17" fontId="12" numFmtId="0" xfId="0" applyBorder="1" applyFont="1"/>
    <xf borderId="16" fillId="6" fontId="8" numFmtId="0" xfId="0" applyBorder="1" applyFont="1"/>
    <xf borderId="0" fillId="6" fontId="12" numFmtId="0" xfId="0" applyFont="1"/>
    <xf borderId="0" fillId="8" fontId="12" numFmtId="0" xfId="0" applyFont="1"/>
    <xf borderId="0" fillId="8" fontId="12" numFmtId="0" xfId="0" applyAlignment="1" applyFont="1">
      <alignment horizontal="left"/>
    </xf>
    <xf borderId="0" fillId="16" fontId="12" numFmtId="168" xfId="0" applyFont="1" applyNumberFormat="1"/>
    <xf borderId="0" fillId="16" fontId="12" numFmtId="0" xfId="0" applyFont="1"/>
    <xf borderId="0" fillId="4" fontId="12" numFmtId="0" xfId="0" applyFont="1"/>
    <xf borderId="0" fillId="17" fontId="12" numFmtId="0" xfId="0" applyFont="1"/>
    <xf borderId="0" fillId="19" fontId="1" numFmtId="0" xfId="0" applyAlignment="1" applyFill="1" applyFont="1">
      <alignment readingOrder="0"/>
    </xf>
    <xf borderId="0" fillId="19" fontId="1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8" fontId="14" numFmtId="168" xfId="0" applyAlignment="1" applyFont="1" applyNumberFormat="1">
      <alignment vertical="bottom"/>
    </xf>
    <xf borderId="13" fillId="0" fontId="4" numFmtId="0" xfId="0" applyAlignment="1" applyBorder="1" applyFont="1">
      <alignment vertical="bottom"/>
    </xf>
    <xf borderId="0" fillId="2" fontId="2" numFmtId="0" xfId="0" applyFont="1"/>
    <xf borderId="0" fillId="2" fontId="15" numFmtId="0" xfId="0" applyAlignment="1" applyFont="1">
      <alignment horizontal="left" readingOrder="0"/>
    </xf>
    <xf borderId="0" fillId="8" fontId="16" numFmtId="168" xfId="0" applyAlignment="1" applyFont="1" applyNumberFormat="1">
      <alignment vertical="bottom"/>
    </xf>
    <xf borderId="0" fillId="8" fontId="4" numFmtId="168" xfId="0" applyAlignment="1" applyFont="1" applyNumberFormat="1">
      <alignment vertical="bottom"/>
    </xf>
    <xf borderId="13" fillId="0" fontId="4" numFmtId="0" xfId="0" applyAlignment="1" applyBorder="1" applyFont="1">
      <alignment readingOrder="0" vertical="bottom"/>
    </xf>
    <xf borderId="0" fillId="8" fontId="16" numFmtId="168" xfId="0" applyAlignment="1" applyFont="1" applyNumberFormat="1">
      <alignment horizontal="right" vertical="bottom"/>
    </xf>
    <xf borderId="0" fillId="2" fontId="1" numFmtId="0" xfId="0" applyFont="1"/>
    <xf borderId="13" fillId="0" fontId="4" numFmtId="0" xfId="0" applyAlignment="1" applyBorder="1" applyFont="1">
      <alignment shrinkToFit="0" vertical="bottom" wrapText="0"/>
    </xf>
    <xf borderId="13" fillId="0" fontId="4" numFmtId="0" xfId="0" applyAlignment="1" applyBorder="1" applyFont="1">
      <alignment shrinkToFit="0" vertical="bottom" wrapText="0"/>
    </xf>
    <xf borderId="13" fillId="0" fontId="4" numFmtId="0" xfId="0" applyAlignment="1" applyBorder="1" applyFont="1">
      <alignment vertical="bottom"/>
    </xf>
    <xf borderId="13" fillId="0" fontId="4" numFmtId="0" xfId="0" applyAlignment="1" applyBorder="1" applyFont="1">
      <alignment readingOrder="0" shrinkToFit="0" vertical="bottom" wrapText="0"/>
    </xf>
    <xf borderId="0" fillId="9" fontId="2" numFmtId="0" xfId="0" applyFont="1"/>
    <xf borderId="17" fillId="9" fontId="17" numFmtId="49" xfId="0" applyAlignment="1" applyBorder="1" applyFont="1" applyNumberFormat="1">
      <alignment horizontal="center" vertical="top"/>
    </xf>
    <xf borderId="16" fillId="9" fontId="4" numFmtId="49" xfId="0" applyAlignment="1" applyBorder="1" applyFont="1" applyNumberFormat="1">
      <alignment vertical="top"/>
    </xf>
    <xf borderId="16" fillId="9" fontId="4" numFmtId="49" xfId="0" applyAlignment="1" applyBorder="1" applyFont="1" applyNumberFormat="1">
      <alignment readingOrder="0" vertical="top"/>
    </xf>
    <xf borderId="16" fillId="0" fontId="2" numFmtId="0" xfId="0" applyAlignment="1" applyBorder="1" applyFont="1">
      <alignment readingOrder="0"/>
    </xf>
    <xf borderId="18" fillId="0" fontId="2" numFmtId="0" xfId="0" applyAlignment="1" applyBorder="1" applyFont="1">
      <alignment readingOrder="0"/>
    </xf>
    <xf borderId="3" fillId="9" fontId="18" numFmtId="49" xfId="0" applyAlignment="1" applyBorder="1" applyFont="1" applyNumberFormat="1">
      <alignment horizontal="center" vertical="top"/>
    </xf>
    <xf borderId="0" fillId="9" fontId="19" numFmtId="0" xfId="0" applyAlignment="1" applyFont="1">
      <alignment vertical="top"/>
    </xf>
    <xf borderId="0" fillId="9" fontId="19" numFmtId="0" xfId="0" applyAlignment="1" applyFont="1">
      <alignment horizontal="center" vertical="top"/>
    </xf>
    <xf borderId="0" fillId="9" fontId="19" numFmtId="3" xfId="0" applyAlignment="1" applyFont="1" applyNumberFormat="1">
      <alignment horizontal="center" vertical="top"/>
    </xf>
    <xf borderId="0" fillId="9" fontId="19" numFmtId="3" xfId="0" applyAlignment="1" applyFont="1" applyNumberFormat="1">
      <alignment horizontal="center" readingOrder="0" vertical="top"/>
    </xf>
    <xf borderId="0" fillId="9" fontId="19" numFmtId="169" xfId="0" applyAlignment="1" applyFont="1" applyNumberFormat="1">
      <alignment horizontal="center" vertical="top"/>
    </xf>
    <xf borderId="0" fillId="9" fontId="19" numFmtId="170" xfId="0" applyAlignment="1" applyFont="1" applyNumberFormat="1">
      <alignment horizontal="right" vertical="top"/>
    </xf>
    <xf borderId="1" fillId="0" fontId="2" numFmtId="0" xfId="0" applyAlignment="1" applyBorder="1" applyFont="1">
      <alignment readingOrder="0"/>
    </xf>
    <xf borderId="3" fillId="9" fontId="18" numFmtId="49" xfId="0" applyAlignment="1" applyBorder="1" applyFont="1" applyNumberFormat="1">
      <alignment horizontal="center" readingOrder="0" vertical="top"/>
    </xf>
    <xf borderId="0" fillId="9" fontId="18" numFmtId="0" xfId="0" applyAlignment="1" applyFont="1">
      <alignment horizontal="center" vertical="top"/>
    </xf>
    <xf borderId="0" fillId="9" fontId="18" numFmtId="3" xfId="0" applyAlignment="1" applyFont="1" applyNumberFormat="1">
      <alignment horizontal="center" vertical="top"/>
    </xf>
    <xf borderId="0" fillId="9" fontId="18" numFmtId="169" xfId="0" applyAlignment="1" applyFont="1" applyNumberFormat="1">
      <alignment horizontal="center" vertical="top"/>
    </xf>
    <xf borderId="0" fillId="9" fontId="18" numFmtId="170" xfId="0" applyAlignment="1" applyFont="1" applyNumberFormat="1">
      <alignment horizontal="center" vertical="top"/>
    </xf>
    <xf borderId="0" fillId="9" fontId="19" numFmtId="169" xfId="0" applyAlignment="1" applyFont="1" applyNumberFormat="1">
      <alignment horizontal="center" vertical="top"/>
    </xf>
    <xf borderId="0" fillId="9" fontId="4" numFmtId="0" xfId="0" applyAlignment="1" applyFont="1">
      <alignment readingOrder="0" vertical="top"/>
    </xf>
    <xf borderId="0" fillId="9" fontId="4" numFmtId="0" xfId="0" applyAlignment="1" applyFont="1">
      <alignment vertical="top"/>
    </xf>
    <xf borderId="0" fillId="9" fontId="18" numFmtId="3" xfId="0" applyAlignment="1" applyFont="1" applyNumberFormat="1">
      <alignment horizontal="center" readingOrder="0" vertical="top"/>
    </xf>
    <xf borderId="0" fillId="9" fontId="4" numFmtId="169" xfId="0" applyAlignment="1" applyFont="1" applyNumberFormat="1">
      <alignment horizontal="center" readingOrder="0" vertical="top"/>
    </xf>
    <xf borderId="0" fillId="9" fontId="4" numFmtId="170" xfId="0" applyAlignment="1" applyFont="1" applyNumberFormat="1">
      <alignment readingOrder="0" vertical="top"/>
    </xf>
    <xf borderId="0" fillId="0" fontId="2" numFmtId="166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9" fontId="4" numFmtId="169" xfId="0" applyAlignment="1" applyFont="1" applyNumberFormat="1">
      <alignment horizontal="right" readingOrder="0" vertical="top"/>
    </xf>
    <xf borderId="0" fillId="0" fontId="2" numFmtId="171" xfId="0" applyAlignment="1" applyFont="1" applyNumberFormat="1">
      <alignment readingOrder="0"/>
    </xf>
    <xf borderId="0" fillId="9" fontId="4" numFmtId="169" xfId="0" applyAlignment="1" applyFont="1" applyNumberFormat="1">
      <alignment horizontal="center" readingOrder="0" vertical="top"/>
    </xf>
    <xf borderId="0" fillId="0" fontId="2" numFmtId="165" xfId="0" applyAlignment="1" applyFont="1" applyNumberFormat="1">
      <alignment readingOrder="0"/>
    </xf>
    <xf borderId="0" fillId="9" fontId="4" numFmtId="0" xfId="0" applyAlignment="1" applyFont="1">
      <alignment readingOrder="0" vertical="bottom"/>
    </xf>
    <xf borderId="0" fillId="9" fontId="4" numFmtId="0" xfId="0" applyAlignment="1" applyFont="1">
      <alignment vertical="bottom"/>
    </xf>
    <xf borderId="0" fillId="9" fontId="4" numFmtId="169" xfId="0" applyAlignment="1" applyFont="1" applyNumberFormat="1">
      <alignment horizontal="center" readingOrder="0" vertical="bottom"/>
    </xf>
    <xf borderId="0" fillId="9" fontId="4" numFmtId="169" xfId="0" applyAlignment="1" applyFont="1" applyNumberFormat="1">
      <alignment horizontal="right" readingOrder="0" vertical="bottom"/>
    </xf>
    <xf borderId="0" fillId="9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169" xfId="0" applyAlignment="1" applyFont="1" applyNumberFormat="1">
      <alignment horizontal="center" vertical="bottom"/>
    </xf>
    <xf borderId="0" fillId="0" fontId="4" numFmtId="169" xfId="0" applyAlignment="1" applyFont="1" applyNumberFormat="1">
      <alignment horizontal="right" vertical="bottom"/>
    </xf>
    <xf borderId="1" fillId="0" fontId="2" numFmtId="0" xfId="0" applyBorder="1" applyFont="1"/>
    <xf borderId="3" fillId="0" fontId="2" numFmtId="0" xfId="0" applyBorder="1" applyFont="1"/>
    <xf borderId="19" fillId="0" fontId="2" numFmtId="0" xfId="0" applyBorder="1" applyFont="1"/>
    <xf borderId="14" fillId="0" fontId="2" numFmtId="0" xfId="0" applyBorder="1" applyFont="1"/>
    <xf borderId="20" fillId="0" fontId="2" numFmtId="0" xfId="0" applyBorder="1" applyFont="1"/>
    <xf borderId="0" fillId="20" fontId="5" numFmtId="0" xfId="0" applyFill="1" applyFont="1"/>
    <xf borderId="0" fillId="20" fontId="2" numFmtId="0" xfId="0" applyFont="1"/>
    <xf borderId="0" fillId="20" fontId="2" numFmtId="1" xfId="0" applyAlignment="1" applyFont="1" applyNumberFormat="1">
      <alignment horizontal="left"/>
    </xf>
    <xf borderId="0" fillId="20" fontId="2" numFmtId="166" xfId="0" applyAlignment="1" applyFont="1" applyNumberFormat="1">
      <alignment readingOrder="0"/>
    </xf>
    <xf borderId="0" fillId="20" fontId="1" numFmtId="0" xfId="0" applyFont="1"/>
    <xf borderId="0" fillId="20" fontId="1" numFmtId="1" xfId="0" applyAlignment="1" applyFont="1" applyNumberFormat="1">
      <alignment horizontal="left"/>
    </xf>
    <xf borderId="0" fillId="20" fontId="1" numFmtId="168" xfId="0" applyFont="1" applyNumberFormat="1"/>
    <xf borderId="0" fillId="20" fontId="1" numFmtId="14" xfId="0" applyFont="1" applyNumberFormat="1"/>
    <xf borderId="14" fillId="20" fontId="5" numFmtId="169" xfId="0" applyBorder="1" applyFont="1" applyNumberFormat="1"/>
    <xf borderId="14" fillId="20" fontId="2" numFmtId="0" xfId="0" applyAlignment="1" applyBorder="1" applyFont="1">
      <alignment readingOrder="0"/>
    </xf>
    <xf borderId="14" fillId="20" fontId="1" numFmtId="0" xfId="0" applyBorder="1" applyFont="1"/>
    <xf borderId="21" fillId="8" fontId="2" numFmtId="0" xfId="0" applyBorder="1" applyFont="1"/>
    <xf borderId="15" fillId="8" fontId="2" numFmtId="168" xfId="0" applyBorder="1" applyFont="1" applyNumberFormat="1"/>
    <xf borderId="15" fillId="8" fontId="2" numFmtId="1" xfId="0" applyAlignment="1" applyBorder="1" applyFont="1" applyNumberFormat="1">
      <alignment horizontal="left"/>
    </xf>
    <xf borderId="22" fillId="8" fontId="2" numFmtId="168" xfId="0" applyBorder="1" applyFont="1" applyNumberFormat="1"/>
    <xf borderId="0" fillId="8" fontId="2" numFmtId="0" xfId="0" applyFont="1"/>
    <xf borderId="3" fillId="8" fontId="2" numFmtId="0" xfId="0" applyBorder="1" applyFont="1"/>
    <xf borderId="0" fillId="8" fontId="2" numFmtId="169" xfId="0" applyFont="1" applyNumberFormat="1"/>
    <xf borderId="1" fillId="8" fontId="2" numFmtId="0" xfId="0" applyBorder="1" applyFont="1"/>
    <xf borderId="15" fillId="8" fontId="2" numFmtId="0" xfId="0" applyBorder="1" applyFont="1"/>
    <xf borderId="0" fillId="8" fontId="2" numFmtId="168" xfId="0" applyFont="1" applyNumberFormat="1"/>
    <xf borderId="0" fillId="8" fontId="2" numFmtId="1" xfId="0" applyAlignment="1" applyFont="1" applyNumberFormat="1">
      <alignment horizontal="left"/>
    </xf>
    <xf borderId="0" fillId="0" fontId="2" numFmtId="1" xfId="0" applyAlignment="1" applyFont="1" applyNumberFormat="1">
      <alignment horizontal="left"/>
    </xf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3.5"/>
    <col customWidth="1" min="3" max="3" width="15.75"/>
    <col customWidth="1" min="4" max="6" width="13.5"/>
    <col customWidth="1" min="7" max="7" width="19.63"/>
    <col customWidth="1" min="8" max="8" width="20.88"/>
    <col customWidth="1" min="9" max="9" width="13.75"/>
    <col customWidth="1" min="10" max="10" width="4.0"/>
    <col customWidth="1" min="11" max="11" width="19.63"/>
    <col customWidth="1" min="12" max="14" width="17.25"/>
    <col customWidth="1" min="15" max="15" width="6.25"/>
    <col customWidth="1" min="16" max="16" width="17.88"/>
    <col customWidth="1" min="17" max="18" width="16.38"/>
    <col customWidth="1" min="19" max="19" width="36.0"/>
    <col customWidth="1" min="20" max="20" width="32.75"/>
    <col customWidth="1" min="21" max="21" width="17.5"/>
    <col customWidth="1" min="22" max="23" width="18.75"/>
  </cols>
  <sheetData>
    <row r="1">
      <c r="A1" s="1" t="str">
        <f>L15</f>
        <v>LBS</v>
      </c>
      <c r="B1" s="1"/>
      <c r="C1" s="2"/>
      <c r="D1" s="3" t="s">
        <v>0</v>
      </c>
      <c r="E1" s="3"/>
      <c r="F1" s="3"/>
      <c r="G1" s="4"/>
      <c r="H1" s="4"/>
      <c r="I1" s="4"/>
      <c r="J1" s="5"/>
      <c r="K1" s="6" t="s">
        <v>1</v>
      </c>
      <c r="L1" s="7"/>
      <c r="M1" s="7"/>
      <c r="N1" s="7"/>
      <c r="O1" s="8"/>
      <c r="P1" s="9"/>
      <c r="Q1" s="10"/>
      <c r="R1" s="11"/>
      <c r="S1" s="12"/>
      <c r="T1" s="13"/>
      <c r="U1" s="14"/>
      <c r="V1" s="12"/>
      <c r="W1" s="12"/>
    </row>
    <row r="2">
      <c r="A2" s="15" t="s">
        <v>2</v>
      </c>
      <c r="B2" s="15" t="s">
        <v>3</v>
      </c>
      <c r="C2" s="16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8"/>
      <c r="K2" s="17" t="s">
        <v>11</v>
      </c>
      <c r="L2" s="19" t="s">
        <v>12</v>
      </c>
      <c r="M2" s="19" t="s">
        <v>13</v>
      </c>
      <c r="N2" s="19" t="s">
        <v>14</v>
      </c>
      <c r="O2" s="20"/>
      <c r="P2" s="21" t="s">
        <v>15</v>
      </c>
      <c r="Q2" s="22" t="s">
        <v>16</v>
      </c>
      <c r="R2" s="23" t="s">
        <v>17</v>
      </c>
      <c r="S2" s="24" t="s">
        <v>18</v>
      </c>
      <c r="T2" s="25" t="s">
        <v>19</v>
      </c>
      <c r="U2" s="26" t="s">
        <v>20</v>
      </c>
      <c r="V2" s="27" t="s">
        <v>18</v>
      </c>
      <c r="W2" s="28"/>
    </row>
    <row r="3">
      <c r="A3" s="29">
        <v>44775.0</v>
      </c>
      <c r="B3" s="30" t="s">
        <v>21</v>
      </c>
      <c r="C3" s="31"/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  <c r="J3" s="32"/>
      <c r="K3" s="6">
        <v>15380.0</v>
      </c>
      <c r="L3" s="33" t="s">
        <v>28</v>
      </c>
      <c r="M3" s="33">
        <v>320.0</v>
      </c>
      <c r="N3" s="34" t="s">
        <v>29</v>
      </c>
      <c r="O3" s="8"/>
      <c r="P3" s="35"/>
      <c r="Q3" s="36"/>
      <c r="R3" s="37"/>
      <c r="S3" s="38" t="s">
        <v>30</v>
      </c>
      <c r="T3" s="13"/>
      <c r="U3" s="14"/>
      <c r="V3" s="12"/>
      <c r="W3" s="12"/>
    </row>
    <row r="4">
      <c r="A4" s="29">
        <v>44831.0</v>
      </c>
      <c r="B4" s="30" t="s">
        <v>31</v>
      </c>
      <c r="C4" s="39" t="s">
        <v>32</v>
      </c>
      <c r="D4" s="6" t="s">
        <v>33</v>
      </c>
      <c r="E4" s="6" t="s">
        <v>23</v>
      </c>
      <c r="F4" s="6" t="s">
        <v>24</v>
      </c>
      <c r="G4" s="6" t="s">
        <v>25</v>
      </c>
      <c r="H4" s="6" t="s">
        <v>34</v>
      </c>
      <c r="I4" s="6" t="s">
        <v>35</v>
      </c>
      <c r="J4" s="32"/>
      <c r="K4" s="40">
        <v>30000.0</v>
      </c>
      <c r="L4" s="33" t="s">
        <v>28</v>
      </c>
      <c r="M4" s="33">
        <v>600.0</v>
      </c>
      <c r="N4" s="34" t="s">
        <v>36</v>
      </c>
      <c r="O4" s="8"/>
      <c r="P4" s="35"/>
      <c r="Q4" s="36"/>
      <c r="R4" s="37"/>
      <c r="S4" s="38" t="s">
        <v>37</v>
      </c>
      <c r="T4" s="13"/>
      <c r="U4" s="14"/>
      <c r="V4" s="12"/>
      <c r="W4" s="12"/>
    </row>
    <row r="5">
      <c r="A5" s="41">
        <v>44831.0</v>
      </c>
      <c r="B5" s="30" t="s">
        <v>31</v>
      </c>
      <c r="C5" s="39" t="s">
        <v>38</v>
      </c>
      <c r="D5" s="6" t="s">
        <v>33</v>
      </c>
      <c r="E5" s="6" t="s">
        <v>23</v>
      </c>
      <c r="F5" s="6" t="s">
        <v>24</v>
      </c>
      <c r="G5" s="6" t="s">
        <v>25</v>
      </c>
      <c r="H5" s="6" t="s">
        <v>34</v>
      </c>
      <c r="I5" s="6" t="s">
        <v>35</v>
      </c>
      <c r="J5" s="32"/>
      <c r="K5" s="6">
        <v>2500.0</v>
      </c>
      <c r="L5" s="33" t="s">
        <v>28</v>
      </c>
      <c r="M5" s="33">
        <v>50.0</v>
      </c>
      <c r="N5" s="34" t="s">
        <v>39</v>
      </c>
      <c r="O5" s="8"/>
      <c r="P5" s="35"/>
      <c r="Q5" s="36"/>
      <c r="R5" s="37"/>
      <c r="S5" s="38" t="s">
        <v>37</v>
      </c>
      <c r="T5" s="13"/>
      <c r="U5" s="14"/>
      <c r="V5" s="12"/>
      <c r="W5" s="12"/>
    </row>
    <row r="6">
      <c r="A6" s="29">
        <v>44831.0</v>
      </c>
      <c r="B6" s="30" t="s">
        <v>31</v>
      </c>
      <c r="C6" s="39">
        <v>9190913.0</v>
      </c>
      <c r="D6" s="6" t="s">
        <v>33</v>
      </c>
      <c r="E6" s="6" t="s">
        <v>23</v>
      </c>
      <c r="F6" s="6" t="s">
        <v>24</v>
      </c>
      <c r="G6" s="6" t="s">
        <v>25</v>
      </c>
      <c r="H6" s="6" t="s">
        <v>40</v>
      </c>
      <c r="I6" s="6" t="s">
        <v>41</v>
      </c>
      <c r="J6" s="32"/>
      <c r="K6" s="6">
        <v>250.0</v>
      </c>
      <c r="L6" s="33" t="s">
        <v>28</v>
      </c>
      <c r="M6" s="33">
        <v>1.0</v>
      </c>
      <c r="N6" s="34" t="s">
        <v>29</v>
      </c>
      <c r="O6" s="8"/>
      <c r="P6" s="35"/>
      <c r="Q6" s="36"/>
      <c r="R6" s="37"/>
      <c r="S6" s="38" t="s">
        <v>37</v>
      </c>
      <c r="T6" s="13"/>
      <c r="U6" s="14"/>
      <c r="V6" s="12"/>
      <c r="W6" s="12"/>
    </row>
    <row r="7">
      <c r="A7" s="29">
        <v>44831.0</v>
      </c>
      <c r="B7" s="30" t="s">
        <v>31</v>
      </c>
      <c r="C7" s="39" t="s">
        <v>42</v>
      </c>
      <c r="D7" s="6" t="s">
        <v>33</v>
      </c>
      <c r="E7" s="6" t="s">
        <v>23</v>
      </c>
      <c r="F7" s="6" t="s">
        <v>24</v>
      </c>
      <c r="G7" s="6" t="s">
        <v>25</v>
      </c>
      <c r="H7" s="6" t="s">
        <v>43</v>
      </c>
      <c r="I7" s="6" t="s">
        <v>44</v>
      </c>
      <c r="J7" s="32"/>
      <c r="K7" s="6">
        <v>16000.0</v>
      </c>
      <c r="L7" s="33" t="s">
        <v>28</v>
      </c>
      <c r="M7" s="33">
        <v>320.0</v>
      </c>
      <c r="N7" s="34" t="s">
        <v>36</v>
      </c>
      <c r="O7" s="8"/>
      <c r="P7" s="35"/>
      <c r="Q7" s="36"/>
      <c r="R7" s="37"/>
      <c r="S7" s="38" t="s">
        <v>37</v>
      </c>
      <c r="T7" s="13"/>
      <c r="U7" s="14"/>
      <c r="V7" s="12"/>
      <c r="W7" s="12"/>
    </row>
    <row r="8">
      <c r="A8" s="29">
        <v>44834.0</v>
      </c>
      <c r="B8" s="30" t="s">
        <v>31</v>
      </c>
      <c r="C8" s="39" t="s">
        <v>45</v>
      </c>
      <c r="D8" s="6">
        <v>99100.0</v>
      </c>
      <c r="E8" s="6" t="s">
        <v>23</v>
      </c>
      <c r="F8" s="6" t="s">
        <v>24</v>
      </c>
      <c r="G8" s="6" t="s">
        <v>46</v>
      </c>
      <c r="H8" s="6" t="s">
        <v>34</v>
      </c>
      <c r="I8" s="6" t="s">
        <v>47</v>
      </c>
      <c r="J8" s="32"/>
      <c r="K8" s="6">
        <v>2400.0</v>
      </c>
      <c r="L8" s="33" t="s">
        <v>28</v>
      </c>
      <c r="M8" s="33">
        <v>48.0</v>
      </c>
      <c r="N8" s="34" t="s">
        <v>48</v>
      </c>
      <c r="O8" s="8"/>
      <c r="P8" s="35"/>
      <c r="Q8" s="36"/>
      <c r="R8" s="37"/>
      <c r="S8" s="38" t="s">
        <v>49</v>
      </c>
      <c r="T8" s="13"/>
      <c r="U8" s="14"/>
      <c r="V8" s="12"/>
      <c r="W8" s="12"/>
    </row>
    <row r="9">
      <c r="A9" s="41">
        <v>44834.0</v>
      </c>
      <c r="B9" s="30" t="s">
        <v>31</v>
      </c>
      <c r="C9" s="39" t="s">
        <v>45</v>
      </c>
      <c r="D9" s="6">
        <v>99100.0</v>
      </c>
      <c r="E9" s="6" t="s">
        <v>23</v>
      </c>
      <c r="F9" s="6" t="s">
        <v>24</v>
      </c>
      <c r="G9" s="6" t="s">
        <v>46</v>
      </c>
      <c r="H9" s="6" t="s">
        <v>34</v>
      </c>
      <c r="I9" s="6" t="s">
        <v>47</v>
      </c>
      <c r="J9" s="32"/>
      <c r="K9" s="6">
        <v>22000.0</v>
      </c>
      <c r="L9" s="33" t="s">
        <v>28</v>
      </c>
      <c r="M9" s="33">
        <v>440.0</v>
      </c>
      <c r="N9" s="34" t="s">
        <v>48</v>
      </c>
      <c r="O9" s="8"/>
      <c r="P9" s="35"/>
      <c r="Q9" s="36"/>
      <c r="R9" s="37"/>
      <c r="S9" s="38" t="s">
        <v>50</v>
      </c>
      <c r="T9" s="13"/>
      <c r="U9" s="14"/>
      <c r="V9" s="12"/>
      <c r="W9" s="12"/>
    </row>
    <row r="10">
      <c r="A10" s="41">
        <v>44869.0</v>
      </c>
      <c r="B10" s="30" t="s">
        <v>51</v>
      </c>
      <c r="C10" s="31"/>
      <c r="D10" s="6">
        <v>122883.0</v>
      </c>
      <c r="E10" s="6" t="s">
        <v>15</v>
      </c>
      <c r="F10" s="6" t="s">
        <v>24</v>
      </c>
      <c r="G10" s="6"/>
      <c r="H10" s="6"/>
      <c r="I10" s="6"/>
      <c r="J10" s="32"/>
      <c r="K10" s="6">
        <v>6816.0</v>
      </c>
      <c r="L10" s="33" t="s">
        <v>28</v>
      </c>
      <c r="M10" s="33"/>
      <c r="N10" s="34"/>
      <c r="O10" s="8"/>
      <c r="P10" s="35" t="s">
        <v>52</v>
      </c>
      <c r="Q10" s="36">
        <v>6816.0</v>
      </c>
      <c r="R10" s="37" t="s">
        <v>53</v>
      </c>
      <c r="S10" s="38"/>
      <c r="T10" s="13"/>
      <c r="U10" s="14"/>
      <c r="V10" s="12"/>
      <c r="W10" s="12"/>
    </row>
    <row r="11">
      <c r="A11" s="41">
        <v>44869.0</v>
      </c>
      <c r="B11" s="30" t="s">
        <v>51</v>
      </c>
      <c r="C11" s="31"/>
      <c r="D11" s="6">
        <v>122883.0</v>
      </c>
      <c r="E11" s="6" t="s">
        <v>54</v>
      </c>
      <c r="F11" s="6" t="s">
        <v>24</v>
      </c>
      <c r="G11" s="6"/>
      <c r="H11" s="6"/>
      <c r="I11" s="6"/>
      <c r="J11" s="32"/>
      <c r="K11" s="6">
        <v>4544.0</v>
      </c>
      <c r="L11" s="33" t="s">
        <v>28</v>
      </c>
      <c r="M11" s="33"/>
      <c r="N11" s="34"/>
      <c r="O11" s="8"/>
      <c r="P11" s="35" t="s">
        <v>55</v>
      </c>
      <c r="Q11" s="36">
        <v>4544.0</v>
      </c>
      <c r="R11" s="37" t="s">
        <v>53</v>
      </c>
      <c r="S11" s="38"/>
      <c r="T11" s="13"/>
      <c r="U11" s="14"/>
      <c r="V11" s="12"/>
      <c r="W11" s="12"/>
    </row>
    <row r="12">
      <c r="A12" s="29">
        <v>44880.0</v>
      </c>
      <c r="B12" s="30" t="s">
        <v>31</v>
      </c>
      <c r="C12" s="31"/>
      <c r="D12" s="6">
        <v>6550907.0</v>
      </c>
      <c r="E12" s="6" t="s">
        <v>15</v>
      </c>
      <c r="F12" s="6" t="s">
        <v>24</v>
      </c>
      <c r="G12" s="6"/>
      <c r="H12" s="6"/>
      <c r="I12" s="6"/>
      <c r="J12" s="32"/>
      <c r="K12" s="40">
        <v>55700.0</v>
      </c>
      <c r="L12" s="33" t="s">
        <v>28</v>
      </c>
      <c r="M12" s="33">
        <v>55700.0</v>
      </c>
      <c r="N12" s="34" t="s">
        <v>56</v>
      </c>
      <c r="O12" s="8"/>
      <c r="P12" s="35" t="s">
        <v>57</v>
      </c>
      <c r="Q12" s="36">
        <v>55700.0</v>
      </c>
      <c r="R12" s="37" t="s">
        <v>53</v>
      </c>
      <c r="S12" s="38" t="s">
        <v>58</v>
      </c>
      <c r="T12" s="13"/>
      <c r="U12" s="14"/>
      <c r="V12" s="12"/>
      <c r="W12" s="12"/>
    </row>
    <row r="13">
      <c r="A13" s="29">
        <v>44964.0</v>
      </c>
      <c r="B13" s="30" t="s">
        <v>59</v>
      </c>
      <c r="C13" s="39">
        <v>4803.0</v>
      </c>
      <c r="D13" s="6">
        <v>1007735.0</v>
      </c>
      <c r="E13" s="6" t="s">
        <v>15</v>
      </c>
      <c r="F13" s="6" t="s">
        <v>24</v>
      </c>
      <c r="G13" s="6"/>
      <c r="H13" s="6"/>
      <c r="I13" s="6"/>
      <c r="J13" s="32"/>
      <c r="K13" s="40">
        <v>50000.0</v>
      </c>
      <c r="L13" s="33" t="s">
        <v>28</v>
      </c>
      <c r="M13" s="33">
        <v>50000.0</v>
      </c>
      <c r="N13" s="34" t="s">
        <v>56</v>
      </c>
      <c r="O13" s="8"/>
      <c r="P13" s="35" t="s">
        <v>60</v>
      </c>
      <c r="Q13" s="36">
        <v>50000.0</v>
      </c>
      <c r="R13" s="37" t="s">
        <v>53</v>
      </c>
      <c r="S13" s="38" t="s">
        <v>61</v>
      </c>
      <c r="T13" s="13"/>
      <c r="U13" s="14"/>
      <c r="V13" s="12"/>
      <c r="W13" s="12"/>
    </row>
    <row r="14">
      <c r="A14" s="29">
        <v>44970.0</v>
      </c>
      <c r="B14" s="30" t="s">
        <v>59</v>
      </c>
      <c r="C14" s="39">
        <v>4807.0</v>
      </c>
      <c r="D14" s="6">
        <v>1007735.0</v>
      </c>
      <c r="E14" s="6" t="s">
        <v>15</v>
      </c>
      <c r="F14" s="6" t="s">
        <v>24</v>
      </c>
      <c r="G14" s="6"/>
      <c r="H14" s="6"/>
      <c r="I14" s="6"/>
      <c r="J14" s="32"/>
      <c r="K14" s="40">
        <v>50000.0</v>
      </c>
      <c r="L14" s="33" t="s">
        <v>28</v>
      </c>
      <c r="M14" s="33">
        <v>50000.0</v>
      </c>
      <c r="N14" s="34" t="s">
        <v>56</v>
      </c>
      <c r="O14" s="8"/>
      <c r="P14" s="35" t="s">
        <v>60</v>
      </c>
      <c r="Q14" s="36">
        <v>50000.0</v>
      </c>
      <c r="R14" s="37" t="s">
        <v>53</v>
      </c>
      <c r="S14" s="38" t="s">
        <v>61</v>
      </c>
      <c r="T14" s="13"/>
      <c r="U14" s="14"/>
      <c r="V14" s="12"/>
      <c r="W14" s="12"/>
    </row>
    <row r="15">
      <c r="A15" s="29">
        <v>44967.0</v>
      </c>
      <c r="B15" s="30" t="s">
        <v>62</v>
      </c>
      <c r="C15" s="39">
        <v>4805.0</v>
      </c>
      <c r="D15" s="6">
        <v>1007735.0</v>
      </c>
      <c r="E15" s="6" t="s">
        <v>15</v>
      </c>
      <c r="F15" s="6" t="s">
        <v>24</v>
      </c>
      <c r="G15" s="6"/>
      <c r="H15" s="6"/>
      <c r="I15" s="6"/>
      <c r="J15" s="32"/>
      <c r="K15" s="40">
        <v>50000.0</v>
      </c>
      <c r="L15" s="33" t="s">
        <v>28</v>
      </c>
      <c r="M15" s="33">
        <v>50000.0</v>
      </c>
      <c r="N15" s="34" t="s">
        <v>56</v>
      </c>
      <c r="O15" s="8"/>
      <c r="P15" s="35" t="s">
        <v>60</v>
      </c>
      <c r="Q15" s="36">
        <v>50000.0</v>
      </c>
      <c r="R15" s="37" t="s">
        <v>53</v>
      </c>
      <c r="S15" s="38" t="s">
        <v>63</v>
      </c>
      <c r="T15" s="13"/>
      <c r="U15" s="14"/>
      <c r="V15" s="12"/>
      <c r="W15" s="12"/>
    </row>
    <row r="16">
      <c r="A16" s="29">
        <v>44978.0</v>
      </c>
      <c r="B16" s="30" t="s">
        <v>64</v>
      </c>
      <c r="C16" s="39">
        <v>4810.0</v>
      </c>
      <c r="D16" s="6">
        <v>0.0</v>
      </c>
      <c r="E16" s="6" t="s">
        <v>15</v>
      </c>
      <c r="F16" s="6" t="s">
        <v>24</v>
      </c>
      <c r="G16" s="6"/>
      <c r="H16" s="6"/>
      <c r="I16" s="6"/>
      <c r="J16" s="32"/>
      <c r="K16" s="40">
        <v>25000.0</v>
      </c>
      <c r="L16" s="33" t="s">
        <v>28</v>
      </c>
      <c r="M16" s="33">
        <v>25000.0</v>
      </c>
      <c r="N16" s="34" t="s">
        <v>56</v>
      </c>
      <c r="O16" s="8"/>
      <c r="P16" s="35" t="s">
        <v>60</v>
      </c>
      <c r="Q16" s="36">
        <v>25000.0</v>
      </c>
      <c r="R16" s="37" t="s">
        <v>53</v>
      </c>
      <c r="S16" s="38" t="s">
        <v>61</v>
      </c>
      <c r="T16" s="13"/>
      <c r="U16" s="14"/>
      <c r="V16" s="12"/>
      <c r="W16" s="12"/>
    </row>
    <row r="17">
      <c r="A17" s="29">
        <v>44986.0</v>
      </c>
      <c r="B17" s="30"/>
      <c r="C17" s="39"/>
      <c r="D17" s="6">
        <v>3653.0</v>
      </c>
      <c r="E17" s="6" t="s">
        <v>15</v>
      </c>
      <c r="F17" s="6" t="s">
        <v>24</v>
      </c>
      <c r="G17" s="6"/>
      <c r="H17" s="6"/>
      <c r="I17" s="6"/>
      <c r="J17" s="32"/>
      <c r="K17" s="6">
        <v>18.0</v>
      </c>
      <c r="L17" s="33" t="s">
        <v>29</v>
      </c>
      <c r="M17" s="33">
        <v>18.0</v>
      </c>
      <c r="N17" s="34" t="s">
        <v>65</v>
      </c>
      <c r="O17" s="8"/>
      <c r="P17" s="35" t="s">
        <v>66</v>
      </c>
      <c r="Q17" s="36">
        <v>18.0</v>
      </c>
      <c r="R17" s="37" t="s">
        <v>65</v>
      </c>
      <c r="S17" s="38" t="s">
        <v>67</v>
      </c>
      <c r="T17" s="13"/>
      <c r="U17" s="14"/>
      <c r="V17" s="12"/>
      <c r="W17" s="12"/>
    </row>
    <row r="18">
      <c r="A18" s="42">
        <v>44986.0</v>
      </c>
      <c r="B18" s="30"/>
      <c r="C18" s="39"/>
      <c r="D18" s="6">
        <v>3653.0</v>
      </c>
      <c r="E18" s="6" t="s">
        <v>15</v>
      </c>
      <c r="F18" s="6" t="s">
        <v>24</v>
      </c>
      <c r="G18" s="6"/>
      <c r="H18" s="6"/>
      <c r="I18" s="6"/>
      <c r="J18" s="32"/>
      <c r="K18" s="6">
        <v>3.0</v>
      </c>
      <c r="L18" s="33" t="s">
        <v>29</v>
      </c>
      <c r="M18" s="33">
        <v>3.0</v>
      </c>
      <c r="N18" s="34" t="s">
        <v>65</v>
      </c>
      <c r="O18" s="8"/>
      <c r="P18" s="35" t="s">
        <v>68</v>
      </c>
      <c r="Q18" s="36">
        <v>3.0</v>
      </c>
      <c r="R18" s="37" t="s">
        <v>65</v>
      </c>
      <c r="S18" s="38" t="s">
        <v>67</v>
      </c>
      <c r="T18" s="13"/>
      <c r="U18" s="14"/>
      <c r="V18" s="12"/>
      <c r="W18" s="12"/>
    </row>
    <row r="19">
      <c r="A19" s="29">
        <v>44988.0</v>
      </c>
      <c r="B19" s="30"/>
      <c r="C19" s="39"/>
      <c r="D19" s="6">
        <v>3652.0</v>
      </c>
      <c r="E19" s="6" t="s">
        <v>15</v>
      </c>
      <c r="F19" s="6" t="s">
        <v>24</v>
      </c>
      <c r="G19" s="6"/>
      <c r="H19" s="6"/>
      <c r="I19" s="6"/>
      <c r="J19" s="32"/>
      <c r="K19" s="6">
        <v>4.0</v>
      </c>
      <c r="L19" s="33" t="s">
        <v>69</v>
      </c>
      <c r="M19" s="33">
        <v>6.0</v>
      </c>
      <c r="N19" s="34" t="s">
        <v>48</v>
      </c>
      <c r="O19" s="8"/>
      <c r="P19" s="35" t="s">
        <v>70</v>
      </c>
      <c r="Q19" s="36">
        <v>24.0</v>
      </c>
      <c r="R19" s="37" t="s">
        <v>48</v>
      </c>
      <c r="S19" s="38" t="s">
        <v>67</v>
      </c>
      <c r="T19" s="13"/>
      <c r="U19" s="14"/>
      <c r="V19" s="12"/>
      <c r="W19" s="12"/>
    </row>
    <row r="20">
      <c r="A20" s="29">
        <v>45009.0</v>
      </c>
      <c r="B20" s="30" t="s">
        <v>71</v>
      </c>
      <c r="C20" s="39"/>
      <c r="D20" s="6">
        <v>1012222.0</v>
      </c>
      <c r="E20" s="6" t="s">
        <v>15</v>
      </c>
      <c r="F20" s="6" t="s">
        <v>24</v>
      </c>
      <c r="G20" s="6"/>
      <c r="H20" s="6"/>
      <c r="I20" s="6"/>
      <c r="J20" s="32"/>
      <c r="K20" s="6">
        <v>26.0</v>
      </c>
      <c r="L20" s="33" t="s">
        <v>69</v>
      </c>
      <c r="M20" s="33">
        <v>52.0</v>
      </c>
      <c r="N20" s="34" t="s">
        <v>65</v>
      </c>
      <c r="O20" s="8"/>
      <c r="P20" s="35" t="s">
        <v>72</v>
      </c>
      <c r="Q20" s="36">
        <v>130.0</v>
      </c>
      <c r="R20" s="37" t="s">
        <v>73</v>
      </c>
      <c r="S20" s="12"/>
      <c r="T20" s="13"/>
      <c r="U20" s="14"/>
      <c r="V20" s="12"/>
      <c r="W20" s="12"/>
    </row>
    <row r="21">
      <c r="A21" s="29">
        <v>45013.0</v>
      </c>
      <c r="B21" s="30" t="s">
        <v>71</v>
      </c>
      <c r="C21" s="39">
        <v>5787001.0</v>
      </c>
      <c r="D21" s="6"/>
      <c r="E21" s="6" t="s">
        <v>23</v>
      </c>
      <c r="F21" s="6" t="s">
        <v>24</v>
      </c>
      <c r="G21" s="6" t="s">
        <v>74</v>
      </c>
      <c r="H21" s="6" t="s">
        <v>75</v>
      </c>
      <c r="I21" s="6" t="s">
        <v>76</v>
      </c>
      <c r="J21" s="32"/>
      <c r="K21" s="6">
        <v>6.0</v>
      </c>
      <c r="L21" s="33" t="s">
        <v>48</v>
      </c>
      <c r="M21" s="33"/>
      <c r="N21" s="34"/>
      <c r="O21" s="8"/>
      <c r="P21" s="35"/>
      <c r="Q21" s="36"/>
      <c r="R21" s="37"/>
      <c r="S21" s="12"/>
      <c r="T21" s="13"/>
      <c r="U21" s="14"/>
      <c r="V21" s="12"/>
      <c r="W21" s="12"/>
    </row>
    <row r="22">
      <c r="A22" s="29">
        <v>45013.0</v>
      </c>
      <c r="B22" s="30" t="s">
        <v>71</v>
      </c>
      <c r="C22" s="39" t="s">
        <v>77</v>
      </c>
      <c r="D22" s="6"/>
      <c r="E22" s="6" t="s">
        <v>23</v>
      </c>
      <c r="F22" s="6" t="s">
        <v>24</v>
      </c>
      <c r="G22" s="6" t="s">
        <v>74</v>
      </c>
      <c r="H22" s="6" t="s">
        <v>75</v>
      </c>
      <c r="I22" s="6" t="s">
        <v>78</v>
      </c>
      <c r="J22" s="32"/>
      <c r="K22" s="6">
        <v>50.0</v>
      </c>
      <c r="L22" s="33" t="s">
        <v>29</v>
      </c>
      <c r="M22" s="33">
        <v>1.0</v>
      </c>
      <c r="N22" s="34" t="s">
        <v>79</v>
      </c>
      <c r="O22" s="8"/>
      <c r="P22" s="35"/>
      <c r="Q22" s="36"/>
      <c r="R22" s="37"/>
      <c r="S22" s="12"/>
      <c r="T22" s="13"/>
      <c r="U22" s="14"/>
      <c r="V22" s="12"/>
      <c r="W22" s="12"/>
    </row>
    <row r="23">
      <c r="A23" s="29">
        <v>45013.0</v>
      </c>
      <c r="B23" s="30" t="s">
        <v>71</v>
      </c>
      <c r="C23" s="39" t="s">
        <v>80</v>
      </c>
      <c r="D23" s="6"/>
      <c r="E23" s="6" t="s">
        <v>23</v>
      </c>
      <c r="F23" s="6" t="s">
        <v>24</v>
      </c>
      <c r="G23" s="6" t="s">
        <v>74</v>
      </c>
      <c r="H23" s="6" t="s">
        <v>75</v>
      </c>
      <c r="I23" s="6" t="s">
        <v>81</v>
      </c>
      <c r="J23" s="32"/>
      <c r="K23" s="6">
        <v>100.0</v>
      </c>
      <c r="L23" s="33" t="s">
        <v>29</v>
      </c>
      <c r="M23" s="33">
        <v>2.0</v>
      </c>
      <c r="N23" s="34" t="s">
        <v>82</v>
      </c>
      <c r="O23" s="8"/>
      <c r="P23" s="35"/>
      <c r="Q23" s="36"/>
      <c r="R23" s="37"/>
      <c r="S23" s="38"/>
      <c r="T23" s="13"/>
      <c r="U23" s="14"/>
      <c r="V23" s="12"/>
      <c r="W23" s="12"/>
    </row>
    <row r="24">
      <c r="A24" s="29">
        <v>45013.0</v>
      </c>
      <c r="B24" s="30" t="s">
        <v>71</v>
      </c>
      <c r="C24" s="39" t="s">
        <v>83</v>
      </c>
      <c r="D24" s="6"/>
      <c r="E24" s="6" t="s">
        <v>23</v>
      </c>
      <c r="F24" s="6" t="s">
        <v>24</v>
      </c>
      <c r="G24" s="6" t="s">
        <v>74</v>
      </c>
      <c r="H24" s="6" t="s">
        <v>75</v>
      </c>
      <c r="I24" s="6" t="s">
        <v>78</v>
      </c>
      <c r="J24" s="32"/>
      <c r="K24" s="6">
        <v>50.0</v>
      </c>
      <c r="L24" s="33" t="s">
        <v>29</v>
      </c>
      <c r="M24" s="33">
        <v>1.0</v>
      </c>
      <c r="N24" s="34" t="s">
        <v>82</v>
      </c>
      <c r="O24" s="8"/>
      <c r="P24" s="35"/>
      <c r="Q24" s="36"/>
      <c r="R24" s="37"/>
      <c r="S24" s="38"/>
      <c r="T24" s="13"/>
      <c r="U24" s="14"/>
      <c r="V24" s="12"/>
      <c r="W24" s="12"/>
    </row>
    <row r="25">
      <c r="A25" s="29">
        <v>45013.0</v>
      </c>
      <c r="B25" s="30" t="s">
        <v>71</v>
      </c>
      <c r="C25" s="39" t="s">
        <v>84</v>
      </c>
      <c r="D25" s="6"/>
      <c r="E25" s="6" t="s">
        <v>23</v>
      </c>
      <c r="F25" s="6" t="s">
        <v>24</v>
      </c>
      <c r="G25" s="6" t="s">
        <v>74</v>
      </c>
      <c r="H25" s="6" t="s">
        <v>75</v>
      </c>
      <c r="I25" s="6" t="s">
        <v>78</v>
      </c>
      <c r="J25" s="32"/>
      <c r="K25" s="6">
        <v>150.0</v>
      </c>
      <c r="L25" s="33" t="s">
        <v>29</v>
      </c>
      <c r="M25" s="33">
        <v>3.0</v>
      </c>
      <c r="N25" s="34" t="s">
        <v>82</v>
      </c>
      <c r="O25" s="8"/>
      <c r="P25" s="35"/>
      <c r="Q25" s="36"/>
      <c r="R25" s="37"/>
      <c r="S25" s="38"/>
      <c r="T25" s="13"/>
      <c r="U25" s="14"/>
      <c r="V25" s="12"/>
      <c r="W25" s="12"/>
    </row>
    <row r="26">
      <c r="A26" s="41">
        <v>45013.0</v>
      </c>
      <c r="B26" s="30" t="s">
        <v>71</v>
      </c>
      <c r="C26" s="39">
        <v>5525885.0</v>
      </c>
      <c r="D26" s="6"/>
      <c r="E26" s="6" t="s">
        <v>23</v>
      </c>
      <c r="F26" s="6" t="s">
        <v>24</v>
      </c>
      <c r="G26" s="6" t="s">
        <v>74</v>
      </c>
      <c r="H26" s="6" t="s">
        <v>75</v>
      </c>
      <c r="I26" s="6" t="s">
        <v>85</v>
      </c>
      <c r="J26" s="32"/>
      <c r="K26" s="6">
        <v>11.0</v>
      </c>
      <c r="L26" s="33" t="s">
        <v>86</v>
      </c>
      <c r="M26" s="33"/>
      <c r="N26" s="34" t="s">
        <v>87</v>
      </c>
      <c r="O26" s="8"/>
      <c r="P26" s="35"/>
      <c r="Q26" s="36"/>
      <c r="R26" s="37"/>
      <c r="S26" s="38"/>
      <c r="T26" s="13"/>
      <c r="U26" s="14"/>
      <c r="V26" s="12"/>
      <c r="W26" s="12"/>
    </row>
    <row r="27">
      <c r="A27" s="29">
        <v>45013.0</v>
      </c>
      <c r="B27" s="30" t="s">
        <v>71</v>
      </c>
      <c r="C27" s="39">
        <v>5574167.0</v>
      </c>
      <c r="D27" s="6"/>
      <c r="E27" s="6" t="s">
        <v>23</v>
      </c>
      <c r="F27" s="6" t="s">
        <v>24</v>
      </c>
      <c r="G27" s="6" t="s">
        <v>74</v>
      </c>
      <c r="H27" s="6" t="s">
        <v>75</v>
      </c>
      <c r="I27" s="6" t="s">
        <v>85</v>
      </c>
      <c r="J27" s="32"/>
      <c r="K27" s="6">
        <v>17.0</v>
      </c>
      <c r="L27" s="33" t="s">
        <v>48</v>
      </c>
      <c r="M27" s="33"/>
      <c r="N27" s="34" t="s">
        <v>87</v>
      </c>
      <c r="O27" s="8"/>
      <c r="P27" s="35"/>
      <c r="Q27" s="36"/>
      <c r="R27" s="37"/>
      <c r="S27" s="38"/>
      <c r="T27" s="13"/>
      <c r="U27" s="14"/>
      <c r="V27" s="12"/>
      <c r="W27" s="12"/>
    </row>
    <row r="28">
      <c r="A28" s="29">
        <v>45013.0</v>
      </c>
      <c r="B28" s="30" t="s">
        <v>71</v>
      </c>
      <c r="C28" s="39" t="s">
        <v>88</v>
      </c>
      <c r="D28" s="6"/>
      <c r="E28" s="6" t="s">
        <v>23</v>
      </c>
      <c r="F28" s="6" t="s">
        <v>24</v>
      </c>
      <c r="G28" s="6" t="s">
        <v>74</v>
      </c>
      <c r="H28" s="6" t="s">
        <v>75</v>
      </c>
      <c r="I28" s="6" t="s">
        <v>89</v>
      </c>
      <c r="J28" s="32"/>
      <c r="K28" s="6">
        <v>100.0</v>
      </c>
      <c r="L28" s="33" t="s">
        <v>48</v>
      </c>
      <c r="M28" s="33">
        <v>2.0</v>
      </c>
      <c r="N28" s="34" t="s">
        <v>82</v>
      </c>
      <c r="O28" s="8"/>
      <c r="P28" s="35"/>
      <c r="Q28" s="36"/>
      <c r="R28" s="37"/>
      <c r="S28" s="38"/>
      <c r="T28" s="13"/>
      <c r="U28" s="14"/>
      <c r="V28" s="12"/>
      <c r="W28" s="12"/>
    </row>
    <row r="29">
      <c r="A29" s="29">
        <v>45013.0</v>
      </c>
      <c r="B29" s="30" t="s">
        <v>71</v>
      </c>
      <c r="C29" s="39" t="s">
        <v>90</v>
      </c>
      <c r="D29" s="6"/>
      <c r="E29" s="6" t="s">
        <v>23</v>
      </c>
      <c r="F29" s="6" t="s">
        <v>24</v>
      </c>
      <c r="G29" s="6" t="s">
        <v>74</v>
      </c>
      <c r="H29" s="6" t="s">
        <v>75</v>
      </c>
      <c r="I29" s="6" t="s">
        <v>91</v>
      </c>
      <c r="J29" s="32"/>
      <c r="K29" s="6">
        <v>120.0</v>
      </c>
      <c r="L29" s="33" t="s">
        <v>29</v>
      </c>
      <c r="M29" s="33">
        <v>3.0</v>
      </c>
      <c r="N29" s="34" t="s">
        <v>82</v>
      </c>
      <c r="O29" s="8"/>
      <c r="P29" s="35"/>
      <c r="Q29" s="36"/>
      <c r="R29" s="37"/>
      <c r="S29" s="38"/>
      <c r="T29" s="13"/>
      <c r="U29" s="14"/>
      <c r="V29" s="12"/>
      <c r="W29" s="12"/>
    </row>
    <row r="30">
      <c r="A30" s="41">
        <v>45013.0</v>
      </c>
      <c r="B30" s="30" t="s">
        <v>71</v>
      </c>
      <c r="C30" s="39">
        <v>5704216.0</v>
      </c>
      <c r="D30" s="6"/>
      <c r="E30" s="6" t="s">
        <v>23</v>
      </c>
      <c r="F30" s="6" t="s">
        <v>24</v>
      </c>
      <c r="G30" s="6" t="s">
        <v>74</v>
      </c>
      <c r="H30" s="6" t="s">
        <v>92</v>
      </c>
      <c r="I30" s="6" t="s">
        <v>93</v>
      </c>
      <c r="J30" s="32"/>
      <c r="K30" s="6">
        <v>30.0</v>
      </c>
      <c r="L30" s="33" t="s">
        <v>48</v>
      </c>
      <c r="M30" s="33">
        <v>30.0</v>
      </c>
      <c r="N30" s="34" t="s">
        <v>39</v>
      </c>
      <c r="O30" s="8"/>
      <c r="P30" s="35"/>
      <c r="Q30" s="36"/>
      <c r="R30" s="37"/>
      <c r="S30" s="38"/>
      <c r="T30" s="13"/>
      <c r="U30" s="14"/>
      <c r="V30" s="12"/>
      <c r="W30" s="12"/>
    </row>
    <row r="31">
      <c r="A31" s="41">
        <v>45013.0</v>
      </c>
      <c r="B31" s="30" t="s">
        <v>71</v>
      </c>
      <c r="C31" s="39">
        <v>5814581.0</v>
      </c>
      <c r="D31" s="6"/>
      <c r="E31" s="6" t="s">
        <v>23</v>
      </c>
      <c r="F31" s="6" t="s">
        <v>24</v>
      </c>
      <c r="G31" s="6" t="s">
        <v>74</v>
      </c>
      <c r="H31" s="6" t="s">
        <v>94</v>
      </c>
      <c r="I31" s="6" t="s">
        <v>95</v>
      </c>
      <c r="J31" s="32"/>
      <c r="K31" s="6">
        <v>30.0</v>
      </c>
      <c r="L31" s="33" t="s">
        <v>48</v>
      </c>
      <c r="M31" s="33">
        <v>30.0</v>
      </c>
      <c r="N31" s="34" t="s">
        <v>39</v>
      </c>
      <c r="O31" s="8"/>
      <c r="P31" s="35"/>
      <c r="Q31" s="36"/>
      <c r="R31" s="37"/>
      <c r="S31" s="38"/>
      <c r="T31" s="13"/>
      <c r="U31" s="14"/>
      <c r="V31" s="12"/>
      <c r="W31" s="12"/>
    </row>
    <row r="32">
      <c r="A32" s="41">
        <v>45013.0</v>
      </c>
      <c r="B32" s="30" t="s">
        <v>71</v>
      </c>
      <c r="C32" s="39">
        <v>5814472.0</v>
      </c>
      <c r="D32" s="6"/>
      <c r="E32" s="6" t="s">
        <v>23</v>
      </c>
      <c r="F32" s="6" t="s">
        <v>24</v>
      </c>
      <c r="G32" s="6" t="s">
        <v>74</v>
      </c>
      <c r="H32" s="6" t="s">
        <v>96</v>
      </c>
      <c r="I32" s="6" t="s">
        <v>95</v>
      </c>
      <c r="J32" s="32"/>
      <c r="K32" s="6">
        <v>30.0</v>
      </c>
      <c r="L32" s="33" t="s">
        <v>86</v>
      </c>
      <c r="M32" s="33"/>
      <c r="N32" s="34"/>
      <c r="O32" s="8"/>
      <c r="P32" s="35"/>
      <c r="Q32" s="36"/>
      <c r="R32" s="37"/>
      <c r="S32" s="43"/>
      <c r="T32" s="13"/>
      <c r="U32" s="14"/>
      <c r="V32" s="12"/>
      <c r="W32" s="12"/>
    </row>
    <row r="33">
      <c r="A33" s="29">
        <v>45023.0</v>
      </c>
      <c r="B33" s="30" t="s">
        <v>51</v>
      </c>
      <c r="C33" s="39"/>
      <c r="D33" s="6">
        <v>1771.0</v>
      </c>
      <c r="E33" s="6" t="s">
        <v>15</v>
      </c>
      <c r="F33" s="6" t="s">
        <v>24</v>
      </c>
      <c r="G33" s="6"/>
      <c r="H33" s="6"/>
      <c r="I33" s="6"/>
      <c r="J33" s="32"/>
      <c r="K33" s="6">
        <v>3400.0</v>
      </c>
      <c r="L33" s="33" t="s">
        <v>97</v>
      </c>
      <c r="M33" s="33"/>
      <c r="N33" s="34"/>
      <c r="O33" s="8"/>
      <c r="P33" s="35" t="s">
        <v>98</v>
      </c>
      <c r="Q33" s="36">
        <v>3400.0</v>
      </c>
      <c r="R33" s="37" t="s">
        <v>73</v>
      </c>
      <c r="S33" s="38" t="s">
        <v>99</v>
      </c>
      <c r="T33" s="13"/>
      <c r="U33" s="14"/>
      <c r="V33" s="12"/>
      <c r="W33" s="12"/>
    </row>
    <row r="34">
      <c r="A34" s="29">
        <v>45030.0</v>
      </c>
      <c r="B34" s="30" t="s">
        <v>51</v>
      </c>
      <c r="C34" s="31"/>
      <c r="D34" s="6">
        <v>1012440.0</v>
      </c>
      <c r="E34" s="6" t="s">
        <v>23</v>
      </c>
      <c r="F34" s="6" t="s">
        <v>24</v>
      </c>
      <c r="G34" s="6" t="s">
        <v>74</v>
      </c>
      <c r="H34" s="6" t="s">
        <v>100</v>
      </c>
      <c r="I34" s="6" t="s">
        <v>101</v>
      </c>
      <c r="J34" s="32"/>
      <c r="K34" s="6">
        <v>350.0</v>
      </c>
      <c r="L34" s="33" t="s">
        <v>48</v>
      </c>
      <c r="M34" s="33">
        <v>4.0</v>
      </c>
      <c r="N34" s="34" t="s">
        <v>79</v>
      </c>
      <c r="O34" s="8"/>
      <c r="P34" s="35"/>
      <c r="Q34" s="36"/>
      <c r="R34" s="37"/>
      <c r="S34" s="38"/>
      <c r="T34" s="13"/>
      <c r="U34" s="14"/>
      <c r="V34" s="12"/>
      <c r="W34" s="12"/>
    </row>
    <row r="35">
      <c r="A35" s="29">
        <v>45023.0</v>
      </c>
      <c r="B35" s="30"/>
      <c r="C35" s="39">
        <v>14286.0</v>
      </c>
      <c r="D35" s="6">
        <v>12408.0</v>
      </c>
      <c r="E35" s="6" t="s">
        <v>15</v>
      </c>
      <c r="F35" s="6" t="s">
        <v>24</v>
      </c>
      <c r="G35" s="6"/>
      <c r="H35" s="6"/>
      <c r="I35" s="6"/>
      <c r="J35" s="32"/>
      <c r="K35" s="6">
        <v>25000.0</v>
      </c>
      <c r="L35" s="33" t="s">
        <v>28</v>
      </c>
      <c r="M35" s="33"/>
      <c r="N35" s="34"/>
      <c r="O35" s="8"/>
      <c r="P35" s="35" t="s">
        <v>102</v>
      </c>
      <c r="Q35" s="36">
        <v>25000.0</v>
      </c>
      <c r="R35" s="37" t="s">
        <v>53</v>
      </c>
      <c r="S35" s="38" t="s">
        <v>103</v>
      </c>
      <c r="T35" s="13"/>
      <c r="U35" s="14"/>
      <c r="V35" s="12"/>
      <c r="W35" s="12"/>
    </row>
    <row r="36">
      <c r="A36" s="41">
        <v>45023.0</v>
      </c>
      <c r="B36" s="30"/>
      <c r="C36" s="39">
        <v>12497.0</v>
      </c>
      <c r="D36" s="6">
        <v>12409.0</v>
      </c>
      <c r="E36" s="6" t="s">
        <v>15</v>
      </c>
      <c r="F36" s="6" t="s">
        <v>24</v>
      </c>
      <c r="G36" s="6"/>
      <c r="H36" s="6"/>
      <c r="I36" s="6"/>
      <c r="J36" s="32"/>
      <c r="K36" s="40">
        <v>24.842</v>
      </c>
      <c r="L36" s="33" t="s">
        <v>104</v>
      </c>
      <c r="M36" s="33"/>
      <c r="N36" s="34"/>
      <c r="O36" s="8"/>
      <c r="P36" s="35" t="s">
        <v>102</v>
      </c>
      <c r="Q36" s="36">
        <v>25000.0</v>
      </c>
      <c r="R36" s="37" t="s">
        <v>53</v>
      </c>
      <c r="S36" s="38" t="s">
        <v>103</v>
      </c>
      <c r="T36" s="13"/>
      <c r="U36" s="14"/>
      <c r="V36" s="12"/>
      <c r="W36" s="12"/>
    </row>
    <row r="37">
      <c r="A37" s="41">
        <v>45029.0</v>
      </c>
      <c r="B37" s="30"/>
      <c r="C37" s="39">
        <v>124253.0</v>
      </c>
      <c r="D37" s="6">
        <v>1.0012213E7</v>
      </c>
      <c r="E37" s="6" t="s">
        <v>15</v>
      </c>
      <c r="F37" s="6" t="s">
        <v>24</v>
      </c>
      <c r="G37" s="6"/>
      <c r="H37" s="6"/>
      <c r="I37" s="6"/>
      <c r="J37" s="32"/>
      <c r="K37" s="40">
        <v>24.842</v>
      </c>
      <c r="L37" s="33" t="s">
        <v>104</v>
      </c>
      <c r="M37" s="33">
        <v>25.0</v>
      </c>
      <c r="N37" s="34" t="s">
        <v>29</v>
      </c>
      <c r="O37" s="8"/>
      <c r="P37" s="35" t="s">
        <v>105</v>
      </c>
      <c r="Q37" s="36">
        <v>52040.0</v>
      </c>
      <c r="R37" s="37" t="s">
        <v>53</v>
      </c>
      <c r="S37" s="38" t="s">
        <v>106</v>
      </c>
      <c r="T37" s="13"/>
      <c r="U37" s="14"/>
      <c r="V37" s="12"/>
      <c r="W37" s="12"/>
    </row>
    <row r="38">
      <c r="A38" s="41">
        <v>45029.0</v>
      </c>
      <c r="B38" s="30"/>
      <c r="C38" s="39">
        <v>124253.0</v>
      </c>
      <c r="D38" s="6">
        <v>1.0012213E7</v>
      </c>
      <c r="E38" s="6" t="s">
        <v>15</v>
      </c>
      <c r="F38" s="6" t="s">
        <v>24</v>
      </c>
      <c r="G38" s="6"/>
      <c r="H38" s="6"/>
      <c r="I38" s="6"/>
      <c r="J38" s="32"/>
      <c r="K38" s="40">
        <v>212.32</v>
      </c>
      <c r="L38" s="33" t="s">
        <v>97</v>
      </c>
      <c r="M38" s="33">
        <v>212.32</v>
      </c>
      <c r="N38" s="34"/>
      <c r="O38" s="8"/>
      <c r="P38" s="35" t="s">
        <v>107</v>
      </c>
      <c r="Q38" s="36">
        <v>212.32</v>
      </c>
      <c r="R38" s="37" t="s">
        <v>73</v>
      </c>
      <c r="S38" s="38" t="s">
        <v>106</v>
      </c>
      <c r="T38" s="13"/>
      <c r="U38" s="14"/>
      <c r="V38" s="12"/>
      <c r="W38" s="12"/>
    </row>
    <row r="39">
      <c r="A39" s="41">
        <v>45035.0</v>
      </c>
      <c r="B39" s="30" t="s">
        <v>108</v>
      </c>
      <c r="C39" s="31"/>
      <c r="D39" s="6">
        <v>2365579.0</v>
      </c>
      <c r="E39" s="6" t="s">
        <v>15</v>
      </c>
      <c r="F39" s="6" t="s">
        <v>24</v>
      </c>
      <c r="G39" s="6"/>
      <c r="H39" s="6"/>
      <c r="I39" s="6"/>
      <c r="J39" s="32"/>
      <c r="K39" s="40">
        <v>250.0</v>
      </c>
      <c r="L39" s="33" t="s">
        <v>97</v>
      </c>
      <c r="M39" s="33">
        <v>250.0</v>
      </c>
      <c r="N39" s="34" t="s">
        <v>109</v>
      </c>
      <c r="O39" s="8"/>
      <c r="P39" s="35" t="s">
        <v>110</v>
      </c>
      <c r="Q39" s="36">
        <v>250.0</v>
      </c>
      <c r="R39" s="37" t="s">
        <v>73</v>
      </c>
      <c r="S39" s="38" t="s">
        <v>111</v>
      </c>
      <c r="T39" s="13"/>
      <c r="U39" s="14"/>
      <c r="V39" s="12"/>
      <c r="W39" s="12"/>
    </row>
    <row r="40">
      <c r="A40" s="41">
        <v>45035.0</v>
      </c>
      <c r="B40" s="30" t="s">
        <v>51</v>
      </c>
      <c r="C40" s="31"/>
      <c r="D40" s="6">
        <v>2.3655791E7</v>
      </c>
      <c r="E40" s="6" t="s">
        <v>15</v>
      </c>
      <c r="F40" s="6" t="s">
        <v>24</v>
      </c>
      <c r="G40" s="6"/>
      <c r="H40" s="6"/>
      <c r="I40" s="6"/>
      <c r="J40" s="32"/>
      <c r="K40" s="40">
        <v>10.0</v>
      </c>
      <c r="L40" s="33" t="s">
        <v>97</v>
      </c>
      <c r="M40" s="33">
        <v>4.0</v>
      </c>
      <c r="N40" s="34" t="s">
        <v>65</v>
      </c>
      <c r="O40" s="8"/>
      <c r="P40" s="35" t="s">
        <v>112</v>
      </c>
      <c r="Q40" s="36">
        <v>10.0</v>
      </c>
      <c r="R40" s="37" t="s">
        <v>73</v>
      </c>
      <c r="S40" s="38" t="s">
        <v>111</v>
      </c>
      <c r="T40" s="13"/>
      <c r="U40" s="14"/>
      <c r="V40" s="12"/>
      <c r="W40" s="12"/>
    </row>
    <row r="41">
      <c r="A41" s="41">
        <v>45040.0</v>
      </c>
      <c r="B41" s="30" t="s">
        <v>51</v>
      </c>
      <c r="C41" s="31"/>
      <c r="D41" s="6">
        <v>2498494.0</v>
      </c>
      <c r="E41" s="6" t="s">
        <v>15</v>
      </c>
      <c r="F41" s="6" t="s">
        <v>113</v>
      </c>
      <c r="G41" s="6"/>
      <c r="H41" s="6"/>
      <c r="I41" s="6"/>
      <c r="J41" s="32"/>
      <c r="K41" s="40">
        <v>19.0</v>
      </c>
      <c r="L41" s="33" t="s">
        <v>104</v>
      </c>
      <c r="M41" s="33">
        <v>19.0</v>
      </c>
      <c r="N41" s="34" t="s">
        <v>56</v>
      </c>
      <c r="O41" s="8"/>
      <c r="P41" s="35" t="s">
        <v>114</v>
      </c>
      <c r="Q41" s="36">
        <v>19.0</v>
      </c>
      <c r="R41" s="37" t="s">
        <v>104</v>
      </c>
      <c r="S41" s="38" t="s">
        <v>115</v>
      </c>
      <c r="T41" s="13"/>
      <c r="U41" s="14"/>
      <c r="V41" s="12"/>
      <c r="W41" s="12"/>
    </row>
    <row r="42">
      <c r="A42" s="44">
        <v>45043.0</v>
      </c>
      <c r="B42" s="30" t="s">
        <v>31</v>
      </c>
      <c r="C42" s="39" t="s">
        <v>116</v>
      </c>
      <c r="D42" s="6" t="s">
        <v>117</v>
      </c>
      <c r="E42" s="6" t="s">
        <v>23</v>
      </c>
      <c r="F42" s="6" t="s">
        <v>24</v>
      </c>
      <c r="G42" s="6" t="s">
        <v>25</v>
      </c>
      <c r="H42" s="6" t="s">
        <v>100</v>
      </c>
      <c r="I42" s="6" t="s">
        <v>118</v>
      </c>
      <c r="J42" s="32"/>
      <c r="K42" s="45">
        <v>103.0</v>
      </c>
      <c r="L42" s="33" t="s">
        <v>48</v>
      </c>
      <c r="M42" s="33">
        <v>103.0</v>
      </c>
      <c r="N42" s="34" t="s">
        <v>39</v>
      </c>
      <c r="O42" s="8"/>
      <c r="P42" s="35"/>
      <c r="Q42" s="36"/>
      <c r="R42" s="37"/>
      <c r="S42" s="38"/>
      <c r="T42" s="13"/>
      <c r="U42" s="14"/>
      <c r="V42" s="12"/>
      <c r="W42" s="12"/>
    </row>
    <row r="43">
      <c r="A43" s="44">
        <v>45043.0</v>
      </c>
      <c r="B43" s="30" t="s">
        <v>31</v>
      </c>
      <c r="C43" s="39" t="s">
        <v>119</v>
      </c>
      <c r="D43" s="6" t="s">
        <v>117</v>
      </c>
      <c r="E43" s="6" t="s">
        <v>23</v>
      </c>
      <c r="F43" s="6" t="s">
        <v>24</v>
      </c>
      <c r="G43" s="6" t="s">
        <v>25</v>
      </c>
      <c r="H43" s="6" t="s">
        <v>100</v>
      </c>
      <c r="I43" s="6" t="s">
        <v>118</v>
      </c>
      <c r="J43" s="32"/>
      <c r="K43" s="45">
        <v>40.0</v>
      </c>
      <c r="L43" s="33" t="s">
        <v>120</v>
      </c>
      <c r="M43" s="33">
        <v>40.0</v>
      </c>
      <c r="N43" s="34" t="s">
        <v>36</v>
      </c>
      <c r="O43" s="8"/>
      <c r="P43" s="35"/>
      <c r="Q43" s="36"/>
      <c r="R43" s="37"/>
      <c r="S43" s="38"/>
      <c r="T43" s="13"/>
      <c r="U43" s="14"/>
      <c r="V43" s="12"/>
      <c r="W43" s="12"/>
    </row>
    <row r="44">
      <c r="A44" s="44">
        <v>45043.0</v>
      </c>
      <c r="B44" s="30" t="s">
        <v>31</v>
      </c>
      <c r="C44" s="39" t="s">
        <v>121</v>
      </c>
      <c r="D44" s="6" t="s">
        <v>122</v>
      </c>
      <c r="E44" s="6" t="s">
        <v>23</v>
      </c>
      <c r="F44" s="6" t="s">
        <v>24</v>
      </c>
      <c r="G44" s="6" t="s">
        <v>25</v>
      </c>
      <c r="H44" s="6" t="s">
        <v>100</v>
      </c>
      <c r="I44" s="6" t="s">
        <v>123</v>
      </c>
      <c r="J44" s="32"/>
      <c r="K44" s="45">
        <v>25.0</v>
      </c>
      <c r="L44" s="33" t="s">
        <v>48</v>
      </c>
      <c r="M44" s="33">
        <v>25.0</v>
      </c>
      <c r="N44" s="34" t="s">
        <v>39</v>
      </c>
      <c r="O44" s="8"/>
      <c r="P44" s="35"/>
      <c r="Q44" s="36"/>
      <c r="R44" s="37"/>
      <c r="S44" s="38"/>
      <c r="T44" s="13"/>
      <c r="U44" s="14"/>
      <c r="V44" s="12"/>
      <c r="W44" s="12"/>
    </row>
    <row r="45">
      <c r="A45" s="41">
        <v>45043.0</v>
      </c>
      <c r="B45" s="30" t="s">
        <v>31</v>
      </c>
      <c r="C45" s="39" t="s">
        <v>124</v>
      </c>
      <c r="D45" s="6" t="s">
        <v>122</v>
      </c>
      <c r="E45" s="6" t="s">
        <v>23</v>
      </c>
      <c r="F45" s="6" t="s">
        <v>24</v>
      </c>
      <c r="G45" s="6" t="s">
        <v>25</v>
      </c>
      <c r="H45" s="6" t="s">
        <v>100</v>
      </c>
      <c r="I45" s="6" t="s">
        <v>123</v>
      </c>
      <c r="J45" s="32"/>
      <c r="K45" s="46">
        <v>560.0</v>
      </c>
      <c r="L45" s="33" t="s">
        <v>29</v>
      </c>
      <c r="M45" s="33">
        <v>560.0</v>
      </c>
      <c r="N45" s="34" t="s">
        <v>36</v>
      </c>
      <c r="O45" s="8"/>
      <c r="P45" s="35"/>
      <c r="Q45" s="36"/>
      <c r="R45" s="37"/>
      <c r="S45" s="38"/>
      <c r="T45" s="13"/>
      <c r="U45" s="14"/>
      <c r="V45" s="12"/>
      <c r="W45" s="12"/>
    </row>
    <row r="46">
      <c r="A46" s="41">
        <v>45048.0</v>
      </c>
      <c r="B46" s="30" t="s">
        <v>21</v>
      </c>
      <c r="C46" s="39">
        <v>5768738.0</v>
      </c>
      <c r="D46" s="6"/>
      <c r="E46" s="6" t="s">
        <v>23</v>
      </c>
      <c r="F46" s="6" t="s">
        <v>24</v>
      </c>
      <c r="G46" s="6" t="s">
        <v>74</v>
      </c>
      <c r="H46" s="6" t="s">
        <v>94</v>
      </c>
      <c r="I46" s="6" t="s">
        <v>125</v>
      </c>
      <c r="J46" s="32"/>
      <c r="K46" s="6">
        <v>4.0</v>
      </c>
      <c r="L46" s="33" t="s">
        <v>48</v>
      </c>
      <c r="M46" s="33">
        <v>4.0</v>
      </c>
      <c r="N46" s="34" t="s">
        <v>39</v>
      </c>
      <c r="O46" s="8"/>
      <c r="P46" s="35"/>
      <c r="Q46" s="36"/>
      <c r="R46" s="37"/>
      <c r="S46" s="38"/>
      <c r="T46" s="47"/>
      <c r="U46" s="48"/>
      <c r="V46" s="38"/>
      <c r="W46" s="38"/>
    </row>
    <row r="47">
      <c r="A47" s="41">
        <v>45048.0</v>
      </c>
      <c r="B47" s="30" t="s">
        <v>21</v>
      </c>
      <c r="C47" s="39">
        <v>5814124.0</v>
      </c>
      <c r="D47" s="6"/>
      <c r="E47" s="6" t="s">
        <v>23</v>
      </c>
      <c r="F47" s="6" t="s">
        <v>24</v>
      </c>
      <c r="G47" s="6" t="s">
        <v>74</v>
      </c>
      <c r="H47" s="6" t="s">
        <v>94</v>
      </c>
      <c r="I47" s="6" t="s">
        <v>125</v>
      </c>
      <c r="J47" s="32"/>
      <c r="K47" s="6">
        <v>26.0</v>
      </c>
      <c r="L47" s="33" t="s">
        <v>48</v>
      </c>
      <c r="M47" s="33">
        <v>26.0</v>
      </c>
      <c r="N47" s="34" t="s">
        <v>39</v>
      </c>
      <c r="O47" s="49"/>
      <c r="P47" s="35"/>
      <c r="Q47" s="36"/>
      <c r="R47" s="37"/>
      <c r="S47" s="38"/>
      <c r="T47" s="47"/>
      <c r="U47" s="48"/>
      <c r="V47" s="38"/>
      <c r="W47" s="12"/>
    </row>
    <row r="48">
      <c r="A48" s="41">
        <v>45048.0</v>
      </c>
      <c r="B48" s="30" t="s">
        <v>21</v>
      </c>
      <c r="C48" s="39"/>
      <c r="D48" s="6"/>
      <c r="E48" s="6" t="s">
        <v>23</v>
      </c>
      <c r="F48" s="6" t="s">
        <v>113</v>
      </c>
      <c r="G48" s="6" t="s">
        <v>74</v>
      </c>
      <c r="H48" s="6" t="s">
        <v>94</v>
      </c>
      <c r="I48" s="6" t="s">
        <v>95</v>
      </c>
      <c r="J48" s="32"/>
      <c r="K48" s="6">
        <v>-30.0</v>
      </c>
      <c r="L48" s="33" t="s">
        <v>86</v>
      </c>
      <c r="M48" s="33">
        <v>-30.0</v>
      </c>
      <c r="N48" s="34" t="s">
        <v>39</v>
      </c>
      <c r="O48" s="8"/>
      <c r="P48" s="35"/>
      <c r="Q48" s="36"/>
      <c r="R48" s="37"/>
      <c r="S48" s="38"/>
      <c r="T48" s="47" t="s">
        <v>126</v>
      </c>
      <c r="U48" s="48" t="s">
        <v>48</v>
      </c>
      <c r="V48" s="12"/>
      <c r="W48" s="12"/>
    </row>
    <row r="49">
      <c r="A49" s="41">
        <v>45048.0</v>
      </c>
      <c r="B49" s="30" t="s">
        <v>21</v>
      </c>
      <c r="C49" s="39"/>
      <c r="D49" s="30"/>
      <c r="E49" s="6"/>
      <c r="F49" s="6" t="s">
        <v>113</v>
      </c>
      <c r="G49" s="6" t="s">
        <v>74</v>
      </c>
      <c r="H49" s="6"/>
      <c r="I49" s="6"/>
      <c r="J49" s="32"/>
      <c r="K49" s="6">
        <v>-6.0</v>
      </c>
      <c r="L49" s="33" t="s">
        <v>29</v>
      </c>
      <c r="M49" s="33">
        <v>-6.0</v>
      </c>
      <c r="N49" s="34" t="s">
        <v>127</v>
      </c>
      <c r="O49" s="49"/>
      <c r="P49" s="35"/>
      <c r="Q49" s="36"/>
      <c r="R49" s="37"/>
      <c r="S49" s="38"/>
      <c r="T49" s="47" t="s">
        <v>128</v>
      </c>
      <c r="U49" s="48" t="s">
        <v>127</v>
      </c>
      <c r="V49" s="38"/>
      <c r="W49" s="38"/>
    </row>
    <row r="50">
      <c r="A50" s="44">
        <v>45048.0</v>
      </c>
      <c r="B50" s="30" t="s">
        <v>21</v>
      </c>
      <c r="C50" s="39"/>
      <c r="D50" s="6"/>
      <c r="E50" s="6"/>
      <c r="F50" s="6" t="s">
        <v>113</v>
      </c>
      <c r="G50" s="6" t="s">
        <v>74</v>
      </c>
      <c r="H50" s="6"/>
      <c r="I50" s="6"/>
      <c r="J50" s="32"/>
      <c r="K50" s="6">
        <v>-3.0</v>
      </c>
      <c r="L50" s="33" t="s">
        <v>29</v>
      </c>
      <c r="M50" s="33">
        <v>-3.0</v>
      </c>
      <c r="N50" s="34" t="s">
        <v>129</v>
      </c>
      <c r="O50" s="49"/>
      <c r="P50" s="35"/>
      <c r="Q50" s="36"/>
      <c r="R50" s="37"/>
      <c r="S50" s="38"/>
      <c r="T50" s="47" t="s">
        <v>130</v>
      </c>
      <c r="U50" s="48" t="s">
        <v>129</v>
      </c>
      <c r="V50" s="38"/>
      <c r="W50" s="38"/>
    </row>
    <row r="51">
      <c r="A51" s="44">
        <v>45048.0</v>
      </c>
      <c r="B51" s="30" t="s">
        <v>51</v>
      </c>
      <c r="C51" s="39"/>
      <c r="D51" s="6">
        <v>124952.0</v>
      </c>
      <c r="E51" s="6" t="s">
        <v>15</v>
      </c>
      <c r="F51" s="6" t="s">
        <v>24</v>
      </c>
      <c r="G51" s="6"/>
      <c r="H51" s="6"/>
      <c r="I51" s="6"/>
      <c r="J51" s="32"/>
      <c r="K51" s="6">
        <v>28940.0</v>
      </c>
      <c r="L51" s="33" t="s">
        <v>28</v>
      </c>
      <c r="M51" s="33">
        <v>28940.0</v>
      </c>
      <c r="N51" s="34" t="s">
        <v>53</v>
      </c>
      <c r="O51" s="8"/>
      <c r="P51" s="35" t="s">
        <v>105</v>
      </c>
      <c r="Q51" s="36">
        <v>28940.0</v>
      </c>
      <c r="R51" s="37" t="s">
        <v>53</v>
      </c>
      <c r="S51" s="38"/>
      <c r="T51" s="47"/>
      <c r="U51" s="48"/>
      <c r="V51" s="50"/>
      <c r="W51" s="51"/>
    </row>
    <row r="52">
      <c r="A52" s="44">
        <v>45048.0</v>
      </c>
      <c r="B52" s="30" t="s">
        <v>131</v>
      </c>
      <c r="C52" s="39" t="s">
        <v>132</v>
      </c>
      <c r="D52" s="6" t="s">
        <v>133</v>
      </c>
      <c r="E52" s="6" t="s">
        <v>23</v>
      </c>
      <c r="F52" s="6" t="s">
        <v>24</v>
      </c>
      <c r="G52" s="6" t="s">
        <v>134</v>
      </c>
      <c r="H52" s="6" t="s">
        <v>135</v>
      </c>
      <c r="I52" s="6" t="s">
        <v>136</v>
      </c>
      <c r="J52" s="32"/>
      <c r="K52" s="6">
        <v>50.0</v>
      </c>
      <c r="L52" s="33" t="s">
        <v>48</v>
      </c>
      <c r="M52" s="33">
        <v>50.0</v>
      </c>
      <c r="N52" s="34" t="s">
        <v>39</v>
      </c>
      <c r="O52" s="8"/>
      <c r="P52" s="35"/>
      <c r="Q52" s="36"/>
      <c r="R52" s="37"/>
      <c r="S52" s="38"/>
      <c r="T52" s="47"/>
      <c r="U52" s="48"/>
      <c r="V52" s="12"/>
      <c r="W52" s="12"/>
    </row>
    <row r="53">
      <c r="A53" s="44">
        <v>45056.0</v>
      </c>
      <c r="B53" s="30" t="s">
        <v>31</v>
      </c>
      <c r="C53" s="39">
        <v>5814581.0</v>
      </c>
      <c r="D53" s="6"/>
      <c r="E53" s="6" t="s">
        <v>23</v>
      </c>
      <c r="F53" s="6" t="s">
        <v>113</v>
      </c>
      <c r="G53" s="6" t="s">
        <v>74</v>
      </c>
      <c r="H53" s="6" t="s">
        <v>94</v>
      </c>
      <c r="I53" s="6" t="s">
        <v>95</v>
      </c>
      <c r="J53" s="32"/>
      <c r="K53" s="6">
        <v>-30.0</v>
      </c>
      <c r="L53" s="33" t="s">
        <v>48</v>
      </c>
      <c r="M53" s="33">
        <v>-4.0</v>
      </c>
      <c r="N53" s="34" t="s">
        <v>79</v>
      </c>
      <c r="O53" s="8"/>
      <c r="P53" s="35"/>
      <c r="Q53" s="36"/>
      <c r="R53" s="37"/>
      <c r="S53" s="12"/>
      <c r="T53" s="47"/>
      <c r="U53" s="48"/>
      <c r="V53" s="12"/>
      <c r="W53" s="12"/>
    </row>
    <row r="54">
      <c r="A54" s="44">
        <v>45056.0</v>
      </c>
      <c r="B54" s="30" t="s">
        <v>31</v>
      </c>
      <c r="C54" s="39"/>
      <c r="D54" s="6"/>
      <c r="E54" s="6"/>
      <c r="F54" s="6" t="s">
        <v>113</v>
      </c>
      <c r="G54" s="6"/>
      <c r="H54" s="6"/>
      <c r="I54" s="6"/>
      <c r="J54" s="32"/>
      <c r="K54" s="6"/>
      <c r="L54" s="33"/>
      <c r="M54" s="33">
        <v>-1.0</v>
      </c>
      <c r="N54" s="34" t="s">
        <v>129</v>
      </c>
      <c r="O54" s="8"/>
      <c r="P54" s="35"/>
      <c r="Q54" s="36"/>
      <c r="R54" s="37"/>
      <c r="S54" s="38"/>
      <c r="T54" s="13"/>
      <c r="U54" s="14"/>
      <c r="V54" s="12"/>
      <c r="W54" s="12"/>
    </row>
    <row r="55">
      <c r="A55" s="44">
        <v>45056.0</v>
      </c>
      <c r="B55" s="30" t="s">
        <v>31</v>
      </c>
      <c r="C55" s="39">
        <v>5793759.0</v>
      </c>
      <c r="D55" s="52"/>
      <c r="E55" s="6" t="s">
        <v>23</v>
      </c>
      <c r="F55" s="6" t="s">
        <v>24</v>
      </c>
      <c r="G55" s="6" t="s">
        <v>74</v>
      </c>
      <c r="H55" s="6" t="s">
        <v>100</v>
      </c>
      <c r="I55" s="6" t="s">
        <v>101</v>
      </c>
      <c r="J55" s="32"/>
      <c r="K55" s="6">
        <v>7.0</v>
      </c>
      <c r="L55" s="33" t="s">
        <v>29</v>
      </c>
      <c r="M55" s="33">
        <v>7.0</v>
      </c>
      <c r="N55" s="34" t="s">
        <v>79</v>
      </c>
      <c r="O55" s="8"/>
      <c r="P55" s="35"/>
      <c r="Q55" s="36"/>
      <c r="R55" s="37"/>
      <c r="S55" s="38"/>
      <c r="T55" s="13"/>
      <c r="U55" s="14"/>
      <c r="V55" s="12"/>
      <c r="W55" s="12"/>
    </row>
    <row r="56">
      <c r="A56" s="41">
        <v>45056.0</v>
      </c>
      <c r="B56" s="30" t="s">
        <v>131</v>
      </c>
      <c r="C56" s="39" t="s">
        <v>137</v>
      </c>
      <c r="D56" s="6">
        <v>5204.0</v>
      </c>
      <c r="E56" s="6" t="s">
        <v>23</v>
      </c>
      <c r="F56" s="6" t="s">
        <v>24</v>
      </c>
      <c r="G56" s="6" t="s">
        <v>138</v>
      </c>
      <c r="H56" s="6" t="s">
        <v>100</v>
      </c>
      <c r="I56" s="6" t="s">
        <v>139</v>
      </c>
      <c r="J56" s="32"/>
      <c r="K56" s="6">
        <v>400.0</v>
      </c>
      <c r="L56" s="33" t="s">
        <v>29</v>
      </c>
      <c r="M56" s="33">
        <v>10.0</v>
      </c>
      <c r="N56" s="34" t="s">
        <v>79</v>
      </c>
      <c r="O56" s="49"/>
      <c r="P56" s="35"/>
      <c r="Q56" s="36"/>
      <c r="R56" s="37"/>
      <c r="S56" s="38"/>
      <c r="T56" s="13"/>
      <c r="U56" s="14"/>
      <c r="V56" s="12"/>
      <c r="W56" s="12"/>
    </row>
    <row r="57">
      <c r="A57" s="41">
        <v>45058.0</v>
      </c>
      <c r="B57" s="30" t="s">
        <v>140</v>
      </c>
      <c r="C57" s="39"/>
      <c r="D57" s="6">
        <v>2.4082557E7</v>
      </c>
      <c r="E57" s="6" t="s">
        <v>15</v>
      </c>
      <c r="F57" s="6" t="s">
        <v>24</v>
      </c>
      <c r="G57" s="6"/>
      <c r="H57" s="6"/>
      <c r="I57" s="6"/>
      <c r="J57" s="32"/>
      <c r="K57" s="6">
        <v>10.0</v>
      </c>
      <c r="L57" s="33" t="s">
        <v>86</v>
      </c>
      <c r="M57" s="33">
        <v>1.76</v>
      </c>
      <c r="N57" s="34" t="s">
        <v>53</v>
      </c>
      <c r="O57" s="8"/>
      <c r="P57" s="35" t="s">
        <v>141</v>
      </c>
      <c r="Q57" s="36">
        <v>11.0</v>
      </c>
      <c r="R57" s="37" t="s">
        <v>48</v>
      </c>
      <c r="S57" s="38"/>
      <c r="T57" s="13"/>
      <c r="U57" s="14"/>
      <c r="V57" s="12"/>
      <c r="W57" s="12"/>
    </row>
    <row r="58">
      <c r="A58" s="41">
        <v>45055.0</v>
      </c>
      <c r="B58" s="30" t="s">
        <v>131</v>
      </c>
      <c r="C58" s="39"/>
      <c r="D58" s="6"/>
      <c r="E58" s="6" t="s">
        <v>23</v>
      </c>
      <c r="F58" s="6" t="s">
        <v>113</v>
      </c>
      <c r="G58" s="6" t="s">
        <v>25</v>
      </c>
      <c r="H58" s="6" t="s">
        <v>100</v>
      </c>
      <c r="I58" s="6" t="s">
        <v>142</v>
      </c>
      <c r="J58" s="32"/>
      <c r="K58" s="6">
        <v>-9.0</v>
      </c>
      <c r="L58" s="33" t="s">
        <v>120</v>
      </c>
      <c r="M58" s="33">
        <v>-9.0</v>
      </c>
      <c r="N58" s="34" t="s">
        <v>36</v>
      </c>
      <c r="O58" s="8"/>
      <c r="P58" s="35"/>
      <c r="Q58" s="36"/>
      <c r="R58" s="37"/>
      <c r="S58" s="38"/>
      <c r="T58" s="47" t="s">
        <v>143</v>
      </c>
      <c r="U58" s="48" t="s">
        <v>36</v>
      </c>
      <c r="V58" s="12"/>
      <c r="W58" s="12"/>
    </row>
    <row r="59">
      <c r="A59" s="41">
        <v>45061.0</v>
      </c>
      <c r="B59" s="30" t="s">
        <v>131</v>
      </c>
      <c r="C59" s="39">
        <v>240626.0</v>
      </c>
      <c r="D59" s="6"/>
      <c r="E59" s="6" t="s">
        <v>23</v>
      </c>
      <c r="F59" s="6" t="s">
        <v>24</v>
      </c>
      <c r="G59" s="6" t="s">
        <v>25</v>
      </c>
      <c r="H59" s="6" t="s">
        <v>96</v>
      </c>
      <c r="I59" s="6" t="s">
        <v>144</v>
      </c>
      <c r="J59" s="32"/>
      <c r="K59" s="6">
        <v>1.0</v>
      </c>
      <c r="L59" s="33" t="s">
        <v>145</v>
      </c>
      <c r="M59" s="33">
        <v>6.0</v>
      </c>
      <c r="N59" s="34" t="s">
        <v>39</v>
      </c>
      <c r="O59" s="8"/>
      <c r="P59" s="35"/>
      <c r="Q59" s="36"/>
      <c r="R59" s="37"/>
      <c r="S59" s="38"/>
      <c r="T59" s="13"/>
      <c r="U59" s="14"/>
      <c r="V59" s="12"/>
      <c r="W59" s="12"/>
    </row>
    <row r="60">
      <c r="A60" s="44">
        <v>45057.0</v>
      </c>
      <c r="B60" s="30" t="s">
        <v>131</v>
      </c>
      <c r="C60" s="39">
        <v>5140.0</v>
      </c>
      <c r="D60" s="6">
        <v>4175.0</v>
      </c>
      <c r="E60" s="6" t="s">
        <v>15</v>
      </c>
      <c r="F60" s="6" t="s">
        <v>24</v>
      </c>
      <c r="G60" s="6"/>
      <c r="H60" s="6"/>
      <c r="I60" s="6"/>
      <c r="J60" s="32"/>
      <c r="K60" s="6">
        <v>675.0</v>
      </c>
      <c r="L60" s="33" t="s">
        <v>97</v>
      </c>
      <c r="M60" s="33">
        <v>6280.0</v>
      </c>
      <c r="N60" s="34" t="s">
        <v>53</v>
      </c>
      <c r="O60" s="8"/>
      <c r="P60" s="35" t="s">
        <v>146</v>
      </c>
      <c r="Q60" s="36">
        <v>675.0</v>
      </c>
      <c r="R60" s="37" t="s">
        <v>73</v>
      </c>
      <c r="S60" s="38"/>
      <c r="T60" s="13"/>
      <c r="U60" s="14"/>
      <c r="V60" s="12"/>
      <c r="W60" s="12"/>
    </row>
    <row r="61">
      <c r="A61" s="44">
        <v>45068.0</v>
      </c>
      <c r="B61" s="30" t="s">
        <v>31</v>
      </c>
      <c r="C61" s="39"/>
      <c r="D61" s="6">
        <v>2.419816E7</v>
      </c>
      <c r="E61" s="6" t="s">
        <v>15</v>
      </c>
      <c r="F61" s="6" t="s">
        <v>24</v>
      </c>
      <c r="G61" s="6"/>
      <c r="H61" s="6"/>
      <c r="I61" s="6"/>
      <c r="J61" s="32"/>
      <c r="K61" s="6">
        <v>50.0</v>
      </c>
      <c r="L61" s="33" t="s">
        <v>97</v>
      </c>
      <c r="M61" s="33">
        <v>50.0</v>
      </c>
      <c r="N61" s="34" t="s">
        <v>73</v>
      </c>
      <c r="O61" s="49"/>
      <c r="P61" s="35" t="s">
        <v>147</v>
      </c>
      <c r="Q61" s="36">
        <v>50.0</v>
      </c>
      <c r="R61" s="37" t="s">
        <v>73</v>
      </c>
      <c r="S61" s="38"/>
      <c r="T61" s="13"/>
      <c r="U61" s="14"/>
      <c r="V61" s="12"/>
      <c r="W61" s="12"/>
    </row>
    <row r="62">
      <c r="A62" s="44">
        <v>45065.0</v>
      </c>
      <c r="B62" s="30" t="s">
        <v>31</v>
      </c>
      <c r="C62" s="39">
        <v>125612.0</v>
      </c>
      <c r="D62" s="6"/>
      <c r="E62" s="6" t="s">
        <v>15</v>
      </c>
      <c r="F62" s="6" t="s">
        <v>24</v>
      </c>
      <c r="G62" s="6"/>
      <c r="H62" s="6"/>
      <c r="I62" s="6"/>
      <c r="J62" s="32"/>
      <c r="K62" s="40">
        <v>28160.0</v>
      </c>
      <c r="L62" s="33" t="s">
        <v>104</v>
      </c>
      <c r="M62" s="33">
        <v>28160.0</v>
      </c>
      <c r="N62" s="34" t="s">
        <v>56</v>
      </c>
      <c r="O62" s="8"/>
      <c r="P62" s="35" t="s">
        <v>102</v>
      </c>
      <c r="Q62" s="36">
        <v>56320.0</v>
      </c>
      <c r="R62" s="37" t="s">
        <v>53</v>
      </c>
      <c r="S62" s="38" t="s">
        <v>103</v>
      </c>
      <c r="T62" s="13"/>
      <c r="U62" s="14"/>
      <c r="V62" s="12"/>
      <c r="W62" s="12"/>
    </row>
    <row r="63">
      <c r="A63" s="44">
        <v>45084.0</v>
      </c>
      <c r="B63" s="30" t="s">
        <v>148</v>
      </c>
      <c r="C63" s="39"/>
      <c r="D63" s="6">
        <v>115507.0</v>
      </c>
      <c r="E63" s="6" t="s">
        <v>23</v>
      </c>
      <c r="F63" s="6" t="s">
        <v>24</v>
      </c>
      <c r="G63" s="6" t="s">
        <v>149</v>
      </c>
      <c r="H63" s="6" t="s">
        <v>92</v>
      </c>
      <c r="I63" s="6" t="s">
        <v>150</v>
      </c>
      <c r="J63" s="32"/>
      <c r="K63" s="6">
        <v>11.0</v>
      </c>
      <c r="L63" s="33" t="s">
        <v>48</v>
      </c>
      <c r="M63" s="33">
        <v>11.0</v>
      </c>
      <c r="N63" s="34" t="s">
        <v>48</v>
      </c>
      <c r="O63" s="8"/>
      <c r="P63" s="35"/>
      <c r="Q63" s="36"/>
      <c r="R63" s="37"/>
      <c r="S63" s="38"/>
      <c r="T63" s="13"/>
      <c r="U63" s="14"/>
      <c r="V63" s="12"/>
      <c r="W63" s="12"/>
    </row>
    <row r="64">
      <c r="A64" s="44">
        <v>45084.0</v>
      </c>
      <c r="B64" s="30" t="s">
        <v>148</v>
      </c>
      <c r="C64" s="39"/>
      <c r="D64" s="6">
        <v>115507.0</v>
      </c>
      <c r="E64" s="6" t="s">
        <v>23</v>
      </c>
      <c r="F64" s="6" t="s">
        <v>24</v>
      </c>
      <c r="G64" s="53" t="s">
        <v>149</v>
      </c>
      <c r="H64" s="53" t="s">
        <v>92</v>
      </c>
      <c r="I64" s="53" t="s">
        <v>151</v>
      </c>
      <c r="J64" s="54"/>
      <c r="K64" s="55">
        <v>4.0</v>
      </c>
      <c r="L64" s="56" t="s">
        <v>48</v>
      </c>
      <c r="M64" s="57">
        <v>4.0</v>
      </c>
      <c r="N64" s="53" t="s">
        <v>48</v>
      </c>
      <c r="O64" s="58"/>
      <c r="P64" s="59"/>
      <c r="Q64" s="60"/>
      <c r="R64" s="60"/>
      <c r="S64" s="61"/>
      <c r="T64" s="62"/>
      <c r="U64" s="14"/>
      <c r="V64" s="12"/>
      <c r="W64" s="12"/>
    </row>
    <row r="65">
      <c r="A65" s="44">
        <v>45092.0</v>
      </c>
      <c r="B65" s="30" t="s">
        <v>140</v>
      </c>
      <c r="C65" s="39" t="s">
        <v>152</v>
      </c>
      <c r="D65" s="6"/>
      <c r="E65" s="57" t="s">
        <v>23</v>
      </c>
      <c r="F65" s="53" t="s">
        <v>24</v>
      </c>
      <c r="G65" s="53" t="s">
        <v>74</v>
      </c>
      <c r="H65" s="53" t="s">
        <v>100</v>
      </c>
      <c r="I65" s="53" t="s">
        <v>153</v>
      </c>
      <c r="J65" s="54"/>
      <c r="K65" s="55">
        <v>135.0</v>
      </c>
      <c r="L65" s="56" t="s">
        <v>48</v>
      </c>
      <c r="M65" s="57">
        <v>3.0</v>
      </c>
      <c r="N65" s="53" t="s">
        <v>79</v>
      </c>
      <c r="O65" s="58"/>
      <c r="P65" s="59"/>
      <c r="Q65" s="60"/>
      <c r="R65" s="60"/>
      <c r="S65" s="61" t="s">
        <v>154</v>
      </c>
      <c r="T65" s="62"/>
      <c r="U65" s="14"/>
      <c r="V65" s="12"/>
      <c r="W65" s="12"/>
    </row>
    <row r="66">
      <c r="A66" s="44">
        <v>45106.0</v>
      </c>
      <c r="B66" s="30"/>
      <c r="C66" s="39"/>
      <c r="D66" s="6">
        <v>1013469.0</v>
      </c>
      <c r="E66" s="57" t="s">
        <v>155</v>
      </c>
      <c r="F66" s="53" t="s">
        <v>24</v>
      </c>
      <c r="G66" s="53"/>
      <c r="H66" s="53" t="s">
        <v>43</v>
      </c>
      <c r="I66" s="53"/>
      <c r="J66" s="54"/>
      <c r="K66" s="55">
        <v>40.0</v>
      </c>
      <c r="L66" s="53" t="s">
        <v>48</v>
      </c>
      <c r="M66" s="53">
        <v>50.0</v>
      </c>
      <c r="N66" s="53" t="s">
        <v>53</v>
      </c>
      <c r="O66" s="58"/>
      <c r="P66" s="63"/>
      <c r="Q66" s="64"/>
      <c r="R66" s="64"/>
      <c r="S66" s="65"/>
      <c r="T66" s="66"/>
      <c r="U66" s="48"/>
      <c r="V66" s="12"/>
      <c r="W66" s="12"/>
    </row>
    <row r="67">
      <c r="A67" s="44">
        <v>45126.0</v>
      </c>
      <c r="B67" s="30" t="s">
        <v>21</v>
      </c>
      <c r="C67" s="39"/>
      <c r="D67" s="6">
        <v>801142.0</v>
      </c>
      <c r="E67" s="57" t="s">
        <v>15</v>
      </c>
      <c r="F67" s="53" t="s">
        <v>24</v>
      </c>
      <c r="G67" s="67"/>
      <c r="H67" s="67"/>
      <c r="I67" s="67"/>
      <c r="J67" s="54"/>
      <c r="K67" s="55">
        <v>1098.3784</v>
      </c>
      <c r="L67" s="53" t="s">
        <v>97</v>
      </c>
      <c r="M67" s="53">
        <v>12192.0</v>
      </c>
      <c r="N67" s="53" t="s">
        <v>53</v>
      </c>
      <c r="O67" s="58"/>
      <c r="P67" s="59" t="s">
        <v>156</v>
      </c>
      <c r="Q67" s="60"/>
      <c r="R67" s="60"/>
      <c r="S67" s="61"/>
      <c r="T67" s="62"/>
      <c r="U67" s="14"/>
      <c r="V67" s="12"/>
      <c r="W67" s="12"/>
    </row>
    <row r="68">
      <c r="A68" s="44">
        <v>45126.0</v>
      </c>
      <c r="B68" s="30" t="s">
        <v>21</v>
      </c>
      <c r="C68" s="39" t="s">
        <v>157</v>
      </c>
      <c r="D68" s="6">
        <v>6191.0</v>
      </c>
      <c r="E68" s="6" t="s">
        <v>15</v>
      </c>
      <c r="F68" s="6" t="s">
        <v>24</v>
      </c>
      <c r="G68" s="6"/>
      <c r="H68" s="6"/>
      <c r="I68" s="6"/>
      <c r="J68" s="32"/>
      <c r="K68" s="6">
        <v>1500.0</v>
      </c>
      <c r="L68" s="33" t="s">
        <v>97</v>
      </c>
      <c r="M68" s="33">
        <v>16650.0</v>
      </c>
      <c r="N68" s="34" t="s">
        <v>53</v>
      </c>
      <c r="O68" s="8"/>
      <c r="P68" s="35" t="s">
        <v>156</v>
      </c>
      <c r="Q68" s="36"/>
      <c r="R68" s="37"/>
      <c r="S68" s="38"/>
      <c r="T68" s="47"/>
      <c r="U68" s="14"/>
      <c r="V68" s="12"/>
      <c r="W68" s="12"/>
    </row>
    <row r="69">
      <c r="A69" s="44">
        <v>45140.0</v>
      </c>
      <c r="B69" s="30" t="s">
        <v>158</v>
      </c>
      <c r="C69" s="52"/>
      <c r="D69" s="30">
        <v>1012406.0</v>
      </c>
      <c r="E69" s="6" t="s">
        <v>15</v>
      </c>
      <c r="F69" s="6" t="s">
        <v>24</v>
      </c>
      <c r="G69" s="6"/>
      <c r="H69" s="6"/>
      <c r="I69" s="6"/>
      <c r="J69" s="32"/>
      <c r="K69" s="6">
        <v>15.0</v>
      </c>
      <c r="L69" s="33" t="s">
        <v>69</v>
      </c>
      <c r="M69" s="33">
        <v>2.0</v>
      </c>
      <c r="N69" s="34" t="s">
        <v>65</v>
      </c>
      <c r="O69" s="8"/>
      <c r="P69" s="35" t="s">
        <v>159</v>
      </c>
      <c r="Q69" s="36">
        <v>636.75</v>
      </c>
      <c r="R69" s="37" t="s">
        <v>53</v>
      </c>
      <c r="S69" s="38"/>
      <c r="T69" s="47"/>
      <c r="U69" s="48"/>
      <c r="V69" s="12"/>
      <c r="W69" s="12"/>
    </row>
    <row r="70">
      <c r="A70" s="44">
        <v>45140.0</v>
      </c>
      <c r="B70" s="30" t="s">
        <v>158</v>
      </c>
      <c r="C70" s="39"/>
      <c r="D70" s="6">
        <v>1012401.0</v>
      </c>
      <c r="E70" s="6" t="s">
        <v>15</v>
      </c>
      <c r="F70" s="6" t="s">
        <v>24</v>
      </c>
      <c r="G70" s="6"/>
      <c r="H70" s="6"/>
      <c r="I70" s="6"/>
      <c r="J70" s="32"/>
      <c r="K70" s="6">
        <v>4.0</v>
      </c>
      <c r="L70" s="33" t="s">
        <v>29</v>
      </c>
      <c r="M70" s="33">
        <v>4.0</v>
      </c>
      <c r="N70" s="34" t="s">
        <v>36</v>
      </c>
      <c r="O70" s="49"/>
      <c r="P70" s="35" t="s">
        <v>114</v>
      </c>
      <c r="Q70" s="36">
        <v>11200.0</v>
      </c>
      <c r="R70" s="37" t="s">
        <v>53</v>
      </c>
      <c r="S70" s="38"/>
      <c r="T70" s="13"/>
      <c r="U70" s="14"/>
      <c r="V70" s="12"/>
      <c r="W70" s="12"/>
    </row>
    <row r="71">
      <c r="A71" s="44"/>
      <c r="B71" s="30"/>
      <c r="C71" s="39"/>
      <c r="D71" s="6"/>
      <c r="E71" s="6"/>
      <c r="F71" s="6"/>
      <c r="G71" s="6"/>
      <c r="H71" s="6"/>
      <c r="I71" s="68"/>
      <c r="J71" s="32"/>
      <c r="K71" s="6"/>
      <c r="L71" s="33"/>
      <c r="M71" s="33"/>
      <c r="N71" s="34"/>
      <c r="O71" s="8"/>
      <c r="P71" s="35"/>
      <c r="Q71" s="36"/>
      <c r="R71" s="37"/>
      <c r="S71" s="38"/>
      <c r="T71" s="13"/>
      <c r="U71" s="14"/>
      <c r="V71" s="12"/>
      <c r="W71" s="12"/>
    </row>
    <row r="72">
      <c r="A72" s="41"/>
      <c r="B72" s="30"/>
      <c r="C72" s="31"/>
      <c r="D72" s="6"/>
      <c r="E72" s="6"/>
      <c r="F72" s="6"/>
      <c r="G72" s="6"/>
      <c r="H72" s="6"/>
      <c r="I72" s="68"/>
      <c r="J72" s="32"/>
      <c r="K72" s="6"/>
      <c r="L72" s="33"/>
      <c r="M72" s="33"/>
      <c r="N72" s="34"/>
      <c r="O72" s="8"/>
      <c r="P72" s="35"/>
      <c r="Q72" s="36"/>
      <c r="R72" s="37"/>
      <c r="S72" s="38"/>
      <c r="T72" s="13"/>
      <c r="U72" s="14"/>
      <c r="V72" s="12"/>
      <c r="W72" s="12"/>
    </row>
    <row r="73">
      <c r="A73" s="41"/>
      <c r="B73" s="30"/>
      <c r="C73" s="39"/>
      <c r="D73" s="6"/>
      <c r="E73" s="6"/>
      <c r="F73" s="6"/>
      <c r="G73" s="6"/>
      <c r="H73" s="6"/>
      <c r="I73" s="6"/>
      <c r="J73" s="32"/>
      <c r="K73" s="6"/>
      <c r="L73" s="33"/>
      <c r="M73" s="33"/>
      <c r="N73" s="34"/>
      <c r="O73" s="8"/>
      <c r="P73" s="35"/>
      <c r="Q73" s="36"/>
      <c r="R73" s="37"/>
      <c r="S73" s="38"/>
      <c r="T73" s="13"/>
      <c r="U73" s="14"/>
      <c r="V73" s="12"/>
      <c r="W73" s="12"/>
    </row>
    <row r="74">
      <c r="A74" s="41"/>
      <c r="B74" s="30"/>
      <c r="C74" s="39"/>
      <c r="D74" s="6"/>
      <c r="E74" s="6"/>
      <c r="F74" s="6"/>
      <c r="G74" s="6"/>
      <c r="H74" s="6"/>
      <c r="I74" s="6"/>
      <c r="J74" s="32"/>
      <c r="K74" s="52"/>
      <c r="L74" s="33"/>
      <c r="M74" s="69"/>
      <c r="N74" s="34"/>
      <c r="O74" s="8"/>
      <c r="P74" s="35"/>
      <c r="Q74" s="36"/>
      <c r="R74" s="37"/>
      <c r="S74" s="38"/>
      <c r="T74" s="47"/>
      <c r="U74" s="14"/>
      <c r="V74" s="12"/>
      <c r="W74" s="12"/>
    </row>
    <row r="75">
      <c r="A75" s="41"/>
      <c r="B75" s="30"/>
      <c r="C75" s="39"/>
      <c r="D75" s="6"/>
      <c r="E75" s="6"/>
      <c r="F75" s="6"/>
      <c r="G75" s="6"/>
      <c r="H75" s="6"/>
      <c r="I75" s="6"/>
      <c r="J75" s="32"/>
      <c r="K75" s="6"/>
      <c r="L75" s="33"/>
      <c r="M75" s="33"/>
      <c r="N75" s="34"/>
      <c r="O75" s="8"/>
      <c r="P75" s="35"/>
      <c r="Q75" s="36"/>
      <c r="R75" s="37"/>
      <c r="S75" s="70"/>
      <c r="T75" s="13"/>
      <c r="U75" s="14"/>
      <c r="V75" s="12"/>
      <c r="W75" s="12"/>
    </row>
    <row r="76">
      <c r="A76" s="41"/>
      <c r="B76" s="30"/>
      <c r="C76" s="39"/>
      <c r="D76" s="6"/>
      <c r="E76" s="6"/>
      <c r="F76" s="6"/>
      <c r="G76" s="6"/>
      <c r="H76" s="6"/>
      <c r="I76" s="6"/>
      <c r="J76" s="32"/>
      <c r="K76" s="6"/>
      <c r="L76" s="33"/>
      <c r="M76" s="33"/>
      <c r="N76" s="34"/>
      <c r="O76" s="49"/>
      <c r="P76" s="35"/>
      <c r="Q76" s="36"/>
      <c r="R76" s="37"/>
      <c r="S76" s="70"/>
      <c r="T76" s="47"/>
      <c r="U76" s="48"/>
      <c r="V76" s="38"/>
      <c r="W76" s="38"/>
    </row>
    <row r="77">
      <c r="A77" s="41"/>
      <c r="B77" s="30"/>
      <c r="C77" s="39"/>
      <c r="D77" s="6"/>
      <c r="E77" s="6"/>
      <c r="F77" s="6"/>
      <c r="G77" s="6"/>
      <c r="H77" s="6"/>
      <c r="I77" s="6"/>
      <c r="J77" s="32"/>
      <c r="K77" s="6"/>
      <c r="L77" s="33"/>
      <c r="M77" s="33"/>
      <c r="N77" s="34"/>
      <c r="O77" s="8"/>
      <c r="P77" s="35"/>
      <c r="Q77" s="36"/>
      <c r="R77" s="37"/>
      <c r="S77" s="70"/>
      <c r="T77" s="13"/>
      <c r="U77" s="14"/>
      <c r="V77" s="12"/>
      <c r="W77" s="12"/>
    </row>
    <row r="78">
      <c r="A78" s="41"/>
      <c r="B78" s="30"/>
      <c r="C78" s="39"/>
      <c r="D78" s="6"/>
      <c r="E78" s="6"/>
      <c r="F78" s="6"/>
      <c r="G78" s="6"/>
      <c r="H78" s="6"/>
      <c r="I78" s="6"/>
      <c r="J78" s="32"/>
      <c r="K78" s="6"/>
      <c r="L78" s="33"/>
      <c r="M78" s="33"/>
      <c r="N78" s="34"/>
      <c r="O78" s="8"/>
      <c r="P78" s="35"/>
      <c r="Q78" s="36"/>
      <c r="R78" s="37"/>
      <c r="S78" s="70"/>
      <c r="T78" s="13"/>
      <c r="U78" s="14"/>
      <c r="V78" s="12"/>
      <c r="W78" s="12"/>
    </row>
    <row r="79">
      <c r="A79" s="41"/>
      <c r="B79" s="30"/>
      <c r="C79" s="39"/>
      <c r="D79" s="6"/>
      <c r="E79" s="6"/>
      <c r="F79" s="6"/>
      <c r="G79" s="6"/>
      <c r="H79" s="6"/>
      <c r="I79" s="6"/>
      <c r="J79" s="32"/>
      <c r="K79" s="6"/>
      <c r="L79" s="33"/>
      <c r="M79" s="33"/>
      <c r="N79" s="34"/>
      <c r="O79" s="8"/>
      <c r="P79" s="35"/>
      <c r="Q79" s="36"/>
      <c r="R79" s="37"/>
      <c r="S79" s="38"/>
      <c r="T79" s="47"/>
      <c r="U79" s="48"/>
      <c r="V79" s="12"/>
      <c r="W79" s="12"/>
    </row>
    <row r="80">
      <c r="A80" s="41"/>
      <c r="B80" s="30"/>
      <c r="C80" s="39"/>
      <c r="D80" s="6"/>
      <c r="E80" s="6"/>
      <c r="F80" s="6"/>
      <c r="G80" s="6"/>
      <c r="H80" s="6"/>
      <c r="I80" s="6"/>
      <c r="J80" s="32"/>
      <c r="K80" s="6"/>
      <c r="L80" s="33"/>
      <c r="M80" s="33"/>
      <c r="N80" s="34"/>
      <c r="O80" s="8"/>
      <c r="P80" s="35"/>
      <c r="Q80" s="36"/>
      <c r="R80" s="37"/>
      <c r="S80" s="38"/>
      <c r="T80" s="47"/>
      <c r="U80" s="48"/>
      <c r="V80" s="12"/>
      <c r="W80" s="12"/>
    </row>
    <row r="81">
      <c r="A81" s="41"/>
      <c r="B81" s="30"/>
      <c r="C81" s="39"/>
      <c r="D81" s="6"/>
      <c r="E81" s="6"/>
      <c r="F81" s="6"/>
      <c r="G81" s="6"/>
      <c r="H81" s="6"/>
      <c r="I81" s="6"/>
      <c r="J81" s="32"/>
      <c r="K81" s="6"/>
      <c r="L81" s="33"/>
      <c r="M81" s="33"/>
      <c r="N81" s="34"/>
      <c r="O81" s="8"/>
      <c r="P81" s="35"/>
      <c r="Q81" s="36"/>
      <c r="R81" s="37"/>
      <c r="S81" s="38"/>
      <c r="T81" s="47"/>
      <c r="U81" s="48"/>
      <c r="V81" s="12"/>
      <c r="W81" s="12"/>
    </row>
    <row r="82">
      <c r="A82" s="41"/>
      <c r="B82" s="30"/>
      <c r="C82" s="39"/>
      <c r="D82" s="6"/>
      <c r="E82" s="6"/>
      <c r="F82" s="6"/>
      <c r="G82" s="6"/>
      <c r="H82" s="6"/>
      <c r="I82" s="6"/>
      <c r="J82" s="32"/>
      <c r="K82" s="6"/>
      <c r="L82" s="33"/>
      <c r="M82" s="33"/>
      <c r="N82" s="34"/>
      <c r="O82" s="8"/>
      <c r="P82" s="35"/>
      <c r="Q82" s="36"/>
      <c r="R82" s="37"/>
      <c r="S82" s="38"/>
      <c r="T82" s="47"/>
      <c r="U82" s="48"/>
      <c r="V82" s="12"/>
      <c r="W82" s="12"/>
    </row>
    <row r="83" ht="19.5" customHeight="1">
      <c r="A83" s="41"/>
      <c r="B83" s="30"/>
      <c r="C83" s="39"/>
      <c r="D83" s="6"/>
      <c r="E83" s="6"/>
      <c r="F83" s="6"/>
      <c r="G83" s="6"/>
      <c r="H83" s="6"/>
      <c r="I83" s="6"/>
      <c r="J83" s="32"/>
      <c r="K83" s="6"/>
      <c r="L83" s="33"/>
      <c r="M83" s="33"/>
      <c r="N83" s="34"/>
      <c r="O83" s="8"/>
      <c r="P83" s="35"/>
      <c r="Q83" s="36"/>
      <c r="R83" s="37"/>
      <c r="S83" s="12"/>
      <c r="T83" s="47"/>
      <c r="U83" s="48"/>
      <c r="V83" s="12"/>
      <c r="W83" s="12"/>
    </row>
    <row r="84" ht="12.75" customHeight="1">
      <c r="A84" s="41"/>
      <c r="B84" s="30"/>
      <c r="C84" s="39"/>
      <c r="D84" s="6"/>
      <c r="E84" s="6"/>
      <c r="F84" s="6"/>
      <c r="G84" s="6"/>
      <c r="H84" s="6"/>
      <c r="I84" s="6"/>
      <c r="J84" s="32"/>
      <c r="K84" s="6"/>
      <c r="L84" s="33"/>
      <c r="M84" s="33"/>
      <c r="N84" s="34"/>
      <c r="O84" s="8"/>
      <c r="P84" s="35"/>
      <c r="Q84" s="36"/>
      <c r="R84" s="37"/>
      <c r="S84" s="12"/>
      <c r="T84" s="13"/>
      <c r="U84" s="14"/>
      <c r="V84" s="12"/>
      <c r="W84" s="12"/>
    </row>
    <row r="85">
      <c r="A85" s="41"/>
      <c r="B85" s="30"/>
      <c r="C85" s="39"/>
      <c r="D85" s="6"/>
      <c r="E85" s="6"/>
      <c r="F85" s="6"/>
      <c r="G85" s="6"/>
      <c r="H85" s="6"/>
      <c r="I85" s="6"/>
      <c r="J85" s="32"/>
      <c r="K85" s="6"/>
      <c r="L85" s="33"/>
      <c r="M85" s="33"/>
      <c r="N85" s="34"/>
      <c r="O85" s="8"/>
      <c r="P85" s="35"/>
      <c r="Q85" s="36"/>
      <c r="R85" s="37"/>
      <c r="S85" s="38"/>
      <c r="T85" s="47"/>
      <c r="U85" s="48"/>
      <c r="V85" s="12"/>
      <c r="W85" s="12"/>
    </row>
    <row r="86">
      <c r="A86" s="41"/>
      <c r="B86" s="30"/>
      <c r="C86" s="31"/>
      <c r="D86" s="6"/>
      <c r="E86" s="6"/>
      <c r="F86" s="6"/>
      <c r="G86" s="6"/>
      <c r="H86" s="6"/>
      <c r="I86" s="6"/>
      <c r="J86" s="32"/>
      <c r="K86" s="6"/>
      <c r="L86" s="33"/>
      <c r="M86" s="33"/>
      <c r="N86" s="34"/>
      <c r="O86" s="8"/>
      <c r="P86" s="35"/>
      <c r="Q86" s="36"/>
      <c r="R86" s="37"/>
      <c r="S86" s="38"/>
      <c r="T86" s="13"/>
      <c r="U86" s="14"/>
      <c r="V86" s="12"/>
      <c r="W86" s="12"/>
    </row>
    <row r="87">
      <c r="A87" s="41"/>
      <c r="B87" s="30"/>
      <c r="C87" s="31"/>
      <c r="D87" s="6"/>
      <c r="E87" s="6"/>
      <c r="F87" s="6"/>
      <c r="G87" s="6"/>
      <c r="H87" s="6"/>
      <c r="I87" s="6"/>
      <c r="J87" s="32"/>
      <c r="K87" s="6"/>
      <c r="L87" s="33"/>
      <c r="M87" s="33"/>
      <c r="N87" s="34"/>
      <c r="O87" s="8"/>
      <c r="P87" s="35"/>
      <c r="Q87" s="36"/>
      <c r="R87" s="37"/>
      <c r="S87" s="38"/>
      <c r="T87" s="47"/>
      <c r="U87" s="48"/>
      <c r="V87" s="38"/>
      <c r="W87" s="12"/>
    </row>
    <row r="88">
      <c r="A88" s="41"/>
      <c r="B88" s="30"/>
      <c r="C88" s="31"/>
      <c r="D88" s="6"/>
      <c r="E88" s="6"/>
      <c r="F88" s="6"/>
      <c r="G88" s="6"/>
      <c r="H88" s="6"/>
      <c r="I88" s="6"/>
      <c r="J88" s="32"/>
      <c r="K88" s="6"/>
      <c r="L88" s="33"/>
      <c r="M88" s="33"/>
      <c r="N88" s="34"/>
      <c r="O88" s="8"/>
      <c r="P88" s="35"/>
      <c r="Q88" s="36"/>
      <c r="R88" s="37"/>
      <c r="S88" s="38"/>
      <c r="T88" s="47"/>
      <c r="U88" s="48"/>
      <c r="V88" s="38"/>
      <c r="W88" s="12"/>
    </row>
    <row r="89">
      <c r="A89" s="44"/>
      <c r="B89" s="30"/>
      <c r="C89" s="39"/>
      <c r="D89" s="6"/>
      <c r="E89" s="6"/>
      <c r="F89" s="6"/>
      <c r="G89" s="6"/>
      <c r="H89" s="6"/>
      <c r="I89" s="6"/>
      <c r="J89" s="32"/>
      <c r="K89" s="6"/>
      <c r="L89" s="33"/>
      <c r="M89" s="33"/>
      <c r="N89" s="34"/>
      <c r="O89" s="8"/>
      <c r="P89" s="35"/>
      <c r="Q89" s="36"/>
      <c r="R89" s="37"/>
      <c r="S89" s="38"/>
      <c r="T89" s="13"/>
      <c r="U89" s="14"/>
      <c r="V89" s="12"/>
      <c r="W89" s="12"/>
    </row>
    <row r="90">
      <c r="A90" s="42"/>
      <c r="B90" s="30"/>
      <c r="C90" s="39"/>
      <c r="D90" s="6"/>
      <c r="E90" s="6"/>
      <c r="F90" s="6"/>
      <c r="G90" s="6"/>
      <c r="H90" s="6"/>
      <c r="I90" s="6"/>
      <c r="J90" s="32"/>
      <c r="K90" s="6"/>
      <c r="L90" s="33"/>
      <c r="M90" s="33"/>
      <c r="N90" s="34"/>
      <c r="O90" s="8"/>
      <c r="P90" s="35"/>
      <c r="Q90" s="36"/>
      <c r="R90" s="37"/>
      <c r="S90" s="38"/>
      <c r="T90" s="47"/>
      <c r="U90" s="48"/>
      <c r="V90" s="12"/>
      <c r="W90" s="12"/>
    </row>
    <row r="91">
      <c r="A91" s="42"/>
      <c r="B91" s="30"/>
      <c r="C91" s="39"/>
      <c r="D91" s="6"/>
      <c r="E91" s="6"/>
      <c r="F91" s="6"/>
      <c r="G91" s="6"/>
      <c r="H91" s="6"/>
      <c r="I91" s="6"/>
      <c r="J91" s="32"/>
      <c r="K91" s="6"/>
      <c r="L91" s="33"/>
      <c r="M91" s="33"/>
      <c r="N91" s="34"/>
      <c r="O91" s="8"/>
      <c r="P91" s="35"/>
      <c r="Q91" s="36"/>
      <c r="R91" s="37"/>
      <c r="S91" s="12"/>
      <c r="T91" s="47"/>
      <c r="U91" s="48"/>
      <c r="V91" s="38"/>
      <c r="W91" s="12"/>
    </row>
    <row r="92">
      <c r="A92" s="42"/>
      <c r="B92" s="30"/>
      <c r="C92" s="39"/>
      <c r="D92" s="6"/>
      <c r="E92" s="6"/>
      <c r="F92" s="6"/>
      <c r="G92" s="6"/>
      <c r="H92" s="6"/>
      <c r="I92" s="6"/>
      <c r="J92" s="32"/>
      <c r="K92" s="6"/>
      <c r="L92" s="33"/>
      <c r="M92" s="33"/>
      <c r="N92" s="34"/>
      <c r="O92" s="8"/>
      <c r="P92" s="35"/>
      <c r="Q92" s="36"/>
      <c r="R92" s="37"/>
      <c r="S92" s="38"/>
      <c r="T92" s="47"/>
      <c r="U92" s="48"/>
      <c r="V92" s="38"/>
      <c r="W92" s="12"/>
    </row>
    <row r="93">
      <c r="A93" s="42"/>
      <c r="B93" s="30"/>
      <c r="C93" s="31"/>
      <c r="D93" s="6"/>
      <c r="E93" s="6"/>
      <c r="F93" s="6"/>
      <c r="G93" s="6"/>
      <c r="H93" s="6"/>
      <c r="I93" s="6"/>
      <c r="J93" s="32"/>
      <c r="K93" s="6"/>
      <c r="L93" s="33"/>
      <c r="M93" s="33"/>
      <c r="N93" s="34"/>
      <c r="O93" s="8"/>
      <c r="P93" s="35"/>
      <c r="Q93" s="36"/>
      <c r="R93" s="37"/>
      <c r="S93" s="38"/>
      <c r="T93" s="47"/>
      <c r="U93" s="48"/>
      <c r="V93" s="38"/>
      <c r="W93" s="12"/>
    </row>
    <row r="94">
      <c r="A94" s="41"/>
      <c r="B94" s="30"/>
      <c r="C94" s="39"/>
      <c r="D94" s="6"/>
      <c r="E94" s="6"/>
      <c r="F94" s="6"/>
      <c r="G94" s="6"/>
      <c r="H94" s="6"/>
      <c r="I94" s="6"/>
      <c r="J94" s="32"/>
      <c r="K94" s="6"/>
      <c r="L94" s="33"/>
      <c r="M94" s="33"/>
      <c r="N94" s="34"/>
      <c r="O94" s="8"/>
      <c r="P94" s="35"/>
      <c r="Q94" s="36"/>
      <c r="R94" s="37"/>
      <c r="S94" s="38"/>
      <c r="T94" s="13"/>
      <c r="U94" s="14"/>
      <c r="V94" s="12"/>
      <c r="W94" s="12"/>
    </row>
    <row r="95">
      <c r="A95" s="41"/>
      <c r="B95" s="30"/>
      <c r="C95" s="39"/>
      <c r="D95" s="6"/>
      <c r="E95" s="6"/>
      <c r="F95" s="6"/>
      <c r="G95" s="6"/>
      <c r="H95" s="6"/>
      <c r="I95" s="6"/>
      <c r="J95" s="32"/>
      <c r="K95" s="6"/>
      <c r="L95" s="33"/>
      <c r="M95" s="33"/>
      <c r="N95" s="34"/>
      <c r="O95" s="8"/>
      <c r="P95" s="35"/>
      <c r="Q95" s="36"/>
      <c r="R95" s="37"/>
      <c r="S95" s="38"/>
      <c r="T95" s="13"/>
      <c r="U95" s="14"/>
      <c r="V95" s="12"/>
      <c r="W95" s="12"/>
    </row>
    <row r="96">
      <c r="A96" s="41"/>
      <c r="B96" s="30"/>
      <c r="C96" s="39"/>
      <c r="D96" s="6"/>
      <c r="E96" s="6"/>
      <c r="F96" s="6"/>
      <c r="G96" s="6"/>
      <c r="H96" s="6"/>
      <c r="I96" s="6"/>
      <c r="J96" s="32"/>
      <c r="K96" s="6"/>
      <c r="L96" s="33"/>
      <c r="M96" s="33"/>
      <c r="N96" s="34"/>
      <c r="O96" s="8"/>
      <c r="P96" s="35"/>
      <c r="Q96" s="36"/>
      <c r="R96" s="37"/>
      <c r="S96" s="12"/>
      <c r="T96" s="47"/>
      <c r="U96" s="48"/>
      <c r="V96" s="38"/>
      <c r="W96" s="38"/>
    </row>
    <row r="97">
      <c r="A97" s="41"/>
      <c r="B97" s="30"/>
      <c r="C97" s="31"/>
      <c r="D97" s="6"/>
      <c r="E97" s="6"/>
      <c r="F97" s="6"/>
      <c r="G97" s="6"/>
      <c r="H97" s="6"/>
      <c r="I97" s="6"/>
      <c r="J97" s="32"/>
      <c r="K97" s="6"/>
      <c r="L97" s="33"/>
      <c r="M97" s="33"/>
      <c r="N97" s="34"/>
      <c r="O97" s="8"/>
      <c r="P97" s="35"/>
      <c r="Q97" s="36"/>
      <c r="R97" s="37"/>
      <c r="S97" s="12"/>
      <c r="T97" s="47"/>
      <c r="U97" s="48"/>
      <c r="V97" s="38"/>
      <c r="W97" s="12"/>
    </row>
    <row r="98">
      <c r="A98" s="41"/>
      <c r="B98" s="30"/>
      <c r="C98" s="31"/>
      <c r="D98" s="6"/>
      <c r="E98" s="6"/>
      <c r="F98" s="6"/>
      <c r="G98" s="6"/>
      <c r="H98" s="6"/>
      <c r="I98" s="6"/>
      <c r="J98" s="32"/>
      <c r="K98" s="6"/>
      <c r="L98" s="33"/>
      <c r="M98" s="33"/>
      <c r="N98" s="34"/>
      <c r="O98" s="8"/>
      <c r="P98" s="35"/>
      <c r="Q98" s="36"/>
      <c r="R98" s="37"/>
      <c r="S98" s="12"/>
      <c r="T98" s="47"/>
      <c r="U98" s="48"/>
      <c r="V98" s="38"/>
      <c r="W98" s="12"/>
    </row>
    <row r="99">
      <c r="A99" s="41"/>
      <c r="B99" s="30"/>
      <c r="C99" s="39"/>
      <c r="D99" s="6"/>
      <c r="E99" s="6"/>
      <c r="F99" s="6"/>
      <c r="G99" s="6"/>
      <c r="H99" s="6"/>
      <c r="I99" s="6"/>
      <c r="J99" s="32"/>
      <c r="K99" s="6"/>
      <c r="L99" s="33"/>
      <c r="M99" s="33"/>
      <c r="N99" s="34"/>
      <c r="O99" s="8"/>
      <c r="P99" s="35"/>
      <c r="Q99" s="36"/>
      <c r="R99" s="37"/>
      <c r="S99" s="12"/>
      <c r="T99" s="47"/>
      <c r="U99" s="48"/>
      <c r="V99" s="38"/>
      <c r="W99" s="12"/>
    </row>
    <row r="100">
      <c r="A100" s="41"/>
      <c r="B100" s="30"/>
      <c r="C100" s="39"/>
      <c r="D100" s="6"/>
      <c r="E100" s="6"/>
      <c r="F100" s="6"/>
      <c r="G100" s="6"/>
      <c r="H100" s="6"/>
      <c r="I100" s="6"/>
      <c r="J100" s="32"/>
      <c r="K100" s="6"/>
      <c r="L100" s="33"/>
      <c r="M100" s="33"/>
      <c r="N100" s="34"/>
      <c r="O100" s="8"/>
      <c r="P100" s="35"/>
      <c r="Q100" s="36"/>
      <c r="R100" s="37"/>
      <c r="S100" s="12"/>
      <c r="T100" s="47"/>
      <c r="U100" s="48"/>
      <c r="V100" s="38"/>
      <c r="W100" s="12"/>
    </row>
    <row r="101">
      <c r="A101" s="41"/>
      <c r="B101" s="30"/>
      <c r="C101" s="39"/>
      <c r="D101" s="6"/>
      <c r="E101" s="6"/>
      <c r="F101" s="6"/>
      <c r="G101" s="6"/>
      <c r="H101" s="6"/>
      <c r="I101" s="6"/>
      <c r="J101" s="32"/>
      <c r="K101" s="6"/>
      <c r="L101" s="33"/>
      <c r="M101" s="33"/>
      <c r="N101" s="34"/>
      <c r="O101" s="8"/>
      <c r="P101" s="35"/>
      <c r="Q101" s="36"/>
      <c r="R101" s="37"/>
      <c r="S101" s="38"/>
      <c r="T101" s="47"/>
      <c r="U101" s="48"/>
      <c r="V101" s="38"/>
      <c r="W101" s="12"/>
    </row>
    <row r="102">
      <c r="A102" s="41"/>
      <c r="B102" s="30"/>
      <c r="C102" s="31"/>
      <c r="D102" s="6"/>
      <c r="E102" s="6"/>
      <c r="F102" s="6"/>
      <c r="G102" s="6"/>
      <c r="H102" s="6"/>
      <c r="I102" s="6"/>
      <c r="J102" s="32"/>
      <c r="K102" s="6"/>
      <c r="L102" s="33"/>
      <c r="M102" s="33"/>
      <c r="N102" s="34"/>
      <c r="O102" s="8"/>
      <c r="P102" s="35"/>
      <c r="Q102" s="36"/>
      <c r="R102" s="37"/>
      <c r="S102" s="38"/>
      <c r="T102" s="47"/>
      <c r="U102" s="48"/>
      <c r="V102" s="38"/>
      <c r="W102" s="12"/>
    </row>
    <row r="103">
      <c r="A103" s="41"/>
      <c r="B103" s="30"/>
      <c r="C103" s="39"/>
      <c r="D103" s="6"/>
      <c r="E103" s="6"/>
      <c r="F103" s="6"/>
      <c r="G103" s="6"/>
      <c r="H103" s="6"/>
      <c r="I103" s="6"/>
      <c r="J103" s="32"/>
      <c r="K103" s="6"/>
      <c r="L103" s="33"/>
      <c r="M103" s="33"/>
      <c r="N103" s="34"/>
      <c r="O103" s="8"/>
      <c r="P103" s="35"/>
      <c r="Q103" s="36"/>
      <c r="R103" s="37"/>
      <c r="S103" s="38"/>
      <c r="T103" s="47"/>
      <c r="U103" s="48"/>
      <c r="V103" s="38"/>
      <c r="W103" s="12"/>
    </row>
    <row r="104">
      <c r="A104" s="41"/>
      <c r="B104" s="30"/>
      <c r="C104" s="39"/>
      <c r="D104" s="6"/>
      <c r="E104" s="6"/>
      <c r="F104" s="6"/>
      <c r="G104" s="6"/>
      <c r="H104" s="6"/>
      <c r="I104" s="6"/>
      <c r="J104" s="32"/>
      <c r="K104" s="6"/>
      <c r="L104" s="33"/>
      <c r="M104" s="33"/>
      <c r="N104" s="34"/>
      <c r="O104" s="8"/>
      <c r="P104" s="35"/>
      <c r="Q104" s="36"/>
      <c r="R104" s="37"/>
      <c r="S104" s="12"/>
      <c r="T104" s="47"/>
      <c r="U104" s="48"/>
      <c r="V104" s="38"/>
      <c r="W104" s="12"/>
    </row>
    <row r="105">
      <c r="A105" s="41"/>
      <c r="B105" s="30"/>
      <c r="C105" s="31"/>
      <c r="D105" s="6"/>
      <c r="E105" s="6"/>
      <c r="F105" s="6"/>
      <c r="G105" s="6"/>
      <c r="H105" s="6"/>
      <c r="I105" s="6"/>
      <c r="J105" s="32"/>
      <c r="K105" s="6"/>
      <c r="L105" s="33"/>
      <c r="M105" s="33"/>
      <c r="N105" s="34"/>
      <c r="O105" s="8"/>
      <c r="P105" s="35"/>
      <c r="Q105" s="36"/>
      <c r="R105" s="37"/>
      <c r="S105" s="38"/>
      <c r="T105" s="47"/>
      <c r="U105" s="48"/>
      <c r="V105" s="38"/>
      <c r="W105" s="12"/>
    </row>
    <row r="106">
      <c r="A106" s="41"/>
      <c r="B106" s="30"/>
      <c r="C106" s="39"/>
      <c r="D106" s="6"/>
      <c r="E106" s="6"/>
      <c r="F106" s="6"/>
      <c r="G106" s="6"/>
      <c r="H106" s="6"/>
      <c r="I106" s="6"/>
      <c r="J106" s="32"/>
      <c r="K106" s="6"/>
      <c r="L106" s="33"/>
      <c r="M106" s="33"/>
      <c r="N106" s="34"/>
      <c r="O106" s="8"/>
      <c r="P106" s="35"/>
      <c r="Q106" s="36"/>
      <c r="R106" s="37"/>
      <c r="S106" s="38"/>
      <c r="T106" s="47"/>
      <c r="U106" s="48"/>
      <c r="V106" s="38"/>
      <c r="W106" s="12"/>
    </row>
    <row r="107">
      <c r="A107" s="41"/>
      <c r="B107" s="30"/>
      <c r="C107" s="39"/>
      <c r="D107" s="6"/>
      <c r="E107" s="6"/>
      <c r="F107" s="6"/>
      <c r="G107" s="6"/>
      <c r="H107" s="6"/>
      <c r="I107" s="6"/>
      <c r="J107" s="32"/>
      <c r="K107" s="6"/>
      <c r="L107" s="33"/>
      <c r="M107" s="33"/>
      <c r="N107" s="34"/>
      <c r="O107" s="8"/>
      <c r="P107" s="35"/>
      <c r="Q107" s="36"/>
      <c r="R107" s="37"/>
      <c r="S107" s="38"/>
      <c r="T107" s="47"/>
      <c r="U107" s="48"/>
      <c r="V107" s="38"/>
      <c r="W107" s="12"/>
    </row>
    <row r="108">
      <c r="A108" s="41"/>
      <c r="B108" s="30"/>
      <c r="C108" s="31"/>
      <c r="D108" s="6"/>
      <c r="E108" s="6"/>
      <c r="F108" s="6"/>
      <c r="G108" s="6"/>
      <c r="H108" s="6"/>
      <c r="I108" s="6"/>
      <c r="J108" s="32"/>
      <c r="K108" s="6"/>
      <c r="L108" s="33"/>
      <c r="M108" s="33"/>
      <c r="N108" s="34"/>
      <c r="O108" s="8"/>
      <c r="P108" s="35"/>
      <c r="Q108" s="36"/>
      <c r="R108" s="37"/>
      <c r="S108" s="38"/>
      <c r="T108" s="13"/>
      <c r="U108" s="14"/>
      <c r="V108" s="12"/>
      <c r="W108" s="12"/>
    </row>
    <row r="109">
      <c r="A109" s="41"/>
      <c r="B109" s="30"/>
      <c r="C109" s="31"/>
      <c r="D109" s="6"/>
      <c r="E109" s="6"/>
      <c r="F109" s="6"/>
      <c r="G109" s="6"/>
      <c r="H109" s="6"/>
      <c r="I109" s="6"/>
      <c r="J109" s="32"/>
      <c r="K109" s="40"/>
      <c r="L109" s="33"/>
      <c r="M109" s="33"/>
      <c r="N109" s="34"/>
      <c r="O109" s="8"/>
      <c r="P109" s="35"/>
      <c r="Q109" s="71"/>
      <c r="R109" s="37"/>
      <c r="S109" s="38"/>
      <c r="T109" s="13"/>
      <c r="U109" s="14"/>
      <c r="V109" s="12"/>
      <c r="W109" s="12"/>
    </row>
    <row r="110">
      <c r="A110" s="41"/>
      <c r="B110" s="30"/>
      <c r="C110" s="31"/>
      <c r="D110" s="6"/>
      <c r="E110" s="6"/>
      <c r="F110" s="6"/>
      <c r="G110" s="6"/>
      <c r="H110" s="6"/>
      <c r="I110" s="6"/>
      <c r="J110" s="32"/>
      <c r="K110" s="40"/>
      <c r="L110" s="33"/>
      <c r="M110" s="33"/>
      <c r="N110" s="34"/>
      <c r="O110" s="8"/>
      <c r="P110" s="35"/>
      <c r="Q110" s="71"/>
      <c r="R110" s="37"/>
      <c r="S110" s="72"/>
      <c r="T110" s="47"/>
      <c r="U110" s="48"/>
      <c r="V110" s="38"/>
      <c r="W110" s="12"/>
    </row>
    <row r="111">
      <c r="A111" s="41"/>
      <c r="B111" s="30"/>
      <c r="C111" s="31"/>
      <c r="D111" s="6"/>
      <c r="E111" s="6"/>
      <c r="F111" s="6"/>
      <c r="G111" s="6"/>
      <c r="H111" s="6"/>
      <c r="I111" s="6"/>
      <c r="J111" s="32"/>
      <c r="K111" s="40"/>
      <c r="L111" s="33"/>
      <c r="M111" s="33"/>
      <c r="N111" s="34"/>
      <c r="O111" s="8"/>
      <c r="P111" s="35"/>
      <c r="Q111" s="71"/>
      <c r="R111" s="37"/>
      <c r="S111" s="38"/>
      <c r="T111" s="13"/>
      <c r="U111" s="14"/>
      <c r="V111" s="12"/>
      <c r="W111" s="12"/>
    </row>
    <row r="112">
      <c r="A112" s="41"/>
      <c r="B112" s="30"/>
      <c r="C112" s="31"/>
      <c r="D112" s="6"/>
      <c r="E112" s="6"/>
      <c r="F112" s="6"/>
      <c r="G112" s="6"/>
      <c r="H112" s="6"/>
      <c r="I112" s="6"/>
      <c r="J112" s="32"/>
      <c r="K112" s="40"/>
      <c r="L112" s="33"/>
      <c r="M112" s="33"/>
      <c r="N112" s="34"/>
      <c r="O112" s="8"/>
      <c r="P112" s="35"/>
      <c r="Q112" s="71"/>
      <c r="R112" s="37"/>
      <c r="S112" s="38"/>
      <c r="T112" s="47"/>
      <c r="U112" s="48"/>
      <c r="V112" s="38"/>
      <c r="W112" s="12"/>
    </row>
    <row r="113">
      <c r="A113" s="41"/>
      <c r="B113" s="30"/>
      <c r="C113" s="31"/>
      <c r="D113" s="6"/>
      <c r="E113" s="6"/>
      <c r="F113" s="6"/>
      <c r="G113" s="6"/>
      <c r="H113" s="6"/>
      <c r="I113" s="6"/>
      <c r="J113" s="32"/>
      <c r="K113" s="40"/>
      <c r="L113" s="33"/>
      <c r="M113" s="33"/>
      <c r="N113" s="34"/>
      <c r="O113" s="8"/>
      <c r="P113" s="35"/>
      <c r="Q113" s="71"/>
      <c r="R113" s="37"/>
      <c r="S113" s="38"/>
      <c r="T113" s="13"/>
      <c r="U113" s="14"/>
      <c r="V113" s="12"/>
      <c r="W113" s="12"/>
    </row>
    <row r="114">
      <c r="A114" s="41"/>
      <c r="B114" s="30"/>
      <c r="C114" s="39"/>
      <c r="D114" s="6"/>
      <c r="E114" s="6"/>
      <c r="F114" s="6"/>
      <c r="G114" s="6"/>
      <c r="H114" s="6"/>
      <c r="I114" s="6"/>
      <c r="J114" s="32"/>
      <c r="K114" s="40"/>
      <c r="L114" s="33"/>
      <c r="M114" s="33"/>
      <c r="N114" s="34"/>
      <c r="O114" s="8"/>
      <c r="P114" s="35"/>
      <c r="Q114" s="71"/>
      <c r="R114" s="37"/>
      <c r="S114" s="38"/>
      <c r="T114" s="13"/>
      <c r="U114" s="14"/>
      <c r="V114" s="12"/>
      <c r="W114" s="12"/>
    </row>
    <row r="115">
      <c r="A115" s="42"/>
      <c r="B115" s="30"/>
      <c r="C115" s="39"/>
      <c r="D115" s="6"/>
      <c r="E115" s="6"/>
      <c r="F115" s="6"/>
      <c r="G115" s="6"/>
      <c r="H115" s="6"/>
      <c r="I115" s="6"/>
      <c r="J115" s="32"/>
      <c r="K115" s="40"/>
      <c r="L115" s="33"/>
      <c r="M115" s="33"/>
      <c r="N115" s="34"/>
      <c r="O115" s="8"/>
      <c r="P115" s="35"/>
      <c r="Q115" s="36"/>
      <c r="R115" s="37"/>
      <c r="S115" s="38"/>
      <c r="T115" s="13"/>
      <c r="U115" s="14"/>
      <c r="V115" s="12"/>
      <c r="W115" s="12"/>
    </row>
    <row r="116">
      <c r="A116" s="42"/>
      <c r="B116" s="30"/>
      <c r="C116" s="31"/>
      <c r="D116" s="6"/>
      <c r="E116" s="6"/>
      <c r="F116" s="6"/>
      <c r="G116" s="6"/>
      <c r="H116" s="6"/>
      <c r="I116" s="6"/>
      <c r="J116" s="32"/>
      <c r="K116" s="40"/>
      <c r="L116" s="33"/>
      <c r="M116" s="33"/>
      <c r="N116" s="34"/>
      <c r="O116" s="8"/>
      <c r="P116" s="35"/>
      <c r="Q116" s="36"/>
      <c r="R116" s="37"/>
      <c r="S116" s="38"/>
      <c r="T116" s="13"/>
      <c r="U116" s="14"/>
      <c r="V116" s="12"/>
      <c r="W116" s="12"/>
    </row>
    <row r="117">
      <c r="A117" s="42"/>
      <c r="B117" s="30"/>
      <c r="C117" s="31"/>
      <c r="D117" s="6"/>
      <c r="E117" s="6"/>
      <c r="F117" s="6"/>
      <c r="G117" s="6"/>
      <c r="H117" s="6"/>
      <c r="I117" s="6"/>
      <c r="J117" s="32"/>
      <c r="K117" s="40"/>
      <c r="L117" s="33"/>
      <c r="M117" s="33"/>
      <c r="N117" s="34"/>
      <c r="O117" s="8"/>
      <c r="P117" s="35"/>
      <c r="Q117" s="36"/>
      <c r="R117" s="37"/>
      <c r="S117" s="38"/>
      <c r="T117" s="13"/>
      <c r="U117" s="14"/>
      <c r="V117" s="12"/>
      <c r="W117" s="12"/>
    </row>
    <row r="118">
      <c r="A118" s="41"/>
      <c r="B118" s="30"/>
      <c r="C118" s="39"/>
      <c r="D118" s="6"/>
      <c r="E118" s="6"/>
      <c r="F118" s="6"/>
      <c r="G118" s="6"/>
      <c r="H118" s="6"/>
      <c r="I118" s="6"/>
      <c r="J118" s="32"/>
      <c r="K118" s="40"/>
      <c r="L118" s="33"/>
      <c r="M118" s="33"/>
      <c r="N118" s="34"/>
      <c r="O118" s="8"/>
      <c r="P118" s="35"/>
      <c r="Q118" s="71"/>
      <c r="R118" s="37"/>
      <c r="S118" s="38"/>
      <c r="T118" s="13"/>
      <c r="U118" s="14"/>
      <c r="V118" s="12"/>
      <c r="W118" s="12"/>
    </row>
    <row r="119">
      <c r="A119" s="41"/>
      <c r="B119" s="30"/>
      <c r="C119" s="39"/>
      <c r="D119" s="6"/>
      <c r="E119" s="6"/>
      <c r="F119" s="6"/>
      <c r="G119" s="6"/>
      <c r="H119" s="6"/>
      <c r="I119" s="6"/>
      <c r="J119" s="32"/>
      <c r="K119" s="40"/>
      <c r="L119" s="33"/>
      <c r="M119" s="33"/>
      <c r="N119" s="34"/>
      <c r="O119" s="8"/>
      <c r="P119" s="35"/>
      <c r="Q119" s="71"/>
      <c r="R119" s="37"/>
      <c r="S119" s="38"/>
      <c r="T119" s="47"/>
      <c r="U119" s="14"/>
      <c r="V119" s="12"/>
      <c r="W119" s="12"/>
    </row>
    <row r="120">
      <c r="A120" s="29"/>
      <c r="B120" s="30"/>
      <c r="C120" s="31"/>
      <c r="D120" s="6"/>
      <c r="E120" s="6"/>
      <c r="F120" s="6"/>
      <c r="G120" s="6"/>
      <c r="H120" s="6"/>
      <c r="I120" s="6"/>
      <c r="J120" s="32"/>
      <c r="K120" s="40"/>
      <c r="L120" s="33"/>
      <c r="M120" s="33"/>
      <c r="N120" s="34"/>
      <c r="O120" s="8"/>
      <c r="P120" s="35"/>
      <c r="Q120" s="71"/>
      <c r="R120" s="37"/>
      <c r="S120" s="38"/>
      <c r="T120" s="47"/>
      <c r="U120" s="14"/>
      <c r="V120" s="12"/>
      <c r="W120" s="12"/>
    </row>
    <row r="121">
      <c r="A121" s="29"/>
      <c r="B121" s="30"/>
      <c r="C121" s="31"/>
      <c r="D121" s="6"/>
      <c r="E121" s="6"/>
      <c r="F121" s="6"/>
      <c r="G121" s="6"/>
      <c r="H121" s="6"/>
      <c r="I121" s="6"/>
      <c r="J121" s="32"/>
      <c r="K121" s="40"/>
      <c r="L121" s="33"/>
      <c r="M121" s="33"/>
      <c r="N121" s="34"/>
      <c r="O121" s="8"/>
      <c r="P121" s="35"/>
      <c r="Q121" s="71"/>
      <c r="R121" s="37"/>
      <c r="S121" s="38"/>
      <c r="T121" s="47"/>
      <c r="U121" s="14"/>
      <c r="V121" s="12"/>
      <c r="W121" s="12"/>
    </row>
    <row r="122">
      <c r="A122" s="29"/>
      <c r="B122" s="30"/>
      <c r="C122" s="39"/>
      <c r="D122" s="6"/>
      <c r="E122" s="6"/>
      <c r="F122" s="6"/>
      <c r="G122" s="6"/>
      <c r="H122" s="6"/>
      <c r="I122" s="6"/>
      <c r="J122" s="32"/>
      <c r="K122" s="40"/>
      <c r="L122" s="33"/>
      <c r="M122" s="33"/>
      <c r="N122" s="34"/>
      <c r="O122" s="8"/>
      <c r="P122" s="35"/>
      <c r="Q122" s="71"/>
      <c r="R122" s="37"/>
      <c r="S122" s="38"/>
      <c r="T122" s="13"/>
      <c r="U122" s="14"/>
      <c r="V122" s="12"/>
      <c r="W122" s="12"/>
    </row>
    <row r="123">
      <c r="A123" s="29"/>
      <c r="B123" s="30"/>
      <c r="C123" s="39"/>
      <c r="D123" s="6"/>
      <c r="E123" s="6"/>
      <c r="F123" s="6"/>
      <c r="G123" s="6"/>
      <c r="H123" s="6"/>
      <c r="I123" s="6"/>
      <c r="J123" s="32"/>
      <c r="K123" s="40"/>
      <c r="L123" s="33"/>
      <c r="M123" s="33"/>
      <c r="N123" s="34"/>
      <c r="O123" s="8"/>
      <c r="P123" s="35"/>
      <c r="Q123" s="71"/>
      <c r="R123" s="37"/>
      <c r="S123" s="12"/>
      <c r="T123" s="13"/>
      <c r="U123" s="14"/>
      <c r="V123" s="12"/>
      <c r="W123" s="12"/>
    </row>
    <row r="124">
      <c r="A124" s="29"/>
      <c r="B124" s="30"/>
      <c r="C124" s="31"/>
      <c r="D124" s="6"/>
      <c r="E124" s="6"/>
      <c r="F124" s="6"/>
      <c r="G124" s="6"/>
      <c r="H124" s="6"/>
      <c r="I124" s="6"/>
      <c r="J124" s="32"/>
      <c r="K124" s="40"/>
      <c r="L124" s="33"/>
      <c r="M124" s="33"/>
      <c r="N124" s="34"/>
      <c r="O124" s="8"/>
      <c r="P124" s="35"/>
      <c r="Q124" s="71"/>
      <c r="R124" s="37"/>
      <c r="S124" s="38"/>
      <c r="T124" s="13"/>
      <c r="U124" s="14"/>
      <c r="V124" s="12"/>
      <c r="W124" s="12"/>
    </row>
    <row r="125">
      <c r="A125" s="29"/>
      <c r="B125" s="30"/>
      <c r="C125" s="31"/>
      <c r="D125" s="6"/>
      <c r="E125" s="6"/>
      <c r="F125" s="6"/>
      <c r="G125" s="6"/>
      <c r="H125" s="6"/>
      <c r="I125" s="6"/>
      <c r="J125" s="32"/>
      <c r="K125" s="6"/>
      <c r="L125" s="33"/>
      <c r="M125" s="33"/>
      <c r="N125" s="34"/>
      <c r="O125" s="8"/>
      <c r="P125" s="35"/>
      <c r="Q125" s="36"/>
      <c r="R125" s="37"/>
      <c r="S125" s="38"/>
      <c r="T125" s="13"/>
      <c r="U125" s="14"/>
      <c r="V125" s="12"/>
      <c r="W125" s="12"/>
    </row>
    <row r="126">
      <c r="A126" s="29"/>
      <c r="B126" s="30"/>
      <c r="C126" s="31"/>
      <c r="D126" s="6"/>
      <c r="E126" s="6"/>
      <c r="F126" s="6"/>
      <c r="G126" s="6"/>
      <c r="H126" s="6"/>
      <c r="I126" s="6"/>
      <c r="J126" s="32"/>
      <c r="K126" s="6"/>
      <c r="L126" s="33"/>
      <c r="M126" s="33"/>
      <c r="N126" s="34"/>
      <c r="O126" s="8"/>
      <c r="P126" s="35"/>
      <c r="Q126" s="36"/>
      <c r="R126" s="37"/>
      <c r="S126" s="38"/>
      <c r="T126" s="13"/>
      <c r="U126" s="14"/>
      <c r="V126" s="12"/>
      <c r="W126" s="12"/>
    </row>
    <row r="127">
      <c r="A127" s="29"/>
      <c r="B127" s="30"/>
      <c r="C127" s="31"/>
      <c r="D127" s="6"/>
      <c r="E127" s="6"/>
      <c r="F127" s="6"/>
      <c r="G127" s="6"/>
      <c r="H127" s="6"/>
      <c r="I127" s="6"/>
      <c r="J127" s="32"/>
      <c r="K127" s="6"/>
      <c r="L127" s="33"/>
      <c r="M127" s="33"/>
      <c r="N127" s="34"/>
      <c r="O127" s="8"/>
      <c r="P127" s="35"/>
      <c r="Q127" s="36"/>
      <c r="R127" s="37"/>
      <c r="S127" s="38"/>
      <c r="T127" s="13"/>
      <c r="U127" s="14"/>
      <c r="V127" s="12"/>
      <c r="W127" s="12"/>
    </row>
    <row r="128">
      <c r="A128" s="29"/>
      <c r="B128" s="30"/>
      <c r="C128" s="31"/>
      <c r="D128" s="6"/>
      <c r="E128" s="6"/>
      <c r="F128" s="6"/>
      <c r="G128" s="6"/>
      <c r="H128" s="6"/>
      <c r="I128" s="6"/>
      <c r="J128" s="32"/>
      <c r="K128" s="6"/>
      <c r="L128" s="33"/>
      <c r="M128" s="33"/>
      <c r="N128" s="34"/>
      <c r="O128" s="8"/>
      <c r="P128" s="35"/>
      <c r="Q128" s="36"/>
      <c r="R128" s="37"/>
      <c r="S128" s="38"/>
      <c r="T128" s="13"/>
      <c r="U128" s="14"/>
      <c r="V128" s="12"/>
      <c r="W128" s="12"/>
    </row>
    <row r="129">
      <c r="A129" s="73"/>
      <c r="B129" s="30"/>
      <c r="C129" s="31"/>
      <c r="D129" s="4"/>
      <c r="E129" s="6"/>
      <c r="F129" s="6"/>
      <c r="G129" s="6"/>
      <c r="H129" s="6"/>
      <c r="I129" s="6"/>
      <c r="J129" s="32"/>
      <c r="K129" s="6"/>
      <c r="L129" s="33"/>
      <c r="M129" s="33"/>
      <c r="N129" s="34"/>
      <c r="O129" s="8"/>
      <c r="P129" s="35"/>
      <c r="Q129" s="36"/>
      <c r="R129" s="37"/>
      <c r="S129" s="12"/>
      <c r="T129" s="13"/>
      <c r="U129" s="14"/>
      <c r="V129" s="12"/>
      <c r="W129" s="12"/>
    </row>
    <row r="130">
      <c r="A130" s="73"/>
      <c r="B130" s="30"/>
      <c r="C130" s="31"/>
      <c r="D130" s="4"/>
      <c r="E130" s="6"/>
      <c r="F130" s="6"/>
      <c r="G130" s="6"/>
      <c r="H130" s="6"/>
      <c r="I130" s="6"/>
      <c r="J130" s="32"/>
      <c r="K130" s="6"/>
      <c r="L130" s="33"/>
      <c r="M130" s="33"/>
      <c r="N130" s="34"/>
      <c r="O130" s="8"/>
      <c r="P130" s="35"/>
      <c r="Q130" s="36"/>
      <c r="R130" s="37"/>
      <c r="S130" s="12"/>
      <c r="T130" s="13"/>
      <c r="U130" s="14"/>
      <c r="V130" s="12"/>
      <c r="W130" s="12"/>
    </row>
    <row r="131">
      <c r="A131" s="73"/>
      <c r="B131" s="30"/>
      <c r="C131" s="31"/>
      <c r="D131" s="4"/>
      <c r="E131" s="6"/>
      <c r="F131" s="6"/>
      <c r="G131" s="6"/>
      <c r="H131" s="6"/>
      <c r="I131" s="6"/>
      <c r="J131" s="32"/>
      <c r="K131" s="6"/>
      <c r="L131" s="33"/>
      <c r="M131" s="33"/>
      <c r="N131" s="34"/>
      <c r="O131" s="8"/>
      <c r="P131" s="35"/>
      <c r="Q131" s="36"/>
      <c r="R131" s="37"/>
      <c r="S131" s="12"/>
      <c r="T131" s="13"/>
      <c r="U131" s="14"/>
      <c r="V131" s="12"/>
      <c r="W131" s="12"/>
    </row>
    <row r="132">
      <c r="A132" s="73"/>
      <c r="B132" s="30"/>
      <c r="C132" s="31"/>
      <c r="D132" s="4"/>
      <c r="E132" s="6"/>
      <c r="F132" s="6"/>
      <c r="G132" s="6"/>
      <c r="H132" s="6"/>
      <c r="I132" s="6"/>
      <c r="J132" s="32"/>
      <c r="K132" s="6"/>
      <c r="L132" s="33"/>
      <c r="M132" s="33"/>
      <c r="N132" s="34"/>
      <c r="O132" s="8"/>
      <c r="P132" s="35"/>
      <c r="Q132" s="36"/>
      <c r="R132" s="37"/>
      <c r="S132" s="12"/>
      <c r="T132" s="13"/>
      <c r="U132" s="14"/>
      <c r="V132" s="12"/>
      <c r="W132" s="12"/>
    </row>
    <row r="133">
      <c r="A133" s="73"/>
      <c r="B133" s="30"/>
      <c r="C133" s="31"/>
      <c r="D133" s="4"/>
      <c r="E133" s="6"/>
      <c r="F133" s="6"/>
      <c r="G133" s="6"/>
      <c r="H133" s="6"/>
      <c r="I133" s="6"/>
      <c r="J133" s="32"/>
      <c r="K133" s="6"/>
      <c r="L133" s="33"/>
      <c r="M133" s="33"/>
      <c r="N133" s="34"/>
      <c r="O133" s="8"/>
      <c r="P133" s="35"/>
      <c r="Q133" s="36"/>
      <c r="R133" s="37"/>
      <c r="S133" s="12"/>
      <c r="T133" s="13"/>
      <c r="U133" s="14"/>
      <c r="V133" s="12"/>
      <c r="W133" s="12"/>
    </row>
    <row r="134">
      <c r="A134" s="73"/>
      <c r="B134" s="30"/>
      <c r="C134" s="31"/>
      <c r="D134" s="4"/>
      <c r="E134" s="6"/>
      <c r="F134" s="6"/>
      <c r="G134" s="6"/>
      <c r="H134" s="6"/>
      <c r="I134" s="6"/>
      <c r="J134" s="32"/>
      <c r="K134" s="6"/>
      <c r="L134" s="33"/>
      <c r="M134" s="33"/>
      <c r="N134" s="34"/>
      <c r="O134" s="8"/>
      <c r="P134" s="35"/>
      <c r="Q134" s="36"/>
      <c r="R134" s="37"/>
      <c r="S134" s="12"/>
      <c r="T134" s="13"/>
      <c r="U134" s="14"/>
      <c r="V134" s="12"/>
      <c r="W134" s="12"/>
    </row>
    <row r="135">
      <c r="A135" s="73"/>
      <c r="B135" s="30"/>
      <c r="C135" s="31"/>
      <c r="D135" s="4"/>
      <c r="E135" s="6"/>
      <c r="F135" s="6"/>
      <c r="G135" s="6"/>
      <c r="H135" s="6"/>
      <c r="I135" s="6"/>
      <c r="J135" s="32"/>
      <c r="K135" s="6"/>
      <c r="L135" s="33"/>
      <c r="M135" s="33"/>
      <c r="N135" s="34"/>
      <c r="O135" s="8"/>
      <c r="P135" s="35"/>
      <c r="Q135" s="36"/>
      <c r="R135" s="37"/>
      <c r="S135" s="12"/>
      <c r="T135" s="13"/>
      <c r="U135" s="14"/>
      <c r="V135" s="12"/>
      <c r="W135" s="12"/>
    </row>
    <row r="136">
      <c r="A136" s="73"/>
      <c r="B136" s="30"/>
      <c r="C136" s="31"/>
      <c r="D136" s="4"/>
      <c r="E136" s="6"/>
      <c r="F136" s="6"/>
      <c r="G136" s="6"/>
      <c r="H136" s="6"/>
      <c r="I136" s="6"/>
      <c r="J136" s="32"/>
      <c r="K136" s="6"/>
      <c r="L136" s="33"/>
      <c r="M136" s="33"/>
      <c r="N136" s="34"/>
      <c r="O136" s="8"/>
      <c r="P136" s="35"/>
      <c r="Q136" s="36"/>
      <c r="R136" s="37"/>
      <c r="S136" s="12"/>
      <c r="T136" s="13"/>
      <c r="U136" s="14"/>
      <c r="V136" s="12"/>
      <c r="W136" s="12"/>
    </row>
    <row r="137">
      <c r="A137" s="73"/>
      <c r="B137" s="30"/>
      <c r="C137" s="31"/>
      <c r="D137" s="4"/>
      <c r="E137" s="6"/>
      <c r="F137" s="6"/>
      <c r="G137" s="6"/>
      <c r="H137" s="6"/>
      <c r="I137" s="6"/>
      <c r="J137" s="32"/>
      <c r="K137" s="6"/>
      <c r="L137" s="33"/>
      <c r="M137" s="33"/>
      <c r="N137" s="34"/>
      <c r="O137" s="8"/>
      <c r="P137" s="35"/>
      <c r="Q137" s="36"/>
      <c r="R137" s="37"/>
      <c r="S137" s="12"/>
      <c r="T137" s="13"/>
      <c r="U137" s="14"/>
      <c r="V137" s="12"/>
      <c r="W137" s="12"/>
    </row>
    <row r="138">
      <c r="A138" s="73"/>
      <c r="B138" s="30"/>
      <c r="C138" s="31"/>
      <c r="D138" s="4"/>
      <c r="E138" s="6"/>
      <c r="F138" s="6"/>
      <c r="G138" s="6"/>
      <c r="H138" s="6"/>
      <c r="I138" s="6"/>
      <c r="J138" s="32"/>
      <c r="K138" s="6"/>
      <c r="L138" s="33"/>
      <c r="M138" s="33"/>
      <c r="N138" s="34"/>
      <c r="O138" s="8"/>
      <c r="P138" s="35"/>
      <c r="Q138" s="36"/>
      <c r="R138" s="37"/>
      <c r="S138" s="12"/>
      <c r="T138" s="13"/>
      <c r="U138" s="14"/>
      <c r="V138" s="12"/>
      <c r="W138" s="12"/>
    </row>
    <row r="139">
      <c r="A139" s="73"/>
      <c r="B139" s="30"/>
      <c r="C139" s="31"/>
      <c r="D139" s="4"/>
      <c r="E139" s="6"/>
      <c r="F139" s="6"/>
      <c r="G139" s="6"/>
      <c r="H139" s="6"/>
      <c r="I139" s="6"/>
      <c r="J139" s="32"/>
      <c r="K139" s="6"/>
      <c r="L139" s="33"/>
      <c r="M139" s="33"/>
      <c r="N139" s="34"/>
      <c r="O139" s="8"/>
      <c r="P139" s="35"/>
      <c r="Q139" s="36"/>
      <c r="R139" s="37"/>
      <c r="S139" s="12"/>
      <c r="T139" s="13"/>
      <c r="U139" s="14"/>
      <c r="V139" s="12"/>
      <c r="W139" s="12"/>
    </row>
    <row r="140">
      <c r="A140" s="73"/>
      <c r="B140" s="30"/>
      <c r="C140" s="31"/>
      <c r="D140" s="4"/>
      <c r="E140" s="6"/>
      <c r="F140" s="6"/>
      <c r="G140" s="6"/>
      <c r="H140" s="6"/>
      <c r="I140" s="6"/>
      <c r="J140" s="32"/>
      <c r="K140" s="6"/>
      <c r="L140" s="33"/>
      <c r="M140" s="33"/>
      <c r="N140" s="34"/>
      <c r="O140" s="8"/>
      <c r="P140" s="35"/>
      <c r="Q140" s="36"/>
      <c r="R140" s="37"/>
      <c r="S140" s="12"/>
      <c r="T140" s="13"/>
      <c r="U140" s="14"/>
      <c r="V140" s="12"/>
      <c r="W140" s="12"/>
    </row>
    <row r="141">
      <c r="A141" s="73"/>
      <c r="B141" s="30"/>
      <c r="C141" s="31"/>
      <c r="D141" s="4"/>
      <c r="E141" s="6"/>
      <c r="F141" s="6"/>
      <c r="G141" s="6"/>
      <c r="H141" s="6"/>
      <c r="I141" s="6"/>
      <c r="J141" s="32"/>
      <c r="K141" s="6"/>
      <c r="L141" s="33"/>
      <c r="M141" s="33"/>
      <c r="N141" s="34"/>
      <c r="O141" s="8"/>
      <c r="P141" s="35"/>
      <c r="Q141" s="36"/>
      <c r="R141" s="37"/>
      <c r="S141" s="12"/>
      <c r="T141" s="13"/>
      <c r="U141" s="14"/>
      <c r="V141" s="12"/>
      <c r="W141" s="12"/>
    </row>
    <row r="142">
      <c r="A142" s="73"/>
      <c r="B142" s="30"/>
      <c r="C142" s="31"/>
      <c r="D142" s="4"/>
      <c r="E142" s="6"/>
      <c r="F142" s="6"/>
      <c r="G142" s="6"/>
      <c r="H142" s="6"/>
      <c r="I142" s="6"/>
      <c r="J142" s="32"/>
      <c r="K142" s="6"/>
      <c r="L142" s="33"/>
      <c r="M142" s="33"/>
      <c r="N142" s="34"/>
      <c r="O142" s="8"/>
      <c r="P142" s="35"/>
      <c r="Q142" s="36"/>
      <c r="R142" s="37"/>
      <c r="S142" s="12"/>
      <c r="T142" s="13"/>
      <c r="U142" s="14"/>
      <c r="V142" s="12"/>
      <c r="W142" s="12"/>
    </row>
    <row r="143">
      <c r="A143" s="73"/>
      <c r="B143" s="30"/>
      <c r="C143" s="31"/>
      <c r="D143" s="4"/>
      <c r="E143" s="6"/>
      <c r="F143" s="6"/>
      <c r="G143" s="6"/>
      <c r="H143" s="6"/>
      <c r="I143" s="6"/>
      <c r="J143" s="32"/>
      <c r="K143" s="6"/>
      <c r="L143" s="33"/>
      <c r="M143" s="33"/>
      <c r="N143" s="34"/>
      <c r="O143" s="8"/>
      <c r="P143" s="35"/>
      <c r="Q143" s="36"/>
      <c r="R143" s="37"/>
      <c r="S143" s="12"/>
      <c r="T143" s="13"/>
      <c r="U143" s="14"/>
      <c r="V143" s="12"/>
      <c r="W143" s="12"/>
    </row>
    <row r="144">
      <c r="A144" s="73"/>
      <c r="B144" s="30"/>
      <c r="C144" s="31"/>
      <c r="D144" s="4"/>
      <c r="E144" s="6"/>
      <c r="F144" s="6"/>
      <c r="G144" s="6"/>
      <c r="H144" s="6"/>
      <c r="I144" s="6"/>
      <c r="J144" s="32"/>
      <c r="K144" s="6"/>
      <c r="L144" s="33"/>
      <c r="M144" s="33"/>
      <c r="N144" s="34"/>
      <c r="O144" s="8"/>
      <c r="P144" s="35"/>
      <c r="Q144" s="36"/>
      <c r="R144" s="37"/>
      <c r="S144" s="12"/>
      <c r="T144" s="13"/>
      <c r="U144" s="14"/>
      <c r="V144" s="12"/>
      <c r="W144" s="12"/>
    </row>
    <row r="145">
      <c r="A145" s="73"/>
      <c r="B145" s="30"/>
      <c r="C145" s="31"/>
      <c r="D145" s="4"/>
      <c r="E145" s="6"/>
      <c r="F145" s="6"/>
      <c r="G145" s="6"/>
      <c r="H145" s="6"/>
      <c r="I145" s="6"/>
      <c r="J145" s="32"/>
      <c r="K145" s="6"/>
      <c r="L145" s="33"/>
      <c r="M145" s="33"/>
      <c r="N145" s="34"/>
      <c r="O145" s="8"/>
      <c r="P145" s="35"/>
      <c r="Q145" s="36"/>
      <c r="R145" s="37"/>
      <c r="S145" s="12"/>
      <c r="T145" s="13"/>
      <c r="U145" s="14"/>
      <c r="V145" s="12"/>
      <c r="W145" s="12"/>
    </row>
    <row r="146">
      <c r="A146" s="73"/>
      <c r="B146" s="30"/>
      <c r="C146" s="31"/>
      <c r="D146" s="4"/>
      <c r="E146" s="6"/>
      <c r="F146" s="6"/>
      <c r="G146" s="6"/>
      <c r="H146" s="6"/>
      <c r="I146" s="6"/>
      <c r="J146" s="32"/>
      <c r="K146" s="6"/>
      <c r="L146" s="33"/>
      <c r="M146" s="33"/>
      <c r="N146" s="34"/>
      <c r="O146" s="8"/>
      <c r="P146" s="35"/>
      <c r="Q146" s="36"/>
      <c r="R146" s="37"/>
      <c r="S146" s="12"/>
      <c r="T146" s="13"/>
      <c r="U146" s="14"/>
      <c r="V146" s="12"/>
      <c r="W146" s="12"/>
    </row>
    <row r="147">
      <c r="A147" s="73"/>
      <c r="B147" s="30"/>
      <c r="C147" s="31"/>
      <c r="D147" s="4"/>
      <c r="E147" s="6"/>
      <c r="F147" s="6"/>
      <c r="G147" s="6"/>
      <c r="H147" s="6"/>
      <c r="I147" s="6"/>
      <c r="J147" s="32"/>
      <c r="K147" s="6"/>
      <c r="L147" s="33"/>
      <c r="M147" s="33"/>
      <c r="N147" s="34"/>
      <c r="O147" s="8"/>
      <c r="P147" s="35"/>
      <c r="Q147" s="36"/>
      <c r="R147" s="37"/>
      <c r="S147" s="12"/>
      <c r="T147" s="13"/>
      <c r="U147" s="14"/>
      <c r="V147" s="12"/>
      <c r="W147" s="12"/>
    </row>
    <row r="148">
      <c r="A148" s="73"/>
      <c r="B148" s="30"/>
      <c r="C148" s="31"/>
      <c r="D148" s="4"/>
      <c r="E148" s="6"/>
      <c r="F148" s="6"/>
      <c r="G148" s="6"/>
      <c r="H148" s="6"/>
      <c r="I148" s="6"/>
      <c r="J148" s="32"/>
      <c r="K148" s="6"/>
      <c r="L148" s="33"/>
      <c r="M148" s="33"/>
      <c r="N148" s="34"/>
      <c r="O148" s="8"/>
      <c r="P148" s="35"/>
      <c r="Q148" s="36"/>
      <c r="R148" s="37"/>
      <c r="S148" s="12"/>
      <c r="T148" s="13"/>
      <c r="U148" s="14"/>
      <c r="V148" s="12"/>
      <c r="W148" s="12"/>
    </row>
    <row r="149">
      <c r="A149" s="73"/>
      <c r="B149" s="30"/>
      <c r="C149" s="31"/>
      <c r="D149" s="4"/>
      <c r="E149" s="6"/>
      <c r="F149" s="6"/>
      <c r="G149" s="6"/>
      <c r="H149" s="6"/>
      <c r="I149" s="6"/>
      <c r="J149" s="32"/>
      <c r="K149" s="6"/>
      <c r="L149" s="33"/>
      <c r="M149" s="33"/>
      <c r="N149" s="34"/>
      <c r="O149" s="8"/>
      <c r="P149" s="35"/>
      <c r="Q149" s="36"/>
      <c r="R149" s="37"/>
      <c r="S149" s="12"/>
      <c r="T149" s="13"/>
      <c r="U149" s="14"/>
      <c r="V149" s="12"/>
      <c r="W149" s="12"/>
    </row>
    <row r="150">
      <c r="A150" s="73"/>
      <c r="B150" s="30"/>
      <c r="C150" s="31"/>
      <c r="D150" s="4"/>
      <c r="E150" s="6"/>
      <c r="F150" s="6"/>
      <c r="G150" s="6"/>
      <c r="H150" s="6"/>
      <c r="I150" s="6"/>
      <c r="J150" s="32"/>
      <c r="K150" s="6"/>
      <c r="L150" s="33"/>
      <c r="M150" s="33"/>
      <c r="N150" s="34"/>
      <c r="O150" s="8"/>
      <c r="P150" s="35"/>
      <c r="Q150" s="36"/>
      <c r="R150" s="37"/>
      <c r="S150" s="12"/>
      <c r="T150" s="13"/>
      <c r="U150" s="14"/>
      <c r="V150" s="12"/>
      <c r="W150" s="12"/>
    </row>
    <row r="151">
      <c r="A151" s="73"/>
      <c r="B151" s="30"/>
      <c r="C151" s="31"/>
      <c r="D151" s="4"/>
      <c r="E151" s="6"/>
      <c r="F151" s="6"/>
      <c r="G151" s="6"/>
      <c r="H151" s="6"/>
      <c r="I151" s="6"/>
      <c r="J151" s="32"/>
      <c r="K151" s="6"/>
      <c r="L151" s="33"/>
      <c r="M151" s="33"/>
      <c r="N151" s="34"/>
      <c r="O151" s="8"/>
      <c r="P151" s="35"/>
      <c r="Q151" s="36"/>
      <c r="R151" s="37"/>
      <c r="S151" s="12"/>
      <c r="T151" s="13"/>
      <c r="U151" s="14"/>
      <c r="V151" s="12"/>
      <c r="W151" s="12"/>
    </row>
    <row r="152">
      <c r="A152" s="73"/>
      <c r="B152" s="30"/>
      <c r="C152" s="31"/>
      <c r="D152" s="4"/>
      <c r="E152" s="6"/>
      <c r="F152" s="6"/>
      <c r="G152" s="6"/>
      <c r="H152" s="6"/>
      <c r="I152" s="6"/>
      <c r="J152" s="32"/>
      <c r="K152" s="6"/>
      <c r="L152" s="33"/>
      <c r="M152" s="33"/>
      <c r="N152" s="34"/>
      <c r="O152" s="8"/>
      <c r="P152" s="35"/>
      <c r="Q152" s="36"/>
      <c r="R152" s="37"/>
      <c r="S152" s="12"/>
      <c r="T152" s="13"/>
      <c r="U152" s="14"/>
      <c r="V152" s="12"/>
      <c r="W152" s="12"/>
    </row>
    <row r="153">
      <c r="A153" s="73"/>
      <c r="B153" s="30"/>
      <c r="C153" s="31"/>
      <c r="D153" s="4"/>
      <c r="E153" s="6"/>
      <c r="F153" s="6"/>
      <c r="G153" s="6"/>
      <c r="H153" s="6"/>
      <c r="I153" s="6"/>
      <c r="J153" s="32"/>
      <c r="K153" s="6"/>
      <c r="L153" s="33"/>
      <c r="M153" s="33"/>
      <c r="N153" s="34"/>
      <c r="O153" s="8"/>
      <c r="P153" s="35"/>
      <c r="Q153" s="36"/>
      <c r="R153" s="37"/>
      <c r="S153" s="12"/>
      <c r="T153" s="13"/>
      <c r="U153" s="14"/>
      <c r="V153" s="12"/>
      <c r="W153" s="12"/>
    </row>
    <row r="154">
      <c r="A154" s="73"/>
      <c r="B154" s="30"/>
      <c r="C154" s="31"/>
      <c r="D154" s="4"/>
      <c r="E154" s="6"/>
      <c r="F154" s="6"/>
      <c r="G154" s="6"/>
      <c r="H154" s="6"/>
      <c r="I154" s="6"/>
      <c r="J154" s="32"/>
      <c r="K154" s="6"/>
      <c r="L154" s="33"/>
      <c r="M154" s="33"/>
      <c r="N154" s="34"/>
      <c r="O154" s="8"/>
      <c r="P154" s="35"/>
      <c r="Q154" s="36"/>
      <c r="R154" s="37"/>
      <c r="S154" s="12"/>
      <c r="T154" s="13"/>
      <c r="U154" s="14"/>
      <c r="V154" s="12"/>
      <c r="W154" s="12"/>
    </row>
    <row r="155">
      <c r="A155" s="73"/>
      <c r="B155" s="30"/>
      <c r="C155" s="31"/>
      <c r="D155" s="4"/>
      <c r="E155" s="6"/>
      <c r="F155" s="6"/>
      <c r="G155" s="6"/>
      <c r="H155" s="6"/>
      <c r="I155" s="6"/>
      <c r="J155" s="32"/>
      <c r="K155" s="6"/>
      <c r="L155" s="33"/>
      <c r="M155" s="33"/>
      <c r="N155" s="34"/>
      <c r="O155" s="8"/>
      <c r="P155" s="35"/>
      <c r="Q155" s="36"/>
      <c r="R155" s="37"/>
      <c r="S155" s="12"/>
      <c r="T155" s="13"/>
      <c r="U155" s="14"/>
      <c r="V155" s="12"/>
      <c r="W155" s="12"/>
    </row>
    <row r="156">
      <c r="A156" s="73"/>
      <c r="B156" s="30"/>
      <c r="C156" s="31"/>
      <c r="D156" s="4"/>
      <c r="E156" s="6"/>
      <c r="F156" s="6"/>
      <c r="G156" s="6"/>
      <c r="H156" s="6"/>
      <c r="I156" s="6"/>
      <c r="J156" s="32"/>
      <c r="K156" s="6"/>
      <c r="L156" s="33"/>
      <c r="M156" s="33"/>
      <c r="N156" s="34"/>
      <c r="O156" s="8"/>
      <c r="P156" s="35"/>
      <c r="Q156" s="36"/>
      <c r="R156" s="37"/>
      <c r="S156" s="12"/>
      <c r="T156" s="13"/>
      <c r="U156" s="14"/>
      <c r="V156" s="12"/>
      <c r="W156" s="12"/>
    </row>
    <row r="157">
      <c r="A157" s="73"/>
      <c r="B157" s="30"/>
      <c r="C157" s="31"/>
      <c r="D157" s="4"/>
      <c r="E157" s="6"/>
      <c r="F157" s="6"/>
      <c r="G157" s="6"/>
      <c r="H157" s="6"/>
      <c r="I157" s="6"/>
      <c r="J157" s="32"/>
      <c r="K157" s="6"/>
      <c r="L157" s="33"/>
      <c r="M157" s="33"/>
      <c r="N157" s="34"/>
      <c r="O157" s="8"/>
      <c r="P157" s="35"/>
      <c r="Q157" s="36"/>
      <c r="R157" s="37"/>
      <c r="S157" s="12"/>
      <c r="T157" s="13"/>
      <c r="U157" s="14"/>
      <c r="V157" s="12"/>
      <c r="W157" s="12"/>
    </row>
    <row r="158">
      <c r="A158" s="73"/>
      <c r="B158" s="30"/>
      <c r="C158" s="31"/>
      <c r="D158" s="4"/>
      <c r="E158" s="6"/>
      <c r="F158" s="6"/>
      <c r="G158" s="6"/>
      <c r="H158" s="6"/>
      <c r="I158" s="6"/>
      <c r="J158" s="32"/>
      <c r="K158" s="6"/>
      <c r="L158" s="33"/>
      <c r="M158" s="33"/>
      <c r="N158" s="34"/>
      <c r="O158" s="8"/>
      <c r="P158" s="35"/>
      <c r="Q158" s="36"/>
      <c r="R158" s="37"/>
      <c r="S158" s="12"/>
      <c r="T158" s="13"/>
      <c r="U158" s="14"/>
      <c r="V158" s="12"/>
      <c r="W158" s="12"/>
    </row>
    <row r="159">
      <c r="A159" s="73"/>
      <c r="B159" s="30"/>
      <c r="C159" s="31"/>
      <c r="D159" s="4"/>
      <c r="E159" s="6"/>
      <c r="F159" s="6"/>
      <c r="G159" s="6"/>
      <c r="H159" s="6"/>
      <c r="I159" s="6"/>
      <c r="J159" s="32"/>
      <c r="K159" s="6"/>
      <c r="L159" s="33"/>
      <c r="M159" s="33"/>
      <c r="N159" s="34"/>
      <c r="O159" s="8"/>
      <c r="P159" s="35"/>
      <c r="Q159" s="36"/>
      <c r="R159" s="37"/>
      <c r="S159" s="12"/>
      <c r="T159" s="13"/>
      <c r="U159" s="14"/>
      <c r="V159" s="12"/>
      <c r="W159" s="12"/>
    </row>
    <row r="160">
      <c r="A160" s="73"/>
      <c r="B160" s="30"/>
      <c r="C160" s="31"/>
      <c r="D160" s="4"/>
      <c r="E160" s="6"/>
      <c r="F160" s="6"/>
      <c r="G160" s="6"/>
      <c r="H160" s="6"/>
      <c r="I160" s="6"/>
      <c r="J160" s="32"/>
      <c r="K160" s="6"/>
      <c r="L160" s="33"/>
      <c r="M160" s="33"/>
      <c r="N160" s="34"/>
      <c r="O160" s="8"/>
      <c r="P160" s="35"/>
      <c r="Q160" s="36"/>
      <c r="R160" s="37"/>
      <c r="S160" s="12"/>
      <c r="T160" s="13"/>
      <c r="U160" s="14"/>
      <c r="V160" s="12"/>
      <c r="W160" s="12"/>
    </row>
    <row r="161">
      <c r="A161" s="73"/>
      <c r="B161" s="30"/>
      <c r="C161" s="31"/>
      <c r="D161" s="4"/>
      <c r="E161" s="6"/>
      <c r="F161" s="6"/>
      <c r="G161" s="6"/>
      <c r="H161" s="6"/>
      <c r="I161" s="6"/>
      <c r="J161" s="32"/>
      <c r="K161" s="6"/>
      <c r="L161" s="33"/>
      <c r="M161" s="33"/>
      <c r="N161" s="34"/>
      <c r="O161" s="8"/>
      <c r="P161" s="35"/>
      <c r="Q161" s="36"/>
      <c r="R161" s="37"/>
      <c r="S161" s="12"/>
      <c r="T161" s="13"/>
      <c r="U161" s="14"/>
      <c r="V161" s="12"/>
      <c r="W161" s="12"/>
    </row>
    <row r="162">
      <c r="A162" s="73"/>
      <c r="B162" s="30"/>
      <c r="C162" s="31"/>
      <c r="D162" s="4"/>
      <c r="E162" s="6"/>
      <c r="F162" s="6"/>
      <c r="G162" s="6"/>
      <c r="H162" s="6"/>
      <c r="I162" s="6"/>
      <c r="J162" s="32"/>
      <c r="K162" s="6"/>
      <c r="L162" s="33"/>
      <c r="M162" s="33"/>
      <c r="N162" s="34"/>
      <c r="O162" s="8"/>
      <c r="P162" s="35"/>
      <c r="Q162" s="36"/>
      <c r="R162" s="37"/>
      <c r="S162" s="12"/>
      <c r="T162" s="13"/>
      <c r="U162" s="14"/>
      <c r="V162" s="12"/>
      <c r="W162" s="12"/>
    </row>
    <row r="163">
      <c r="A163" s="73"/>
      <c r="B163" s="30"/>
      <c r="C163" s="31"/>
      <c r="D163" s="4"/>
      <c r="E163" s="6"/>
      <c r="F163" s="6"/>
      <c r="G163" s="6"/>
      <c r="H163" s="6"/>
      <c r="I163" s="6"/>
      <c r="J163" s="32"/>
      <c r="K163" s="6"/>
      <c r="L163" s="33"/>
      <c r="M163" s="33"/>
      <c r="N163" s="34"/>
      <c r="O163" s="8"/>
      <c r="P163" s="35"/>
      <c r="Q163" s="36"/>
      <c r="R163" s="37"/>
      <c r="S163" s="12"/>
      <c r="T163" s="13"/>
      <c r="U163" s="14"/>
      <c r="V163" s="12"/>
      <c r="W163" s="12"/>
    </row>
    <row r="164">
      <c r="A164" s="73"/>
      <c r="B164" s="30"/>
      <c r="C164" s="31"/>
      <c r="D164" s="4"/>
      <c r="E164" s="6"/>
      <c r="F164" s="6"/>
      <c r="G164" s="6"/>
      <c r="H164" s="6"/>
      <c r="I164" s="6"/>
      <c r="J164" s="32"/>
      <c r="K164" s="6"/>
      <c r="L164" s="33"/>
      <c r="M164" s="33"/>
      <c r="N164" s="34"/>
      <c r="O164" s="8"/>
      <c r="P164" s="35"/>
      <c r="Q164" s="36"/>
      <c r="R164" s="37"/>
      <c r="S164" s="12"/>
      <c r="T164" s="13"/>
      <c r="U164" s="14"/>
      <c r="V164" s="12"/>
      <c r="W164" s="12"/>
    </row>
    <row r="165">
      <c r="A165" s="73"/>
      <c r="B165" s="30"/>
      <c r="C165" s="31"/>
      <c r="D165" s="4"/>
      <c r="E165" s="6"/>
      <c r="F165" s="6"/>
      <c r="G165" s="6"/>
      <c r="H165" s="6"/>
      <c r="I165" s="6"/>
      <c r="J165" s="32"/>
      <c r="K165" s="6"/>
      <c r="L165" s="33"/>
      <c r="M165" s="33"/>
      <c r="N165" s="34"/>
      <c r="O165" s="8"/>
      <c r="P165" s="35"/>
      <c r="Q165" s="36"/>
      <c r="R165" s="37"/>
      <c r="S165" s="12"/>
      <c r="T165" s="13"/>
      <c r="U165" s="14"/>
      <c r="V165" s="12"/>
      <c r="W165" s="12"/>
    </row>
    <row r="166">
      <c r="A166" s="73"/>
      <c r="B166" s="30"/>
      <c r="C166" s="31"/>
      <c r="D166" s="4"/>
      <c r="E166" s="6"/>
      <c r="F166" s="6"/>
      <c r="G166" s="6"/>
      <c r="H166" s="6"/>
      <c r="I166" s="6"/>
      <c r="J166" s="32"/>
      <c r="K166" s="6"/>
      <c r="L166" s="33"/>
      <c r="M166" s="33"/>
      <c r="N166" s="34"/>
      <c r="O166" s="8"/>
      <c r="P166" s="35"/>
      <c r="Q166" s="36"/>
      <c r="R166" s="37"/>
      <c r="S166" s="12"/>
      <c r="T166" s="13"/>
      <c r="U166" s="14"/>
      <c r="V166" s="12"/>
      <c r="W166" s="12"/>
    </row>
    <row r="167">
      <c r="A167" s="73"/>
      <c r="B167" s="30"/>
      <c r="C167" s="31"/>
      <c r="D167" s="4"/>
      <c r="E167" s="6"/>
      <c r="F167" s="6"/>
      <c r="G167" s="6"/>
      <c r="H167" s="6"/>
      <c r="I167" s="6"/>
      <c r="J167" s="32"/>
      <c r="K167" s="6"/>
      <c r="L167" s="33"/>
      <c r="M167" s="33"/>
      <c r="N167" s="34"/>
      <c r="O167" s="8"/>
      <c r="P167" s="35"/>
      <c r="Q167" s="36"/>
      <c r="R167" s="37"/>
      <c r="S167" s="12"/>
      <c r="T167" s="13"/>
      <c r="U167" s="14"/>
      <c r="V167" s="12"/>
      <c r="W167" s="12"/>
    </row>
    <row r="168">
      <c r="A168" s="73"/>
      <c r="B168" s="30"/>
      <c r="C168" s="31"/>
      <c r="D168" s="4"/>
      <c r="E168" s="6"/>
      <c r="F168" s="6"/>
      <c r="G168" s="6"/>
      <c r="H168" s="6"/>
      <c r="I168" s="6"/>
      <c r="J168" s="32"/>
      <c r="K168" s="6"/>
      <c r="L168" s="33"/>
      <c r="M168" s="33"/>
      <c r="N168" s="34"/>
      <c r="O168" s="8"/>
      <c r="P168" s="35"/>
      <c r="Q168" s="36"/>
      <c r="R168" s="37"/>
      <c r="S168" s="12"/>
      <c r="T168" s="13"/>
      <c r="U168" s="14"/>
      <c r="V168" s="12"/>
      <c r="W168" s="12"/>
    </row>
    <row r="169">
      <c r="A169" s="73"/>
      <c r="B169" s="30"/>
      <c r="C169" s="31"/>
      <c r="D169" s="4"/>
      <c r="E169" s="6"/>
      <c r="F169" s="6"/>
      <c r="G169" s="6"/>
      <c r="H169" s="6"/>
      <c r="I169" s="6"/>
      <c r="J169" s="32"/>
      <c r="K169" s="6"/>
      <c r="L169" s="33"/>
      <c r="M169" s="33"/>
      <c r="N169" s="34"/>
      <c r="O169" s="8"/>
      <c r="P169" s="35"/>
      <c r="Q169" s="36"/>
      <c r="R169" s="37"/>
      <c r="S169" s="12"/>
      <c r="T169" s="13"/>
      <c r="U169" s="14"/>
      <c r="V169" s="12"/>
      <c r="W169" s="12"/>
    </row>
    <row r="170">
      <c r="A170" s="73"/>
      <c r="B170" s="30"/>
      <c r="C170" s="31"/>
      <c r="D170" s="4"/>
      <c r="E170" s="6"/>
      <c r="F170" s="6"/>
      <c r="G170" s="6"/>
      <c r="H170" s="6"/>
      <c r="I170" s="6"/>
      <c r="J170" s="32"/>
      <c r="K170" s="6"/>
      <c r="L170" s="33"/>
      <c r="M170" s="33"/>
      <c r="N170" s="34"/>
      <c r="O170" s="8"/>
      <c r="P170" s="35"/>
      <c r="Q170" s="36"/>
      <c r="R170" s="37"/>
      <c r="S170" s="12"/>
      <c r="T170" s="13"/>
      <c r="U170" s="14"/>
      <c r="V170" s="12"/>
      <c r="W170" s="12"/>
    </row>
    <row r="171">
      <c r="A171" s="73"/>
      <c r="B171" s="30"/>
      <c r="C171" s="31"/>
      <c r="D171" s="4"/>
      <c r="E171" s="6"/>
      <c r="F171" s="6"/>
      <c r="G171" s="6"/>
      <c r="H171" s="6"/>
      <c r="I171" s="6"/>
      <c r="J171" s="32"/>
      <c r="K171" s="6"/>
      <c r="L171" s="33"/>
      <c r="M171" s="33"/>
      <c r="N171" s="34"/>
      <c r="O171" s="8"/>
      <c r="P171" s="35"/>
      <c r="Q171" s="36"/>
      <c r="R171" s="37"/>
      <c r="S171" s="12"/>
      <c r="T171" s="13"/>
      <c r="U171" s="14"/>
      <c r="V171" s="12"/>
      <c r="W171" s="12"/>
    </row>
    <row r="172">
      <c r="A172" s="73"/>
      <c r="B172" s="30"/>
      <c r="C172" s="31"/>
      <c r="D172" s="4"/>
      <c r="E172" s="6"/>
      <c r="F172" s="6"/>
      <c r="G172" s="6"/>
      <c r="H172" s="6"/>
      <c r="I172" s="6"/>
      <c r="J172" s="32"/>
      <c r="K172" s="6"/>
      <c r="L172" s="33"/>
      <c r="M172" s="33"/>
      <c r="N172" s="34"/>
      <c r="O172" s="8"/>
      <c r="P172" s="35"/>
      <c r="Q172" s="36"/>
      <c r="R172" s="37"/>
      <c r="S172" s="12"/>
      <c r="T172" s="13"/>
      <c r="U172" s="14"/>
      <c r="V172" s="12"/>
      <c r="W172" s="12"/>
    </row>
    <row r="173">
      <c r="A173" s="73"/>
      <c r="B173" s="30"/>
      <c r="C173" s="31"/>
      <c r="D173" s="4"/>
      <c r="E173" s="6"/>
      <c r="F173" s="6"/>
      <c r="G173" s="6"/>
      <c r="H173" s="6"/>
      <c r="I173" s="6"/>
      <c r="J173" s="32"/>
      <c r="K173" s="6"/>
      <c r="L173" s="33"/>
      <c r="M173" s="33"/>
      <c r="N173" s="34"/>
      <c r="O173" s="8"/>
      <c r="P173" s="35"/>
      <c r="Q173" s="36"/>
      <c r="R173" s="37"/>
      <c r="S173" s="12"/>
      <c r="T173" s="13"/>
      <c r="U173" s="14"/>
      <c r="V173" s="12"/>
      <c r="W173" s="12"/>
    </row>
    <row r="174">
      <c r="A174" s="73"/>
      <c r="B174" s="30"/>
      <c r="C174" s="31"/>
      <c r="D174" s="4"/>
      <c r="E174" s="6"/>
      <c r="F174" s="6"/>
      <c r="G174" s="6"/>
      <c r="H174" s="6"/>
      <c r="I174" s="6"/>
      <c r="J174" s="32"/>
      <c r="K174" s="6"/>
      <c r="L174" s="33"/>
      <c r="M174" s="33"/>
      <c r="N174" s="34"/>
      <c r="O174" s="8"/>
      <c r="P174" s="35"/>
      <c r="Q174" s="36"/>
      <c r="R174" s="37"/>
      <c r="S174" s="12"/>
      <c r="T174" s="13"/>
      <c r="U174" s="14"/>
      <c r="V174" s="12"/>
      <c r="W174" s="12"/>
    </row>
    <row r="175">
      <c r="A175" s="73"/>
      <c r="B175" s="30"/>
      <c r="C175" s="31"/>
      <c r="D175" s="4"/>
      <c r="E175" s="6"/>
      <c r="F175" s="6"/>
      <c r="G175" s="6"/>
      <c r="H175" s="6"/>
      <c r="I175" s="6"/>
      <c r="J175" s="32"/>
      <c r="K175" s="6"/>
      <c r="L175" s="33"/>
      <c r="M175" s="33"/>
      <c r="N175" s="34"/>
      <c r="O175" s="8"/>
      <c r="P175" s="35"/>
      <c r="Q175" s="36"/>
      <c r="R175" s="37"/>
      <c r="S175" s="12"/>
      <c r="T175" s="13"/>
      <c r="U175" s="14"/>
      <c r="V175" s="12"/>
      <c r="W175" s="12"/>
    </row>
    <row r="176">
      <c r="A176" s="73"/>
      <c r="B176" s="30"/>
      <c r="C176" s="31"/>
      <c r="D176" s="4"/>
      <c r="E176" s="6"/>
      <c r="F176" s="6"/>
      <c r="G176" s="6"/>
      <c r="H176" s="6"/>
      <c r="I176" s="6"/>
      <c r="J176" s="32"/>
      <c r="K176" s="6"/>
      <c r="L176" s="33"/>
      <c r="M176" s="33"/>
      <c r="N176" s="34"/>
      <c r="O176" s="8"/>
      <c r="P176" s="35"/>
      <c r="Q176" s="36"/>
      <c r="R176" s="37"/>
      <c r="S176" s="12"/>
      <c r="T176" s="13"/>
      <c r="U176" s="14"/>
      <c r="V176" s="12"/>
      <c r="W176" s="12"/>
    </row>
    <row r="177">
      <c r="A177" s="73"/>
      <c r="B177" s="30"/>
      <c r="C177" s="31"/>
      <c r="D177" s="4"/>
      <c r="E177" s="6"/>
      <c r="F177" s="6"/>
      <c r="G177" s="6"/>
      <c r="H177" s="6"/>
      <c r="I177" s="6"/>
      <c r="J177" s="32"/>
      <c r="K177" s="6"/>
      <c r="L177" s="33"/>
      <c r="M177" s="33"/>
      <c r="N177" s="34"/>
      <c r="O177" s="8"/>
      <c r="P177" s="35"/>
      <c r="Q177" s="36"/>
      <c r="R177" s="37"/>
      <c r="S177" s="12"/>
      <c r="T177" s="13"/>
      <c r="U177" s="14"/>
      <c r="V177" s="12"/>
      <c r="W177" s="12"/>
    </row>
    <row r="178">
      <c r="A178" s="73"/>
      <c r="B178" s="30"/>
      <c r="C178" s="31"/>
      <c r="D178" s="4"/>
      <c r="E178" s="6"/>
      <c r="F178" s="6"/>
      <c r="G178" s="6"/>
      <c r="H178" s="6"/>
      <c r="I178" s="6"/>
      <c r="J178" s="32"/>
      <c r="K178" s="6"/>
      <c r="L178" s="33"/>
      <c r="M178" s="33"/>
      <c r="N178" s="34"/>
      <c r="O178" s="8"/>
      <c r="P178" s="35"/>
      <c r="Q178" s="36"/>
      <c r="R178" s="37"/>
      <c r="S178" s="12"/>
      <c r="T178" s="13"/>
      <c r="U178" s="14"/>
      <c r="V178" s="12"/>
      <c r="W178" s="12"/>
    </row>
    <row r="179">
      <c r="A179" s="73"/>
      <c r="B179" s="30"/>
      <c r="C179" s="31"/>
      <c r="D179" s="4"/>
      <c r="E179" s="6"/>
      <c r="F179" s="6"/>
      <c r="G179" s="6"/>
      <c r="H179" s="6"/>
      <c r="I179" s="6"/>
      <c r="J179" s="32"/>
      <c r="K179" s="6"/>
      <c r="L179" s="33"/>
      <c r="M179" s="33"/>
      <c r="N179" s="34"/>
      <c r="O179" s="8"/>
      <c r="P179" s="35"/>
      <c r="Q179" s="36"/>
      <c r="R179" s="37"/>
      <c r="S179" s="12"/>
      <c r="T179" s="13"/>
      <c r="U179" s="14"/>
      <c r="V179" s="12"/>
      <c r="W179" s="12"/>
    </row>
    <row r="180">
      <c r="A180" s="73"/>
      <c r="B180" s="30"/>
      <c r="C180" s="31"/>
      <c r="D180" s="4"/>
      <c r="E180" s="6"/>
      <c r="F180" s="6"/>
      <c r="G180" s="6"/>
      <c r="H180" s="6"/>
      <c r="I180" s="6"/>
      <c r="J180" s="32"/>
      <c r="K180" s="6"/>
      <c r="L180" s="33"/>
      <c r="M180" s="33"/>
      <c r="N180" s="34"/>
      <c r="O180" s="8"/>
      <c r="P180" s="35"/>
      <c r="Q180" s="36"/>
      <c r="R180" s="37"/>
      <c r="S180" s="12"/>
      <c r="T180" s="13"/>
      <c r="U180" s="14"/>
      <c r="V180" s="12"/>
      <c r="W180" s="12"/>
    </row>
    <row r="181">
      <c r="A181" s="73"/>
      <c r="B181" s="30"/>
      <c r="C181" s="31"/>
      <c r="D181" s="4"/>
      <c r="E181" s="6"/>
      <c r="F181" s="6"/>
      <c r="G181" s="6"/>
      <c r="H181" s="6"/>
      <c r="I181" s="6"/>
      <c r="J181" s="32"/>
      <c r="K181" s="6"/>
      <c r="L181" s="33"/>
      <c r="M181" s="33"/>
      <c r="N181" s="34"/>
      <c r="O181" s="8"/>
      <c r="P181" s="35"/>
      <c r="Q181" s="36"/>
      <c r="R181" s="37"/>
      <c r="S181" s="12"/>
      <c r="T181" s="13"/>
      <c r="U181" s="14"/>
      <c r="V181" s="12"/>
      <c r="W181" s="12"/>
    </row>
    <row r="182">
      <c r="A182" s="73"/>
      <c r="B182" s="30"/>
      <c r="C182" s="31"/>
      <c r="D182" s="4"/>
      <c r="E182" s="6"/>
      <c r="F182" s="6"/>
      <c r="G182" s="6"/>
      <c r="H182" s="6"/>
      <c r="I182" s="6"/>
      <c r="J182" s="32"/>
      <c r="K182" s="6"/>
      <c r="L182" s="33"/>
      <c r="M182" s="33"/>
      <c r="N182" s="34"/>
      <c r="O182" s="8"/>
      <c r="P182" s="35"/>
      <c r="Q182" s="36"/>
      <c r="R182" s="37"/>
      <c r="S182" s="12"/>
      <c r="T182" s="13"/>
      <c r="U182" s="14"/>
      <c r="V182" s="12"/>
      <c r="W182" s="12"/>
    </row>
    <row r="183">
      <c r="A183" s="73"/>
      <c r="B183" s="30"/>
      <c r="C183" s="31"/>
      <c r="D183" s="4"/>
      <c r="E183" s="6"/>
      <c r="F183" s="6"/>
      <c r="G183" s="6"/>
      <c r="H183" s="6"/>
      <c r="I183" s="6"/>
      <c r="J183" s="32"/>
      <c r="K183" s="6"/>
      <c r="L183" s="33"/>
      <c r="M183" s="33"/>
      <c r="N183" s="34"/>
      <c r="O183" s="8"/>
      <c r="P183" s="35"/>
      <c r="Q183" s="36"/>
      <c r="R183" s="37"/>
      <c r="S183" s="12"/>
      <c r="T183" s="13"/>
      <c r="U183" s="14"/>
      <c r="V183" s="12"/>
      <c r="W183" s="12"/>
    </row>
    <row r="184">
      <c r="A184" s="73"/>
      <c r="B184" s="30"/>
      <c r="C184" s="31"/>
      <c r="D184" s="4"/>
      <c r="E184" s="6"/>
      <c r="F184" s="6"/>
      <c r="G184" s="6"/>
      <c r="H184" s="6"/>
      <c r="I184" s="6"/>
      <c r="J184" s="32"/>
      <c r="K184" s="6"/>
      <c r="L184" s="33"/>
      <c r="M184" s="33"/>
      <c r="N184" s="34"/>
      <c r="O184" s="8"/>
      <c r="P184" s="35"/>
      <c r="Q184" s="36"/>
      <c r="R184" s="37"/>
      <c r="S184" s="12"/>
      <c r="T184" s="13"/>
      <c r="U184" s="14"/>
      <c r="V184" s="12"/>
      <c r="W184" s="12"/>
    </row>
    <row r="185">
      <c r="A185" s="73"/>
      <c r="B185" s="30"/>
      <c r="C185" s="31"/>
      <c r="D185" s="4"/>
      <c r="E185" s="6"/>
      <c r="F185" s="6"/>
      <c r="G185" s="6"/>
      <c r="H185" s="6"/>
      <c r="I185" s="6"/>
      <c r="J185" s="32"/>
      <c r="K185" s="6"/>
      <c r="L185" s="33"/>
      <c r="M185" s="33"/>
      <c r="N185" s="34"/>
      <c r="O185" s="8"/>
      <c r="P185" s="35"/>
      <c r="Q185" s="36"/>
      <c r="R185" s="37"/>
      <c r="S185" s="12"/>
      <c r="T185" s="13"/>
      <c r="U185" s="14"/>
      <c r="V185" s="12"/>
      <c r="W185" s="12"/>
    </row>
    <row r="186">
      <c r="A186" s="73"/>
      <c r="B186" s="30"/>
      <c r="C186" s="31"/>
      <c r="D186" s="4"/>
      <c r="E186" s="6"/>
      <c r="F186" s="6"/>
      <c r="G186" s="6"/>
      <c r="H186" s="6"/>
      <c r="I186" s="6"/>
      <c r="J186" s="32"/>
      <c r="K186" s="6"/>
      <c r="L186" s="33"/>
      <c r="M186" s="33"/>
      <c r="N186" s="34"/>
      <c r="O186" s="8"/>
      <c r="P186" s="35"/>
      <c r="Q186" s="36"/>
      <c r="R186" s="37"/>
      <c r="S186" s="12"/>
      <c r="T186" s="13"/>
      <c r="U186" s="14"/>
      <c r="V186" s="12"/>
      <c r="W186" s="12"/>
    </row>
    <row r="187">
      <c r="A187" s="73"/>
      <c r="B187" s="30"/>
      <c r="C187" s="31"/>
      <c r="D187" s="4"/>
      <c r="E187" s="6"/>
      <c r="F187" s="6"/>
      <c r="G187" s="6"/>
      <c r="H187" s="6"/>
      <c r="I187" s="6"/>
      <c r="J187" s="32"/>
      <c r="K187" s="6"/>
      <c r="L187" s="33"/>
      <c r="M187" s="33"/>
      <c r="N187" s="34"/>
      <c r="O187" s="8"/>
      <c r="P187" s="35"/>
      <c r="Q187" s="36"/>
      <c r="R187" s="37"/>
      <c r="S187" s="12"/>
      <c r="T187" s="13"/>
      <c r="U187" s="14"/>
      <c r="V187" s="12"/>
      <c r="W187" s="12"/>
    </row>
    <row r="188">
      <c r="A188" s="73"/>
      <c r="B188" s="30"/>
      <c r="C188" s="31"/>
      <c r="D188" s="4"/>
      <c r="E188" s="6"/>
      <c r="F188" s="6"/>
      <c r="G188" s="6"/>
      <c r="H188" s="6"/>
      <c r="I188" s="6"/>
      <c r="J188" s="32"/>
      <c r="K188" s="6"/>
      <c r="L188" s="33"/>
      <c r="M188" s="33"/>
      <c r="N188" s="34"/>
      <c r="O188" s="8"/>
      <c r="P188" s="35"/>
      <c r="Q188" s="36"/>
      <c r="R188" s="37"/>
      <c r="S188" s="12"/>
      <c r="T188" s="13"/>
      <c r="U188" s="14"/>
      <c r="V188" s="12"/>
      <c r="W188" s="12"/>
    </row>
    <row r="189">
      <c r="A189" s="73"/>
      <c r="B189" s="30"/>
      <c r="C189" s="31"/>
      <c r="D189" s="4"/>
      <c r="E189" s="6"/>
      <c r="F189" s="6"/>
      <c r="G189" s="6"/>
      <c r="H189" s="6"/>
      <c r="I189" s="6"/>
      <c r="J189" s="32"/>
      <c r="K189" s="6"/>
      <c r="L189" s="33"/>
      <c r="M189" s="33"/>
      <c r="N189" s="34"/>
      <c r="O189" s="8"/>
      <c r="P189" s="35"/>
      <c r="Q189" s="36"/>
      <c r="R189" s="37"/>
      <c r="S189" s="12"/>
      <c r="T189" s="13"/>
      <c r="U189" s="14"/>
      <c r="V189" s="12"/>
      <c r="W189" s="12"/>
    </row>
    <row r="190">
      <c r="A190" s="73"/>
      <c r="B190" s="30"/>
      <c r="C190" s="31"/>
      <c r="D190" s="4"/>
      <c r="E190" s="6"/>
      <c r="F190" s="6"/>
      <c r="G190" s="6"/>
      <c r="H190" s="6"/>
      <c r="I190" s="6"/>
      <c r="J190" s="32"/>
      <c r="K190" s="6"/>
      <c r="L190" s="33"/>
      <c r="M190" s="33"/>
      <c r="N190" s="34"/>
      <c r="O190" s="8"/>
      <c r="P190" s="35"/>
      <c r="Q190" s="36"/>
      <c r="R190" s="37"/>
      <c r="S190" s="12"/>
      <c r="T190" s="13"/>
      <c r="U190" s="14"/>
      <c r="V190" s="12"/>
      <c r="W190" s="12"/>
    </row>
    <row r="191">
      <c r="A191" s="73"/>
      <c r="B191" s="30"/>
      <c r="C191" s="31"/>
      <c r="D191" s="4"/>
      <c r="E191" s="6"/>
      <c r="F191" s="6"/>
      <c r="G191" s="6"/>
      <c r="H191" s="6"/>
      <c r="I191" s="6"/>
      <c r="J191" s="32"/>
      <c r="K191" s="6"/>
      <c r="L191" s="33"/>
      <c r="M191" s="33"/>
      <c r="N191" s="34"/>
      <c r="O191" s="8"/>
      <c r="P191" s="35"/>
      <c r="Q191" s="36"/>
      <c r="R191" s="37"/>
      <c r="S191" s="12"/>
      <c r="T191" s="13"/>
      <c r="U191" s="14"/>
      <c r="V191" s="12"/>
      <c r="W191" s="12"/>
    </row>
    <row r="192">
      <c r="A192" s="73"/>
      <c r="B192" s="30"/>
      <c r="C192" s="31"/>
      <c r="D192" s="4"/>
      <c r="E192" s="6"/>
      <c r="F192" s="6"/>
      <c r="G192" s="6"/>
      <c r="H192" s="6"/>
      <c r="I192" s="6"/>
      <c r="J192" s="32"/>
      <c r="K192" s="6"/>
      <c r="L192" s="33"/>
      <c r="M192" s="33"/>
      <c r="N192" s="34"/>
      <c r="O192" s="8"/>
      <c r="P192" s="35"/>
      <c r="Q192" s="36"/>
      <c r="R192" s="37"/>
      <c r="S192" s="12"/>
      <c r="T192" s="13"/>
      <c r="U192" s="14"/>
      <c r="V192" s="12"/>
      <c r="W192" s="12"/>
    </row>
    <row r="193">
      <c r="A193" s="73"/>
      <c r="B193" s="30"/>
      <c r="C193" s="31"/>
      <c r="D193" s="4"/>
      <c r="E193" s="6"/>
      <c r="F193" s="6"/>
      <c r="G193" s="6"/>
      <c r="H193" s="6"/>
      <c r="I193" s="6"/>
      <c r="J193" s="32"/>
      <c r="K193" s="6"/>
      <c r="L193" s="33"/>
      <c r="M193" s="33"/>
      <c r="N193" s="34"/>
      <c r="O193" s="8"/>
      <c r="P193" s="35"/>
      <c r="Q193" s="36"/>
      <c r="R193" s="37"/>
      <c r="S193" s="12"/>
      <c r="T193" s="13"/>
      <c r="U193" s="14"/>
      <c r="V193" s="12"/>
      <c r="W193" s="12"/>
    </row>
    <row r="194">
      <c r="A194" s="73"/>
      <c r="B194" s="30"/>
      <c r="C194" s="31"/>
      <c r="D194" s="4"/>
      <c r="E194" s="6"/>
      <c r="F194" s="6"/>
      <c r="G194" s="6"/>
      <c r="H194" s="6"/>
      <c r="I194" s="6"/>
      <c r="J194" s="32"/>
      <c r="K194" s="6"/>
      <c r="L194" s="33"/>
      <c r="M194" s="33"/>
      <c r="N194" s="34"/>
      <c r="O194" s="8"/>
      <c r="P194" s="35"/>
      <c r="Q194" s="36"/>
      <c r="R194" s="37"/>
      <c r="S194" s="12"/>
      <c r="T194" s="13"/>
      <c r="U194" s="14"/>
      <c r="V194" s="12"/>
      <c r="W194" s="12"/>
    </row>
    <row r="195">
      <c r="A195" s="73"/>
      <c r="B195" s="30"/>
      <c r="C195" s="31"/>
      <c r="D195" s="4"/>
      <c r="E195" s="6"/>
      <c r="F195" s="6"/>
      <c r="G195" s="6"/>
      <c r="H195" s="6"/>
      <c r="I195" s="6"/>
      <c r="J195" s="32"/>
      <c r="K195" s="6"/>
      <c r="L195" s="33"/>
      <c r="M195" s="33"/>
      <c r="N195" s="34"/>
      <c r="O195" s="8"/>
      <c r="P195" s="35"/>
      <c r="Q195" s="36"/>
      <c r="R195" s="37"/>
      <c r="S195" s="12"/>
      <c r="T195" s="13"/>
      <c r="U195" s="14"/>
      <c r="V195" s="12"/>
      <c r="W195" s="12"/>
    </row>
    <row r="196">
      <c r="A196" s="73"/>
      <c r="B196" s="30"/>
      <c r="C196" s="31"/>
      <c r="D196" s="4"/>
      <c r="E196" s="6"/>
      <c r="F196" s="6"/>
      <c r="G196" s="6"/>
      <c r="H196" s="6"/>
      <c r="I196" s="6"/>
      <c r="J196" s="32"/>
      <c r="K196" s="6"/>
      <c r="L196" s="33"/>
      <c r="M196" s="33"/>
      <c r="N196" s="34"/>
      <c r="O196" s="8"/>
      <c r="P196" s="35"/>
      <c r="Q196" s="36"/>
      <c r="R196" s="37"/>
      <c r="S196" s="12"/>
      <c r="T196" s="13"/>
      <c r="U196" s="14"/>
      <c r="V196" s="12"/>
      <c r="W196" s="12"/>
    </row>
    <row r="197">
      <c r="A197" s="73"/>
      <c r="B197" s="30"/>
      <c r="C197" s="31"/>
      <c r="D197" s="4"/>
      <c r="E197" s="6"/>
      <c r="F197" s="6"/>
      <c r="G197" s="6"/>
      <c r="H197" s="6"/>
      <c r="I197" s="6"/>
      <c r="J197" s="32"/>
      <c r="K197" s="6"/>
      <c r="L197" s="33"/>
      <c r="M197" s="33"/>
      <c r="N197" s="34"/>
      <c r="O197" s="8"/>
      <c r="P197" s="35"/>
      <c r="Q197" s="36"/>
      <c r="R197" s="37"/>
      <c r="S197" s="12"/>
      <c r="T197" s="13"/>
      <c r="U197" s="14"/>
      <c r="V197" s="12"/>
      <c r="W197" s="12"/>
    </row>
    <row r="198">
      <c r="A198" s="73"/>
      <c r="B198" s="30"/>
      <c r="C198" s="31"/>
      <c r="D198" s="4"/>
      <c r="E198" s="6"/>
      <c r="F198" s="6"/>
      <c r="G198" s="6"/>
      <c r="H198" s="6"/>
      <c r="I198" s="6"/>
      <c r="J198" s="32"/>
      <c r="K198" s="6"/>
      <c r="L198" s="33"/>
      <c r="M198" s="33"/>
      <c r="N198" s="34"/>
      <c r="O198" s="8"/>
      <c r="P198" s="35"/>
      <c r="Q198" s="36"/>
      <c r="R198" s="37"/>
      <c r="S198" s="12"/>
      <c r="T198" s="13"/>
      <c r="U198" s="14"/>
      <c r="V198" s="12"/>
      <c r="W198" s="12"/>
    </row>
    <row r="199">
      <c r="A199" s="73"/>
      <c r="B199" s="30"/>
      <c r="C199" s="31"/>
      <c r="D199" s="4"/>
      <c r="E199" s="6"/>
      <c r="F199" s="6"/>
      <c r="G199" s="6"/>
      <c r="H199" s="6"/>
      <c r="I199" s="6"/>
      <c r="J199" s="32"/>
      <c r="K199" s="6"/>
      <c r="L199" s="33"/>
      <c r="M199" s="33"/>
      <c r="N199" s="34"/>
      <c r="O199" s="8"/>
      <c r="P199" s="35"/>
      <c r="Q199" s="36"/>
      <c r="R199" s="37"/>
      <c r="S199" s="12"/>
      <c r="T199" s="13"/>
      <c r="U199" s="14"/>
      <c r="V199" s="12"/>
      <c r="W199" s="12"/>
    </row>
    <row r="200">
      <c r="A200" s="73"/>
      <c r="B200" s="30"/>
      <c r="C200" s="31"/>
      <c r="D200" s="4"/>
      <c r="E200" s="6"/>
      <c r="F200" s="6"/>
      <c r="G200" s="6"/>
      <c r="H200" s="6"/>
      <c r="I200" s="6"/>
      <c r="J200" s="32"/>
      <c r="K200" s="6"/>
      <c r="L200" s="33"/>
      <c r="M200" s="33"/>
      <c r="N200" s="34"/>
      <c r="O200" s="8"/>
      <c r="P200" s="35"/>
      <c r="Q200" s="36"/>
      <c r="R200" s="37"/>
      <c r="S200" s="12"/>
      <c r="T200" s="13"/>
      <c r="U200" s="14"/>
      <c r="V200" s="12"/>
      <c r="W200" s="12"/>
    </row>
    <row r="201">
      <c r="A201" s="73"/>
      <c r="B201" s="30"/>
      <c r="C201" s="31"/>
      <c r="D201" s="4"/>
      <c r="E201" s="6"/>
      <c r="F201" s="6"/>
      <c r="G201" s="6"/>
      <c r="H201" s="6"/>
      <c r="I201" s="6"/>
      <c r="J201" s="32"/>
      <c r="K201" s="6"/>
      <c r="L201" s="33"/>
      <c r="M201" s="33"/>
      <c r="N201" s="34"/>
      <c r="O201" s="8"/>
      <c r="P201" s="35"/>
      <c r="Q201" s="36"/>
      <c r="R201" s="37"/>
      <c r="S201" s="12"/>
      <c r="T201" s="13"/>
      <c r="U201" s="14"/>
      <c r="V201" s="12"/>
      <c r="W201" s="12"/>
    </row>
    <row r="202">
      <c r="A202" s="73"/>
      <c r="B202" s="30"/>
      <c r="C202" s="31"/>
      <c r="D202" s="4"/>
      <c r="E202" s="6"/>
      <c r="F202" s="6"/>
      <c r="G202" s="6"/>
      <c r="H202" s="6"/>
      <c r="I202" s="6"/>
      <c r="J202" s="32"/>
      <c r="K202" s="6"/>
      <c r="L202" s="33"/>
      <c r="M202" s="33"/>
      <c r="N202" s="34"/>
      <c r="O202" s="8"/>
      <c r="P202" s="35"/>
      <c r="Q202" s="36"/>
      <c r="R202" s="37"/>
      <c r="S202" s="12"/>
      <c r="T202" s="13"/>
      <c r="U202" s="14"/>
      <c r="V202" s="12"/>
      <c r="W202" s="12"/>
    </row>
    <row r="203">
      <c r="A203" s="73"/>
      <c r="B203" s="30"/>
      <c r="C203" s="31"/>
      <c r="D203" s="4"/>
      <c r="E203" s="6"/>
      <c r="F203" s="6"/>
      <c r="G203" s="6"/>
      <c r="H203" s="6"/>
      <c r="I203" s="6"/>
      <c r="J203" s="32"/>
      <c r="K203" s="6"/>
      <c r="L203" s="33"/>
      <c r="M203" s="33"/>
      <c r="N203" s="34"/>
      <c r="O203" s="8"/>
      <c r="P203" s="35"/>
      <c r="Q203" s="36"/>
      <c r="R203" s="37"/>
      <c r="S203" s="12"/>
      <c r="T203" s="13"/>
      <c r="U203" s="14"/>
      <c r="V203" s="12"/>
      <c r="W203" s="12"/>
    </row>
    <row r="204">
      <c r="A204" s="73"/>
      <c r="B204" s="30"/>
      <c r="C204" s="31"/>
      <c r="D204" s="4"/>
      <c r="E204" s="6"/>
      <c r="F204" s="6"/>
      <c r="G204" s="6"/>
      <c r="H204" s="6"/>
      <c r="I204" s="6"/>
      <c r="J204" s="32"/>
      <c r="K204" s="6"/>
      <c r="L204" s="33"/>
      <c r="M204" s="33"/>
      <c r="N204" s="34"/>
      <c r="O204" s="8"/>
      <c r="P204" s="35"/>
      <c r="Q204" s="36"/>
      <c r="R204" s="37"/>
      <c r="S204" s="12"/>
      <c r="T204" s="13"/>
      <c r="U204" s="14"/>
      <c r="V204" s="12"/>
      <c r="W204" s="12"/>
    </row>
    <row r="205">
      <c r="A205" s="73"/>
      <c r="B205" s="30"/>
      <c r="C205" s="31"/>
      <c r="D205" s="4"/>
      <c r="E205" s="6"/>
      <c r="F205" s="6"/>
      <c r="G205" s="6"/>
      <c r="H205" s="6"/>
      <c r="I205" s="6"/>
      <c r="J205" s="32"/>
      <c r="K205" s="6"/>
      <c r="L205" s="33"/>
      <c r="M205" s="33"/>
      <c r="N205" s="34"/>
      <c r="O205" s="8"/>
      <c r="P205" s="35"/>
      <c r="Q205" s="36"/>
      <c r="R205" s="37"/>
      <c r="S205" s="12"/>
      <c r="T205" s="13"/>
      <c r="U205" s="14"/>
      <c r="V205" s="12"/>
      <c r="W205" s="12"/>
    </row>
    <row r="206">
      <c r="A206" s="73"/>
      <c r="B206" s="30"/>
      <c r="C206" s="31"/>
      <c r="D206" s="4"/>
      <c r="E206" s="6"/>
      <c r="F206" s="6"/>
      <c r="G206" s="6"/>
      <c r="H206" s="6"/>
      <c r="I206" s="6"/>
      <c r="J206" s="32"/>
      <c r="K206" s="6"/>
      <c r="L206" s="33"/>
      <c r="M206" s="33"/>
      <c r="N206" s="34"/>
      <c r="O206" s="8"/>
      <c r="P206" s="35"/>
      <c r="Q206" s="36"/>
      <c r="R206" s="37"/>
      <c r="S206" s="12"/>
      <c r="T206" s="13"/>
      <c r="U206" s="14"/>
      <c r="V206" s="12"/>
      <c r="W206" s="12"/>
    </row>
    <row r="207">
      <c r="A207" s="73"/>
      <c r="B207" s="30"/>
      <c r="C207" s="31"/>
      <c r="D207" s="4"/>
      <c r="E207" s="6"/>
      <c r="F207" s="6"/>
      <c r="G207" s="6"/>
      <c r="H207" s="6"/>
      <c r="I207" s="6"/>
      <c r="J207" s="32"/>
      <c r="K207" s="6"/>
      <c r="L207" s="33"/>
      <c r="M207" s="33"/>
      <c r="N207" s="34"/>
      <c r="O207" s="8"/>
      <c r="P207" s="35"/>
      <c r="Q207" s="36"/>
      <c r="R207" s="37"/>
      <c r="S207" s="12"/>
      <c r="T207" s="13"/>
      <c r="U207" s="14"/>
      <c r="V207" s="12"/>
      <c r="W207" s="12"/>
    </row>
    <row r="208">
      <c r="A208" s="73"/>
      <c r="B208" s="30"/>
      <c r="C208" s="31"/>
      <c r="D208" s="4"/>
      <c r="E208" s="6"/>
      <c r="F208" s="6"/>
      <c r="G208" s="6"/>
      <c r="H208" s="6"/>
      <c r="I208" s="6"/>
      <c r="J208" s="32"/>
      <c r="K208" s="6"/>
      <c r="L208" s="33"/>
      <c r="M208" s="33"/>
      <c r="N208" s="34"/>
      <c r="O208" s="8"/>
      <c r="P208" s="35"/>
      <c r="Q208" s="36"/>
      <c r="R208" s="37"/>
      <c r="S208" s="12"/>
      <c r="T208" s="13"/>
      <c r="U208" s="14"/>
      <c r="V208" s="12"/>
      <c r="W208" s="12"/>
    </row>
    <row r="209">
      <c r="A209" s="73"/>
      <c r="B209" s="30"/>
      <c r="C209" s="31"/>
      <c r="D209" s="4"/>
      <c r="E209" s="6"/>
      <c r="F209" s="6"/>
      <c r="G209" s="6"/>
      <c r="H209" s="6"/>
      <c r="I209" s="6"/>
      <c r="J209" s="32"/>
      <c r="K209" s="6"/>
      <c r="L209" s="33"/>
      <c r="M209" s="33"/>
      <c r="N209" s="34"/>
      <c r="O209" s="8"/>
      <c r="P209" s="35"/>
      <c r="Q209" s="36"/>
      <c r="R209" s="37"/>
      <c r="S209" s="12"/>
      <c r="T209" s="13"/>
      <c r="U209" s="14"/>
      <c r="V209" s="12"/>
      <c r="W209" s="12"/>
    </row>
    <row r="210">
      <c r="A210" s="73"/>
      <c r="B210" s="30"/>
      <c r="C210" s="31"/>
      <c r="D210" s="4"/>
      <c r="E210" s="6"/>
      <c r="F210" s="6"/>
      <c r="G210" s="6"/>
      <c r="H210" s="6"/>
      <c r="I210" s="6"/>
      <c r="J210" s="32"/>
      <c r="K210" s="6"/>
      <c r="L210" s="33"/>
      <c r="M210" s="33"/>
      <c r="N210" s="34"/>
      <c r="O210" s="8"/>
      <c r="P210" s="35"/>
      <c r="Q210" s="36"/>
      <c r="R210" s="37"/>
      <c r="S210" s="12"/>
      <c r="T210" s="13"/>
      <c r="U210" s="14"/>
      <c r="V210" s="12"/>
      <c r="W210" s="12"/>
    </row>
    <row r="211">
      <c r="A211" s="73"/>
      <c r="B211" s="30"/>
      <c r="C211" s="31"/>
      <c r="D211" s="4"/>
      <c r="E211" s="6"/>
      <c r="F211" s="6"/>
      <c r="G211" s="6"/>
      <c r="H211" s="6"/>
      <c r="I211" s="6"/>
      <c r="J211" s="32"/>
      <c r="K211" s="6"/>
      <c r="L211" s="33"/>
      <c r="M211" s="33"/>
      <c r="N211" s="34"/>
      <c r="O211" s="8"/>
      <c r="P211" s="35"/>
      <c r="Q211" s="36"/>
      <c r="R211" s="37"/>
      <c r="S211" s="12"/>
      <c r="T211" s="13"/>
      <c r="U211" s="14"/>
      <c r="V211" s="12"/>
      <c r="W211" s="12"/>
    </row>
    <row r="212">
      <c r="A212" s="73"/>
      <c r="B212" s="30"/>
      <c r="C212" s="31"/>
      <c r="D212" s="4"/>
      <c r="E212" s="6"/>
      <c r="F212" s="6"/>
      <c r="G212" s="6"/>
      <c r="H212" s="6"/>
      <c r="I212" s="6"/>
      <c r="J212" s="32"/>
      <c r="K212" s="6"/>
      <c r="L212" s="33"/>
      <c r="M212" s="33"/>
      <c r="N212" s="34"/>
      <c r="O212" s="8"/>
      <c r="P212" s="35"/>
      <c r="Q212" s="36"/>
      <c r="R212" s="37"/>
      <c r="S212" s="12"/>
      <c r="T212" s="13"/>
      <c r="U212" s="14"/>
      <c r="V212" s="12"/>
      <c r="W212" s="12"/>
    </row>
    <row r="213">
      <c r="A213" s="73"/>
      <c r="B213" s="30"/>
      <c r="C213" s="31"/>
      <c r="D213" s="4"/>
      <c r="E213" s="6"/>
      <c r="F213" s="6"/>
      <c r="G213" s="6"/>
      <c r="H213" s="6"/>
      <c r="I213" s="6"/>
      <c r="J213" s="32"/>
      <c r="K213" s="6"/>
      <c r="L213" s="33"/>
      <c r="M213" s="33"/>
      <c r="N213" s="34"/>
      <c r="O213" s="8"/>
      <c r="P213" s="35"/>
      <c r="Q213" s="36"/>
      <c r="R213" s="37"/>
      <c r="S213" s="12"/>
      <c r="T213" s="13"/>
      <c r="U213" s="14"/>
      <c r="V213" s="12"/>
      <c r="W213" s="12"/>
    </row>
    <row r="214">
      <c r="A214" s="73"/>
      <c r="B214" s="30"/>
      <c r="C214" s="31"/>
      <c r="D214" s="4"/>
      <c r="E214" s="6"/>
      <c r="F214" s="6"/>
      <c r="G214" s="6"/>
      <c r="H214" s="6"/>
      <c r="I214" s="6"/>
      <c r="J214" s="32"/>
      <c r="K214" s="6"/>
      <c r="L214" s="33"/>
      <c r="M214" s="33"/>
      <c r="N214" s="34"/>
      <c r="O214" s="8"/>
      <c r="P214" s="35"/>
      <c r="Q214" s="36"/>
      <c r="R214" s="37"/>
      <c r="S214" s="12"/>
      <c r="T214" s="13"/>
      <c r="U214" s="14"/>
      <c r="V214" s="12"/>
      <c r="W214" s="12"/>
    </row>
    <row r="215">
      <c r="A215" s="73"/>
      <c r="B215" s="30"/>
      <c r="C215" s="31"/>
      <c r="D215" s="4"/>
      <c r="E215" s="6"/>
      <c r="F215" s="6"/>
      <c r="G215" s="6"/>
      <c r="H215" s="6"/>
      <c r="I215" s="6"/>
      <c r="J215" s="32"/>
      <c r="K215" s="6"/>
      <c r="L215" s="33"/>
      <c r="M215" s="33"/>
      <c r="N215" s="34"/>
      <c r="O215" s="8"/>
      <c r="P215" s="35"/>
      <c r="Q215" s="36"/>
      <c r="R215" s="37"/>
      <c r="S215" s="12"/>
      <c r="T215" s="13"/>
      <c r="U215" s="14"/>
      <c r="V215" s="12"/>
      <c r="W215" s="12"/>
    </row>
    <row r="216">
      <c r="A216" s="73"/>
      <c r="B216" s="30"/>
      <c r="C216" s="31"/>
      <c r="D216" s="4"/>
      <c r="E216" s="6"/>
      <c r="F216" s="6"/>
      <c r="G216" s="6"/>
      <c r="H216" s="6"/>
      <c r="I216" s="6"/>
      <c r="J216" s="32"/>
      <c r="K216" s="6"/>
      <c r="L216" s="33"/>
      <c r="M216" s="33"/>
      <c r="N216" s="34"/>
      <c r="O216" s="8"/>
      <c r="P216" s="35"/>
      <c r="Q216" s="36"/>
      <c r="R216" s="37"/>
      <c r="S216" s="12"/>
      <c r="T216" s="13"/>
      <c r="U216" s="14"/>
      <c r="V216" s="12"/>
      <c r="W216" s="12"/>
    </row>
    <row r="217">
      <c r="A217" s="73"/>
      <c r="B217" s="30"/>
      <c r="C217" s="31"/>
      <c r="D217" s="4"/>
      <c r="E217" s="6"/>
      <c r="F217" s="6"/>
      <c r="G217" s="6"/>
      <c r="H217" s="6"/>
      <c r="I217" s="6"/>
      <c r="J217" s="32"/>
      <c r="K217" s="6"/>
      <c r="L217" s="33"/>
      <c r="M217" s="33"/>
      <c r="N217" s="34"/>
      <c r="O217" s="8"/>
      <c r="P217" s="35"/>
      <c r="Q217" s="36"/>
      <c r="R217" s="37"/>
      <c r="S217" s="12"/>
      <c r="T217" s="13"/>
      <c r="U217" s="14"/>
      <c r="V217" s="12"/>
      <c r="W217" s="12"/>
    </row>
    <row r="218">
      <c r="A218" s="73"/>
      <c r="B218" s="30"/>
      <c r="C218" s="31"/>
      <c r="D218" s="4"/>
      <c r="E218" s="6"/>
      <c r="F218" s="6"/>
      <c r="G218" s="6"/>
      <c r="H218" s="6"/>
      <c r="I218" s="6"/>
      <c r="J218" s="32"/>
      <c r="K218" s="6"/>
      <c r="L218" s="33"/>
      <c r="M218" s="33"/>
      <c r="N218" s="34"/>
      <c r="O218" s="8"/>
      <c r="P218" s="35"/>
      <c r="Q218" s="36"/>
      <c r="R218" s="37"/>
      <c r="S218" s="12"/>
      <c r="T218" s="13"/>
      <c r="U218" s="14"/>
      <c r="V218" s="12"/>
      <c r="W218" s="12"/>
    </row>
    <row r="219">
      <c r="A219" s="73"/>
      <c r="B219" s="30"/>
      <c r="C219" s="31"/>
      <c r="D219" s="4"/>
      <c r="E219" s="6"/>
      <c r="F219" s="6"/>
      <c r="G219" s="6"/>
      <c r="H219" s="6"/>
      <c r="I219" s="6"/>
      <c r="J219" s="32"/>
      <c r="K219" s="6"/>
      <c r="L219" s="33"/>
      <c r="M219" s="33"/>
      <c r="N219" s="34"/>
      <c r="O219" s="8"/>
      <c r="P219" s="35"/>
      <c r="Q219" s="36"/>
      <c r="R219" s="37"/>
      <c r="S219" s="12"/>
      <c r="T219" s="13"/>
      <c r="U219" s="14"/>
      <c r="V219" s="12"/>
      <c r="W219" s="12"/>
    </row>
    <row r="220">
      <c r="A220" s="73"/>
      <c r="B220" s="30"/>
      <c r="C220" s="31"/>
      <c r="D220" s="4"/>
      <c r="E220" s="6"/>
      <c r="F220" s="6"/>
      <c r="G220" s="6"/>
      <c r="H220" s="6"/>
      <c r="I220" s="6"/>
      <c r="J220" s="32"/>
      <c r="K220" s="6"/>
      <c r="L220" s="33"/>
      <c r="M220" s="33"/>
      <c r="N220" s="34"/>
      <c r="O220" s="8"/>
      <c r="P220" s="35"/>
      <c r="Q220" s="36"/>
      <c r="R220" s="37"/>
      <c r="S220" s="12"/>
      <c r="T220" s="13"/>
      <c r="U220" s="14"/>
      <c r="V220" s="12"/>
      <c r="W220" s="12"/>
    </row>
    <row r="221">
      <c r="A221" s="73"/>
      <c r="B221" s="30"/>
      <c r="C221" s="31"/>
      <c r="D221" s="4"/>
      <c r="E221" s="6"/>
      <c r="F221" s="6"/>
      <c r="G221" s="6"/>
      <c r="H221" s="6"/>
      <c r="I221" s="6"/>
      <c r="J221" s="32"/>
      <c r="K221" s="6"/>
      <c r="L221" s="33"/>
      <c r="M221" s="33"/>
      <c r="N221" s="34"/>
      <c r="O221" s="8"/>
      <c r="P221" s="35"/>
      <c r="Q221" s="36"/>
      <c r="R221" s="37"/>
      <c r="S221" s="12"/>
      <c r="T221" s="13"/>
      <c r="U221" s="14"/>
      <c r="V221" s="12"/>
      <c r="W221" s="12"/>
    </row>
    <row r="222">
      <c r="A222" s="73"/>
      <c r="B222" s="30"/>
      <c r="C222" s="31"/>
      <c r="D222" s="4"/>
      <c r="E222" s="6"/>
      <c r="F222" s="6"/>
      <c r="G222" s="6"/>
      <c r="H222" s="6"/>
      <c r="I222" s="6"/>
      <c r="J222" s="32"/>
      <c r="K222" s="6"/>
      <c r="L222" s="33"/>
      <c r="M222" s="33"/>
      <c r="N222" s="34"/>
      <c r="O222" s="8"/>
      <c r="P222" s="35"/>
      <c r="Q222" s="36"/>
      <c r="R222" s="37"/>
      <c r="S222" s="12"/>
      <c r="T222" s="13"/>
      <c r="U222" s="14"/>
      <c r="V222" s="12"/>
      <c r="W222" s="12"/>
    </row>
    <row r="223">
      <c r="A223" s="73"/>
      <c r="B223" s="30"/>
      <c r="C223" s="31"/>
      <c r="D223" s="4"/>
      <c r="E223" s="6"/>
      <c r="F223" s="6"/>
      <c r="G223" s="6"/>
      <c r="H223" s="6"/>
      <c r="I223" s="6"/>
      <c r="J223" s="32"/>
      <c r="K223" s="6"/>
      <c r="L223" s="33"/>
      <c r="M223" s="33"/>
      <c r="N223" s="34"/>
      <c r="O223" s="8"/>
      <c r="P223" s="35"/>
      <c r="Q223" s="36"/>
      <c r="R223" s="37"/>
      <c r="S223" s="12"/>
      <c r="T223" s="13"/>
      <c r="U223" s="14"/>
      <c r="V223" s="12"/>
      <c r="W223" s="12"/>
    </row>
    <row r="224">
      <c r="A224" s="73"/>
      <c r="B224" s="30"/>
      <c r="C224" s="31"/>
      <c r="D224" s="4"/>
      <c r="E224" s="6"/>
      <c r="F224" s="6"/>
      <c r="G224" s="6"/>
      <c r="H224" s="6"/>
      <c r="I224" s="6"/>
      <c r="J224" s="32"/>
      <c r="K224" s="6"/>
      <c r="L224" s="33"/>
      <c r="M224" s="33"/>
      <c r="N224" s="34"/>
      <c r="O224" s="8"/>
      <c r="P224" s="35"/>
      <c r="Q224" s="36"/>
      <c r="R224" s="37"/>
      <c r="S224" s="12"/>
      <c r="T224" s="13"/>
      <c r="U224" s="14"/>
      <c r="V224" s="12"/>
      <c r="W224" s="12"/>
    </row>
    <row r="225">
      <c r="A225" s="73"/>
      <c r="B225" s="30"/>
      <c r="C225" s="31"/>
      <c r="D225" s="4"/>
      <c r="E225" s="6"/>
      <c r="F225" s="6"/>
      <c r="G225" s="6"/>
      <c r="H225" s="6"/>
      <c r="I225" s="6"/>
      <c r="J225" s="32"/>
      <c r="K225" s="6"/>
      <c r="L225" s="33"/>
      <c r="M225" s="33"/>
      <c r="N225" s="34"/>
      <c r="O225" s="8"/>
      <c r="P225" s="35"/>
      <c r="Q225" s="36"/>
      <c r="R225" s="37"/>
      <c r="S225" s="12"/>
      <c r="T225" s="13"/>
      <c r="U225" s="14"/>
      <c r="V225" s="12"/>
      <c r="W225" s="12"/>
    </row>
    <row r="226">
      <c r="A226" s="73"/>
      <c r="B226" s="30"/>
      <c r="C226" s="31"/>
      <c r="D226" s="4"/>
      <c r="E226" s="6"/>
      <c r="F226" s="6"/>
      <c r="G226" s="6"/>
      <c r="H226" s="6"/>
      <c r="I226" s="6"/>
      <c r="J226" s="32"/>
      <c r="K226" s="6"/>
      <c r="L226" s="33"/>
      <c r="M226" s="33"/>
      <c r="N226" s="34"/>
      <c r="O226" s="8"/>
      <c r="P226" s="35"/>
      <c r="Q226" s="36"/>
      <c r="R226" s="37"/>
      <c r="S226" s="12"/>
      <c r="T226" s="13"/>
      <c r="U226" s="14"/>
      <c r="V226" s="12"/>
      <c r="W226" s="12"/>
    </row>
    <row r="227">
      <c r="A227" s="73"/>
      <c r="B227" s="30"/>
      <c r="C227" s="31"/>
      <c r="D227" s="4"/>
      <c r="E227" s="6"/>
      <c r="F227" s="6"/>
      <c r="G227" s="6"/>
      <c r="H227" s="6"/>
      <c r="I227" s="6"/>
      <c r="J227" s="32"/>
      <c r="K227" s="6"/>
      <c r="L227" s="33"/>
      <c r="M227" s="33"/>
      <c r="N227" s="34"/>
      <c r="O227" s="8"/>
      <c r="P227" s="35"/>
      <c r="Q227" s="36"/>
      <c r="R227" s="37"/>
      <c r="S227" s="12"/>
      <c r="T227" s="13"/>
      <c r="U227" s="14"/>
      <c r="V227" s="12"/>
      <c r="W227" s="12"/>
    </row>
    <row r="228">
      <c r="A228" s="73"/>
      <c r="B228" s="30"/>
      <c r="C228" s="31"/>
      <c r="D228" s="4"/>
      <c r="E228" s="6"/>
      <c r="F228" s="6"/>
      <c r="G228" s="6"/>
      <c r="H228" s="6"/>
      <c r="I228" s="6"/>
      <c r="J228" s="32"/>
      <c r="K228" s="6"/>
      <c r="L228" s="33"/>
      <c r="M228" s="33"/>
      <c r="N228" s="34"/>
      <c r="O228" s="8"/>
      <c r="P228" s="35"/>
      <c r="Q228" s="36"/>
      <c r="R228" s="37"/>
      <c r="S228" s="12"/>
      <c r="T228" s="13"/>
      <c r="U228" s="14"/>
      <c r="V228" s="12"/>
      <c r="W228" s="12"/>
    </row>
    <row r="229">
      <c r="A229" s="73"/>
      <c r="B229" s="30"/>
      <c r="C229" s="31"/>
      <c r="D229" s="4"/>
      <c r="E229" s="6"/>
      <c r="F229" s="6"/>
      <c r="G229" s="6"/>
      <c r="H229" s="6"/>
      <c r="I229" s="6"/>
      <c r="J229" s="32"/>
      <c r="K229" s="6"/>
      <c r="L229" s="33"/>
      <c r="M229" s="33"/>
      <c r="N229" s="34"/>
      <c r="O229" s="8"/>
      <c r="P229" s="35"/>
      <c r="Q229" s="36"/>
      <c r="R229" s="37"/>
      <c r="S229" s="12"/>
      <c r="T229" s="13"/>
      <c r="U229" s="14"/>
      <c r="V229" s="12"/>
      <c r="W229" s="12"/>
    </row>
    <row r="230">
      <c r="A230" s="73"/>
      <c r="B230" s="30"/>
      <c r="C230" s="31"/>
      <c r="D230" s="4"/>
      <c r="E230" s="6"/>
      <c r="F230" s="6"/>
      <c r="G230" s="6"/>
      <c r="H230" s="6"/>
      <c r="I230" s="6"/>
      <c r="J230" s="32"/>
      <c r="K230" s="6"/>
      <c r="L230" s="33"/>
      <c r="M230" s="33"/>
      <c r="N230" s="34"/>
      <c r="O230" s="8"/>
      <c r="P230" s="35"/>
      <c r="Q230" s="36"/>
      <c r="R230" s="37"/>
      <c r="S230" s="12"/>
      <c r="T230" s="13"/>
      <c r="U230" s="14"/>
      <c r="V230" s="12"/>
      <c r="W230" s="12"/>
    </row>
    <row r="231">
      <c r="A231" s="73"/>
      <c r="B231" s="30"/>
      <c r="C231" s="31"/>
      <c r="D231" s="4"/>
      <c r="E231" s="6"/>
      <c r="F231" s="6"/>
      <c r="G231" s="6"/>
      <c r="H231" s="6"/>
      <c r="I231" s="6"/>
      <c r="J231" s="32"/>
      <c r="K231" s="6"/>
      <c r="L231" s="33"/>
      <c r="M231" s="33"/>
      <c r="N231" s="34"/>
      <c r="O231" s="8"/>
      <c r="P231" s="35"/>
      <c r="Q231" s="36"/>
      <c r="R231" s="37"/>
      <c r="S231" s="12"/>
      <c r="T231" s="13"/>
      <c r="U231" s="14"/>
      <c r="V231" s="12"/>
      <c r="W231" s="12"/>
    </row>
    <row r="232">
      <c r="A232" s="73"/>
      <c r="B232" s="30"/>
      <c r="C232" s="31"/>
      <c r="D232" s="4"/>
      <c r="E232" s="6"/>
      <c r="F232" s="6"/>
      <c r="G232" s="6"/>
      <c r="H232" s="6"/>
      <c r="I232" s="6"/>
      <c r="J232" s="32"/>
      <c r="K232" s="6"/>
      <c r="L232" s="33"/>
      <c r="M232" s="33"/>
      <c r="N232" s="34"/>
      <c r="O232" s="8"/>
      <c r="P232" s="35"/>
      <c r="Q232" s="36"/>
      <c r="R232" s="37"/>
      <c r="S232" s="12"/>
      <c r="T232" s="13"/>
      <c r="U232" s="14"/>
      <c r="V232" s="12"/>
      <c r="W232" s="12"/>
    </row>
    <row r="233">
      <c r="A233" s="73"/>
      <c r="B233" s="30"/>
      <c r="C233" s="31"/>
      <c r="D233" s="4"/>
      <c r="E233" s="6"/>
      <c r="F233" s="6"/>
      <c r="G233" s="6"/>
      <c r="H233" s="6"/>
      <c r="I233" s="6"/>
      <c r="J233" s="32"/>
      <c r="K233" s="6"/>
      <c r="L233" s="33"/>
      <c r="M233" s="33"/>
      <c r="N233" s="34"/>
      <c r="O233" s="8"/>
      <c r="P233" s="35"/>
      <c r="Q233" s="36"/>
      <c r="R233" s="37"/>
      <c r="S233" s="12"/>
      <c r="T233" s="13"/>
      <c r="U233" s="14"/>
      <c r="V233" s="12"/>
      <c r="W233" s="12"/>
    </row>
    <row r="234">
      <c r="A234" s="73"/>
      <c r="B234" s="30"/>
      <c r="C234" s="31"/>
      <c r="D234" s="4"/>
      <c r="E234" s="6"/>
      <c r="F234" s="6"/>
      <c r="G234" s="6"/>
      <c r="H234" s="6"/>
      <c r="I234" s="6"/>
      <c r="J234" s="32"/>
      <c r="K234" s="6"/>
      <c r="L234" s="33"/>
      <c r="M234" s="33"/>
      <c r="N234" s="34"/>
      <c r="O234" s="8"/>
      <c r="P234" s="35"/>
      <c r="Q234" s="36"/>
      <c r="R234" s="37"/>
      <c r="S234" s="12"/>
      <c r="T234" s="13"/>
      <c r="U234" s="14"/>
      <c r="V234" s="12"/>
      <c r="W234" s="12"/>
    </row>
    <row r="235">
      <c r="A235" s="73"/>
      <c r="B235" s="30"/>
      <c r="C235" s="31"/>
      <c r="D235" s="4"/>
      <c r="E235" s="6"/>
      <c r="F235" s="6"/>
      <c r="G235" s="6"/>
      <c r="H235" s="6"/>
      <c r="I235" s="6"/>
      <c r="J235" s="32"/>
      <c r="K235" s="6"/>
      <c r="L235" s="33"/>
      <c r="M235" s="33"/>
      <c r="N235" s="34"/>
      <c r="O235" s="8"/>
      <c r="P235" s="35"/>
      <c r="Q235" s="36"/>
      <c r="R235" s="37"/>
      <c r="S235" s="12"/>
      <c r="T235" s="13"/>
      <c r="U235" s="14"/>
      <c r="V235" s="12"/>
      <c r="W235" s="12"/>
    </row>
    <row r="236">
      <c r="A236" s="73"/>
      <c r="B236" s="30"/>
      <c r="C236" s="31"/>
      <c r="D236" s="4"/>
      <c r="E236" s="6"/>
      <c r="F236" s="6"/>
      <c r="G236" s="6"/>
      <c r="H236" s="6"/>
      <c r="I236" s="6"/>
      <c r="J236" s="32"/>
      <c r="K236" s="6"/>
      <c r="L236" s="33"/>
      <c r="M236" s="33"/>
      <c r="N236" s="34"/>
      <c r="O236" s="8"/>
      <c r="P236" s="35"/>
      <c r="Q236" s="36"/>
      <c r="R236" s="37"/>
      <c r="S236" s="12"/>
      <c r="T236" s="13"/>
      <c r="U236" s="14"/>
      <c r="V236" s="12"/>
      <c r="W236" s="12"/>
    </row>
    <row r="237">
      <c r="A237" s="73"/>
      <c r="B237" s="30"/>
      <c r="C237" s="31"/>
      <c r="D237" s="4"/>
      <c r="E237" s="6"/>
      <c r="F237" s="6"/>
      <c r="G237" s="6"/>
      <c r="H237" s="6"/>
      <c r="I237" s="6"/>
      <c r="J237" s="32"/>
      <c r="K237" s="6"/>
      <c r="L237" s="33"/>
      <c r="M237" s="33"/>
      <c r="N237" s="34"/>
      <c r="O237" s="8"/>
      <c r="P237" s="35"/>
      <c r="Q237" s="36"/>
      <c r="R237" s="37"/>
      <c r="S237" s="12"/>
      <c r="T237" s="13"/>
      <c r="U237" s="14"/>
      <c r="V237" s="12"/>
      <c r="W237" s="12"/>
    </row>
    <row r="238">
      <c r="A238" s="73"/>
      <c r="B238" s="30"/>
      <c r="C238" s="31"/>
      <c r="D238" s="4"/>
      <c r="E238" s="6"/>
      <c r="F238" s="6"/>
      <c r="G238" s="6"/>
      <c r="H238" s="6"/>
      <c r="I238" s="6"/>
      <c r="J238" s="32"/>
      <c r="K238" s="6"/>
      <c r="L238" s="33"/>
      <c r="M238" s="33"/>
      <c r="N238" s="34"/>
      <c r="O238" s="8"/>
      <c r="P238" s="35"/>
      <c r="Q238" s="36"/>
      <c r="R238" s="37"/>
      <c r="S238" s="12"/>
      <c r="T238" s="13"/>
      <c r="U238" s="14"/>
      <c r="V238" s="12"/>
      <c r="W238" s="12"/>
    </row>
    <row r="239">
      <c r="A239" s="73"/>
      <c r="B239" s="30"/>
      <c r="C239" s="31"/>
      <c r="D239" s="4"/>
      <c r="E239" s="6"/>
      <c r="F239" s="6"/>
      <c r="G239" s="6"/>
      <c r="H239" s="6"/>
      <c r="I239" s="6"/>
      <c r="J239" s="32"/>
      <c r="K239" s="6"/>
      <c r="L239" s="33"/>
      <c r="M239" s="33"/>
      <c r="N239" s="34"/>
      <c r="O239" s="8"/>
      <c r="P239" s="35"/>
      <c r="Q239" s="36"/>
      <c r="R239" s="37"/>
      <c r="S239" s="12"/>
      <c r="T239" s="13"/>
      <c r="U239" s="14"/>
      <c r="V239" s="12"/>
      <c r="W239" s="12"/>
    </row>
    <row r="240">
      <c r="A240" s="73"/>
      <c r="B240" s="30"/>
      <c r="C240" s="31"/>
      <c r="D240" s="4"/>
      <c r="E240" s="6"/>
      <c r="F240" s="6"/>
      <c r="G240" s="6"/>
      <c r="H240" s="6"/>
      <c r="I240" s="6"/>
      <c r="J240" s="32"/>
      <c r="K240" s="6"/>
      <c r="L240" s="33"/>
      <c r="M240" s="33"/>
      <c r="N240" s="34"/>
      <c r="O240" s="8"/>
      <c r="P240" s="35"/>
      <c r="Q240" s="36"/>
      <c r="R240" s="37"/>
      <c r="S240" s="12"/>
      <c r="T240" s="13"/>
      <c r="U240" s="14"/>
      <c r="V240" s="12"/>
      <c r="W240" s="12"/>
    </row>
    <row r="241">
      <c r="A241" s="73"/>
      <c r="B241" s="30"/>
      <c r="C241" s="31"/>
      <c r="D241" s="4"/>
      <c r="E241" s="6"/>
      <c r="F241" s="6"/>
      <c r="G241" s="6"/>
      <c r="H241" s="6"/>
      <c r="I241" s="6"/>
      <c r="J241" s="32"/>
      <c r="K241" s="6"/>
      <c r="L241" s="33"/>
      <c r="M241" s="33"/>
      <c r="N241" s="34"/>
      <c r="O241" s="8"/>
      <c r="P241" s="35"/>
      <c r="Q241" s="36"/>
      <c r="R241" s="37"/>
      <c r="S241" s="12"/>
      <c r="T241" s="13"/>
      <c r="U241" s="14"/>
      <c r="V241" s="12"/>
      <c r="W241" s="12"/>
    </row>
    <row r="242">
      <c r="A242" s="73"/>
      <c r="B242" s="30"/>
      <c r="C242" s="31"/>
      <c r="D242" s="4"/>
      <c r="E242" s="6"/>
      <c r="F242" s="6"/>
      <c r="G242" s="6"/>
      <c r="H242" s="6"/>
      <c r="I242" s="6"/>
      <c r="J242" s="32"/>
      <c r="K242" s="6"/>
      <c r="L242" s="33"/>
      <c r="M242" s="33"/>
      <c r="N242" s="34"/>
      <c r="O242" s="8"/>
      <c r="P242" s="35"/>
      <c r="Q242" s="36"/>
      <c r="R242" s="37"/>
      <c r="S242" s="12"/>
      <c r="T242" s="13"/>
      <c r="U242" s="14"/>
      <c r="V242" s="12"/>
      <c r="W242" s="12"/>
    </row>
    <row r="243">
      <c r="A243" s="73"/>
      <c r="B243" s="30"/>
      <c r="C243" s="31"/>
      <c r="D243" s="4"/>
      <c r="E243" s="6"/>
      <c r="F243" s="6"/>
      <c r="G243" s="6"/>
      <c r="H243" s="6"/>
      <c r="I243" s="6"/>
      <c r="J243" s="32"/>
      <c r="K243" s="6"/>
      <c r="L243" s="33"/>
      <c r="M243" s="33"/>
      <c r="N243" s="34"/>
      <c r="O243" s="8"/>
      <c r="P243" s="35"/>
      <c r="Q243" s="36"/>
      <c r="R243" s="37"/>
      <c r="S243" s="12"/>
      <c r="T243" s="13"/>
      <c r="U243" s="14"/>
      <c r="V243" s="12"/>
      <c r="W243" s="12"/>
    </row>
    <row r="244">
      <c r="A244" s="73"/>
      <c r="B244" s="30"/>
      <c r="C244" s="31"/>
      <c r="D244" s="4"/>
      <c r="E244" s="6"/>
      <c r="F244" s="6"/>
      <c r="G244" s="6"/>
      <c r="H244" s="6"/>
      <c r="I244" s="6"/>
      <c r="J244" s="32"/>
      <c r="K244" s="6"/>
      <c r="L244" s="33"/>
      <c r="M244" s="33"/>
      <c r="N244" s="34"/>
      <c r="O244" s="8"/>
      <c r="P244" s="35"/>
      <c r="Q244" s="36"/>
      <c r="R244" s="37"/>
      <c r="S244" s="12"/>
      <c r="T244" s="13"/>
      <c r="U244" s="14"/>
      <c r="V244" s="12"/>
      <c r="W244" s="12"/>
    </row>
    <row r="245">
      <c r="A245" s="73"/>
      <c r="B245" s="30"/>
      <c r="C245" s="31"/>
      <c r="D245" s="4"/>
      <c r="E245" s="6"/>
      <c r="F245" s="6"/>
      <c r="G245" s="6"/>
      <c r="H245" s="6"/>
      <c r="I245" s="6"/>
      <c r="J245" s="32"/>
      <c r="K245" s="6"/>
      <c r="L245" s="33"/>
      <c r="M245" s="33"/>
      <c r="N245" s="34"/>
      <c r="O245" s="8"/>
      <c r="P245" s="35"/>
      <c r="Q245" s="36"/>
      <c r="R245" s="37"/>
      <c r="S245" s="12"/>
      <c r="T245" s="13"/>
      <c r="U245" s="14"/>
      <c r="V245" s="12"/>
      <c r="W245" s="12"/>
    </row>
    <row r="246">
      <c r="A246" s="73"/>
      <c r="B246" s="30"/>
      <c r="C246" s="31"/>
      <c r="D246" s="4"/>
      <c r="E246" s="6"/>
      <c r="F246" s="6"/>
      <c r="G246" s="6"/>
      <c r="H246" s="6"/>
      <c r="I246" s="6"/>
      <c r="J246" s="32"/>
      <c r="K246" s="6"/>
      <c r="L246" s="33"/>
      <c r="M246" s="33"/>
      <c r="N246" s="34"/>
      <c r="O246" s="8"/>
      <c r="P246" s="35"/>
      <c r="Q246" s="36"/>
      <c r="R246" s="37"/>
      <c r="S246" s="12"/>
      <c r="T246" s="13"/>
      <c r="U246" s="14"/>
      <c r="V246" s="12"/>
      <c r="W246" s="12"/>
    </row>
    <row r="247">
      <c r="A247" s="73"/>
      <c r="B247" s="30"/>
      <c r="C247" s="31"/>
      <c r="D247" s="4"/>
      <c r="E247" s="6"/>
      <c r="F247" s="6"/>
      <c r="G247" s="6"/>
      <c r="H247" s="6"/>
      <c r="I247" s="6"/>
      <c r="J247" s="32"/>
      <c r="K247" s="6"/>
      <c r="L247" s="33"/>
      <c r="M247" s="33"/>
      <c r="N247" s="34"/>
      <c r="O247" s="8"/>
      <c r="P247" s="35"/>
      <c r="Q247" s="36"/>
      <c r="R247" s="37"/>
      <c r="S247" s="12"/>
      <c r="T247" s="13"/>
      <c r="U247" s="14"/>
      <c r="V247" s="12"/>
      <c r="W247" s="12"/>
    </row>
    <row r="248">
      <c r="A248" s="73"/>
      <c r="B248" s="30"/>
      <c r="C248" s="31"/>
      <c r="D248" s="4"/>
      <c r="E248" s="6"/>
      <c r="F248" s="6"/>
      <c r="G248" s="6"/>
      <c r="H248" s="6"/>
      <c r="I248" s="6"/>
      <c r="J248" s="32"/>
      <c r="K248" s="6"/>
      <c r="L248" s="33"/>
      <c r="M248" s="33"/>
      <c r="N248" s="34"/>
      <c r="O248" s="8"/>
      <c r="P248" s="35"/>
      <c r="Q248" s="36"/>
      <c r="R248" s="37"/>
      <c r="S248" s="12"/>
      <c r="T248" s="13"/>
      <c r="U248" s="14"/>
      <c r="V248" s="12"/>
      <c r="W248" s="12"/>
    </row>
    <row r="249">
      <c r="A249" s="73"/>
      <c r="B249" s="30"/>
      <c r="C249" s="31"/>
      <c r="D249" s="4"/>
      <c r="E249" s="6"/>
      <c r="F249" s="6"/>
      <c r="G249" s="6"/>
      <c r="H249" s="6"/>
      <c r="I249" s="6"/>
      <c r="J249" s="32"/>
      <c r="K249" s="6"/>
      <c r="L249" s="33"/>
      <c r="M249" s="33"/>
      <c r="N249" s="34"/>
      <c r="O249" s="8"/>
      <c r="P249" s="35"/>
      <c r="Q249" s="36"/>
      <c r="R249" s="37"/>
      <c r="S249" s="12"/>
      <c r="T249" s="13"/>
      <c r="U249" s="14"/>
      <c r="V249" s="12"/>
      <c r="W249" s="12"/>
    </row>
    <row r="250">
      <c r="A250" s="73"/>
      <c r="B250" s="30"/>
      <c r="C250" s="31"/>
      <c r="D250" s="4"/>
      <c r="E250" s="6"/>
      <c r="F250" s="6"/>
      <c r="G250" s="6"/>
      <c r="H250" s="6"/>
      <c r="I250" s="6"/>
      <c r="J250" s="32"/>
      <c r="K250" s="6"/>
      <c r="L250" s="33"/>
      <c r="M250" s="33"/>
      <c r="N250" s="34"/>
      <c r="O250" s="8"/>
      <c r="P250" s="35"/>
      <c r="Q250" s="36"/>
      <c r="R250" s="37"/>
      <c r="S250" s="12"/>
      <c r="T250" s="13"/>
      <c r="U250" s="14"/>
      <c r="V250" s="12"/>
      <c r="W250" s="12"/>
    </row>
    <row r="251">
      <c r="A251" s="73"/>
      <c r="B251" s="30"/>
      <c r="C251" s="31"/>
      <c r="D251" s="4"/>
      <c r="E251" s="6"/>
      <c r="F251" s="6"/>
      <c r="G251" s="6"/>
      <c r="H251" s="6"/>
      <c r="I251" s="6"/>
      <c r="J251" s="32"/>
      <c r="K251" s="6"/>
      <c r="L251" s="33"/>
      <c r="M251" s="33"/>
      <c r="N251" s="34"/>
      <c r="O251" s="8"/>
      <c r="P251" s="35"/>
      <c r="Q251" s="36"/>
      <c r="R251" s="37"/>
      <c r="S251" s="12"/>
      <c r="T251" s="13"/>
      <c r="U251" s="14"/>
      <c r="V251" s="12"/>
      <c r="W251" s="12"/>
    </row>
    <row r="252">
      <c r="A252" s="73"/>
      <c r="B252" s="30"/>
      <c r="C252" s="31"/>
      <c r="D252" s="4"/>
      <c r="E252" s="6"/>
      <c r="F252" s="6"/>
      <c r="G252" s="6"/>
      <c r="H252" s="6"/>
      <c r="I252" s="6"/>
      <c r="J252" s="32"/>
      <c r="K252" s="6"/>
      <c r="L252" s="33"/>
      <c r="M252" s="33"/>
      <c r="N252" s="34"/>
      <c r="O252" s="8"/>
      <c r="P252" s="35"/>
      <c r="Q252" s="36"/>
      <c r="R252" s="37"/>
      <c r="S252" s="12"/>
      <c r="T252" s="13"/>
      <c r="U252" s="14"/>
      <c r="V252" s="12"/>
      <c r="W252" s="12"/>
    </row>
    <row r="253">
      <c r="A253" s="73"/>
      <c r="B253" s="30"/>
      <c r="C253" s="31"/>
      <c r="D253" s="4"/>
      <c r="E253" s="6"/>
      <c r="F253" s="6"/>
      <c r="G253" s="6"/>
      <c r="H253" s="6"/>
      <c r="I253" s="6"/>
      <c r="J253" s="32"/>
      <c r="K253" s="6"/>
      <c r="L253" s="33"/>
      <c r="M253" s="33"/>
      <c r="N253" s="34"/>
      <c r="O253" s="8"/>
      <c r="P253" s="35"/>
      <c r="Q253" s="36"/>
      <c r="R253" s="37"/>
      <c r="S253" s="12"/>
      <c r="T253" s="13"/>
      <c r="U253" s="14"/>
      <c r="V253" s="12"/>
      <c r="W253" s="12"/>
    </row>
    <row r="254">
      <c r="A254" s="73"/>
      <c r="B254" s="30"/>
      <c r="C254" s="31"/>
      <c r="D254" s="4"/>
      <c r="E254" s="6"/>
      <c r="F254" s="6"/>
      <c r="G254" s="6"/>
      <c r="H254" s="6"/>
      <c r="I254" s="6"/>
      <c r="J254" s="32"/>
      <c r="K254" s="6"/>
      <c r="L254" s="33"/>
      <c r="M254" s="33"/>
      <c r="N254" s="34"/>
      <c r="O254" s="8"/>
      <c r="P254" s="35"/>
      <c r="Q254" s="36"/>
      <c r="R254" s="37"/>
      <c r="S254" s="12"/>
      <c r="T254" s="13"/>
      <c r="U254" s="14"/>
      <c r="V254" s="12"/>
      <c r="W254" s="12"/>
    </row>
    <row r="255">
      <c r="A255" s="73"/>
      <c r="B255" s="30"/>
      <c r="C255" s="31"/>
      <c r="D255" s="4"/>
      <c r="E255" s="6"/>
      <c r="F255" s="6"/>
      <c r="G255" s="6"/>
      <c r="H255" s="6"/>
      <c r="I255" s="6"/>
      <c r="J255" s="32"/>
      <c r="K255" s="6"/>
      <c r="L255" s="33"/>
      <c r="M255" s="33"/>
      <c r="N255" s="34"/>
      <c r="O255" s="8"/>
      <c r="P255" s="35"/>
      <c r="Q255" s="36"/>
      <c r="R255" s="37"/>
      <c r="S255" s="12"/>
      <c r="T255" s="13"/>
      <c r="U255" s="14"/>
      <c r="V255" s="12"/>
      <c r="W255" s="12"/>
    </row>
    <row r="256">
      <c r="A256" s="73"/>
      <c r="B256" s="30"/>
      <c r="C256" s="31"/>
      <c r="D256" s="4"/>
      <c r="E256" s="6"/>
      <c r="F256" s="6"/>
      <c r="G256" s="6"/>
      <c r="H256" s="6"/>
      <c r="I256" s="6"/>
      <c r="J256" s="32"/>
      <c r="K256" s="6"/>
      <c r="L256" s="33"/>
      <c r="M256" s="33"/>
      <c r="N256" s="34"/>
      <c r="O256" s="8"/>
      <c r="P256" s="35"/>
      <c r="Q256" s="36"/>
      <c r="R256" s="37"/>
      <c r="S256" s="12"/>
      <c r="T256" s="13"/>
      <c r="U256" s="14"/>
      <c r="V256" s="12"/>
      <c r="W256" s="12"/>
    </row>
    <row r="257">
      <c r="A257" s="73"/>
      <c r="B257" s="30"/>
      <c r="C257" s="31"/>
      <c r="D257" s="4"/>
      <c r="E257" s="6"/>
      <c r="F257" s="6"/>
      <c r="G257" s="6"/>
      <c r="H257" s="6"/>
      <c r="I257" s="6"/>
      <c r="J257" s="32"/>
      <c r="K257" s="6"/>
      <c r="L257" s="33"/>
      <c r="M257" s="33"/>
      <c r="N257" s="34"/>
      <c r="O257" s="8"/>
      <c r="P257" s="35"/>
      <c r="Q257" s="36"/>
      <c r="R257" s="37"/>
      <c r="S257" s="12"/>
      <c r="T257" s="13"/>
      <c r="U257" s="14"/>
      <c r="V257" s="12"/>
      <c r="W257" s="12"/>
    </row>
    <row r="258">
      <c r="A258" s="73"/>
      <c r="B258" s="30"/>
      <c r="C258" s="31"/>
      <c r="D258" s="4"/>
      <c r="E258" s="6"/>
      <c r="F258" s="6"/>
      <c r="G258" s="6"/>
      <c r="H258" s="6"/>
      <c r="I258" s="6"/>
      <c r="J258" s="32"/>
      <c r="K258" s="6"/>
      <c r="L258" s="33"/>
      <c r="M258" s="33"/>
      <c r="N258" s="34"/>
      <c r="O258" s="8"/>
      <c r="P258" s="35"/>
      <c r="Q258" s="36"/>
      <c r="R258" s="37"/>
      <c r="S258" s="12"/>
      <c r="T258" s="13"/>
      <c r="U258" s="14"/>
      <c r="V258" s="12"/>
      <c r="W258" s="12"/>
    </row>
    <row r="259">
      <c r="A259" s="73"/>
      <c r="B259" s="30"/>
      <c r="C259" s="31"/>
      <c r="D259" s="4"/>
      <c r="E259" s="6"/>
      <c r="F259" s="6"/>
      <c r="G259" s="6"/>
      <c r="H259" s="6"/>
      <c r="I259" s="6"/>
      <c r="J259" s="32"/>
      <c r="K259" s="6"/>
      <c r="L259" s="33"/>
      <c r="M259" s="33"/>
      <c r="N259" s="34"/>
      <c r="O259" s="8"/>
      <c r="P259" s="35"/>
      <c r="Q259" s="36"/>
      <c r="R259" s="37"/>
      <c r="S259" s="12"/>
      <c r="T259" s="13"/>
      <c r="U259" s="14"/>
      <c r="V259" s="12"/>
      <c r="W259" s="12"/>
    </row>
    <row r="260">
      <c r="A260" s="73"/>
      <c r="B260" s="30"/>
      <c r="C260" s="31"/>
      <c r="D260" s="4"/>
      <c r="E260" s="6"/>
      <c r="F260" s="6"/>
      <c r="G260" s="6"/>
      <c r="H260" s="6"/>
      <c r="I260" s="6"/>
      <c r="J260" s="32"/>
      <c r="K260" s="6"/>
      <c r="L260" s="33"/>
      <c r="M260" s="33"/>
      <c r="N260" s="34"/>
      <c r="O260" s="8"/>
      <c r="P260" s="35"/>
      <c r="Q260" s="36"/>
      <c r="R260" s="37"/>
      <c r="S260" s="12"/>
      <c r="T260" s="13"/>
      <c r="U260" s="14"/>
      <c r="V260" s="12"/>
      <c r="W260" s="12"/>
    </row>
    <row r="261">
      <c r="A261" s="73"/>
      <c r="B261" s="30"/>
      <c r="C261" s="31"/>
      <c r="D261" s="4"/>
      <c r="E261" s="6"/>
      <c r="F261" s="6"/>
      <c r="G261" s="6"/>
      <c r="H261" s="6"/>
      <c r="I261" s="6"/>
      <c r="J261" s="32"/>
      <c r="K261" s="6"/>
      <c r="L261" s="33"/>
      <c r="M261" s="33"/>
      <c r="N261" s="34"/>
      <c r="O261" s="8"/>
      <c r="P261" s="35"/>
      <c r="Q261" s="36"/>
      <c r="R261" s="37"/>
      <c r="S261" s="12"/>
      <c r="T261" s="13"/>
      <c r="U261" s="14"/>
      <c r="V261" s="12"/>
      <c r="W261" s="12"/>
    </row>
    <row r="262">
      <c r="A262" s="73"/>
      <c r="B262" s="30"/>
      <c r="C262" s="31"/>
      <c r="D262" s="4"/>
      <c r="E262" s="6"/>
      <c r="F262" s="6"/>
      <c r="G262" s="6"/>
      <c r="H262" s="6"/>
      <c r="I262" s="6"/>
      <c r="J262" s="32"/>
      <c r="K262" s="6"/>
      <c r="L262" s="33"/>
      <c r="M262" s="33"/>
      <c r="N262" s="34"/>
      <c r="O262" s="8"/>
      <c r="P262" s="35"/>
      <c r="Q262" s="36"/>
      <c r="R262" s="37"/>
      <c r="S262" s="12"/>
      <c r="T262" s="13"/>
      <c r="U262" s="14"/>
      <c r="V262" s="12"/>
      <c r="W262" s="12"/>
    </row>
    <row r="263">
      <c r="A263" s="73"/>
      <c r="B263" s="30"/>
      <c r="C263" s="31"/>
      <c r="D263" s="4"/>
      <c r="E263" s="6"/>
      <c r="F263" s="6"/>
      <c r="G263" s="6"/>
      <c r="H263" s="6"/>
      <c r="I263" s="6"/>
      <c r="J263" s="32"/>
      <c r="K263" s="6"/>
      <c r="L263" s="33"/>
      <c r="M263" s="33"/>
      <c r="N263" s="34"/>
      <c r="O263" s="8"/>
      <c r="P263" s="35"/>
      <c r="Q263" s="36"/>
      <c r="R263" s="37"/>
      <c r="S263" s="12"/>
      <c r="T263" s="13"/>
      <c r="U263" s="14"/>
      <c r="V263" s="12"/>
      <c r="W263" s="12"/>
    </row>
    <row r="264">
      <c r="A264" s="73"/>
      <c r="B264" s="30"/>
      <c r="C264" s="31"/>
      <c r="D264" s="4"/>
      <c r="E264" s="6"/>
      <c r="F264" s="6"/>
      <c r="G264" s="6"/>
      <c r="H264" s="6"/>
      <c r="I264" s="6"/>
      <c r="J264" s="32"/>
      <c r="K264" s="6"/>
      <c r="L264" s="33"/>
      <c r="M264" s="33"/>
      <c r="N264" s="34"/>
      <c r="O264" s="8"/>
      <c r="P264" s="35"/>
      <c r="Q264" s="36"/>
      <c r="R264" s="37"/>
      <c r="S264" s="12"/>
      <c r="T264" s="13"/>
      <c r="U264" s="14"/>
      <c r="V264" s="12"/>
      <c r="W264" s="12"/>
    </row>
    <row r="265">
      <c r="A265" s="73"/>
      <c r="B265" s="30"/>
      <c r="C265" s="31"/>
      <c r="D265" s="4"/>
      <c r="E265" s="6"/>
      <c r="F265" s="6"/>
      <c r="G265" s="6"/>
      <c r="H265" s="6"/>
      <c r="I265" s="6"/>
      <c r="J265" s="32"/>
      <c r="K265" s="6"/>
      <c r="L265" s="33"/>
      <c r="M265" s="33"/>
      <c r="N265" s="34"/>
      <c r="O265" s="8"/>
      <c r="P265" s="35"/>
      <c r="Q265" s="36"/>
      <c r="R265" s="37"/>
      <c r="S265" s="12"/>
      <c r="T265" s="13"/>
      <c r="U265" s="14"/>
      <c r="V265" s="12"/>
      <c r="W265" s="12"/>
    </row>
    <row r="266">
      <c r="A266" s="73"/>
      <c r="B266" s="30"/>
      <c r="C266" s="31"/>
      <c r="D266" s="4"/>
      <c r="E266" s="6"/>
      <c r="F266" s="6"/>
      <c r="G266" s="6"/>
      <c r="H266" s="6"/>
      <c r="I266" s="6"/>
      <c r="J266" s="32"/>
      <c r="K266" s="6"/>
      <c r="L266" s="33"/>
      <c r="M266" s="33"/>
      <c r="N266" s="34"/>
      <c r="O266" s="8"/>
      <c r="P266" s="35"/>
      <c r="Q266" s="36"/>
      <c r="R266" s="37"/>
      <c r="S266" s="12"/>
      <c r="T266" s="13"/>
      <c r="U266" s="14"/>
      <c r="V266" s="12"/>
      <c r="W266" s="12"/>
    </row>
    <row r="267">
      <c r="A267" s="73"/>
      <c r="B267" s="30"/>
      <c r="C267" s="31"/>
      <c r="D267" s="4"/>
      <c r="E267" s="6"/>
      <c r="F267" s="6"/>
      <c r="G267" s="6"/>
      <c r="H267" s="6"/>
      <c r="I267" s="6"/>
      <c r="J267" s="32"/>
      <c r="K267" s="6"/>
      <c r="L267" s="33"/>
      <c r="M267" s="33"/>
      <c r="N267" s="34"/>
      <c r="O267" s="8"/>
      <c r="P267" s="35"/>
      <c r="Q267" s="36"/>
      <c r="R267" s="37"/>
      <c r="S267" s="12"/>
      <c r="T267" s="13"/>
      <c r="U267" s="14"/>
      <c r="V267" s="12"/>
      <c r="W267" s="12"/>
    </row>
    <row r="268">
      <c r="A268" s="73"/>
      <c r="B268" s="30"/>
      <c r="C268" s="31"/>
      <c r="D268" s="4"/>
      <c r="E268" s="6"/>
      <c r="F268" s="6"/>
      <c r="G268" s="6"/>
      <c r="H268" s="6"/>
      <c r="I268" s="6"/>
      <c r="J268" s="32"/>
      <c r="K268" s="6"/>
      <c r="L268" s="33"/>
      <c r="M268" s="33"/>
      <c r="N268" s="34"/>
      <c r="O268" s="8"/>
      <c r="P268" s="35"/>
      <c r="Q268" s="36"/>
      <c r="R268" s="37"/>
      <c r="S268" s="12"/>
      <c r="T268" s="13"/>
      <c r="U268" s="14"/>
      <c r="V268" s="12"/>
      <c r="W268" s="12"/>
    </row>
    <row r="269">
      <c r="A269" s="73"/>
      <c r="B269" s="30"/>
      <c r="C269" s="31"/>
      <c r="D269" s="4"/>
      <c r="E269" s="6"/>
      <c r="F269" s="6"/>
      <c r="G269" s="6"/>
      <c r="H269" s="6"/>
      <c r="I269" s="6"/>
      <c r="J269" s="32"/>
      <c r="K269" s="6"/>
      <c r="L269" s="33"/>
      <c r="M269" s="33"/>
      <c r="N269" s="34"/>
      <c r="O269" s="8"/>
      <c r="P269" s="35"/>
      <c r="Q269" s="36"/>
      <c r="R269" s="37"/>
      <c r="S269" s="12"/>
      <c r="T269" s="13"/>
      <c r="U269" s="14"/>
      <c r="V269" s="12"/>
      <c r="W269" s="12"/>
    </row>
    <row r="270">
      <c r="A270" s="73"/>
      <c r="B270" s="30"/>
      <c r="C270" s="31"/>
      <c r="D270" s="4"/>
      <c r="E270" s="6"/>
      <c r="F270" s="6"/>
      <c r="G270" s="6"/>
      <c r="H270" s="6"/>
      <c r="I270" s="6"/>
      <c r="J270" s="32"/>
      <c r="K270" s="6"/>
      <c r="L270" s="33"/>
      <c r="M270" s="33"/>
      <c r="N270" s="34"/>
      <c r="O270" s="8"/>
      <c r="P270" s="35"/>
      <c r="Q270" s="36"/>
      <c r="R270" s="37"/>
      <c r="S270" s="12"/>
      <c r="T270" s="13"/>
      <c r="U270" s="14"/>
      <c r="V270" s="12"/>
      <c r="W270" s="12"/>
    </row>
    <row r="271">
      <c r="A271" s="73"/>
      <c r="B271" s="30"/>
      <c r="C271" s="31"/>
      <c r="D271" s="4"/>
      <c r="E271" s="6"/>
      <c r="F271" s="6"/>
      <c r="G271" s="6"/>
      <c r="H271" s="6"/>
      <c r="I271" s="6"/>
      <c r="J271" s="32"/>
      <c r="K271" s="6"/>
      <c r="L271" s="33"/>
      <c r="M271" s="33"/>
      <c r="N271" s="34"/>
      <c r="O271" s="8"/>
      <c r="P271" s="35"/>
      <c r="Q271" s="36"/>
      <c r="R271" s="37"/>
      <c r="S271" s="12"/>
      <c r="T271" s="13"/>
      <c r="U271" s="14"/>
      <c r="V271" s="12"/>
      <c r="W271" s="12"/>
    </row>
    <row r="272">
      <c r="A272" s="73"/>
      <c r="B272" s="30"/>
      <c r="C272" s="31"/>
      <c r="D272" s="4"/>
      <c r="E272" s="6"/>
      <c r="F272" s="6"/>
      <c r="G272" s="6"/>
      <c r="H272" s="6"/>
      <c r="I272" s="6"/>
      <c r="J272" s="32"/>
      <c r="K272" s="6"/>
      <c r="L272" s="33"/>
      <c r="M272" s="33"/>
      <c r="N272" s="34"/>
      <c r="O272" s="8"/>
      <c r="P272" s="35"/>
      <c r="Q272" s="36"/>
      <c r="R272" s="37"/>
      <c r="S272" s="12"/>
      <c r="T272" s="13"/>
      <c r="U272" s="14"/>
      <c r="V272" s="12"/>
      <c r="W272" s="12"/>
    </row>
    <row r="273">
      <c r="A273" s="73"/>
      <c r="B273" s="30"/>
      <c r="C273" s="31"/>
      <c r="D273" s="4"/>
      <c r="E273" s="6"/>
      <c r="F273" s="6"/>
      <c r="G273" s="6"/>
      <c r="H273" s="6"/>
      <c r="I273" s="6"/>
      <c r="J273" s="32"/>
      <c r="K273" s="6"/>
      <c r="L273" s="33"/>
      <c r="M273" s="33"/>
      <c r="N273" s="34"/>
      <c r="O273" s="8"/>
      <c r="P273" s="35"/>
      <c r="Q273" s="36"/>
      <c r="R273" s="37"/>
      <c r="S273" s="12"/>
      <c r="T273" s="13"/>
      <c r="U273" s="14"/>
      <c r="V273" s="12"/>
      <c r="W273" s="12"/>
    </row>
    <row r="274">
      <c r="A274" s="73"/>
      <c r="B274" s="30"/>
      <c r="C274" s="31"/>
      <c r="D274" s="4"/>
      <c r="E274" s="6"/>
      <c r="F274" s="6"/>
      <c r="G274" s="6"/>
      <c r="H274" s="6"/>
      <c r="I274" s="6"/>
      <c r="J274" s="32"/>
      <c r="K274" s="6"/>
      <c r="L274" s="33"/>
      <c r="M274" s="33"/>
      <c r="N274" s="34"/>
      <c r="O274" s="8"/>
      <c r="P274" s="35"/>
      <c r="Q274" s="36"/>
      <c r="R274" s="37"/>
      <c r="S274" s="12"/>
      <c r="T274" s="13"/>
      <c r="U274" s="14"/>
      <c r="V274" s="12"/>
      <c r="W274" s="12"/>
    </row>
  </sheetData>
  <dataValidations>
    <dataValidation type="list" allowBlank="1" sqref="L3:L274">
      <formula1>MATRIX!$T$3:$T274</formula1>
    </dataValidation>
    <dataValidation type="list" allowBlank="1" sqref="E14">
      <formula1>'SEED INVENTORY'!$B$2110616</formula1>
    </dataValidation>
    <dataValidation type="list" allowBlank="1" sqref="D49 B3:B274">
      <formula1>MATRIX!$W$2:$W274</formula1>
    </dataValidation>
    <dataValidation type="list" allowBlank="1" sqref="U3:U8 U46:U125 R3:R274">
      <formula1>TYPE</formula1>
    </dataValidation>
    <dataValidation type="list" allowBlank="1" sqref="D63">
      <formula1>'SEED INVENTORY'!$H$228</formula1>
    </dataValidation>
    <dataValidation type="list" allowBlank="1" sqref="H3:H274">
      <formula1>'SEED COMPARISON'!$A$3:$A274</formula1>
    </dataValidation>
    <dataValidation type="list" allowBlank="1" sqref="D82">
      <formula1>'SEED INVENTORY'!$G$308</formula1>
    </dataValidation>
    <dataValidation type="list" allowBlank="1" sqref="I3:I70 I73:I274">
      <formula1>'MACRO SEED SHEET'!$D$7:$D274</formula1>
    </dataValidation>
    <dataValidation type="list" allowBlank="1" sqref="P3:P274">
      <formula1>'MACRO SEED SHEET'!$I$8:$I274</formula1>
    </dataValidation>
    <dataValidation type="list" allowBlank="1" sqref="G3:G274">
      <formula1>'SEED COMPARISON'!$B$3:$B274</formula1>
    </dataValidation>
    <dataValidation type="list" allowBlank="1" sqref="F3:F274">
      <formula1>MATRIX!$V$2:$V274</formula1>
    </dataValidation>
    <dataValidation type="list" allowBlank="1" sqref="D68">
      <formula1>'SEED INVENTORY'!$J$316895</formula1>
    </dataValidation>
    <dataValidation type="list" allowBlank="1" sqref="E3:E13 E15:E274">
      <formula1>MATRIX!$U$2:$U274</formula1>
    </dataValidation>
    <dataValidation type="list" allowBlank="1" sqref="N3:N274">
      <formula1>MATRIX!$R$3:$R274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25"/>
  </cols>
  <sheetData>
    <row r="4">
      <c r="A4" s="74" t="str">
        <f>IFERROR(__xludf.DUMMYFUNCTION("IMPORTRANGE(""https://docs.google.com/spreadsheets/d/1ROIDByG8JQ9QnTav5kMbqjv_otDakkYL7H10iPWcU48/edit#gid=259472266"",""Inputs!A1:A"")"),"FERTILLIZER AND CHEMICAL")</f>
        <v>FERTILLIZER AND CHEMICAL</v>
      </c>
      <c r="D4" s="74" t="str">
        <f>IFERROR(__xludf.DUMMYFUNCTION("IMPORTRANGE(""https://docs.google.com/spreadsheets/d/1i_N2vQg61P41rmjGCBpk2fCS6k6Bg53Vw5VyEESSCdg/edit#gid=259472266"",""Inputs!z1:AA"")"),"")</f>
        <v/>
      </c>
      <c r="E4" s="75"/>
      <c r="F4" s="76"/>
      <c r="G4" s="76"/>
      <c r="H4" s="77"/>
      <c r="I4" s="77"/>
      <c r="J4" s="78"/>
      <c r="K4" s="78"/>
      <c r="L4" s="79"/>
    </row>
    <row r="5">
      <c r="A5" s="75" t="str">
        <f>IFERROR(__xludf.DUMMYFUNCTION("""COMPUTED_VALUE"""),"Product")</f>
        <v>Product</v>
      </c>
      <c r="D5" s="75" t="str">
        <f>IFERROR(__xludf.DUMMYFUNCTION("""COMPUTED_VALUE"""),"TOTAL PROJECTED UNITS")</f>
        <v>TOTAL PROJECTED UNITS</v>
      </c>
      <c r="E5" s="75" t="str">
        <f>IFERROR(__xludf.DUMMYFUNCTION("""COMPUTED_VALUE"""),"UNIT")</f>
        <v>UNIT</v>
      </c>
      <c r="F5" s="80" t="s">
        <v>160</v>
      </c>
      <c r="G5" s="81"/>
      <c r="H5" s="82" t="s">
        <v>161</v>
      </c>
      <c r="I5" s="83"/>
      <c r="J5" s="84" t="s">
        <v>162</v>
      </c>
      <c r="K5" s="85"/>
      <c r="L5" s="86" t="s">
        <v>163</v>
      </c>
    </row>
    <row r="6">
      <c r="A6" s="75" t="str">
        <f>IFERROR(__xludf.DUMMYFUNCTION("""COMPUTED_VALUE"""),"0-0-60 Potash")</f>
        <v>0-0-60 Potash</v>
      </c>
      <c r="D6" s="75">
        <f>IFERROR(__xludf.DUMMYFUNCTION("""COMPUTED_VALUE"""),264021.61)</f>
        <v>264021.61</v>
      </c>
      <c r="E6" s="75" t="str">
        <f>IFERROR(__xludf.DUMMYFUNCTION("""COMPUTED_VALUE"""),"Lbs")</f>
        <v>Lbs</v>
      </c>
      <c r="H6" s="74">
        <f>sumif('SEED INVENTORY'!$P$46:$P1000,A6,'SEED INVENTORY'!$Q$46:$Q1000)</f>
        <v>0</v>
      </c>
      <c r="I6" s="74" t="str">
        <f>vlookup(A6,'SEED INVENTORY'!$P$46:$R1000,3,False)</f>
        <v>#N/A</v>
      </c>
      <c r="J6" s="74">
        <f>sumif('SEED INVENTORY'!$T$46:$T1000,A6,'SEED INVENTORY'!$U$46:$U1000)</f>
        <v>0</v>
      </c>
    </row>
    <row r="7">
      <c r="A7" s="75" t="str">
        <f>IFERROR(__xludf.DUMMYFUNCTION("""COMPUTED_VALUE"""),"10-34-0")</f>
        <v>10-34-0</v>
      </c>
      <c r="D7" s="75">
        <f>IFERROR(__xludf.DUMMYFUNCTION("""COMPUTED_VALUE"""),9899.5)</f>
        <v>9899.5</v>
      </c>
      <c r="E7" s="75" t="str">
        <f>IFERROR(__xludf.DUMMYFUNCTION("""COMPUTED_VALUE"""),"Gal")</f>
        <v>Gal</v>
      </c>
      <c r="H7" s="74">
        <f>sumif('SEED INVENTORY'!$P$46:$P1000,A7,'SEED INVENTORY'!$Q$46:$Q1000)</f>
        <v>28940</v>
      </c>
      <c r="I7" s="74" t="str">
        <f>vlookup(A7,'SEED INVENTORY'!$P$46:$R1000,3,False)</f>
        <v>Lbs</v>
      </c>
      <c r="J7" s="74">
        <f>sumif('SEED INVENTORY'!$T$46:$T1000,A7,'SEED INVENTORY'!$U$46:$U1000)</f>
        <v>0</v>
      </c>
    </row>
    <row r="8">
      <c r="A8" s="75" t="str">
        <f>IFERROR(__xludf.DUMMYFUNCTION("""COMPUTED_VALUE"""),"12-0-0-26 Amm Thio")</f>
        <v>12-0-0-26 Amm Thio</v>
      </c>
      <c r="D8" s="75">
        <f>IFERROR(__xludf.DUMMYFUNCTION("""COMPUTED_VALUE"""),109737.1812)</f>
        <v>109737.1812</v>
      </c>
      <c r="E8" s="75" t="str">
        <f>IFERROR(__xludf.DUMMYFUNCTION("""COMPUTED_VALUE"""),"Lbs")</f>
        <v>Lbs</v>
      </c>
      <c r="H8" s="74">
        <f>sumif('SEED INVENTORY'!$P$46:$P1000,A8,'SEED INVENTORY'!$Q$46:$Q1000)</f>
        <v>0</v>
      </c>
      <c r="I8" s="74" t="str">
        <f>vlookup(A8,'SEED INVENTORY'!$P$46:$R1000,3,False)</f>
        <v>#N/A</v>
      </c>
      <c r="J8" s="74">
        <f>sumif('SEED INVENTORY'!$T$46:$T1000,A8,'SEED INVENTORY'!$U$46:$U1000)</f>
        <v>0</v>
      </c>
    </row>
    <row r="9">
      <c r="A9" s="75" t="str">
        <f>IFERROR(__xludf.DUMMYFUNCTION("""COMPUTED_VALUE"""),"13-0-0-15 Zn (Gal)")</f>
        <v>13-0-0-15 Zn (Gal)</v>
      </c>
      <c r="D9" s="75">
        <f>IFERROR(__xludf.DUMMYFUNCTION("""COMPUTED_VALUE"""),0.0)</f>
        <v>0</v>
      </c>
      <c r="E9" s="75" t="str">
        <f>IFERROR(__xludf.DUMMYFUNCTION("""COMPUTED_VALUE"""),"Gal")</f>
        <v>Gal</v>
      </c>
      <c r="H9" s="74">
        <f>sumif('SEED INVENTORY'!$P$46:$P1000,A9,'SEED INVENTORY'!$Q$46:$Q1000)</f>
        <v>0</v>
      </c>
      <c r="I9" s="74" t="str">
        <f>vlookup(A9,'SEED INVENTORY'!$P$46:$R1000,3,False)</f>
        <v>#N/A</v>
      </c>
      <c r="J9" s="74">
        <f>sumif('SEED INVENTORY'!$T$46:$T1000,A9,'SEED INVENTORY'!$U$46:$U1000)</f>
        <v>0</v>
      </c>
    </row>
    <row r="10">
      <c r="A10" s="75" t="str">
        <f>IFERROR(__xludf.DUMMYFUNCTION("""COMPUTED_VALUE"""),"18-46-0 DAP")</f>
        <v>18-46-0 DAP</v>
      </c>
      <c r="D10" s="75">
        <f>IFERROR(__xludf.DUMMYFUNCTION("""COMPUTED_VALUE"""),265363.44500000007)</f>
        <v>265363.445</v>
      </c>
      <c r="E10" s="75" t="str">
        <f>IFERROR(__xludf.DUMMYFUNCTION("""COMPUTED_VALUE"""),"Lbs")</f>
        <v>Lbs</v>
      </c>
      <c r="H10" s="74">
        <f>sumif('SEED INVENTORY'!$P$46:$P1000,A10,'SEED INVENTORY'!$Q$46:$Q1000)</f>
        <v>0</v>
      </c>
      <c r="I10" s="74" t="str">
        <f>vlookup(A10,'SEED INVENTORY'!$P$46:$R1000,3,False)</f>
        <v>#N/A</v>
      </c>
      <c r="J10" s="74">
        <f>sumif('SEED INVENTORY'!$T$46:$T1000,A10,'SEED INVENTORY'!$U$46:$U1000)</f>
        <v>0</v>
      </c>
    </row>
    <row r="11">
      <c r="A11" s="75" t="str">
        <f>IFERROR(__xludf.DUMMYFUNCTION("""COMPUTED_VALUE"""),"21-0-0-24s AMS Granular")</f>
        <v>21-0-0-24s AMS Granular</v>
      </c>
      <c r="D11" s="75">
        <f>IFERROR(__xludf.DUMMYFUNCTION("""COMPUTED_VALUE"""),42163.05)</f>
        <v>42163.05</v>
      </c>
      <c r="E11" s="75" t="str">
        <f>IFERROR(__xludf.DUMMYFUNCTION("""COMPUTED_VALUE"""),"Lbs")</f>
        <v>Lbs</v>
      </c>
      <c r="H11" s="74">
        <f>sumif('SEED INVENTORY'!$P$46:$P1000,A11,'SEED INVENTORY'!$Q$46:$Q1000)</f>
        <v>0</v>
      </c>
      <c r="I11" s="74" t="str">
        <f>vlookup(A11,'SEED INVENTORY'!$P$46:$R1000,3,False)</f>
        <v>#N/A</v>
      </c>
      <c r="J11" s="74">
        <f>sumif('SEED INVENTORY'!$T$46:$T1000,A11,'SEED INVENTORY'!$U$46:$U1000)</f>
        <v>0</v>
      </c>
    </row>
    <row r="12">
      <c r="A12" s="75" t="str">
        <f>IFERROR(__xludf.DUMMYFUNCTION("""COMPUTED_VALUE"""),"28% Nitrogen")</f>
        <v>28% Nitrogen</v>
      </c>
      <c r="D12" s="75">
        <f>IFERROR(__xludf.DUMMYFUNCTION("""COMPUTED_VALUE"""),6806.5)</f>
        <v>6806.5</v>
      </c>
      <c r="E12" s="75" t="str">
        <f>IFERROR(__xludf.DUMMYFUNCTION("""COMPUTED_VALUE"""),"Gal")</f>
        <v>Gal</v>
      </c>
      <c r="H12" s="74">
        <f>sumif('SEED INVENTORY'!$P$46:$P1000,A12,'SEED INVENTORY'!$Q$46:$Q1000)</f>
        <v>0</v>
      </c>
      <c r="I12" s="74" t="str">
        <f>vlookup(A12,'SEED INVENTORY'!$P$46:$R1000,3,False)</f>
        <v>#N/A</v>
      </c>
      <c r="J12" s="74">
        <f>sumif('SEED INVENTORY'!$T$46:$T1000,A12,'SEED INVENTORY'!$U$46:$U1000)</f>
        <v>0</v>
      </c>
    </row>
    <row r="13">
      <c r="A13" s="75" t="str">
        <f>IFERROR(__xludf.DUMMYFUNCTION("""COMPUTED_VALUE"""),"32% Nitrogen")</f>
        <v>32% Nitrogen</v>
      </c>
      <c r="D13" s="75">
        <f>IFERROR(__xludf.DUMMYFUNCTION("""COMPUTED_VALUE"""),4505.900000000001)</f>
        <v>4505.9</v>
      </c>
      <c r="E13" s="75" t="str">
        <f>IFERROR(__xludf.DUMMYFUNCTION("""COMPUTED_VALUE"""),"Gal")</f>
        <v>Gal</v>
      </c>
      <c r="H13" s="74">
        <f>sumif('SEED INVENTORY'!$P$46:$P1000,A13,'SEED INVENTORY'!$Q$46:$Q1000)</f>
        <v>0</v>
      </c>
      <c r="I13" s="74" t="str">
        <f>vlookup(A13,'SEED INVENTORY'!$P$46:$R1000,3,False)</f>
        <v/>
      </c>
      <c r="J13" s="74">
        <f>sumif('SEED INVENTORY'!$T$46:$T1000,A13,'SEED INVENTORY'!$U$46:$U1000)</f>
        <v>0</v>
      </c>
    </row>
    <row r="14">
      <c r="A14" s="75" t="str">
        <f>IFERROR(__xludf.DUMMYFUNCTION("""COMPUTED_VALUE"""),"46-0-0  Urea")</f>
        <v>46-0-0  Urea</v>
      </c>
      <c r="D14" s="75">
        <f>IFERROR(__xludf.DUMMYFUNCTION("""COMPUTED_VALUE"""),754482.5)</f>
        <v>754482.5</v>
      </c>
      <c r="E14" s="75" t="str">
        <f>IFERROR(__xludf.DUMMYFUNCTION("""COMPUTED_VALUE"""),"Lbs")</f>
        <v>Lbs</v>
      </c>
      <c r="H14" s="74">
        <f>sumif('SEED INVENTORY'!$P$46:$P1000,A14,'SEED INVENTORY'!$Q$46:$Q1000)</f>
        <v>56320</v>
      </c>
      <c r="I14" s="74" t="str">
        <f>vlookup(A14,'SEED INVENTORY'!$P$46:$R1000,3,False)</f>
        <v>Lbs</v>
      </c>
      <c r="J14" s="74">
        <f>sumif('SEED INVENTORY'!$T$46:$T1000,A14,'SEED INVENTORY'!$U$46:$U1000)</f>
        <v>0</v>
      </c>
    </row>
    <row r="15">
      <c r="A15" s="75" t="str">
        <f>IFERROR(__xludf.DUMMYFUNCTION("""COMPUTED_VALUE"""),"Accuquest WM (2x2.5 Gal)")</f>
        <v>Accuquest WM (2x2.5 Gal)</v>
      </c>
      <c r="D15" s="75">
        <f>IFERROR(__xludf.DUMMYFUNCTION("""COMPUTED_VALUE"""),138.62)</f>
        <v>138.62</v>
      </c>
      <c r="E15" s="75" t="str">
        <f>IFERROR(__xludf.DUMMYFUNCTION("""COMPUTED_VALUE"""),"Pts")</f>
        <v>Pts</v>
      </c>
      <c r="H15" s="74">
        <f>sumif('SEED INVENTORY'!$P$46:$P1000,A15,'SEED INVENTORY'!$Q$46:$Q1000)</f>
        <v>0</v>
      </c>
      <c r="I15" s="74" t="str">
        <f>vlookup(A15,'SEED INVENTORY'!$P$46:$R1000,3,False)</f>
        <v>#N/A</v>
      </c>
      <c r="J15" s="74">
        <f>sumif('SEED INVENTORY'!$T$46:$T1000,A15,'SEED INVENTORY'!$U$46:$U1000)</f>
        <v>0</v>
      </c>
    </row>
    <row r="16">
      <c r="A16" s="75" t="str">
        <f>IFERROR(__xludf.DUMMYFUNCTION("""COMPUTED_VALUE"""),"Application - Burndown")</f>
        <v>Application - Burndown</v>
      </c>
      <c r="D16" s="75">
        <f>IFERROR(__xludf.DUMMYFUNCTION("""COMPUTED_VALUE"""),55.68)</f>
        <v>55.68</v>
      </c>
      <c r="E16" s="75" t="str">
        <f>IFERROR(__xludf.DUMMYFUNCTION("""COMPUTED_VALUE"""),"Acre")</f>
        <v>Acre</v>
      </c>
      <c r="H16" s="74">
        <f>sumif('SEED INVENTORY'!$P$46:$P1000,A16,'SEED INVENTORY'!$Q$46:$Q1000)</f>
        <v>0</v>
      </c>
      <c r="I16" s="74" t="str">
        <f>vlookup(A16,'SEED INVENTORY'!$P$46:$R1000,3,False)</f>
        <v>#N/A</v>
      </c>
      <c r="J16" s="74">
        <f>sumif('SEED INVENTORY'!$T$46:$T1000,A16,'SEED INVENTORY'!$U$46:$U1000)</f>
        <v>0</v>
      </c>
    </row>
    <row r="17">
      <c r="A17" s="75" t="str">
        <f>IFERROR(__xludf.DUMMYFUNCTION("""COMPUTED_VALUE"""),"Application - Liquid Ppi")</f>
        <v>Application - Liquid Ppi</v>
      </c>
      <c r="D17" s="75">
        <f>IFERROR(__xludf.DUMMYFUNCTION("""COMPUTED_VALUE"""),286.4)</f>
        <v>286.4</v>
      </c>
      <c r="E17" s="75" t="str">
        <f>IFERROR(__xludf.DUMMYFUNCTION("""COMPUTED_VALUE"""),"Acre")</f>
        <v>Acre</v>
      </c>
      <c r="H17" s="74">
        <f>sumif('SEED INVENTORY'!$P$46:$P1000,A17,'SEED INVENTORY'!$Q$46:$Q1000)</f>
        <v>0</v>
      </c>
      <c r="I17" s="74" t="str">
        <f>vlookup(A17,'SEED INVENTORY'!$P$46:$R1000,3,False)</f>
        <v>#N/A</v>
      </c>
      <c r="J17" s="74">
        <f>sumif('SEED INVENTORY'!$T$46:$T1000,A17,'SEED INVENTORY'!$U$46:$U1000)</f>
        <v>0</v>
      </c>
    </row>
    <row r="18">
      <c r="A18" s="75" t="str">
        <f>IFERROR(__xludf.DUMMYFUNCTION("""COMPUTED_VALUE"""),"Application - Liquid Pre")</f>
        <v>Application - Liquid Pre</v>
      </c>
      <c r="D18" s="75">
        <f>IFERROR(__xludf.DUMMYFUNCTION("""COMPUTED_VALUE"""),2490.9395)</f>
        <v>2490.9395</v>
      </c>
      <c r="E18" s="75" t="str">
        <f>IFERROR(__xludf.DUMMYFUNCTION("""COMPUTED_VALUE"""),"Acre")</f>
        <v>Acre</v>
      </c>
      <c r="H18" s="74">
        <f>sumif('SEED INVENTORY'!$P$46:$P1000,A18,'SEED INVENTORY'!$Q$46:$Q1000)</f>
        <v>0</v>
      </c>
      <c r="I18" s="74" t="str">
        <f>vlookup(A18,'SEED INVENTORY'!$P$46:$R1000,3,False)</f>
        <v>#N/A</v>
      </c>
      <c r="J18" s="74">
        <f>sumif('SEED INVENTORY'!$T$46:$T1000,A18,'SEED INVENTORY'!$U$46:$U1000)</f>
        <v>0</v>
      </c>
    </row>
    <row r="19">
      <c r="A19" s="75" t="str">
        <f>IFERROR(__xludf.DUMMYFUNCTION("""COMPUTED_VALUE"""),"Application - Post")</f>
        <v>Application - Post</v>
      </c>
      <c r="D19" s="75">
        <f>IFERROR(__xludf.DUMMYFUNCTION("""COMPUTED_VALUE"""),3342.4881920000003)</f>
        <v>3342.488192</v>
      </c>
      <c r="E19" s="75" t="str">
        <f>IFERROR(__xludf.DUMMYFUNCTION("""COMPUTED_VALUE"""),"Acre")</f>
        <v>Acre</v>
      </c>
      <c r="H19" s="74">
        <f>sumif('SEED INVENTORY'!$P$46:$P1000,A19,'SEED INVENTORY'!$Q$46:$Q1000)</f>
        <v>0</v>
      </c>
      <c r="I19" s="74" t="str">
        <f>vlookup(A19,'SEED INVENTORY'!$P$46:$R1000,3,False)</f>
        <v>#N/A</v>
      </c>
      <c r="J19" s="74">
        <f>sumif('SEED INVENTORY'!$T$46:$T1000,A19,'SEED INVENTORY'!$U$46:$U1000)</f>
        <v>0</v>
      </c>
    </row>
    <row r="20">
      <c r="A20" s="75" t="str">
        <f>IFERROR(__xludf.DUMMYFUNCTION("""COMPUTED_VALUE"""),"Application - Spinner")</f>
        <v>Application - Spinner</v>
      </c>
      <c r="D20" s="75">
        <f>IFERROR(__xludf.DUMMYFUNCTION("""COMPUTED_VALUE"""),0.0)</f>
        <v>0</v>
      </c>
      <c r="E20" s="75" t="str">
        <f>IFERROR(__xludf.DUMMYFUNCTION("""COMPUTED_VALUE"""),"Acre")</f>
        <v>Acre</v>
      </c>
      <c r="H20" s="74">
        <f>sumif('SEED INVENTORY'!$P$46:$P1000,A20,'SEED INVENTORY'!$Q$46:$Q1000)</f>
        <v>0</v>
      </c>
      <c r="I20" s="74" t="str">
        <f>vlookup(A20,'SEED INVENTORY'!$P$46:$R1000,3,False)</f>
        <v>#N/A</v>
      </c>
      <c r="J20" s="74">
        <f>sumif('SEED INVENTORY'!$T$46:$T1000,A20,'SEED INVENTORY'!$U$46:$U1000)</f>
        <v>0</v>
      </c>
    </row>
    <row r="21">
      <c r="A21" s="75" t="str">
        <f>IFERROR(__xludf.DUMMYFUNCTION("""COMPUTED_VALUE"""),"Application - Tons Of Lime Applied")</f>
        <v>Application - Tons Of Lime Applied</v>
      </c>
      <c r="D21" s="75">
        <f>IFERROR(__xludf.DUMMYFUNCTION("""COMPUTED_VALUE"""),153.0)</f>
        <v>153</v>
      </c>
      <c r="E21" s="75" t="str">
        <f>IFERROR(__xludf.DUMMYFUNCTION("""COMPUTED_VALUE"""),"Tons")</f>
        <v>Tons</v>
      </c>
      <c r="H21" s="74">
        <f>sumif('SEED INVENTORY'!$P$46:$P1000,A21,'SEED INVENTORY'!$Q$46:$Q1000)</f>
        <v>0</v>
      </c>
      <c r="I21" s="74" t="str">
        <f>vlookup(A21,'SEED INVENTORY'!$P$46:$R1000,3,False)</f>
        <v>#N/A</v>
      </c>
      <c r="J21" s="74">
        <f>sumif('SEED INVENTORY'!$T$46:$T1000,A21,'SEED INVENTORY'!$U$46:$U1000)</f>
        <v>0</v>
      </c>
    </row>
    <row r="22">
      <c r="A22" s="75" t="str">
        <f>IFERROR(__xludf.DUMMYFUNCTION("""COMPUTED_VALUE"""),"Application - Vrt")</f>
        <v>Application - Vrt</v>
      </c>
      <c r="D22" s="75">
        <f>IFERROR(__xludf.DUMMYFUNCTION("""COMPUTED_VALUE"""),102.0)</f>
        <v>102</v>
      </c>
      <c r="E22" s="75" t="str">
        <f>IFERROR(__xludf.DUMMYFUNCTION("""COMPUTED_VALUE"""),"Acre")</f>
        <v>Acre</v>
      </c>
      <c r="H22" s="74">
        <f>sumif('SEED INVENTORY'!$P$46:$P1000,A22,'SEED INVENTORY'!$Q$46:$Q1000)</f>
        <v>0</v>
      </c>
      <c r="I22" s="74" t="str">
        <f>vlookup(A22,'SEED INVENTORY'!$P$46:$R1000,3,False)</f>
        <v>#N/A</v>
      </c>
      <c r="J22" s="74">
        <f>sumif('SEED INVENTORY'!$T$46:$T1000,A22,'SEED INVENTORY'!$U$46:$U1000)</f>
        <v>0</v>
      </c>
    </row>
    <row r="23">
      <c r="A23" s="75" t="str">
        <f>IFERROR(__xludf.DUMMYFUNCTION("""COMPUTED_VALUE"""),"Application - VRT Spinner")</f>
        <v>Application - VRT Spinner</v>
      </c>
      <c r="D23" s="75">
        <f>IFERROR(__xludf.DUMMYFUNCTION("""COMPUTED_VALUE"""),0.0)</f>
        <v>0</v>
      </c>
      <c r="E23" s="75" t="str">
        <f>IFERROR(__xludf.DUMMYFUNCTION("""COMPUTED_VALUE"""),"Acre")</f>
        <v>Acre</v>
      </c>
      <c r="H23" s="74">
        <f>sumif('SEED INVENTORY'!$P$46:$P1000,A23,'SEED INVENTORY'!$Q$46:$Q1000)</f>
        <v>0</v>
      </c>
      <c r="I23" s="74" t="str">
        <f>vlookup(A23,'SEED INVENTORY'!$P$46:$R1000,3,False)</f>
        <v>#N/A</v>
      </c>
      <c r="J23" s="74">
        <f>sumif('SEED INVENTORY'!$T$46:$T1000,A23,'SEED INVENTORY'!$U$46:$U1000)</f>
        <v>0</v>
      </c>
    </row>
    <row r="24">
      <c r="A24" s="75" t="str">
        <f>IFERROR(__xludf.DUMMYFUNCTION("""COMPUTED_VALUE"""),"Armezon (6x32 Oz)")</f>
        <v>Armezon (6x32 Oz)</v>
      </c>
      <c r="D24" s="75">
        <f>IFERROR(__xludf.DUMMYFUNCTION("""COMPUTED_VALUE"""),1025.4823999999999)</f>
        <v>1025.4824</v>
      </c>
      <c r="E24" s="75" t="str">
        <f>IFERROR(__xludf.DUMMYFUNCTION("""COMPUTED_VALUE"""),"OZ")</f>
        <v>OZ</v>
      </c>
      <c r="H24" s="74">
        <f>sumif('SEED INVENTORY'!$P$46:$P1000,A24,'SEED INVENTORY'!$Q$46:$Q1000)</f>
        <v>0</v>
      </c>
      <c r="I24" s="74" t="str">
        <f>vlookup(A24,'SEED INVENTORY'!$P$46:$R1000,3,False)</f>
        <v>#N/A</v>
      </c>
      <c r="J24" s="74">
        <f>sumif('SEED INVENTORY'!$T$46:$T1000,A24,'SEED INVENTORY'!$U$46:$U1000)</f>
        <v>0</v>
      </c>
    </row>
    <row r="25">
      <c r="A25" s="75" t="str">
        <f>IFERROR(__xludf.DUMMYFUNCTION("""COMPUTED_VALUE"""),"Accent Q (18 oz)")</f>
        <v>Accent Q (18 oz)</v>
      </c>
      <c r="D25" s="75">
        <f>IFERROR(__xludf.DUMMYFUNCTION("""COMPUTED_VALUE"""),298.3954)</f>
        <v>298.3954</v>
      </c>
      <c r="E25" s="75" t="str">
        <f>IFERROR(__xludf.DUMMYFUNCTION("""COMPUTED_VALUE"""),"OZ")</f>
        <v>OZ</v>
      </c>
      <c r="H25" s="74">
        <f>sumif('SEED INVENTORY'!$P$46:$P1000,A25,'SEED INVENTORY'!$Q$46:$Q1000)</f>
        <v>0</v>
      </c>
      <c r="I25" s="74" t="str">
        <f>vlookup(A25,'SEED INVENTORY'!$P$46:$R1000,3,False)</f>
        <v>#N/A</v>
      </c>
      <c r="J25" s="74">
        <f>sumif('SEED INVENTORY'!$T$46:$T1000,A25,'SEED INVENTORY'!$U$46:$U1000)</f>
        <v>0</v>
      </c>
    </row>
    <row r="26">
      <c r="A26" s="75" t="str">
        <f>IFERROR(__xludf.DUMMYFUNCTION("""COMPUTED_VALUE"""),"Atrazine 90DF (25 lb)")</f>
        <v>Atrazine 90DF (25 lb)</v>
      </c>
      <c r="D26" s="75">
        <f>IFERROR(__xludf.DUMMYFUNCTION("""COMPUTED_VALUE"""),35.669999999999995)</f>
        <v>35.67</v>
      </c>
      <c r="E26" s="75" t="str">
        <f>IFERROR(__xludf.DUMMYFUNCTION("""COMPUTED_VALUE"""),"Lbs")</f>
        <v>Lbs</v>
      </c>
      <c r="H26" s="74">
        <f>sumif('SEED INVENTORY'!$P$46:$P1000,A26,'SEED INVENTORY'!$Q$46:$Q1000)</f>
        <v>0</v>
      </c>
      <c r="I26" s="74" t="str">
        <f>vlookup(A26,'SEED INVENTORY'!$P$46:$R1000,3,False)</f>
        <v>#N/A</v>
      </c>
      <c r="J26" s="74">
        <f>sumif('SEED INVENTORY'!$T$46:$T1000,A26,'SEED INVENTORY'!$U$46:$U1000)</f>
        <v>0</v>
      </c>
    </row>
    <row r="27">
      <c r="A27" s="75" t="str">
        <f>IFERROR(__xludf.DUMMYFUNCTION("""COMPUTED_VALUE"""),"Authority First DF (2x10 Lb)")</f>
        <v>Authority First DF (2x10 Lb)</v>
      </c>
      <c r="D27" s="75">
        <f>IFERROR(__xludf.DUMMYFUNCTION("""COMPUTED_VALUE"""),0.0)</f>
        <v>0</v>
      </c>
      <c r="E27" s="75" t="str">
        <f>IFERROR(__xludf.DUMMYFUNCTION("""COMPUTED_VALUE"""),"OZ")</f>
        <v>OZ</v>
      </c>
      <c r="H27" s="74">
        <f>sumif('SEED INVENTORY'!$P$46:$P1000,A27,'SEED INVENTORY'!$Q$46:$Q1000)</f>
        <v>0</v>
      </c>
      <c r="I27" s="74" t="str">
        <f>vlookup(A27,'SEED INVENTORY'!$P$46:$R1000,3,False)</f>
        <v>#N/A</v>
      </c>
      <c r="J27" s="74">
        <f>sumif('SEED INVENTORY'!$T$46:$T1000,A27,'SEED INVENTORY'!$U$46:$U1000)</f>
        <v>0</v>
      </c>
    </row>
    <row r="28">
      <c r="A28" s="75" t="str">
        <f>IFERROR(__xludf.DUMMYFUNCTION("""COMPUTED_VALUE"""),"Basagran (2x2.5 Gal)")</f>
        <v>Basagran (2x2.5 Gal)</v>
      </c>
      <c r="D28" s="75">
        <f>IFERROR(__xludf.DUMMYFUNCTION("""COMPUTED_VALUE"""),8975.35)</f>
        <v>8975.35</v>
      </c>
      <c r="E28" s="75" t="str">
        <f>IFERROR(__xludf.DUMMYFUNCTION("""COMPUTED_VALUE"""),"OZ")</f>
        <v>OZ</v>
      </c>
      <c r="H28" s="74">
        <f>sumif('SEED INVENTORY'!$P$46:$P1000,A28,'SEED INVENTORY'!$Q$46:$Q1000)</f>
        <v>0</v>
      </c>
      <c r="I28" s="74" t="str">
        <f>vlookup(A28,'SEED INVENTORY'!$P$46:$R1000,3,False)</f>
        <v>#N/A</v>
      </c>
      <c r="J28" s="74">
        <f>sumif('SEED INVENTORY'!$T$46:$T1000,A28,'SEED INVENTORY'!$U$46:$U1000)</f>
        <v>0</v>
      </c>
    </row>
    <row r="29">
      <c r="A29" s="75" t="str">
        <f>IFERROR(__xludf.DUMMYFUNCTION("""COMPUTED_VALUE"""),"Blazer 94x1 Gal)")</f>
        <v>Blazer 94x1 Gal)</v>
      </c>
      <c r="D29" s="75" t="str">
        <f>IFERROR(__xludf.DUMMYFUNCTION("""COMPUTED_VALUE"""),"#DIV/0!")</f>
        <v>#DIV/0!</v>
      </c>
      <c r="E29" s="75" t="str">
        <f>IFERROR(__xludf.DUMMYFUNCTION("""COMPUTED_VALUE"""),"Tons")</f>
        <v>Tons</v>
      </c>
      <c r="H29" s="74">
        <f>sumif('SEED INVENTORY'!$P$46:$P1000,A29,'SEED INVENTORY'!$Q$46:$Q1000)</f>
        <v>0</v>
      </c>
      <c r="I29" s="74" t="str">
        <f>vlookup(A29,'SEED INVENTORY'!$P$46:$R1000,3,False)</f>
        <v>#N/A</v>
      </c>
      <c r="J29" s="74">
        <f>sumif('SEED INVENTORY'!$T$46:$T1000,A29,'SEED INVENTORY'!$U$46:$U1000)</f>
        <v>0</v>
      </c>
    </row>
    <row r="30">
      <c r="A30" s="75" t="str">
        <f>IFERROR(__xludf.DUMMYFUNCTION("""COMPUTED_VALUE"""),"Butyrac 200 (2x2.5 Gal)")</f>
        <v>Butyrac 200 (2x2.5 Gal)</v>
      </c>
      <c r="D30" s="75" t="str">
        <f>IFERROR(__xludf.DUMMYFUNCTION("""COMPUTED_VALUE"""),"#DIV/0!")</f>
        <v>#DIV/0!</v>
      </c>
      <c r="E30" s="75" t="str">
        <f>IFERROR(__xludf.DUMMYFUNCTION("""COMPUTED_VALUE"""),"Tons")</f>
        <v>Tons</v>
      </c>
      <c r="H30" s="74">
        <f>sumif('SEED INVENTORY'!$P$46:$P1000,A30,'SEED INVENTORY'!$Q$46:$Q1000)</f>
        <v>0</v>
      </c>
      <c r="I30" s="74" t="str">
        <f>vlookup(A30,'SEED INVENTORY'!$P$46:$R1000,3,False)</f>
        <v>#N/A</v>
      </c>
      <c r="J30" s="74">
        <f>sumif('SEED INVENTORY'!$T$46:$T1000,A30,'SEED INVENTORY'!$U$46:$U1000)</f>
        <v>0</v>
      </c>
    </row>
    <row r="31">
      <c r="A31" s="75" t="str">
        <f>IFERROR(__xludf.DUMMYFUNCTION("""COMPUTED_VALUE"""),"Capture LFR (2x2.5 Gal)")</f>
        <v>Capture LFR (2x2.5 Gal)</v>
      </c>
      <c r="D31" s="75">
        <f>IFERROR(__xludf.DUMMYFUNCTION("""COMPUTED_VALUE"""),18308.420000000002)</f>
        <v>18308.42</v>
      </c>
      <c r="E31" s="75" t="str">
        <f>IFERROR(__xludf.DUMMYFUNCTION("""COMPUTED_VALUE"""),"OZ")</f>
        <v>OZ</v>
      </c>
      <c r="H31" s="74">
        <f>sumif('SEED INVENTORY'!$P$46:$P1000,A31,'SEED INVENTORY'!$Q$46:$Q1000)</f>
        <v>0</v>
      </c>
      <c r="I31" s="74" t="str">
        <f>vlookup(A31,'SEED INVENTORY'!$P$46:$R1000,3,False)</f>
        <v>#N/A</v>
      </c>
      <c r="J31" s="74">
        <f>sumif('SEED INVENTORY'!$T$46:$T1000,A31,'SEED INVENTORY'!$U$46:$U1000)</f>
        <v>0</v>
      </c>
    </row>
    <row r="32">
      <c r="A32" s="75" t="str">
        <f>IFERROR(__xludf.DUMMYFUNCTION("""COMPUTED_VALUE"""),"Ceridian 2 EC (2x2.5 Gal)")</f>
        <v>Ceridian 2 EC (2x2.5 Gal)</v>
      </c>
      <c r="D32" s="75">
        <f>IFERROR(__xludf.DUMMYFUNCTION("""COMPUTED_VALUE"""),2592.52)</f>
        <v>2592.52</v>
      </c>
      <c r="E32" s="75" t="str">
        <f>IFERROR(__xludf.DUMMYFUNCTION("""COMPUTED_VALUE"""),"OZ")</f>
        <v>OZ</v>
      </c>
      <c r="H32" s="74">
        <f>sumif('SEED INVENTORY'!$P$46:$P1000,A32,'SEED INVENTORY'!$Q$46:$Q1000)</f>
        <v>0</v>
      </c>
      <c r="I32" s="74" t="str">
        <f>vlookup(A32,'SEED INVENTORY'!$P$46:$R1000,3,False)</f>
        <v>#N/A</v>
      </c>
      <c r="J32" s="74">
        <f>sumif('SEED INVENTORY'!$T$46:$T1000,A32,'SEED INVENTORY'!$U$46:$U1000)</f>
        <v>0</v>
      </c>
    </row>
    <row r="33">
      <c r="A33" s="75" t="str">
        <f>IFERROR(__xludf.DUMMYFUNCTION("""COMPUTED_VALUE"""),"Clarity (2x2.5 Gal)")</f>
        <v>Clarity (2x2.5 Gal)</v>
      </c>
      <c r="D33" s="75">
        <f>IFERROR(__xludf.DUMMYFUNCTION("""COMPUTED_VALUE"""),3585.6860799999995)</f>
        <v>3585.68608</v>
      </c>
      <c r="E33" s="75" t="str">
        <f>IFERROR(__xludf.DUMMYFUNCTION("""COMPUTED_VALUE"""),"OZ")</f>
        <v>OZ</v>
      </c>
      <c r="H33" s="74">
        <f>sumif('SEED INVENTORY'!$P$46:$P1000,A33,'SEED INVENTORY'!$Q$46:$Q1000)</f>
        <v>0</v>
      </c>
      <c r="I33" s="74" t="str">
        <f>vlookup(A33,'SEED INVENTORY'!$P$46:$R1000,3,False)</f>
        <v>#N/A</v>
      </c>
      <c r="J33" s="74">
        <f>sumif('SEED INVENTORY'!$T$46:$T1000,A33,'SEED INVENTORY'!$U$46:$U1000)</f>
        <v>0</v>
      </c>
    </row>
    <row r="34">
      <c r="A34" s="75" t="str">
        <f>IFERROR(__xludf.DUMMYFUNCTION("""COMPUTED_VALUE"""),"Crop Oil (2x2.5 Gal)")</f>
        <v>Crop Oil (2x2.5 Gal)</v>
      </c>
      <c r="D34" s="75">
        <f>IFERROR(__xludf.DUMMYFUNCTION("""COMPUTED_VALUE"""),8245.926)</f>
        <v>8245.926</v>
      </c>
      <c r="E34" s="75" t="str">
        <f>IFERROR(__xludf.DUMMYFUNCTION("""COMPUTED_VALUE"""),"OZ")</f>
        <v>OZ</v>
      </c>
      <c r="H34" s="74">
        <f>sumif('SEED INVENTORY'!$P$46:$P1000,A34,'SEED INVENTORY'!$Q$46:$Q1000)</f>
        <v>0</v>
      </c>
      <c r="I34" s="74" t="str">
        <f>vlookup(A34,'SEED INVENTORY'!$P$46:$R1000,3,False)</f>
        <v>#N/A</v>
      </c>
      <c r="J34" s="74">
        <f>sumif('SEED INVENTORY'!$T$46:$T1000,A34,'SEED INVENTORY'!$U$46:$U1000)</f>
        <v>0</v>
      </c>
    </row>
    <row r="35">
      <c r="A35" s="75" t="str">
        <f>IFERROR(__xludf.DUMMYFUNCTION("""COMPUTED_VALUE"""),"Cobra (2x2.5 Gal)")</f>
        <v>Cobra (2x2.5 Gal)</v>
      </c>
      <c r="D35" s="75">
        <f>IFERROR(__xludf.DUMMYFUNCTION("""COMPUTED_VALUE"""),3332.2599999999998)</f>
        <v>3332.26</v>
      </c>
      <c r="E35" s="75" t="str">
        <f>IFERROR(__xludf.DUMMYFUNCTION("""COMPUTED_VALUE"""),"OZ")</f>
        <v>OZ</v>
      </c>
      <c r="H35" s="74">
        <f>sumif('SEED INVENTORY'!$P$46:$P1000,A35,'SEED INVENTORY'!$Q$46:$Q1000)</f>
        <v>0</v>
      </c>
      <c r="I35" s="74" t="str">
        <f>vlookup(A35,'SEED INVENTORY'!$P$46:$R1000,3,False)</f>
        <v>#N/A</v>
      </c>
      <c r="J35" s="74">
        <f>sumif('SEED INVENTORY'!$T$46:$T1000,A35,'SEED INVENTORY'!$U$46:$U1000)</f>
        <v>0</v>
      </c>
    </row>
    <row r="36">
      <c r="A36" s="75" t="str">
        <f>IFERROR(__xludf.DUMMYFUNCTION("""COMPUTED_VALUE"""),"Distinct (2x7.5 Lb)")</f>
        <v>Distinct (2x7.5 Lb)</v>
      </c>
      <c r="D36" s="75">
        <f>IFERROR(__xludf.DUMMYFUNCTION("""COMPUTED_VALUE"""),0.0)</f>
        <v>0</v>
      </c>
      <c r="E36" s="75" t="str">
        <f>IFERROR(__xludf.DUMMYFUNCTION("""COMPUTED_VALUE"""),"Lbs")</f>
        <v>Lbs</v>
      </c>
      <c r="H36" s="74">
        <f>sumif('SEED INVENTORY'!$P$46:$P1000,A36,'SEED INVENTORY'!$Q$46:$Q1000)</f>
        <v>0</v>
      </c>
      <c r="I36" s="74" t="str">
        <f>vlookup(A36,'SEED INVENTORY'!$P$46:$R1000,3,False)</f>
        <v>#N/A</v>
      </c>
      <c r="J36" s="74">
        <f>sumif('SEED INVENTORY'!$T$46:$T1000,A36,'SEED INVENTORY'!$U$46:$U1000)</f>
        <v>0</v>
      </c>
    </row>
    <row r="37">
      <c r="A37" s="75" t="str">
        <f>IFERROR(__xludf.DUMMYFUNCTION("""COMPUTED_VALUE"""),"Durango DMA (Bulk)")</f>
        <v>Durango DMA (Bulk)</v>
      </c>
      <c r="D37" s="75">
        <f>IFERROR(__xludf.DUMMYFUNCTION("""COMPUTED_VALUE"""),7926.33)</f>
        <v>7926.33</v>
      </c>
      <c r="E37" s="75" t="str">
        <f>IFERROR(__xludf.DUMMYFUNCTION("""COMPUTED_VALUE"""),"OZ")</f>
        <v>OZ</v>
      </c>
      <c r="H37" s="74">
        <f>sumif('SEED INVENTORY'!$P$46:$P1000,A37,'SEED INVENTORY'!$Q$46:$Q1000)</f>
        <v>0</v>
      </c>
      <c r="I37" s="74" t="str">
        <f>vlookup(A37,'SEED INVENTORY'!$P$46:$R1000,3,False)</f>
        <v>#N/A</v>
      </c>
      <c r="J37" s="74">
        <f>sumif('SEED INVENTORY'!$T$46:$T1000,A37,'SEED INVENTORY'!$U$46:$U1000)</f>
        <v>0</v>
      </c>
    </row>
    <row r="38">
      <c r="A38" s="75" t="str">
        <f>IFERROR(__xludf.DUMMYFUNCTION("""COMPUTED_VALUE"""),"Durango DMA (2X2.5 Gal)")</f>
        <v>Durango DMA (2X2.5 Gal)</v>
      </c>
      <c r="D38" s="75">
        <f>IFERROR(__xludf.DUMMYFUNCTION("""COMPUTED_VALUE"""),7447.98)</f>
        <v>7447.98</v>
      </c>
      <c r="E38" s="75" t="str">
        <f>IFERROR(__xludf.DUMMYFUNCTION("""COMPUTED_VALUE"""),"OZ")</f>
        <v>OZ</v>
      </c>
      <c r="H38" s="74">
        <f>sumif('SEED INVENTORY'!$P$46:$P1000,A38,'SEED INVENTORY'!$Q$46:$Q1000)</f>
        <v>0</v>
      </c>
      <c r="I38" s="74" t="str">
        <f>vlookup(A38,'SEED INVENTORY'!$P$46:$R1000,3,False)</f>
        <v>#N/A</v>
      </c>
      <c r="J38" s="74">
        <f>sumif('SEED INVENTORY'!$T$46:$T1000,A38,'SEED INVENTORY'!$U$46:$U1000)</f>
        <v>0</v>
      </c>
    </row>
    <row r="39">
      <c r="A39" s="75" t="str">
        <f>IFERROR(__xludf.DUMMYFUNCTION("""COMPUTED_VALUE"""),"Ester 2,4-D LV (2x2.5 Gal)")</f>
        <v>Ester 2,4-D LV (2x2.5 Gal)</v>
      </c>
      <c r="D39" s="75" t="str">
        <f>IFERROR(__xludf.DUMMYFUNCTION("""COMPUTED_VALUE"""),"#DIV/0!")</f>
        <v>#DIV/0!</v>
      </c>
      <c r="E39" s="75" t="str">
        <f>IFERROR(__xludf.DUMMYFUNCTION("""COMPUTED_VALUE"""),"Tons")</f>
        <v>Tons</v>
      </c>
      <c r="H39" s="74">
        <f>sumif('SEED INVENTORY'!$P$46:$P1000,A39,'SEED INVENTORY'!$Q$46:$Q1000)</f>
        <v>0</v>
      </c>
      <c r="I39" s="74" t="str">
        <f>vlookup(A39,'SEED INVENTORY'!$P$46:$R1000,3,False)</f>
        <v>#N/A</v>
      </c>
      <c r="J39" s="74">
        <f>sumif('SEED INVENTORY'!$T$46:$T1000,A39,'SEED INVENTORY'!$U$46:$U1000)</f>
        <v>0</v>
      </c>
    </row>
    <row r="40">
      <c r="A40" s="75" t="str">
        <f>IFERROR(__xludf.DUMMYFUNCTION("""COMPUTED_VALUE"""),"Exceed Soy Inoculant (30 Unit)")</f>
        <v>Exceed Soy Inoculant (30 Unit)</v>
      </c>
      <c r="D40" s="75">
        <f>IFERROR(__xludf.DUMMYFUNCTION("""COMPUTED_VALUE"""),0.0)</f>
        <v>0</v>
      </c>
      <c r="E40" s="75" t="str">
        <f>IFERROR(__xludf.DUMMYFUNCTION("""COMPUTED_VALUE"""),"UNIT")</f>
        <v>UNIT</v>
      </c>
      <c r="H40" s="74">
        <f>sumif('SEED INVENTORY'!$P$46:$P1000,A40,'SEED INVENTORY'!$Q$46:$Q1000)</f>
        <v>0</v>
      </c>
      <c r="I40" s="74" t="str">
        <f>vlookup(A40,'SEED INVENTORY'!$P$46:$R1000,3,False)</f>
        <v>#N/A</v>
      </c>
      <c r="J40" s="74">
        <f>sumif('SEED INVENTORY'!$T$46:$T1000,A40,'SEED INVENTORY'!$U$46:$U1000)</f>
        <v>0</v>
      </c>
    </row>
    <row r="41">
      <c r="A41" s="75" t="str">
        <f>IFERROR(__xludf.DUMMYFUNCTION("""COMPUTED_VALUE"""),"Flexstar (2x2.5 Gal)")</f>
        <v>Flexstar (2x2.5 Gal)</v>
      </c>
      <c r="D41" s="75">
        <f>IFERROR(__xludf.DUMMYFUNCTION("""COMPUTED_VALUE"""),0.0)</f>
        <v>0</v>
      </c>
      <c r="E41" s="75" t="str">
        <f>IFERROR(__xludf.DUMMYFUNCTION("""COMPUTED_VALUE"""),"Pts")</f>
        <v>Pts</v>
      </c>
      <c r="H41" s="74">
        <f>sumif('SEED INVENTORY'!$P$46:$P1000,A41,'SEED INVENTORY'!$Q$46:$Q1000)</f>
        <v>0</v>
      </c>
      <c r="I41" s="74" t="str">
        <f>vlookup(A41,'SEED INVENTORY'!$P$46:$R1000,3,False)</f>
        <v>#N/A</v>
      </c>
      <c r="J41" s="74">
        <f>sumif('SEED INVENTORY'!$T$46:$T1000,A41,'SEED INVENTORY'!$U$46:$U1000)</f>
        <v>0</v>
      </c>
    </row>
    <row r="42">
      <c r="A42" s="75" t="str">
        <f>IFERROR(__xludf.DUMMYFUNCTION("""COMPUTED_VALUE"""),"Grid Sampling (2.5 ac.)")</f>
        <v>Grid Sampling (2.5 ac.)</v>
      </c>
      <c r="D42" s="75">
        <f>IFERROR(__xludf.DUMMYFUNCTION("""COMPUTED_VALUE"""),0.0)</f>
        <v>0</v>
      </c>
      <c r="E42" s="75" t="str">
        <f>IFERROR(__xludf.DUMMYFUNCTION("""COMPUTED_VALUE"""),"Acre")</f>
        <v>Acre</v>
      </c>
      <c r="H42" s="74">
        <f>sumif('SEED INVENTORY'!$P$46:$P1000,A42,'SEED INVENTORY'!$Q$46:$Q1000)</f>
        <v>0</v>
      </c>
      <c r="I42" s="74" t="str">
        <f>vlookup(A42,'SEED INVENTORY'!$P$46:$R1000,3,False)</f>
        <v>#N/A</v>
      </c>
      <c r="J42" s="74">
        <f>sumif('SEED INVENTORY'!$T$46:$T1000,A42,'SEED INVENTORY'!$U$46:$U1000)</f>
        <v>0</v>
      </c>
    </row>
    <row r="43">
      <c r="A43" s="75" t="str">
        <f>IFERROR(__xludf.DUMMYFUNCTION("""COMPUTED_VALUE"""),"Grid Sampling (5 ac.)")</f>
        <v>Grid Sampling (5 ac.)</v>
      </c>
      <c r="D43" s="75">
        <f>IFERROR(__xludf.DUMMYFUNCTION("""COMPUTED_VALUE"""),20.400000000000002)</f>
        <v>20.4</v>
      </c>
      <c r="E43" s="75" t="str">
        <f>IFERROR(__xludf.DUMMYFUNCTION("""COMPUTED_VALUE"""),"Acre")</f>
        <v>Acre</v>
      </c>
      <c r="H43" s="74">
        <f>sumif('SEED INVENTORY'!$P$46:$P1000,A43,'SEED INVENTORY'!$Q$46:$Q1000)</f>
        <v>0</v>
      </c>
      <c r="I43" s="74" t="str">
        <f>vlookup(A43,'SEED INVENTORY'!$P$46:$R1000,3,False)</f>
        <v>#N/A</v>
      </c>
      <c r="J43" s="74">
        <f>sumif('SEED INVENTORY'!$T$46:$T1000,A43,'SEED INVENTORY'!$U$46:$U1000)</f>
        <v>0</v>
      </c>
    </row>
    <row r="44">
      <c r="A44" s="75" t="str">
        <f>IFERROR(__xludf.DUMMYFUNCTION("""COMPUTED_VALUE"""),"Huskie (2x2.5 Gal)")</f>
        <v>Huskie (2x2.5 Gal)</v>
      </c>
      <c r="D44" s="75">
        <f>IFERROR(__xludf.DUMMYFUNCTION("""COMPUTED_VALUE"""),2291.8004)</f>
        <v>2291.8004</v>
      </c>
      <c r="E44" s="75" t="str">
        <f>IFERROR(__xludf.DUMMYFUNCTION("""COMPUTED_VALUE"""),"OZ")</f>
        <v>OZ</v>
      </c>
      <c r="H44" s="74">
        <f>sumif('SEED INVENTORY'!$P$46:$P1000,A44,'SEED INVENTORY'!$Q$46:$Q1000)</f>
        <v>0</v>
      </c>
      <c r="I44" s="74" t="str">
        <f>vlookup(A44,'SEED INVENTORY'!$P$46:$R1000,3,False)</f>
        <v>#N/A</v>
      </c>
      <c r="J44" s="74">
        <f>sumif('SEED INVENTORY'!$T$46:$T1000,A44,'SEED INVENTORY'!$U$46:$U1000)</f>
        <v>0</v>
      </c>
    </row>
    <row r="45">
      <c r="A45" s="75" t="str">
        <f>IFERROR(__xludf.DUMMYFUNCTION("""COMPUTED_VALUE"""),"Hexus D (5x12 Lb)")</f>
        <v>Hexus D (5x12 Lb)</v>
      </c>
      <c r="D45" s="75">
        <f>IFERROR(__xludf.DUMMYFUNCTION("""COMPUTED_VALUE"""),0.0)</f>
        <v>0</v>
      </c>
      <c r="E45" s="75" t="str">
        <f>IFERROR(__xludf.DUMMYFUNCTION("""COMPUTED_VALUE"""),"Lbs")</f>
        <v>Lbs</v>
      </c>
      <c r="H45" s="74">
        <f>sumif('SEED INVENTORY'!$P$46:$P1000,A45,'SEED INVENTORY'!$Q$46:$Q1000)</f>
        <v>0</v>
      </c>
      <c r="I45" s="74" t="str">
        <f>vlookup(A45,'SEED INVENTORY'!$P$46:$R1000,3,False)</f>
        <v>#N/A</v>
      </c>
      <c r="J45" s="74">
        <f>sumif('SEED INVENTORY'!$T$46:$T1000,A45,'SEED INVENTORY'!$U$46:$U1000)</f>
        <v>0</v>
      </c>
    </row>
    <row r="46">
      <c r="A46" s="75" t="str">
        <f>IFERROR(__xludf.DUMMYFUNCTION("""COMPUTED_VALUE"""),"Ilevo Nematicide/SDS (140K) Seed Treatment")</f>
        <v>Ilevo Nematicide/SDS (140K) Seed Treatment</v>
      </c>
      <c r="D46" s="75">
        <f>IFERROR(__xludf.DUMMYFUNCTION("""COMPUTED_VALUE"""),0.0)</f>
        <v>0</v>
      </c>
      <c r="E46" s="75" t="str">
        <f>IFERROR(__xludf.DUMMYFUNCTION("""COMPUTED_VALUE"""),"Each")</f>
        <v>Each</v>
      </c>
      <c r="H46" s="74">
        <f>sumif('SEED INVENTORY'!$P$46:$P1000,A46,'SEED INVENTORY'!$Q$46:$Q1000)</f>
        <v>0</v>
      </c>
      <c r="I46" s="74" t="str">
        <f>vlookup(A46,'SEED INVENTORY'!$P$46:$R1000,3,False)</f>
        <v>#N/A</v>
      </c>
      <c r="J46" s="74">
        <f>sumif('SEED INVENTORY'!$T$46:$T1000,A46,'SEED INVENTORY'!$U$46:$U1000)</f>
        <v>0</v>
      </c>
    </row>
    <row r="47">
      <c r="A47" s="75" t="str">
        <f>IFERROR(__xludf.DUMMYFUNCTION("""COMPUTED_VALUE"""),"Inflame 280SL (265 Gal)")</f>
        <v>Inflame 280SL (265 Gal)</v>
      </c>
      <c r="D47" s="75" t="str">
        <f>IFERROR(__xludf.DUMMYFUNCTION("""COMPUTED_VALUE"""),"#DIV/0!")</f>
        <v>#DIV/0!</v>
      </c>
      <c r="E47" s="75" t="str">
        <f>IFERROR(__xludf.DUMMYFUNCTION("""COMPUTED_VALUE"""),"Tons")</f>
        <v>Tons</v>
      </c>
      <c r="H47" s="74">
        <f>sumif('SEED INVENTORY'!$P$46:$P1000,A47,'SEED INVENTORY'!$Q$46:$Q1000)</f>
        <v>0</v>
      </c>
      <c r="I47" s="74" t="str">
        <f>vlookup(A47,'SEED INVENTORY'!$P$46:$R1000,3,False)</f>
        <v>#N/A</v>
      </c>
      <c r="J47" s="74">
        <f>sumif('SEED INVENTORY'!$T$46:$T1000,A47,'SEED INVENTORY'!$U$46:$U1000)</f>
        <v>0</v>
      </c>
    </row>
    <row r="48">
      <c r="A48" s="75" t="str">
        <f>IFERROR(__xludf.DUMMYFUNCTION("""COMPUTED_VALUE"""),"Jumbo Bagd")</f>
        <v>Jumbo Bagd</v>
      </c>
      <c r="D48" s="75">
        <f>IFERROR(__xludf.DUMMYFUNCTION("""COMPUTED_VALUE"""),0.0)</f>
        <v>0</v>
      </c>
      <c r="E48" s="75" t="str">
        <f>IFERROR(__xludf.DUMMYFUNCTION("""COMPUTED_VALUE"""),"Each")</f>
        <v>Each</v>
      </c>
      <c r="H48" s="74">
        <f>sumif('SEED INVENTORY'!$P$46:$P1000,A48,'SEED INVENTORY'!$Q$46:$Q1000)</f>
        <v>0</v>
      </c>
      <c r="I48" s="74" t="str">
        <f>vlookup(A48,'SEED INVENTORY'!$P$46:$R1000,3,False)</f>
        <v>#N/A</v>
      </c>
      <c r="J48" s="74">
        <f>sumif('SEED INVENTORY'!$T$46:$T1000,A48,'SEED INVENTORY'!$U$46:$U1000)</f>
        <v>0</v>
      </c>
    </row>
    <row r="49">
      <c r="A49" s="75" t="str">
        <f>IFERROR(__xludf.DUMMYFUNCTION("""COMPUTED_VALUE"""),"Laudis (4x128 oz)")</f>
        <v>Laudis (4x128 oz)</v>
      </c>
      <c r="D49" s="75">
        <f>IFERROR(__xludf.DUMMYFUNCTION("""COMPUTED_VALUE"""),0.0)</f>
        <v>0</v>
      </c>
      <c r="E49" s="75" t="str">
        <f>IFERROR(__xludf.DUMMYFUNCTION("""COMPUTED_VALUE"""),"OZ")</f>
        <v>OZ</v>
      </c>
      <c r="H49" s="74">
        <f>sumif('SEED INVENTORY'!$P$46:$P1000,A49,'SEED INVENTORY'!$Q$46:$Q1000)</f>
        <v>0</v>
      </c>
      <c r="I49" s="74" t="str">
        <f>vlookup(A49,'SEED INVENTORY'!$P$46:$R1000,3,False)</f>
        <v>#N/A</v>
      </c>
      <c r="J49" s="74">
        <f>sumif('SEED INVENTORY'!$T$46:$T1000,A49,'SEED INVENTORY'!$U$46:$U1000)</f>
        <v>0</v>
      </c>
    </row>
    <row r="50">
      <c r="A50" s="75" t="str">
        <f>IFERROR(__xludf.DUMMYFUNCTION("""COMPUTED_VALUE"""),"Mauler (2x2.5 Gal)")</f>
        <v>Mauler (2x2.5 Gal)</v>
      </c>
      <c r="D50" s="75">
        <f>IFERROR(__xludf.DUMMYFUNCTION("""COMPUTED_VALUE"""),988.106)</f>
        <v>988.106</v>
      </c>
      <c r="E50" s="75" t="str">
        <f>IFERROR(__xludf.DUMMYFUNCTION("""COMPUTED_VALUE"""),"OZ")</f>
        <v>OZ</v>
      </c>
      <c r="H50" s="74">
        <f>sumif('SEED INVENTORY'!$P$46:$P1000,A50,'SEED INVENTORY'!$Q$46:$Q1000)</f>
        <v>0</v>
      </c>
      <c r="I50" s="74" t="str">
        <f>vlookup(A50,'SEED INVENTORY'!$P$46:$R1000,3,False)</f>
        <v>#N/A</v>
      </c>
      <c r="J50" s="74">
        <f>sumif('SEED INVENTORY'!$T$46:$T1000,A50,'SEED INVENTORY'!$U$46:$U1000)</f>
        <v>0</v>
      </c>
    </row>
    <row r="51">
      <c r="A51" s="75" t="str">
        <f>IFERROR(__xludf.DUMMYFUNCTION("""COMPUTED_VALUE"""),"Meth Oil, Insource (2.25 Gal)")</f>
        <v>Meth Oil, Insource (2.25 Gal)</v>
      </c>
      <c r="D51" s="75">
        <f>IFERROR(__xludf.DUMMYFUNCTION("""COMPUTED_VALUE"""),2552.96)</f>
        <v>2552.96</v>
      </c>
      <c r="E51" s="75" t="str">
        <f>IFERROR(__xludf.DUMMYFUNCTION("""COMPUTED_VALUE"""),"OZ")</f>
        <v>OZ</v>
      </c>
      <c r="H51" s="74">
        <f>sumif('SEED INVENTORY'!$P$46:$P1000,A51,'SEED INVENTORY'!$Q$46:$Q1000)</f>
        <v>0</v>
      </c>
      <c r="I51" s="74" t="str">
        <f>vlookup(A51,'SEED INVENTORY'!$P$46:$R1000,3,False)</f>
        <v>#N/A</v>
      </c>
      <c r="J51" s="74">
        <f>sumif('SEED INVENTORY'!$T$46:$T1000,A51,'SEED INVENTORY'!$U$46:$U1000)</f>
        <v>0</v>
      </c>
    </row>
    <row r="52">
      <c r="A52" s="75" t="str">
        <f>IFERROR(__xludf.DUMMYFUNCTION("""COMPUTED_VALUE"""),"Meth Oil (265 Gal)")</f>
        <v>Meth Oil (265 Gal)</v>
      </c>
      <c r="D52" s="75" t="str">
        <f>IFERROR(__xludf.DUMMYFUNCTION("""COMPUTED_VALUE"""),"#DIV/0!")</f>
        <v>#DIV/0!</v>
      </c>
      <c r="E52" s="75" t="str">
        <f>IFERROR(__xludf.DUMMYFUNCTION("""COMPUTED_VALUE"""),"Tons")</f>
        <v>Tons</v>
      </c>
      <c r="H52" s="74">
        <f>sumif('SEED INVENTORY'!$P$46:$P1000,A52,'SEED INVENTORY'!$Q$46:$Q1000)</f>
        <v>0</v>
      </c>
      <c r="I52" s="74" t="str">
        <f>vlookup(A52,'SEED INVENTORY'!$P$46:$R1000,3,False)</f>
        <v>#N/A</v>
      </c>
      <c r="J52" s="74">
        <f>sumif('SEED INVENTORY'!$T$46:$T1000,A52,'SEED INVENTORY'!$U$46:$U1000)</f>
        <v>0</v>
      </c>
    </row>
    <row r="53">
      <c r="A53" s="75" t="str">
        <f>IFERROR(__xludf.DUMMYFUNCTION("""COMPUTED_VALUE"""),"Micro Sampling")</f>
        <v>Micro Sampling</v>
      </c>
      <c r="D53" s="75">
        <f>IFERROR(__xludf.DUMMYFUNCTION("""COMPUTED_VALUE"""),20.400000000000002)</f>
        <v>20.4</v>
      </c>
      <c r="E53" s="75" t="str">
        <f>IFERROR(__xludf.DUMMYFUNCTION("""COMPUTED_VALUE"""),"Each")</f>
        <v>Each</v>
      </c>
      <c r="H53" s="74">
        <f>sumif('SEED INVENTORY'!$P$46:$P1000,A53,'SEED INVENTORY'!$Q$46:$Q1000)</f>
        <v>0</v>
      </c>
      <c r="I53" s="74" t="str">
        <f>vlookup(A53,'SEED INVENTORY'!$P$46:$R1000,3,False)</f>
        <v>#N/A</v>
      </c>
      <c r="J53" s="74">
        <f>sumif('SEED INVENTORY'!$T$46:$T1000,A53,'SEED INVENTORY'!$U$46:$U1000)</f>
        <v>0</v>
      </c>
    </row>
    <row r="54">
      <c r="A54" s="75" t="str">
        <f>IFERROR(__xludf.DUMMYFUNCTION("""COMPUTED_VALUE"""),"Outlook (Bulk)")</f>
        <v>Outlook (Bulk)</v>
      </c>
      <c r="D54" s="75">
        <f>IFERROR(__xludf.DUMMYFUNCTION("""COMPUTED_VALUE"""),18993.997808)</f>
        <v>18993.99781</v>
      </c>
      <c r="E54" s="75" t="str">
        <f>IFERROR(__xludf.DUMMYFUNCTION("""COMPUTED_VALUE"""),"OZ")</f>
        <v>OZ</v>
      </c>
      <c r="H54" s="74">
        <f>sumif('SEED INVENTORY'!$P$46:$P1000,A54,'SEED INVENTORY'!$Q$46:$Q1000)</f>
        <v>0</v>
      </c>
      <c r="I54" s="74" t="str">
        <f>vlookup(A54,'SEED INVENTORY'!$P$46:$R1000,3,False)</f>
        <v>#N/A</v>
      </c>
      <c r="J54" s="74">
        <f>sumif('SEED INVENTORY'!$T$46:$T1000,A54,'SEED INVENTORY'!$U$46:$U1000)</f>
        <v>0</v>
      </c>
    </row>
    <row r="55">
      <c r="A55" s="75" t="str">
        <f>IFERROR(__xludf.DUMMYFUNCTION("""COMPUTED_VALUE"""),"Plexus II (2x2.5 Gal)")</f>
        <v>Plexus II (2x2.5 Gal)</v>
      </c>
      <c r="D55" s="75">
        <f>IFERROR(__xludf.DUMMYFUNCTION("""COMPUTED_VALUE"""),0.0)</f>
        <v>0</v>
      </c>
      <c r="E55" s="75" t="str">
        <f>IFERROR(__xludf.DUMMYFUNCTION("""COMPUTED_VALUE"""),"OZ")</f>
        <v>OZ</v>
      </c>
      <c r="H55" s="74">
        <f>sumif('SEED INVENTORY'!$P$46:$P1000,A55,'SEED INVENTORY'!$Q$46:$Q1000)</f>
        <v>0</v>
      </c>
      <c r="I55" s="74" t="str">
        <f>vlookup(A55,'SEED INVENTORY'!$P$46:$R1000,3,False)</f>
        <v>#N/A</v>
      </c>
      <c r="J55" s="74">
        <f>sumif('SEED INVENTORY'!$T$46:$T1000,A55,'SEED INVENTORY'!$U$46:$U1000)</f>
        <v>0</v>
      </c>
    </row>
    <row r="56">
      <c r="A56" s="75" t="str">
        <f>IFERROR(__xludf.DUMMYFUNCTION("""COMPUTED_VALUE"""),"Ppst 120 (140K) Inoculant")</f>
        <v>Ppst 120 (140K) Inoculant</v>
      </c>
      <c r="D56" s="75">
        <f>IFERROR(__xludf.DUMMYFUNCTION("""COMPUTED_VALUE"""),0.0)</f>
        <v>0</v>
      </c>
      <c r="E56" s="75" t="str">
        <f>IFERROR(__xludf.DUMMYFUNCTION("""COMPUTED_VALUE"""),"Pack")</f>
        <v>Pack</v>
      </c>
      <c r="H56" s="74">
        <f>sumif('SEED INVENTORY'!$P$46:$P1000,A56,'SEED INVENTORY'!$Q$46:$Q1000)</f>
        <v>0</v>
      </c>
      <c r="I56" s="74" t="str">
        <f>vlookup(A56,'SEED INVENTORY'!$P$46:$R1000,3,False)</f>
        <v>#N/A</v>
      </c>
      <c r="J56" s="74">
        <f>sumif('SEED INVENTORY'!$T$46:$T1000,A56,'SEED INVENTORY'!$U$46:$U1000)</f>
        <v>0</v>
      </c>
    </row>
    <row r="57">
      <c r="A57" s="75" t="str">
        <f>IFERROR(__xludf.DUMMYFUNCTION("""COMPUTED_VALUE"""),"Ppst Fst/Ist (140K) Seed Treatment")</f>
        <v>Ppst Fst/Ist (140K) Seed Treatment</v>
      </c>
      <c r="D57" s="75">
        <f>IFERROR(__xludf.DUMMYFUNCTION("""COMPUTED_VALUE"""),2.6)</f>
        <v>2.6</v>
      </c>
      <c r="E57" s="75" t="str">
        <f>IFERROR(__xludf.DUMMYFUNCTION("""COMPUTED_VALUE"""),"Pack")</f>
        <v>Pack</v>
      </c>
      <c r="H57" s="74">
        <f>sumif('SEED INVENTORY'!$P$46:$P1000,A57,'SEED INVENTORY'!$Q$46:$Q1000)</f>
        <v>0</v>
      </c>
      <c r="I57" s="74" t="str">
        <f>vlookup(A57,'SEED INVENTORY'!$P$46:$R1000,3,False)</f>
        <v>#N/A</v>
      </c>
      <c r="J57" s="74">
        <f>sumif('SEED INVENTORY'!$T$46:$T1000,A57,'SEED INVENTORY'!$U$46:$U1000)</f>
        <v>0</v>
      </c>
    </row>
    <row r="58">
      <c r="A58" s="75" t="str">
        <f>IFERROR(__xludf.DUMMYFUNCTION("""COMPUTED_VALUE"""),"Premium Ams (51 Lb)")</f>
        <v>Premium Ams (51 Lb)</v>
      </c>
      <c r="D58" s="75">
        <f>IFERROR(__xludf.DUMMYFUNCTION("""COMPUTED_VALUE"""),5586.014383999999)</f>
        <v>5586.014384</v>
      </c>
      <c r="E58" s="75" t="str">
        <f>IFERROR(__xludf.DUMMYFUNCTION("""COMPUTED_VALUE"""),"Lbs")</f>
        <v>Lbs</v>
      </c>
      <c r="H58" s="74">
        <f>sumif('SEED INVENTORY'!$P$46:$P1000,A58,'SEED INVENTORY'!$Q$46:$Q1000)</f>
        <v>0</v>
      </c>
      <c r="I58" s="74" t="str">
        <f>vlookup(A58,'SEED INVENTORY'!$P$46:$R1000,3,False)</f>
        <v>#N/A</v>
      </c>
      <c r="J58" s="74">
        <f>sumif('SEED INVENTORY'!$T$46:$T1000,A58,'SEED INVENTORY'!$U$46:$U1000)</f>
        <v>0</v>
      </c>
    </row>
    <row r="59">
      <c r="A59" s="75" t="str">
        <f>IFERROR(__xludf.DUMMYFUNCTION("""COMPUTED_VALUE"""),"Plexus II")</f>
        <v>Plexus II</v>
      </c>
      <c r="D59" s="75" t="str">
        <f>IFERROR(__xludf.DUMMYFUNCTION("""COMPUTED_VALUE"""),"#DIV/0!")</f>
        <v>#DIV/0!</v>
      </c>
      <c r="E59" s="75" t="str">
        <f>IFERROR(__xludf.DUMMYFUNCTION("""COMPUTED_VALUE"""),"Tons")</f>
        <v>Tons</v>
      </c>
      <c r="H59" s="74">
        <f>sumif('SEED INVENTORY'!$P$46:$P1000,A59,'SEED INVENTORY'!$Q$46:$Q1000)</f>
        <v>0</v>
      </c>
      <c r="I59" s="74" t="str">
        <f>vlookup(A59,'SEED INVENTORY'!$P$46:$R1000,3,False)</f>
        <v>#N/A</v>
      </c>
      <c r="J59" s="74">
        <f>sumif('SEED INVENTORY'!$T$46:$T1000,A59,'SEED INVENTORY'!$U$46:$U1000)</f>
        <v>0</v>
      </c>
    </row>
    <row r="60">
      <c r="A60" s="75" t="str">
        <f>IFERROR(__xludf.DUMMYFUNCTION("""COMPUTED_VALUE"""),"Prepay All Products")</f>
        <v>Prepay All Products</v>
      </c>
      <c r="D60" s="75" t="str">
        <f>IFERROR(__xludf.DUMMYFUNCTION("""COMPUTED_VALUE"""),"#DIV/0!")</f>
        <v>#DIV/0!</v>
      </c>
      <c r="E60" s="75" t="str">
        <f>IFERROR(__xludf.DUMMYFUNCTION("""COMPUTED_VALUE"""),"Tons")</f>
        <v>Tons</v>
      </c>
      <c r="H60" s="74">
        <f>sumif('SEED INVENTORY'!$P$46:$P1000,A60,'SEED INVENTORY'!$Q$46:$Q1000)</f>
        <v>0</v>
      </c>
      <c r="I60" s="74" t="str">
        <f>vlookup(A60,'SEED INVENTORY'!$P$46:$R1000,3,False)</f>
        <v>#N/A</v>
      </c>
      <c r="J60" s="74">
        <f>sumif('SEED INVENTORY'!$T$46:$T1000,A60,'SEED INVENTORY'!$U$46:$U1000)</f>
        <v>0</v>
      </c>
    </row>
    <row r="61">
      <c r="A61" s="75" t="str">
        <f>IFERROR(__xludf.DUMMYFUNCTION("""COMPUTED_VALUE"""),"Prowl H2O (2x2.5 Gal)")</f>
        <v>Prowl H2O (2x2.5 Gal)</v>
      </c>
      <c r="D61" s="75">
        <f>IFERROR(__xludf.DUMMYFUNCTION("""COMPUTED_VALUE"""),411.02400000000006)</f>
        <v>411.024</v>
      </c>
      <c r="E61" s="75" t="str">
        <f>IFERROR(__xludf.DUMMYFUNCTION("""COMPUTED_VALUE"""),"Pts")</f>
        <v>Pts</v>
      </c>
      <c r="H61" s="74">
        <f>sumif('SEED INVENTORY'!$P$46:$P1000,A61,'SEED INVENTORY'!$Q$46:$Q1000)</f>
        <v>0</v>
      </c>
      <c r="I61" s="74" t="str">
        <f>vlookup(A61,'SEED INVENTORY'!$P$46:$R1000,3,False)</f>
        <v>#N/A</v>
      </c>
      <c r="J61" s="74">
        <f>sumif('SEED INVENTORY'!$T$46:$T1000,A61,'SEED INVENTORY'!$U$46:$U1000)</f>
        <v>0</v>
      </c>
    </row>
    <row r="62">
      <c r="A62" s="75" t="str">
        <f>IFERROR(__xludf.DUMMYFUNCTION("""COMPUTED_VALUE"""),"Prowl H20 (Bulk)")</f>
        <v>Prowl H20 (Bulk)</v>
      </c>
      <c r="D62" s="75" t="str">
        <f>IFERROR(__xludf.DUMMYFUNCTION("""COMPUTED_VALUE"""),"#DIV/0!")</f>
        <v>#DIV/0!</v>
      </c>
      <c r="E62" s="75" t="str">
        <f>IFERROR(__xludf.DUMMYFUNCTION("""COMPUTED_VALUE"""),"Pts")</f>
        <v>Pts</v>
      </c>
      <c r="H62" s="74">
        <f>sumif('SEED INVENTORY'!$P$46:$P1000,A62,'SEED INVENTORY'!$Q$46:$Q1000)</f>
        <v>0</v>
      </c>
      <c r="I62" s="74" t="str">
        <f>vlookup(A62,'SEED INVENTORY'!$P$46:$R1000,3,False)</f>
        <v>#N/A</v>
      </c>
      <c r="J62" s="74">
        <f>sumif('SEED INVENTORY'!$T$46:$T1000,A62,'SEED INVENTORY'!$U$46:$U1000)</f>
        <v>0</v>
      </c>
    </row>
    <row r="63">
      <c r="A63" s="75" t="str">
        <f>IFERROR(__xludf.DUMMYFUNCTION("""COMPUTED_VALUE"""),"Raptor (2x1 Gal)")</f>
        <v>Raptor (2x1 Gal)</v>
      </c>
      <c r="D63" s="75" t="str">
        <f>IFERROR(__xludf.DUMMYFUNCTION("""COMPUTED_VALUE"""),"#DIV/0!")</f>
        <v>#DIV/0!</v>
      </c>
      <c r="E63" s="75" t="str">
        <f>IFERROR(__xludf.DUMMYFUNCTION("""COMPUTED_VALUE"""),"Tons")</f>
        <v>Tons</v>
      </c>
      <c r="H63" s="74">
        <f>sumif('SEED INVENTORY'!$P$46:$P1000,A63,'SEED INVENTORY'!$Q$46:$Q1000)</f>
        <v>0</v>
      </c>
      <c r="I63" s="74" t="str">
        <f>vlookup(A63,'SEED INVENTORY'!$P$46:$R1000,3,False)</f>
        <v>#N/A</v>
      </c>
      <c r="J63" s="74">
        <f>sumif('SEED INVENTORY'!$T$46:$T1000,A63,'SEED INVENTORY'!$U$46:$U1000)</f>
        <v>0</v>
      </c>
    </row>
    <row r="64">
      <c r="A64" s="75" t="str">
        <f>IFERROR(__xludf.DUMMYFUNCTION("""COMPUTED_VALUE"""),"Resicore (Bulk)")</f>
        <v>Resicore (Bulk)</v>
      </c>
      <c r="D64" s="75" t="str">
        <f>IFERROR(__xludf.DUMMYFUNCTION("""COMPUTED_VALUE"""),"#DIV/0!")</f>
        <v>#DIV/0!</v>
      </c>
      <c r="E64" s="75" t="str">
        <f>IFERROR(__xludf.DUMMYFUNCTION("""COMPUTED_VALUE"""),"Tons")</f>
        <v>Tons</v>
      </c>
      <c r="H64" s="74">
        <f>sumif('SEED INVENTORY'!$P$46:$P1000,A64,'SEED INVENTORY'!$Q$46:$Q1000)</f>
        <v>0</v>
      </c>
      <c r="I64" s="74" t="str">
        <f>vlookup(A64,'SEED INVENTORY'!$P$46:$R1000,3,False)</f>
        <v>#N/A</v>
      </c>
      <c r="J64" s="74">
        <f>sumif('SEED INVENTORY'!$T$46:$T1000,A64,'SEED INVENTORY'!$U$46:$U1000)</f>
        <v>0</v>
      </c>
    </row>
    <row r="65">
      <c r="A65" s="75" t="str">
        <f>IFERROR(__xludf.DUMMYFUNCTION("""COMPUTED_VALUE"""),"Seed Pro Box")</f>
        <v>Seed Pro Box</v>
      </c>
      <c r="D65" s="75" t="str">
        <f>IFERROR(__xludf.DUMMYFUNCTION("""COMPUTED_VALUE"""),"#DIV/0!")</f>
        <v>#DIV/0!</v>
      </c>
      <c r="E65" s="75" t="str">
        <f>IFERROR(__xludf.DUMMYFUNCTION("""COMPUTED_VALUE"""),"Tons")</f>
        <v>Tons</v>
      </c>
      <c r="H65" s="74">
        <f>sumif('SEED INVENTORY'!$P$46:$P1000,A65,'SEED INVENTORY'!$Q$46:$Q1000)</f>
        <v>0</v>
      </c>
      <c r="I65" s="74" t="str">
        <f>vlookup(A65,'SEED INVENTORY'!$P$46:$R1000,3,False)</f>
        <v>#N/A</v>
      </c>
      <c r="J65" s="74">
        <f>sumif('SEED INVENTORY'!$T$46:$T1000,A65,'SEED INVENTORY'!$U$46:$U1000)</f>
        <v>0</v>
      </c>
    </row>
    <row r="66">
      <c r="A66" s="75" t="str">
        <f>IFERROR(__xludf.DUMMYFUNCTION("""COMPUTED_VALUE"""),"Seed Treatment Application (Unit)")</f>
        <v>Seed Treatment Application (Unit)</v>
      </c>
      <c r="D66" s="75">
        <f>IFERROR(__xludf.DUMMYFUNCTION("""COMPUTED_VALUE"""),0.0)</f>
        <v>0</v>
      </c>
      <c r="E66" s="75" t="str">
        <f>IFERROR(__xludf.DUMMYFUNCTION("""COMPUTED_VALUE"""),"UNIT")</f>
        <v>UNIT</v>
      </c>
      <c r="H66" s="74">
        <f>sumif('SEED INVENTORY'!$P$46:$P1000,A66,'SEED INVENTORY'!$Q$46:$Q1000)</f>
        <v>0</v>
      </c>
      <c r="I66" s="74" t="str">
        <f>vlookup(A66,'SEED INVENTORY'!$P$46:$R1000,3,False)</f>
        <v>#N/A</v>
      </c>
      <c r="J66" s="74">
        <f>sumif('SEED INVENTORY'!$T$46:$T1000,A66,'SEED INVENTORY'!$U$46:$U1000)</f>
        <v>0</v>
      </c>
    </row>
    <row r="67">
      <c r="A67" s="75" t="str">
        <f>IFERROR(__xludf.DUMMYFUNCTION("""COMPUTED_VALUE"""),"Sharpen Sc (2x1 Gal)")</f>
        <v>Sharpen Sc (2x1 Gal)</v>
      </c>
      <c r="D67" s="75">
        <f>IFERROR(__xludf.DUMMYFUNCTION("""COMPUTED_VALUE"""),104.853)</f>
        <v>104.853</v>
      </c>
      <c r="E67" s="75" t="str">
        <f>IFERROR(__xludf.DUMMYFUNCTION("""COMPUTED_VALUE"""),"OZ")</f>
        <v>OZ</v>
      </c>
      <c r="H67" s="74">
        <f>sumif('SEED INVENTORY'!$P$46:$P1000,A67,'SEED INVENTORY'!$Q$46:$Q1000)</f>
        <v>0</v>
      </c>
      <c r="I67" s="74" t="str">
        <f>vlookup(A67,'SEED INVENTORY'!$P$46:$R1000,3,False)</f>
        <v>#N/A</v>
      </c>
      <c r="J67" s="74">
        <f>sumif('SEED INVENTORY'!$T$46:$T1000,A67,'SEED INVENTORY'!$U$46:$U1000)</f>
        <v>0</v>
      </c>
    </row>
    <row r="68">
      <c r="A68" s="75" t="str">
        <f>IFERROR(__xludf.DUMMYFUNCTION("""COMPUTED_VALUE"""),"Surfactant")</f>
        <v>Surfactant</v>
      </c>
      <c r="D68" s="75">
        <f>IFERROR(__xludf.DUMMYFUNCTION("""COMPUTED_VALUE"""),0.0)</f>
        <v>0</v>
      </c>
      <c r="E68" s="75" t="str">
        <f>IFERROR(__xludf.DUMMYFUNCTION("""COMPUTED_VALUE"""),"Gal")</f>
        <v>Gal</v>
      </c>
      <c r="H68" s="74">
        <f>sumif('SEED INVENTORY'!$P$46:$P1000,A68,'SEED INVENTORY'!$Q$46:$Q1000)</f>
        <v>0</v>
      </c>
      <c r="I68" s="74" t="str">
        <f>vlookup(A68,'SEED INVENTORY'!$P$46:$R1000,3,False)</f>
        <v>#N/A</v>
      </c>
      <c r="J68" s="74">
        <f>sumif('SEED INVENTORY'!$T$46:$T1000,A68,'SEED INVENTORY'!$U$46:$U1000)</f>
        <v>0</v>
      </c>
    </row>
    <row r="69">
      <c r="A69" s="75" t="str">
        <f>IFERROR(__xludf.DUMMYFUNCTION("""COMPUTED_VALUE"""),"Status (4x125 Oz)")</f>
        <v>Status (4x125 Oz)</v>
      </c>
      <c r="D69" s="75">
        <f>IFERROR(__xludf.DUMMYFUNCTION("""COMPUTED_VALUE"""),0.0)</f>
        <v>0</v>
      </c>
      <c r="E69" s="75" t="str">
        <f>IFERROR(__xludf.DUMMYFUNCTION("""COMPUTED_VALUE"""),"OZ")</f>
        <v>OZ</v>
      </c>
      <c r="H69" s="74">
        <f>sumif('SEED INVENTORY'!$P$46:$P1000,A69,'SEED INVENTORY'!$Q$46:$Q1000)</f>
        <v>0</v>
      </c>
      <c r="I69" s="74" t="str">
        <f>vlookup(A69,'SEED INVENTORY'!$P$46:$R1000,3,False)</f>
        <v>#N/A</v>
      </c>
      <c r="J69" s="74">
        <f>sumif('SEED INVENTORY'!$T$46:$T1000,A69,'SEED INVENTORY'!$U$46:$U1000)</f>
        <v>0</v>
      </c>
    </row>
    <row r="70">
      <c r="A70" s="75" t="str">
        <f>IFERROR(__xludf.DUMMYFUNCTION("""COMPUTED_VALUE"""),"Thunder Master (2x2.5 Gal)")</f>
        <v>Thunder Master (2x2.5 Gal)</v>
      </c>
      <c r="D70" s="75">
        <f>IFERROR(__xludf.DUMMYFUNCTION("""COMPUTED_VALUE"""),5940.0)</f>
        <v>5940</v>
      </c>
      <c r="E70" s="75" t="str">
        <f>IFERROR(__xludf.DUMMYFUNCTION("""COMPUTED_VALUE"""),"OZ")</f>
        <v>OZ</v>
      </c>
      <c r="H70" s="74">
        <f>sumif('SEED INVENTORY'!$P$46:$P1000,A70,'SEED INVENTORY'!$Q$46:$Q1000)</f>
        <v>0</v>
      </c>
      <c r="I70" s="74" t="str">
        <f>vlookup(A70,'SEED INVENTORY'!$P$46:$R1000,3,False)</f>
        <v>#N/A</v>
      </c>
      <c r="J70" s="74">
        <f>sumif('SEED INVENTORY'!$T$46:$T1000,A70,'SEED INVENTORY'!$U$46:$U1000)</f>
        <v>0</v>
      </c>
    </row>
    <row r="71">
      <c r="A71" s="75" t="str">
        <f>IFERROR(__xludf.DUMMYFUNCTION("""COMPUTED_VALUE"""),"Valor Sx (4x5 Lb)")</f>
        <v>Valor Sx (4x5 Lb)</v>
      </c>
      <c r="D71" s="75">
        <f>IFERROR(__xludf.DUMMYFUNCTION("""COMPUTED_VALUE"""),0.0)</f>
        <v>0</v>
      </c>
      <c r="E71" s="75" t="str">
        <f>IFERROR(__xludf.DUMMYFUNCTION("""COMPUTED_VALUE"""),"Lbs")</f>
        <v>Lbs</v>
      </c>
      <c r="H71" s="74">
        <f>sumif('SEED INVENTORY'!$P$46:$P1000,A71,'SEED INVENTORY'!$Q$46:$Q1000)</f>
        <v>0</v>
      </c>
      <c r="I71" s="74" t="str">
        <f>vlookup(A71,'SEED INVENTORY'!$P$46:$R1000,3,False)</f>
        <v>#N/A</v>
      </c>
      <c r="J71" s="74">
        <f>sumif('SEED INVENTORY'!$T$46:$T1000,A71,'SEED INVENTORY'!$U$46:$U1000)</f>
        <v>0</v>
      </c>
    </row>
    <row r="72">
      <c r="A72" s="75" t="str">
        <f>IFERROR(__xludf.DUMMYFUNCTION("""COMPUTED_VALUE"""),"Verdict (Bulk)")</f>
        <v>Verdict (Bulk)</v>
      </c>
      <c r="D72" s="75">
        <f>IFERROR(__xludf.DUMMYFUNCTION("""COMPUTED_VALUE"""),24120.152079999996)</f>
        <v>24120.15208</v>
      </c>
      <c r="E72" s="75" t="str">
        <f>IFERROR(__xludf.DUMMYFUNCTION("""COMPUTED_VALUE"""),"OZ")</f>
        <v>OZ</v>
      </c>
      <c r="H72" s="74">
        <f>sumif('SEED INVENTORY'!$P$46:$P1000,A72,'SEED INVENTORY'!$Q$46:$Q1000)</f>
        <v>0</v>
      </c>
      <c r="I72" s="74" t="str">
        <f>vlookup(A72,'SEED INVENTORY'!$P$46:$R1000,3,False)</f>
        <v>#N/A</v>
      </c>
      <c r="J72" s="74">
        <f>sumif('SEED INVENTORY'!$T$46:$T1000,A72,'SEED INVENTORY'!$U$46:$U1000)</f>
        <v>0</v>
      </c>
    </row>
    <row r="73">
      <c r="A73" s="75" t="str">
        <f>IFERROR(__xludf.DUMMYFUNCTION("""COMPUTED_VALUE"""),"Water")</f>
        <v>Water</v>
      </c>
      <c r="D73" s="75" t="str">
        <f>IFERROR(__xludf.DUMMYFUNCTION("""COMPUTED_VALUE"""),"#DIV/0!")</f>
        <v>#DIV/0!</v>
      </c>
      <c r="E73" s="75" t="str">
        <f>IFERROR(__xludf.DUMMYFUNCTION("""COMPUTED_VALUE"""),"Gal")</f>
        <v>Gal</v>
      </c>
      <c r="H73" s="74">
        <f>sumif('SEED INVENTORY'!$P$46:$P1000,A73,'SEED INVENTORY'!$Q$46:$Q1000)</f>
        <v>0</v>
      </c>
      <c r="I73" s="74" t="str">
        <f>vlookup(A73,'SEED INVENTORY'!$P$46:$R1000,3,False)</f>
        <v>#N/A</v>
      </c>
      <c r="J73" s="74">
        <f>sumif('SEED INVENTORY'!$T$46:$T1000,A73,'SEED INVENTORY'!$U$46:$U1000)</f>
        <v>0</v>
      </c>
    </row>
    <row r="74">
      <c r="A74" s="75" t="str">
        <f>IFERROR(__xludf.DUMMYFUNCTION("""COMPUTED_VALUE"""),"Weedone LV-4 EC (Ester) (2x2.5 Gal)")</f>
        <v>Weedone LV-4 EC (Ester) (2x2.5 Gal)</v>
      </c>
      <c r="D74" s="75">
        <f>IFERROR(__xludf.DUMMYFUNCTION("""COMPUTED_VALUE"""),0.0)</f>
        <v>0</v>
      </c>
      <c r="E74" s="75" t="str">
        <f>IFERROR(__xludf.DUMMYFUNCTION("""COMPUTED_VALUE"""),"OZ")</f>
        <v>OZ</v>
      </c>
      <c r="H74" s="74">
        <f>sumif('SEED INVENTORY'!$P$46:$P1000,A74,'SEED INVENTORY'!$Q$46:$Q1000)</f>
        <v>0</v>
      </c>
      <c r="I74" s="74" t="str">
        <f>vlookup(A74,'SEED INVENTORY'!$P$46:$R1000,3,False)</f>
        <v>#N/A</v>
      </c>
      <c r="J74" s="74">
        <f>sumif('SEED INVENTORY'!$T$46:$T1000,A74,'SEED INVENTORY'!$U$46:$U1000)</f>
        <v>0</v>
      </c>
    </row>
    <row r="75">
      <c r="A75" s="75" t="str">
        <f>IFERROR(__xludf.DUMMYFUNCTION("""COMPUTED_VALUE"""),"Wi Tonnage Tax")</f>
        <v>Wi Tonnage Tax</v>
      </c>
      <c r="D75" s="75">
        <f>IFERROR(__xludf.DUMMYFUNCTION("""COMPUTED_VALUE"""),322.82379999999995)</f>
        <v>322.8238</v>
      </c>
      <c r="E75" s="75" t="str">
        <f>IFERROR(__xludf.DUMMYFUNCTION("""COMPUTED_VALUE"""),"Tons")</f>
        <v>Tons</v>
      </c>
      <c r="H75" s="74">
        <f>sumif('SEED INVENTORY'!$P$46:$P1000,A75,'SEED INVENTORY'!$Q$46:$Q1000)</f>
        <v>0</v>
      </c>
      <c r="I75" s="74" t="str">
        <f>vlookup(A75,'SEED INVENTORY'!$P$46:$R1000,3,False)</f>
        <v>#N/A</v>
      </c>
      <c r="J75" s="74">
        <f>sumif('SEED INVENTORY'!$T$46:$T1000,A75,'SEED INVENTORY'!$U$46:$U1000)</f>
        <v>0</v>
      </c>
    </row>
    <row r="76">
      <c r="A76" s="75" t="str">
        <f>IFERROR(__xludf.DUMMYFUNCTION("""COMPUTED_VALUE"""),"Chicken Litter")</f>
        <v>Chicken Litter</v>
      </c>
      <c r="D76" s="75">
        <f>IFERROR(__xludf.DUMMYFUNCTION("""COMPUTED_VALUE"""),1795.4)</f>
        <v>1795.4</v>
      </c>
      <c r="E76" s="75" t="str">
        <f>IFERROR(__xludf.DUMMYFUNCTION("""COMPUTED_VALUE"""),"Tons")</f>
        <v>Tons</v>
      </c>
      <c r="H76" s="74">
        <f>sumif('SEED INVENTORY'!$P$46:$P1000,A76,'SEED INVENTORY'!$Q$46:$Q1000)</f>
        <v>0</v>
      </c>
      <c r="I76" s="74" t="str">
        <f>vlookup(A76,'SEED INVENTORY'!$P$46:$R1000,3,False)</f>
        <v>#N/A</v>
      </c>
      <c r="J76" s="74">
        <f>sumif('SEED INVENTORY'!$T$46:$T1000,A76,'SEED INVENTORY'!$U$46:$U1000)</f>
        <v>0</v>
      </c>
    </row>
    <row r="77">
      <c r="A77" s="75" t="str">
        <f>IFERROR(__xludf.DUMMYFUNCTION("""COMPUTED_VALUE"""),"Chick Magic Pellets")</f>
        <v>Chick Magic Pellets</v>
      </c>
      <c r="D77" s="75">
        <f>IFERROR(__xludf.DUMMYFUNCTION("""COMPUTED_VALUE"""),449460.0)</f>
        <v>449460</v>
      </c>
      <c r="E77" s="75" t="str">
        <f>IFERROR(__xludf.DUMMYFUNCTION("""COMPUTED_VALUE"""),"Lbs")</f>
        <v>Lbs</v>
      </c>
      <c r="H77" s="74">
        <f>sumif('SEED INVENTORY'!$P$46:$P1000,A77,'SEED INVENTORY'!$Q$46:$Q1000)</f>
        <v>0</v>
      </c>
      <c r="I77" s="74" t="str">
        <f>vlookup(A77,'SEED INVENTORY'!$P$46:$R1000,3,False)</f>
        <v>#N/A</v>
      </c>
      <c r="J77" s="74">
        <f>sumif('SEED INVENTORY'!$T$46:$T1000,A77,'SEED INVENTORY'!$U$46:$U1000)</f>
        <v>0</v>
      </c>
    </row>
    <row r="78">
      <c r="A78" s="75" t="str">
        <f>IFERROR(__xludf.DUMMYFUNCTION("""COMPUTED_VALUE"""),"Oats Ogle (Bulk)")</f>
        <v>Oats Ogle (Bulk)</v>
      </c>
      <c r="D78" s="75" t="str">
        <f>IFERROR(__xludf.DUMMYFUNCTION("""COMPUTED_VALUE"""),"#DIV/0!")</f>
        <v>#DIV/0!</v>
      </c>
      <c r="E78" s="75" t="str">
        <f>IFERROR(__xludf.DUMMYFUNCTION("""COMPUTED_VALUE"""),"Tons")</f>
        <v>Tons</v>
      </c>
      <c r="H78" s="74">
        <f>sumif('SEED INVENTORY'!$P$46:$P1000,A78,'SEED INVENTORY'!$Q$46:$Q1000)</f>
        <v>0</v>
      </c>
      <c r="I78" s="74" t="str">
        <f>vlookup(A78,'SEED INVENTORY'!$P$46:$R1000,3,False)</f>
        <v>#N/A</v>
      </c>
      <c r="J78" s="74">
        <f>sumif('SEED INVENTORY'!$T$46:$T1000,A78,'SEED INVENTORY'!$U$46:$U1000)</f>
        <v>0</v>
      </c>
    </row>
    <row r="79">
      <c r="A79" s="75" t="str">
        <f>IFERROR(__xludf.DUMMYFUNCTION("""COMPUTED_VALUE"""),"Oats Ogle (50 lb.)")</f>
        <v>Oats Ogle (50 lb.)</v>
      </c>
      <c r="D79" s="75" t="str">
        <f>IFERROR(__xludf.DUMMYFUNCTION("""COMPUTED_VALUE"""),"#DIV/0!")</f>
        <v>#DIV/0!</v>
      </c>
      <c r="E79" s="75" t="str">
        <f>IFERROR(__xludf.DUMMYFUNCTION("""COMPUTED_VALUE"""),"Tons")</f>
        <v>Tons</v>
      </c>
      <c r="H79" s="74">
        <f>sumif('SEED INVENTORY'!$P$46:$P1000,A79,'SEED INVENTORY'!$Q$46:$Q1000)</f>
        <v>0</v>
      </c>
      <c r="I79" s="74" t="str">
        <f>vlookup(A79,'SEED INVENTORY'!$P$46:$R1000,3,False)</f>
        <v>#N/A</v>
      </c>
      <c r="J79" s="74">
        <f>sumif('SEED INVENTORY'!$T$46:$T1000,A79,'SEED INVENTORY'!$U$46:$U1000)</f>
        <v>0</v>
      </c>
    </row>
    <row r="80">
      <c r="A80" s="75" t="str">
        <f>IFERROR(__xludf.DUMMYFUNCTION("""COMPUTED_VALUE"""),"Organical")</f>
        <v>Organical</v>
      </c>
      <c r="D80" s="75">
        <f>IFERROR(__xludf.DUMMYFUNCTION("""COMPUTED_VALUE"""),164174.0)</f>
        <v>164174</v>
      </c>
      <c r="E80" s="75" t="str">
        <f>IFERROR(__xludf.DUMMYFUNCTION("""COMPUTED_VALUE"""),"Lbs")</f>
        <v>Lbs</v>
      </c>
      <c r="H80" s="74">
        <f>sumif('SEED INVENTORY'!$P$46:$P1000,A80,'SEED INVENTORY'!$Q$46:$Q1000)</f>
        <v>0</v>
      </c>
      <c r="I80" s="74" t="str">
        <f>vlookup(A80,'SEED INVENTORY'!$P$46:$R1000,3,False)</f>
        <v>#N/A</v>
      </c>
      <c r="J80" s="74">
        <f>sumif('SEED INVENTORY'!$T$46:$T1000,A80,'SEED INVENTORY'!$U$46:$U1000)</f>
        <v>0</v>
      </c>
    </row>
    <row r="81">
      <c r="A81" s="75" t="str">
        <f>IFERROR(__xludf.DUMMYFUNCTION("""COMPUTED_VALUE"""),"Other")</f>
        <v>Other</v>
      </c>
      <c r="D81" s="75" t="str">
        <f>IFERROR(__xludf.DUMMYFUNCTION("""COMPUTED_VALUE"""),"#DIV/0!")</f>
        <v>#DIV/0!</v>
      </c>
      <c r="E81" s="75" t="str">
        <f>IFERROR(__xludf.DUMMYFUNCTION("""COMPUTED_VALUE"""),"Tons")</f>
        <v>Tons</v>
      </c>
      <c r="H81" s="74">
        <f>sumif('SEED INVENTORY'!$P$46:$P1000,A81,'SEED INVENTORY'!$Q$46:$Q1000)</f>
        <v>0</v>
      </c>
      <c r="I81" s="74" t="str">
        <f>vlookup(A81,'SEED INVENTORY'!$P$46:$R1000,3,False)</f>
        <v>#N/A</v>
      </c>
      <c r="J81" s="74">
        <f>sumif('SEED INVENTORY'!$T$46:$T1000,A81,'SEED INVENTORY'!$U$46:$U1000)</f>
        <v>0</v>
      </c>
    </row>
    <row r="82">
      <c r="A82" s="75" t="str">
        <f>IFERROR(__xludf.DUMMYFUNCTION("""COMPUTED_VALUE"""),"CX-1")</f>
        <v>CX-1</v>
      </c>
      <c r="D82" s="75">
        <f>IFERROR(__xludf.DUMMYFUNCTION("""COMPUTED_VALUE"""),6674.0)</f>
        <v>6674</v>
      </c>
      <c r="E82" s="75" t="str">
        <f>IFERROR(__xludf.DUMMYFUNCTION("""COMPUTED_VALUE"""),"Gal")</f>
        <v>Gal</v>
      </c>
      <c r="H82" s="74">
        <f>sumif('SEED INVENTORY'!$P$46:$P1000,A82,'SEED INVENTORY'!$Q$46:$Q1000)</f>
        <v>0</v>
      </c>
      <c r="I82" s="74" t="str">
        <f>vlookup(A82,'SEED INVENTORY'!$P$46:$R1000,3,False)</f>
        <v>#N/A</v>
      </c>
      <c r="J82" s="74">
        <f>sumif('SEED INVENTORY'!$T$46:$T1000,A82,'SEED INVENTORY'!$U$46:$U1000)</f>
        <v>0</v>
      </c>
    </row>
    <row r="83">
      <c r="A83" s="75" t="str">
        <f>IFERROR(__xludf.DUMMYFUNCTION("""COMPUTED_VALUE"""),"TeraFed")</f>
        <v>TeraFed</v>
      </c>
      <c r="D83" s="75">
        <f>IFERROR(__xludf.DUMMYFUNCTION("""COMPUTED_VALUE"""),6674.0)</f>
        <v>6674</v>
      </c>
      <c r="E83" s="75" t="str">
        <f>IFERROR(__xludf.DUMMYFUNCTION("""COMPUTED_VALUE"""),"Gal")</f>
        <v>Gal</v>
      </c>
      <c r="H83" s="74">
        <f>sumif('SEED INVENTORY'!$P$46:$P1000,A83,'SEED INVENTORY'!$Q$46:$Q1000)</f>
        <v>11200</v>
      </c>
      <c r="I83" s="74" t="str">
        <f>vlookup(A83,'SEED INVENTORY'!$P$46:$R1000,3,False)</f>
        <v>Lbs</v>
      </c>
      <c r="J83" s="74">
        <f>sumif('SEED INVENTORY'!$T$46:$T1000,A83,'SEED INVENTORY'!$U$46:$U1000)</f>
        <v>0</v>
      </c>
    </row>
    <row r="84">
      <c r="A84" s="75" t="str">
        <f>IFERROR(__xludf.DUMMYFUNCTION("""COMPUTED_VALUE"""),"Red Clover")</f>
        <v>Red Clover</v>
      </c>
      <c r="D84" s="75">
        <f>IFERROR(__xludf.DUMMYFUNCTION("""COMPUTED_VALUE"""),528.0)</f>
        <v>528</v>
      </c>
      <c r="E84" s="75" t="str">
        <f>IFERROR(__xludf.DUMMYFUNCTION("""COMPUTED_VALUE"""),"Lbs")</f>
        <v>Lbs</v>
      </c>
      <c r="H84" s="74">
        <f>sumif('SEED INVENTORY'!$P$46:$P1000,A84,'SEED INVENTORY'!$Q$46:$Q1000)</f>
        <v>0</v>
      </c>
      <c r="I84" s="74" t="str">
        <f>vlookup(A84,'SEED INVENTORY'!$P$46:$R1000,3,False)</f>
        <v>#N/A</v>
      </c>
      <c r="J84" s="74">
        <f>sumif('SEED INVENTORY'!$T$46:$T1000,A84,'SEED INVENTORY'!$U$46:$U1000)</f>
        <v>0</v>
      </c>
    </row>
    <row r="85">
      <c r="A85" s="75" t="str">
        <f>IFERROR(__xludf.DUMMYFUNCTION("""COMPUTED_VALUE"""),"Rye seed")</f>
        <v>Rye seed</v>
      </c>
      <c r="D85" s="75">
        <f>IFERROR(__xludf.DUMMYFUNCTION("""COMPUTED_VALUE"""),596.5)</f>
        <v>596.5</v>
      </c>
      <c r="E85" s="75" t="str">
        <f>IFERROR(__xludf.DUMMYFUNCTION("""COMPUTED_VALUE"""),"Bu")</f>
        <v>Bu</v>
      </c>
      <c r="H85" s="74">
        <f>sumif('SEED INVENTORY'!$P$46:$P1000,A85,'SEED INVENTORY'!$Q$46:$Q1000)</f>
        <v>0</v>
      </c>
      <c r="I85" s="74" t="str">
        <f>vlookup(A85,'SEED INVENTORY'!$P$46:$R1000,3,False)</f>
        <v>#N/A</v>
      </c>
      <c r="J85" s="74">
        <f>sumif('SEED INVENTORY'!$T$46:$T1000,A85,'SEED INVENTORY'!$U$46:$U1000)</f>
        <v>0</v>
      </c>
    </row>
    <row r="86">
      <c r="A86" s="75" t="str">
        <f>IFERROR(__xludf.DUMMYFUNCTION("""COMPUTED_VALUE"""),"Weed Slayer")</f>
        <v>Weed Slayer</v>
      </c>
      <c r="D86" s="75" t="str">
        <f>IFERROR(__xludf.DUMMYFUNCTION("""COMPUTED_VALUE"""),"#DIV/0!")</f>
        <v>#DIV/0!</v>
      </c>
      <c r="E86" s="75" t="str">
        <f>IFERROR(__xludf.DUMMYFUNCTION("""COMPUTED_VALUE"""),"Gal")</f>
        <v>Gal</v>
      </c>
      <c r="H86" s="74">
        <f>sumif('SEED INVENTORY'!$P$46:$P1000,A86,'SEED INVENTORY'!$Q$46:$Q1000)</f>
        <v>0</v>
      </c>
      <c r="I86" s="74" t="str">
        <f>vlookup(A86,'SEED INVENTORY'!$P$46:$R1000,3,False)</f>
        <v>#N/A</v>
      </c>
      <c r="J86" s="74">
        <f>sumif('SEED INVENTORY'!$T$46:$T1000,A86,'SEED INVENTORY'!$U$46:$U1000)</f>
        <v>0</v>
      </c>
    </row>
    <row r="87">
      <c r="A87" s="75" t="str">
        <f>IFERROR(__xludf.DUMMYFUNCTION("""COMPUTED_VALUE"""),"Oroboost")</f>
        <v>Oroboost</v>
      </c>
      <c r="D87" s="75" t="str">
        <f>IFERROR(__xludf.DUMMYFUNCTION("""COMPUTED_VALUE"""),"#DIV/0!")</f>
        <v>#DIV/0!</v>
      </c>
      <c r="E87" s="75" t="str">
        <f>IFERROR(__xludf.DUMMYFUNCTION("""COMPUTED_VALUE"""),"Gal")</f>
        <v>Gal</v>
      </c>
      <c r="H87" s="74">
        <f>sumif('SEED INVENTORY'!$P$46:$P1000,A87,'SEED INVENTORY'!$Q$46:$Q1000)</f>
        <v>0</v>
      </c>
      <c r="I87" s="74" t="str">
        <f>vlookup(A87,'SEED INVENTORY'!$P$46:$R1000,3,False)</f>
        <v>#N/A</v>
      </c>
      <c r="J87" s="74">
        <f>sumif('SEED INVENTORY'!$T$46:$T1000,A87,'SEED INVENTORY'!$U$46:$U1000)</f>
        <v>0</v>
      </c>
    </row>
    <row r="88">
      <c r="A88" s="75" t="str">
        <f>IFERROR(__xludf.DUMMYFUNCTION("""COMPUTED_VALUE"""),"Citric Acid")</f>
        <v>Citric Acid</v>
      </c>
      <c r="D88" s="75" t="str">
        <f>IFERROR(__xludf.DUMMYFUNCTION("""COMPUTED_VALUE"""),"#DIV/0!")</f>
        <v>#DIV/0!</v>
      </c>
      <c r="E88" s="75" t="str">
        <f>IFERROR(__xludf.DUMMYFUNCTION("""COMPUTED_VALUE"""),"Gal")</f>
        <v>Gal</v>
      </c>
      <c r="H88" s="74">
        <f>sumif('SEED INVENTORY'!$P$46:$P1000,A88,'SEED INVENTORY'!$Q$46:$Q1000)</f>
        <v>0</v>
      </c>
      <c r="I88" s="74" t="str">
        <f>vlookup(A88,'SEED INVENTORY'!$P$46:$R1000,3,False)</f>
        <v>#N/A</v>
      </c>
      <c r="J88" s="74">
        <f>sumif('SEED INVENTORY'!$T$46:$T1000,A88,'SEED INVENTORY'!$U$46:$U1000)</f>
        <v>0</v>
      </c>
    </row>
    <row r="89">
      <c r="A89" s="75" t="str">
        <f>IFERROR(__xludf.DUMMYFUNCTION("""COMPUTED_VALUE"""),"Custom Application")</f>
        <v>Custom Application</v>
      </c>
      <c r="D89" s="75">
        <f>IFERROR(__xludf.DUMMYFUNCTION("""COMPUTED_VALUE"""),356.9)</f>
        <v>356.9</v>
      </c>
      <c r="E89" s="75" t="str">
        <f>IFERROR(__xludf.DUMMYFUNCTION("""COMPUTED_VALUE"""),"Acre")</f>
        <v>Acre</v>
      </c>
      <c r="H89" s="74">
        <f>sumif('SEED INVENTORY'!$P$46:$P1000,A89,'SEED INVENTORY'!$Q$46:$Q1000)</f>
        <v>0</v>
      </c>
      <c r="I89" s="74" t="str">
        <f>vlookup(A89,'SEED INVENTORY'!$P$46:$R1000,3,False)</f>
        <v>#N/A</v>
      </c>
      <c r="J89" s="74">
        <f>sumif('SEED INVENTORY'!$T$46:$T1000,A89,'SEED INVENTORY'!$U$46:$U1000)</f>
        <v>0</v>
      </c>
    </row>
    <row r="90">
      <c r="A90" s="75" t="str">
        <f>IFERROR(__xludf.DUMMYFUNCTION("""COMPUTED_VALUE"""),"Purple Cow Classic Compost")</f>
        <v>Purple Cow Classic Compost</v>
      </c>
      <c r="D90" s="75">
        <f>IFERROR(__xludf.DUMMYFUNCTION("""COMPUTED_VALUE"""),356.9)</f>
        <v>356.9</v>
      </c>
      <c r="E90" s="75" t="str">
        <f>IFERROR(__xludf.DUMMYFUNCTION("""COMPUTED_VALUE"""),"Tons")</f>
        <v>Tons</v>
      </c>
      <c r="H90" s="74">
        <f>sumif('SEED INVENTORY'!$P$46:$P1000,A90,'SEED INVENTORY'!$Q$46:$Q1000)</f>
        <v>0</v>
      </c>
      <c r="I90" s="74" t="str">
        <f>vlookup(A90,'SEED INVENTORY'!$P$46:$R1000,3,False)</f>
        <v>#N/A</v>
      </c>
      <c r="J90" s="74">
        <f>sumif('SEED INVENTORY'!$T$46:$T1000,A90,'SEED INVENTORY'!$U$46:$U1000)</f>
        <v>0</v>
      </c>
    </row>
    <row r="91">
      <c r="A91" s="75" t="str">
        <f>IFERROR(__xludf.DUMMYFUNCTION("""COMPUTED_VALUE"""),"Ag Lime")</f>
        <v>Ag Lime</v>
      </c>
      <c r="D91" s="75">
        <f>IFERROR(__xludf.DUMMYFUNCTION("""COMPUTED_VALUE"""),499961.99999999994)</f>
        <v>499962</v>
      </c>
      <c r="E91" s="75" t="str">
        <f>IFERROR(__xludf.DUMMYFUNCTION("""COMPUTED_VALUE"""),"Lbs")</f>
        <v>Lbs</v>
      </c>
      <c r="H91" s="74">
        <f>sumif('SEED INVENTORY'!$P$46:$P1000,A91,'SEED INVENTORY'!$Q$46:$Q1000)</f>
        <v>0</v>
      </c>
      <c r="I91" s="74" t="str">
        <f>vlookup(A91,'SEED INVENTORY'!$P$46:$R1000,3,False)</f>
        <v>#N/A</v>
      </c>
      <c r="J91" s="74">
        <f>sumif('SEED INVENTORY'!$T$46:$T1000,A91,'SEED INVENTORY'!$U$46:$U1000)</f>
        <v>0</v>
      </c>
    </row>
    <row r="92">
      <c r="A92" s="75" t="str">
        <f>IFERROR(__xludf.DUMMYFUNCTION("""COMPUTED_VALUE"""),"Gypsum")</f>
        <v>Gypsum</v>
      </c>
      <c r="D92" s="75">
        <f>IFERROR(__xludf.DUMMYFUNCTION("""COMPUTED_VALUE"""),0.0)</f>
        <v>0</v>
      </c>
      <c r="E92" s="75" t="str">
        <f>IFERROR(__xludf.DUMMYFUNCTION("""COMPUTED_VALUE"""),"Tons")</f>
        <v>Tons</v>
      </c>
      <c r="H92" s="74">
        <f>sumif('SEED INVENTORY'!$P$46:$P1000,A92,'SEED INVENTORY'!$Q$46:$Q1000)</f>
        <v>0</v>
      </c>
      <c r="I92" s="74" t="str">
        <f>vlookup(A92,'SEED INVENTORY'!$P$46:$R1000,3,False)</f>
        <v>#N/A</v>
      </c>
      <c r="J92" s="74">
        <f>sumif('SEED INVENTORY'!$T$46:$T1000,A92,'SEED INVENTORY'!$U$46:$U1000)</f>
        <v>0</v>
      </c>
    </row>
    <row r="93">
      <c r="A93" s="75" t="str">
        <f>IFERROR(__xludf.DUMMYFUNCTION("""COMPUTED_VALUE"""),"6-0-8-5S + Micro")</f>
        <v>6-0-8-5S + Micro</v>
      </c>
      <c r="D93" s="75">
        <f>IFERROR(__xludf.DUMMYFUNCTION("""COMPUTED_VALUE"""),0.0)</f>
        <v>0</v>
      </c>
      <c r="E93" s="75" t="str">
        <f>IFERROR(__xludf.DUMMYFUNCTION("""COMPUTED_VALUE"""),"Lbs")</f>
        <v>Lbs</v>
      </c>
      <c r="H93" s="74">
        <f>sumif('SEED INVENTORY'!$P$46:$P1000,A93,'SEED INVENTORY'!$Q$46:$Q1000)</f>
        <v>0</v>
      </c>
      <c r="I93" s="74" t="str">
        <f>vlookup(A93,'SEED INVENTORY'!$P$46:$R1000,3,False)</f>
        <v>#N/A</v>
      </c>
      <c r="J93" s="74">
        <f>sumif('SEED INVENTORY'!$T$46:$T1000,A93,'SEED INVENTORY'!$U$46:$U1000)</f>
        <v>0</v>
      </c>
    </row>
    <row r="94">
      <c r="A94" s="75" t="str">
        <f>IFERROR(__xludf.DUMMYFUNCTION("""COMPUTED_VALUE"""),"Forti-Cal")</f>
        <v>Forti-Cal</v>
      </c>
      <c r="D94" s="75">
        <f>IFERROR(__xludf.DUMMYFUNCTION("""COMPUTED_VALUE"""),0.0)</f>
        <v>0</v>
      </c>
      <c r="E94" s="75" t="str">
        <f>IFERROR(__xludf.DUMMYFUNCTION("""COMPUTED_VALUE"""),"Lbs")</f>
        <v>Lbs</v>
      </c>
      <c r="H94" s="74">
        <f>sumif('SEED INVENTORY'!$P$46:$P1000,A94,'SEED INVENTORY'!$Q$46:$Q1000)</f>
        <v>0</v>
      </c>
      <c r="I94" s="74" t="str">
        <f>vlookup(A94,'SEED INVENTORY'!$P$46:$R1000,3,False)</f>
        <v>#N/A</v>
      </c>
      <c r="J94" s="74">
        <f>sumif('SEED INVENTORY'!$T$46:$T1000,A94,'SEED INVENTORY'!$U$46:$U1000)</f>
        <v>0</v>
      </c>
    </row>
    <row r="95">
      <c r="A95" s="75" t="str">
        <f>IFERROR(__xludf.DUMMYFUNCTION("""COMPUTED_VALUE"""),"Forti-Phos")</f>
        <v>Forti-Phos</v>
      </c>
      <c r="D95" s="75">
        <f>IFERROR(__xludf.DUMMYFUNCTION("""COMPUTED_VALUE"""),0.0)</f>
        <v>0</v>
      </c>
      <c r="E95" s="75" t="str">
        <f>IFERROR(__xludf.DUMMYFUNCTION("""COMPUTED_VALUE"""),"Lbs")</f>
        <v>Lbs</v>
      </c>
      <c r="H95" s="74">
        <f>sumif('SEED INVENTORY'!$P$46:$P1000,A95,'SEED INVENTORY'!$Q$46:$Q1000)</f>
        <v>0</v>
      </c>
      <c r="I95" s="74" t="str">
        <f>vlookup(A95,'SEED INVENTORY'!$P$46:$R1000,3,False)</f>
        <v>#N/A</v>
      </c>
      <c r="J95" s="74">
        <f>sumif('SEED INVENTORY'!$T$46:$T1000,A95,'SEED INVENTORY'!$U$46:$U1000)</f>
        <v>0</v>
      </c>
    </row>
    <row r="96">
      <c r="A96" s="75" t="str">
        <f>IFERROR(__xludf.DUMMYFUNCTION("""COMPUTED_VALUE"""),"50/50 Blend feather meal+Pellets")</f>
        <v>50/50 Blend feather meal+Pellets</v>
      </c>
      <c r="D96" s="75" t="str">
        <f>IFERROR(__xludf.DUMMYFUNCTION("""COMPUTED_VALUE"""),"#DIV/0!")</f>
        <v>#DIV/0!</v>
      </c>
      <c r="E96" s="75" t="str">
        <f>IFERROR(__xludf.DUMMYFUNCTION("""COMPUTED_VALUE"""),"Tons")</f>
        <v>Tons</v>
      </c>
      <c r="H96" s="74">
        <f>sumif('SEED INVENTORY'!$P$46:$P1000,A96,'SEED INVENTORY'!$Q$46:$Q1000)</f>
        <v>0</v>
      </c>
      <c r="I96" s="74" t="str">
        <f>vlookup(A96,'SEED INVENTORY'!$P$46:$R1000,3,False)</f>
        <v>#N/A</v>
      </c>
      <c r="J96" s="74">
        <f>sumif('SEED INVENTORY'!$T$46:$T1000,A96,'SEED INVENTORY'!$U$46:$U1000)</f>
        <v>0</v>
      </c>
    </row>
    <row r="97">
      <c r="A97" s="75" t="str">
        <f>IFERROR(__xludf.DUMMYFUNCTION("""COMPUTED_VALUE"""),"feathermeal")</f>
        <v>feathermeal</v>
      </c>
      <c r="D97" s="75">
        <f>IFERROR(__xludf.DUMMYFUNCTION("""COMPUTED_VALUE"""),9957.499999999998)</f>
        <v>9957.5</v>
      </c>
      <c r="E97" s="75" t="str">
        <f>IFERROR(__xludf.DUMMYFUNCTION("""COMPUTED_VALUE"""),"Lbs")</f>
        <v>Lbs</v>
      </c>
      <c r="H97" s="74">
        <f>sumif('SEED INVENTORY'!$P$46:$P1000,A97,'SEED INVENTORY'!$Q$46:$Q1000)</f>
        <v>0</v>
      </c>
      <c r="I97" s="74" t="str">
        <f>vlookup(A97,'SEED INVENTORY'!$P$46:$R1000,3,False)</f>
        <v>#N/A</v>
      </c>
      <c r="J97" s="74">
        <f>sumif('SEED INVENTORY'!$T$46:$T1000,A97,'SEED INVENTORY'!$U$46:$U1000)</f>
        <v>0</v>
      </c>
    </row>
    <row r="98">
      <c r="A98" s="75" t="str">
        <f>IFERROR(__xludf.DUMMYFUNCTION("""COMPUTED_VALUE"""),"Chicken crumbles")</f>
        <v>Chicken crumbles</v>
      </c>
      <c r="D98" s="75" t="str">
        <f>IFERROR(__xludf.DUMMYFUNCTION("""COMPUTED_VALUE"""),"#DIV/0!")</f>
        <v>#DIV/0!</v>
      </c>
      <c r="E98" s="75" t="str">
        <f>IFERROR(__xludf.DUMMYFUNCTION("""COMPUTED_VALUE"""),"Tons")</f>
        <v>Tons</v>
      </c>
      <c r="H98" s="74">
        <f>sumif('SEED INVENTORY'!$P$46:$P1000,A98,'SEED INVENTORY'!$Q$46:$Q1000)</f>
        <v>0</v>
      </c>
      <c r="I98" s="74" t="str">
        <f>vlookup(A98,'SEED INVENTORY'!$P$46:$R1000,3,False)</f>
        <v>#N/A</v>
      </c>
      <c r="J98" s="74">
        <f>sumif('SEED INVENTORY'!$T$46:$T1000,A98,'SEED INVENTORY'!$U$46:$U1000)</f>
        <v>0</v>
      </c>
    </row>
    <row r="99">
      <c r="A99" s="75" t="str">
        <f>IFERROR(__xludf.DUMMYFUNCTION("""COMPUTED_VALUE"""),"Bio-Cal")</f>
        <v>Bio-Cal</v>
      </c>
      <c r="D99" s="75">
        <f>IFERROR(__xludf.DUMMYFUNCTION("""COMPUTED_VALUE"""),0.0)</f>
        <v>0</v>
      </c>
      <c r="E99" s="75" t="str">
        <f>IFERROR(__xludf.DUMMYFUNCTION("""COMPUTED_VALUE"""),"Lbs")</f>
        <v>Lbs</v>
      </c>
      <c r="H99" s="74">
        <f>sumif('SEED INVENTORY'!$P$46:$P1000,A99,'SEED INVENTORY'!$Q$46:$Q1000)</f>
        <v>0</v>
      </c>
      <c r="I99" s="74" t="str">
        <f>vlookup(A99,'SEED INVENTORY'!$P$46:$R1000,3,False)</f>
        <v>#N/A</v>
      </c>
      <c r="J99" s="74">
        <f>sumif('SEED INVENTORY'!$T$46:$T1000,A99,'SEED INVENTORY'!$U$46:$U1000)</f>
        <v>0</v>
      </c>
    </row>
    <row r="100">
      <c r="A100" s="75" t="str">
        <f>IFERROR(__xludf.DUMMYFUNCTION("""COMPUTED_VALUE"""),"0-1-25-11S")</f>
        <v>0-1-25-11S</v>
      </c>
      <c r="D100" s="75">
        <f>IFERROR(__xludf.DUMMYFUNCTION("""COMPUTED_VALUE"""),0.0)</f>
        <v>0</v>
      </c>
      <c r="E100" s="75" t="str">
        <f>IFERROR(__xludf.DUMMYFUNCTION("""COMPUTED_VALUE"""),"Lbs")</f>
        <v>Lbs</v>
      </c>
      <c r="H100" s="74">
        <f>sumif('SEED INVENTORY'!$P$46:$P1000,A100,'SEED INVENTORY'!$Q$46:$Q1000)</f>
        <v>0</v>
      </c>
      <c r="I100" s="74" t="str">
        <f>vlookup(A100,'SEED INVENTORY'!$P$46:$R1000,3,False)</f>
        <v>#N/A</v>
      </c>
      <c r="J100" s="74">
        <f>sumif('SEED INVENTORY'!$T$46:$T1000,A100,'SEED INVENTORY'!$U$46:$U1000)</f>
        <v>0</v>
      </c>
    </row>
    <row r="101">
      <c r="A101" s="75" t="str">
        <f>IFERROR(__xludf.DUMMYFUNCTION("""COMPUTED_VALUE"""),"Daluge Manure")</f>
        <v>Daluge Manure</v>
      </c>
      <c r="D101" s="75">
        <f>IFERROR(__xludf.DUMMYFUNCTION("""COMPUTED_VALUE"""),755000.0)</f>
        <v>755000</v>
      </c>
      <c r="E101" s="75" t="str">
        <f>IFERROR(__xludf.DUMMYFUNCTION("""COMPUTED_VALUE"""),"Gal")</f>
        <v>Gal</v>
      </c>
      <c r="H101" s="74">
        <f>sumif('SEED INVENTORY'!$P$46:$P1000,A101,'SEED INVENTORY'!$Q$46:$Q1000)</f>
        <v>0</v>
      </c>
      <c r="I101" s="74" t="str">
        <f>vlookup(A101,'SEED INVENTORY'!$P$46:$R1000,3,False)</f>
        <v>#N/A</v>
      </c>
      <c r="J101" s="74">
        <f>sumif('SEED INVENTORY'!$T$46:$T1000,A101,'SEED INVENTORY'!$U$46:$U1000)</f>
        <v>0</v>
      </c>
    </row>
    <row r="102">
      <c r="A102" s="75" t="str">
        <f>IFERROR(__xludf.DUMMYFUNCTION("""COMPUTED_VALUE"""),"Janesville complete compost")</f>
        <v>Janesville complete compost</v>
      </c>
      <c r="D102" s="75">
        <f>IFERROR(__xludf.DUMMYFUNCTION("""COMPUTED_VALUE"""),0.0)</f>
        <v>0</v>
      </c>
      <c r="E102" s="75" t="str">
        <f>IFERROR(__xludf.DUMMYFUNCTION("""COMPUTED_VALUE"""),"Tons")</f>
        <v>Tons</v>
      </c>
      <c r="H102" s="74">
        <f>sumif('SEED INVENTORY'!$P$46:$P1000,A102,'SEED INVENTORY'!$Q$46:$Q1000)</f>
        <v>0</v>
      </c>
      <c r="I102" s="74" t="str">
        <f>vlookup(A102,'SEED INVENTORY'!$P$46:$R1000,3,False)</f>
        <v>#N/A</v>
      </c>
      <c r="J102" s="74">
        <f>sumif('SEED INVENTORY'!$T$46:$T1000,A102,'SEED INVENTORY'!$U$46:$U1000)</f>
        <v>0</v>
      </c>
    </row>
    <row r="103">
      <c r="A103" s="75" t="str">
        <f>IFERROR(__xludf.DUMMYFUNCTION("""COMPUTED_VALUE"""),"0-0-5-10Ca-2.5Mg-12.4S")</f>
        <v>0-0-5-10Ca-2.5Mg-12.4S</v>
      </c>
      <c r="D103" s="75">
        <f>IFERROR(__xludf.DUMMYFUNCTION("""COMPUTED_VALUE"""),12491.5)</f>
        <v>12491.5</v>
      </c>
      <c r="E103" s="75" t="str">
        <f>IFERROR(__xludf.DUMMYFUNCTION("""COMPUTED_VALUE"""),"Lbs")</f>
        <v>Lbs</v>
      </c>
      <c r="H103" s="74">
        <f>sumif('SEED INVENTORY'!$P$46:$P1000,A103,'SEED INVENTORY'!$Q$46:$Q1000)</f>
        <v>0</v>
      </c>
      <c r="I103" s="74" t="str">
        <f>vlookup(A103,'SEED INVENTORY'!$P$46:$R1000,3,False)</f>
        <v>#N/A</v>
      </c>
      <c r="J103" s="74">
        <f>sumif('SEED INVENTORY'!$T$46:$T1000,A103,'SEED INVENTORY'!$U$46:$U1000)</f>
        <v>0</v>
      </c>
    </row>
    <row r="104">
      <c r="A104" s="75" t="str">
        <f>IFERROR(__xludf.DUMMYFUNCTION("""COMPUTED_VALUE"""),"custom compost hauling")</f>
        <v>custom compost hauling</v>
      </c>
      <c r="D104" s="75">
        <f>IFERROR(__xludf.DUMMYFUNCTION("""COMPUTED_VALUE"""),446.125)</f>
        <v>446.125</v>
      </c>
      <c r="E104" s="75" t="str">
        <f>IFERROR(__xludf.DUMMYFUNCTION("""COMPUTED_VALUE"""),"Tons")</f>
        <v>Tons</v>
      </c>
      <c r="H104" s="74">
        <f>sumif('SEED INVENTORY'!$P$46:$P1000,A104,'SEED INVENTORY'!$Q$46:$Q1000)</f>
        <v>0</v>
      </c>
      <c r="I104" s="74" t="str">
        <f>vlookup(A104,'SEED INVENTORY'!$P$46:$R1000,3,False)</f>
        <v>#N/A</v>
      </c>
      <c r="J104" s="74">
        <f>sumif('SEED INVENTORY'!$T$46:$T1000,A104,'SEED INVENTORY'!$U$46:$U1000)</f>
        <v>0</v>
      </c>
    </row>
    <row r="105">
      <c r="A105" s="75" t="str">
        <f>IFERROR(__xludf.DUMMYFUNCTION("""COMPUTED_VALUE"""),"savy crew")</f>
        <v>savy crew</v>
      </c>
      <c r="D105" s="75">
        <f>IFERROR(__xludf.DUMMYFUNCTION("""COMPUTED_VALUE"""),85.35)</f>
        <v>85.35</v>
      </c>
      <c r="E105" s="75" t="str">
        <f>IFERROR(__xludf.DUMMYFUNCTION("""COMPUTED_VALUE"""),"Acre")</f>
        <v>Acre</v>
      </c>
      <c r="H105" s="74">
        <f>sumif('SEED INVENTORY'!$P$46:$P1000,A105,'SEED INVENTORY'!$Q$46:$Q1000)</f>
        <v>0</v>
      </c>
      <c r="I105" s="74" t="str">
        <f>vlookup(A105,'SEED INVENTORY'!$P$46:$R1000,3,False)</f>
        <v>#N/A</v>
      </c>
      <c r="J105" s="74">
        <f>sumif('SEED INVENTORY'!$T$46:$T1000,A105,'SEED INVENTORY'!$U$46:$U1000)</f>
        <v>0</v>
      </c>
    </row>
    <row r="106">
      <c r="A106" s="75" t="str">
        <f>IFERROR(__xludf.DUMMYFUNCTION("""COMPUTED_VALUE"""),"MBA Custom Hughes Blend 0-0-5-10.8C-2.5MG-12.5")</f>
        <v>MBA Custom Hughes Blend 0-0-5-10.8C-2.5MG-12.5</v>
      </c>
      <c r="D106" s="75">
        <f>IFERROR(__xludf.DUMMYFUNCTION("""COMPUTED_VALUE"""),0.0)</f>
        <v>0</v>
      </c>
      <c r="E106" s="75" t="str">
        <f>IFERROR(__xludf.DUMMYFUNCTION("""COMPUTED_VALUE"""),"Lbs")</f>
        <v>Lbs</v>
      </c>
      <c r="H106" s="74">
        <f>sumif('SEED INVENTORY'!$P$46:$P1000,A106,'SEED INVENTORY'!$Q$46:$Q1000)</f>
        <v>0</v>
      </c>
      <c r="I106" s="74" t="str">
        <f>vlookup(A106,'SEED INVENTORY'!$P$46:$R1000,3,False)</f>
        <v>#N/A</v>
      </c>
      <c r="J106" s="74">
        <f>sumif('SEED INVENTORY'!$T$46:$T1000,A106,'SEED INVENTORY'!$U$46:$U1000)</f>
        <v>0</v>
      </c>
    </row>
    <row r="107">
      <c r="A107" s="75" t="str">
        <f>IFERROR(__xludf.DUMMYFUNCTION("""COMPUTED_VALUE"""),"0-0-50-17s")</f>
        <v>0-0-50-17s</v>
      </c>
      <c r="D107" s="75">
        <f>IFERROR(__xludf.DUMMYFUNCTION("""COMPUTED_VALUE"""),72700.0)</f>
        <v>72700</v>
      </c>
      <c r="E107" s="75" t="str">
        <f>IFERROR(__xludf.DUMMYFUNCTION("""COMPUTED_VALUE"""),"Lbs")</f>
        <v>Lbs</v>
      </c>
      <c r="H107" s="74">
        <f>sumif('SEED INVENTORY'!$P$46:$P1000,A107,'SEED INVENTORY'!$Q$46:$Q1000)</f>
        <v>0</v>
      </c>
      <c r="I107" s="74" t="str">
        <f>vlookup(A107,'SEED INVENTORY'!$P$46:$R1000,3,False)</f>
        <v>#N/A</v>
      </c>
      <c r="J107" s="74">
        <f>sumif('SEED INVENTORY'!$T$46:$T1000,A107,'SEED INVENTORY'!$U$46:$U1000)</f>
        <v>0</v>
      </c>
    </row>
    <row r="108">
      <c r="A108" s="75" t="str">
        <f>IFERROR(__xludf.DUMMYFUNCTION("""COMPUTED_VALUE"""),"S04 30%")</f>
        <v>S04 30%</v>
      </c>
      <c r="D108" s="75">
        <f>IFERROR(__xludf.DUMMYFUNCTION("""COMPUTED_VALUE"""),118120.0)</f>
        <v>118120</v>
      </c>
      <c r="E108" s="75" t="str">
        <f>IFERROR(__xludf.DUMMYFUNCTION("""COMPUTED_VALUE"""),"Lbs")</f>
        <v>Lbs</v>
      </c>
      <c r="H108" s="74">
        <f>sumif('SEED INVENTORY'!$P$46:$P1000,A108,'SEED INVENTORY'!$Q$46:$Q1000)</f>
        <v>0</v>
      </c>
      <c r="I108" s="74" t="str">
        <f>vlookup(A108,'SEED INVENTORY'!$P$46:$R1000,3,False)</f>
        <v>#N/A</v>
      </c>
      <c r="J108" s="74">
        <f>sumif('SEED INVENTORY'!$T$46:$T1000,A108,'SEED INVENTORY'!$U$46:$U1000)</f>
        <v>0</v>
      </c>
    </row>
    <row r="109">
      <c r="A109" s="75" t="str">
        <f>IFERROR(__xludf.DUMMYFUNCTION("""COMPUTED_VALUE"""),"98G")</f>
        <v>98G</v>
      </c>
      <c r="D109" s="75">
        <f>IFERROR(__xludf.DUMMYFUNCTION("""COMPUTED_VALUE"""),0.0)</f>
        <v>0</v>
      </c>
      <c r="E109" s="75" t="str">
        <f>IFERROR(__xludf.DUMMYFUNCTION("""COMPUTED_VALUE"""),"Lbs")</f>
        <v>Lbs</v>
      </c>
      <c r="H109" s="74">
        <f>sumif('SEED INVENTORY'!$P$46:$P1000,A109,'SEED INVENTORY'!$Q$46:$Q1000)</f>
        <v>0</v>
      </c>
      <c r="I109" s="74" t="str">
        <f>vlookup(A109,'SEED INVENTORY'!$P$46:$R1000,3,False)</f>
        <v>#N/A</v>
      </c>
      <c r="J109" s="74">
        <f>sumif('SEED INVENTORY'!$T$46:$T1000,A109,'SEED INVENTORY'!$U$46:$U1000)</f>
        <v>0</v>
      </c>
    </row>
    <row r="110">
      <c r="A110" s="75" t="str">
        <f>IFERROR(__xludf.DUMMYFUNCTION("""COMPUTED_VALUE"""),"MycoGold")</f>
        <v>MycoGold</v>
      </c>
      <c r="D110" s="75" t="str">
        <f>IFERROR(__xludf.DUMMYFUNCTION("""COMPUTED_VALUE"""),"#DIV/0!")</f>
        <v>#DIV/0!</v>
      </c>
      <c r="E110" s="75" t="str">
        <f>IFERROR(__xludf.DUMMYFUNCTION("""COMPUTED_VALUE"""),"OZ")</f>
        <v>OZ</v>
      </c>
      <c r="H110" s="74">
        <f>sumif('SEED INVENTORY'!$P$46:$P1000,A110,'SEED INVENTORY'!$Q$46:$Q1000)</f>
        <v>0</v>
      </c>
      <c r="I110" s="74" t="str">
        <f>vlookup(A110,'SEED INVENTORY'!$P$46:$R1000,3,False)</f>
        <v>#N/A</v>
      </c>
      <c r="J110" s="74">
        <f>sumif('SEED INVENTORY'!$T$46:$T1000,A110,'SEED INVENTORY'!$U$46:$U1000)</f>
        <v>0</v>
      </c>
    </row>
    <row r="111">
      <c r="A111" s="75" t="str">
        <f>IFERROR(__xludf.DUMMYFUNCTION("""COMPUTED_VALUE"""),"Headline amp")</f>
        <v>Headline amp</v>
      </c>
      <c r="D111" s="75">
        <f>IFERROR(__xludf.DUMMYFUNCTION("""COMPUTED_VALUE"""),6862.13)</f>
        <v>6862.13</v>
      </c>
      <c r="E111" s="75" t="str">
        <f>IFERROR(__xludf.DUMMYFUNCTION("""COMPUTED_VALUE"""),"OZ")</f>
        <v>OZ</v>
      </c>
      <c r="H111" s="74">
        <f>sumif('SEED INVENTORY'!$P$46:$P1000,A111,'SEED INVENTORY'!$Q$46:$Q1000)</f>
        <v>0</v>
      </c>
      <c r="I111" s="74" t="str">
        <f>vlookup(A111,'SEED INVENTORY'!$P$46:$R1000,3,False)</f>
        <v>#N/A</v>
      </c>
      <c r="J111" s="74">
        <f>sumif('SEED INVENTORY'!$T$46:$T1000,A111,'SEED INVENTORY'!$U$46:$U1000)</f>
        <v>0</v>
      </c>
    </row>
    <row r="112">
      <c r="A112" s="75" t="str">
        <f>IFERROR(__xludf.DUMMYFUNCTION("""COMPUTED_VALUE"""),"Aerial application")</f>
        <v>Aerial application</v>
      </c>
      <c r="D112" s="75">
        <f>IFERROR(__xludf.DUMMYFUNCTION("""COMPUTED_VALUE"""),848.0299999999999)</f>
        <v>848.03</v>
      </c>
      <c r="E112" s="75" t="str">
        <f>IFERROR(__xludf.DUMMYFUNCTION("""COMPUTED_VALUE"""),"Acre")</f>
        <v>Acre</v>
      </c>
      <c r="H112" s="74">
        <f>sumif('SEED INVENTORY'!$P$46:$P1000,A112,'SEED INVENTORY'!$Q$46:$Q1000)</f>
        <v>0</v>
      </c>
      <c r="I112" s="74" t="str">
        <f>vlookup(A112,'SEED INVENTORY'!$P$46:$R1000,3,False)</f>
        <v>#N/A</v>
      </c>
      <c r="J112" s="74">
        <f>sumif('SEED INVENTORY'!$T$46:$T1000,A112,'SEED INVENTORY'!$U$46:$U1000)</f>
        <v>0</v>
      </c>
    </row>
    <row r="113">
      <c r="A113" s="75" t="str">
        <f>IFERROR(__xludf.DUMMYFUNCTION("""COMPUTED_VALUE"""),"ESN 44-0-0")</f>
        <v>ESN 44-0-0</v>
      </c>
      <c r="D113" s="75">
        <f>IFERROR(__xludf.DUMMYFUNCTION("""COMPUTED_VALUE"""),0.0)</f>
        <v>0</v>
      </c>
      <c r="E113" s="75" t="str">
        <f>IFERROR(__xludf.DUMMYFUNCTION("""COMPUTED_VALUE"""),"Lbs")</f>
        <v>Lbs</v>
      </c>
      <c r="H113" s="74">
        <f>sumif('SEED INVENTORY'!$P$46:$P1000,A113,'SEED INVENTORY'!$Q$46:$Q1000)</f>
        <v>0</v>
      </c>
      <c r="I113" s="74" t="str">
        <f>vlookup(A113,'SEED INVENTORY'!$P$46:$R1000,3,False)</f>
        <v>#N/A</v>
      </c>
      <c r="J113" s="74">
        <f>sumif('SEED INVENTORY'!$T$46:$T1000,A113,'SEED INVENTORY'!$U$46:$U1000)</f>
        <v>0</v>
      </c>
    </row>
    <row r="114">
      <c r="A114" s="75" t="str">
        <f>IFERROR(__xludf.DUMMYFUNCTION("""COMPUTED_VALUE"""),"Sonic (2x7.5 Lb)")</f>
        <v>Sonic (2x7.5 Lb)</v>
      </c>
      <c r="D114" s="75">
        <f>IFERROR(__xludf.DUMMYFUNCTION("""COMPUTED_VALUE"""),96.2218)</f>
        <v>96.2218</v>
      </c>
      <c r="E114" s="75" t="str">
        <f>IFERROR(__xludf.DUMMYFUNCTION("""COMPUTED_VALUE"""),"Lbs")</f>
        <v>Lbs</v>
      </c>
      <c r="H114" s="74">
        <f>sumif('SEED INVENTORY'!$P$46:$P1000,A114,'SEED INVENTORY'!$Q$46:$Q1000)</f>
        <v>0</v>
      </c>
      <c r="I114" s="74" t="str">
        <f>vlookup(A114,'SEED INVENTORY'!$P$46:$R1000,3,False)</f>
        <v>#N/A</v>
      </c>
      <c r="J114" s="74">
        <f>sumif('SEED INVENTORY'!$T$46:$T1000,A114,'SEED INVENTORY'!$U$46:$U1000)</f>
        <v>0</v>
      </c>
    </row>
    <row r="115">
      <c r="A115" s="75" t="str">
        <f>IFERROR(__xludf.DUMMYFUNCTION("""COMPUTED_VALUE"""),"Forsyte 1.88 SL (2x2.5 Gal)")</f>
        <v>Forsyte 1.88 SL (2x2.5 Gal)</v>
      </c>
      <c r="D115" s="75">
        <f>IFERROR(__xludf.DUMMYFUNCTION("""COMPUTED_VALUE"""),0.0)</f>
        <v>0</v>
      </c>
      <c r="E115" s="75" t="str">
        <f>IFERROR(__xludf.DUMMYFUNCTION("""COMPUTED_VALUE"""),"OZ")</f>
        <v>OZ</v>
      </c>
      <c r="H115" s="74">
        <f>sumif('SEED INVENTORY'!$P$46:$P1000,A115,'SEED INVENTORY'!$Q$46:$Q1000)</f>
        <v>0</v>
      </c>
      <c r="I115" s="74" t="str">
        <f>vlookup(A115,'SEED INVENTORY'!$P$46:$R1000,3,False)</f>
        <v>#N/A</v>
      </c>
      <c r="J115" s="74">
        <f>sumif('SEED INVENTORY'!$T$46:$T1000,A115,'SEED INVENTORY'!$U$46:$U1000)</f>
        <v>0</v>
      </c>
    </row>
    <row r="116">
      <c r="A116" s="75" t="str">
        <f>IFERROR(__xludf.DUMMYFUNCTION("""COMPUTED_VALUE"""),"MVP")</f>
        <v>MVP</v>
      </c>
      <c r="D116" s="75">
        <f>IFERROR(__xludf.DUMMYFUNCTION("""COMPUTED_VALUE"""),0.0)</f>
        <v>0</v>
      </c>
      <c r="E116" s="75" t="str">
        <f>IFERROR(__xludf.DUMMYFUNCTION("""COMPUTED_VALUE"""),"Gal")</f>
        <v>Gal</v>
      </c>
      <c r="H116" s="74">
        <f>sumif('SEED INVENTORY'!$P$46:$P1000,A116,'SEED INVENTORY'!$Q$46:$Q1000)</f>
        <v>0</v>
      </c>
      <c r="I116" s="74" t="str">
        <f>vlookup(A116,'SEED INVENTORY'!$P$46:$R1000,3,False)</f>
        <v>#N/A</v>
      </c>
      <c r="J116" s="74">
        <f>sumif('SEED INVENTORY'!$T$46:$T1000,A116,'SEED INVENTORY'!$U$46:$U1000)</f>
        <v>0</v>
      </c>
    </row>
    <row r="117">
      <c r="A117" s="75" t="str">
        <f>IFERROR(__xludf.DUMMYFUNCTION("""COMPUTED_VALUE"""),"Dramm E")</f>
        <v>Dramm E</v>
      </c>
      <c r="D117" s="75">
        <f>IFERROR(__xludf.DUMMYFUNCTION("""COMPUTED_VALUE"""),0.0)</f>
        <v>0</v>
      </c>
      <c r="E117" s="75" t="str">
        <f>IFERROR(__xludf.DUMMYFUNCTION("""COMPUTED_VALUE"""),"Gal")</f>
        <v>Gal</v>
      </c>
      <c r="H117" s="74">
        <f>sumif('SEED INVENTORY'!$P$46:$P1000,A117,'SEED INVENTORY'!$Q$46:$Q1000)</f>
        <v>0</v>
      </c>
      <c r="I117" s="74" t="str">
        <f>vlookup(A117,'SEED INVENTORY'!$P$46:$R1000,3,False)</f>
        <v>#N/A</v>
      </c>
      <c r="J117" s="74">
        <f>sumif('SEED INVENTORY'!$T$46:$T1000,A117,'SEED INVENTORY'!$U$46:$U1000)</f>
        <v>0</v>
      </c>
    </row>
    <row r="118">
      <c r="A118" s="75" t="str">
        <f>IFERROR(__xludf.DUMMYFUNCTION("""COMPUTED_VALUE"""),"Zinc L")</f>
        <v>Zinc L</v>
      </c>
      <c r="D118" s="75">
        <f>IFERROR(__xludf.DUMMYFUNCTION("""COMPUTED_VALUE"""),0.0)</f>
        <v>0</v>
      </c>
      <c r="E118" s="75" t="str">
        <f>IFERROR(__xludf.DUMMYFUNCTION("""COMPUTED_VALUE"""),"Quart")</f>
        <v>Quart</v>
      </c>
      <c r="H118" s="74">
        <f>sumif('SEED INVENTORY'!$P$46:$P1000,A118,'SEED INVENTORY'!$Q$46:$Q1000)</f>
        <v>0</v>
      </c>
      <c r="I118" s="74" t="str">
        <f>vlookup(A118,'SEED INVENTORY'!$P$46:$R1000,3,False)</f>
        <v>#N/A</v>
      </c>
      <c r="J118" s="74">
        <f>sumif('SEED INVENTORY'!$T$46:$T1000,A118,'SEED INVENTORY'!$U$46:$U1000)</f>
        <v>0</v>
      </c>
    </row>
    <row r="119">
      <c r="A119" s="75" t="str">
        <f>IFERROR(__xludf.DUMMYFUNCTION("""COMPUTED_VALUE"""),"AER K-Sulfate")</f>
        <v>AER K-Sulfate</v>
      </c>
      <c r="D119" s="75">
        <f>IFERROR(__xludf.DUMMYFUNCTION("""COMPUTED_VALUE"""),0.0)</f>
        <v>0</v>
      </c>
      <c r="E119" s="75" t="str">
        <f>IFERROR(__xludf.DUMMYFUNCTION("""COMPUTED_VALUE"""),"Gal")</f>
        <v>Gal</v>
      </c>
      <c r="H119" s="74">
        <f>sumif('SEED INVENTORY'!$P$46:$P1000,A119,'SEED INVENTORY'!$Q$46:$Q1000)</f>
        <v>0</v>
      </c>
      <c r="I119" s="74" t="str">
        <f>vlookup(A119,'SEED INVENTORY'!$P$46:$R1000,3,False)</f>
        <v>#N/A</v>
      </c>
      <c r="J119" s="74">
        <f>sumif('SEED INVENTORY'!$T$46:$T1000,A119,'SEED INVENTORY'!$U$46:$U1000)</f>
        <v>0</v>
      </c>
    </row>
    <row r="120">
      <c r="A120" s="75" t="str">
        <f>IFERROR(__xludf.DUMMYFUNCTION("""COMPUTED_VALUE"""),"Mt-17")</f>
        <v>Mt-17</v>
      </c>
      <c r="D120" s="75">
        <f>IFERROR(__xludf.DUMMYFUNCTION("""COMPUTED_VALUE"""),0.0)</f>
        <v>0</v>
      </c>
      <c r="E120" s="75" t="str">
        <f>IFERROR(__xludf.DUMMYFUNCTION("""COMPUTED_VALUE"""),"Gal")</f>
        <v>Gal</v>
      </c>
      <c r="H120" s="74">
        <f>sumif('SEED INVENTORY'!$P$46:$P1000,A120,'SEED INVENTORY'!$Q$46:$Q1000)</f>
        <v>0</v>
      </c>
      <c r="I120" s="74" t="str">
        <f>vlookup(A120,'SEED INVENTORY'!$P$46:$R1000,3,False)</f>
        <v>#N/A</v>
      </c>
      <c r="J120" s="74">
        <f>sumif('SEED INVENTORY'!$T$46:$T1000,A120,'SEED INVENTORY'!$U$46:$U1000)</f>
        <v>0</v>
      </c>
    </row>
    <row r="121">
      <c r="A121" s="75" t="str">
        <f>IFERROR(__xludf.DUMMYFUNCTION("""COMPUTED_VALUE"""),"Dramm O (fish)")</f>
        <v>Dramm O (fish)</v>
      </c>
      <c r="D121" s="75">
        <f>IFERROR(__xludf.DUMMYFUNCTION("""COMPUTED_VALUE"""),0.0)</f>
        <v>0</v>
      </c>
      <c r="E121" s="75" t="str">
        <f>IFERROR(__xludf.DUMMYFUNCTION("""COMPUTED_VALUE"""),"Tons")</f>
        <v>Tons</v>
      </c>
      <c r="H121" s="74">
        <f>sumif('SEED INVENTORY'!$P$46:$P1000,A121,'SEED INVENTORY'!$Q$46:$Q1000)</f>
        <v>0</v>
      </c>
      <c r="I121" s="74" t="str">
        <f>vlookup(A121,'SEED INVENTORY'!$P$46:$R1000,3,False)</f>
        <v>#N/A</v>
      </c>
      <c r="J121" s="74">
        <f>sumif('SEED INVENTORY'!$T$46:$T1000,A121,'SEED INVENTORY'!$U$46:$U1000)</f>
        <v>0</v>
      </c>
    </row>
    <row r="122">
      <c r="A122" s="75" t="str">
        <f>IFERROR(__xludf.DUMMYFUNCTION("""COMPUTED_VALUE"""),"BioRepel")</f>
        <v>BioRepel</v>
      </c>
      <c r="D122" s="75">
        <f>IFERROR(__xludf.DUMMYFUNCTION("""COMPUTED_VALUE"""),583.8)</f>
        <v>583.8</v>
      </c>
      <c r="E122" s="75" t="str">
        <f>IFERROR(__xludf.DUMMYFUNCTION("""COMPUTED_VALUE"""),"OZ")</f>
        <v>OZ</v>
      </c>
      <c r="H122" s="74">
        <f>sumif('SEED INVENTORY'!$P$46:$P1000,A122,'SEED INVENTORY'!$Q$46:$Q1000)</f>
        <v>0</v>
      </c>
      <c r="I122" s="74" t="str">
        <f>vlookup(A122,'SEED INVENTORY'!$P$46:$R1000,3,False)</f>
        <v>#N/A</v>
      </c>
      <c r="J122" s="74">
        <f>sumif('SEED INVENTORY'!$T$46:$T1000,A122,'SEED INVENTORY'!$U$46:$U1000)</f>
        <v>0</v>
      </c>
    </row>
    <row r="123">
      <c r="A123" s="75" t="str">
        <f>IFERROR(__xludf.DUMMYFUNCTION("""COMPUTED_VALUE"""),"Eco Tec")</f>
        <v>Eco Tec</v>
      </c>
      <c r="D123" s="75">
        <f>IFERROR(__xludf.DUMMYFUNCTION("""COMPUTED_VALUE"""),3502.8)</f>
        <v>3502.8</v>
      </c>
      <c r="E123" s="75" t="str">
        <f>IFERROR(__xludf.DUMMYFUNCTION("""COMPUTED_VALUE"""),"OZ")</f>
        <v>OZ</v>
      </c>
      <c r="H123" s="74">
        <f>sumif('SEED INVENTORY'!$P$46:$P1000,A123,'SEED INVENTORY'!$Q$46:$Q1000)</f>
        <v>0</v>
      </c>
      <c r="I123" s="74" t="str">
        <f>vlookup(A123,'SEED INVENTORY'!$P$46:$R1000,3,False)</f>
        <v>#N/A</v>
      </c>
      <c r="J123" s="74">
        <f>sumif('SEED INVENTORY'!$T$46:$T1000,A123,'SEED INVENTORY'!$U$46:$U1000)</f>
        <v>0</v>
      </c>
    </row>
    <row r="124">
      <c r="A124" s="75" t="str">
        <f>IFERROR(__xludf.DUMMYFUNCTION("""COMPUTED_VALUE"""),"Veltyma (2x2.5 Gal)")</f>
        <v>Veltyma (2x2.5 Gal)</v>
      </c>
      <c r="D124" s="75">
        <f>IFERROR(__xludf.DUMMYFUNCTION("""COMPUTED_VALUE"""),0.0)</f>
        <v>0</v>
      </c>
      <c r="E124" s="75" t="str">
        <f>IFERROR(__xludf.DUMMYFUNCTION("""COMPUTED_VALUE"""),"Lbs")</f>
        <v>Lbs</v>
      </c>
      <c r="H124" s="74">
        <f>sumif('SEED INVENTORY'!$P$46:$P1000,A124,'SEED INVENTORY'!$Q$46:$Q1000)</f>
        <v>0</v>
      </c>
      <c r="I124" s="74" t="str">
        <f>vlookup(A124,'SEED INVENTORY'!$P$46:$R1000,3,False)</f>
        <v>#N/A</v>
      </c>
      <c r="J124" s="74">
        <f>sumif('SEED INVENTORY'!$T$46:$T1000,A124,'SEED INVENTORY'!$U$46:$U1000)</f>
        <v>0</v>
      </c>
    </row>
    <row r="125">
      <c r="A125" s="75" t="str">
        <f>IFERROR(__xludf.DUMMYFUNCTION("""COMPUTED_VALUE"""),"Allganic Liquid 15-0-2")</f>
        <v>Allganic Liquid 15-0-2</v>
      </c>
      <c r="D125" s="75">
        <f>IFERROR(__xludf.DUMMYFUNCTION("""COMPUTED_VALUE"""),0.0)</f>
        <v>0</v>
      </c>
      <c r="E125" s="75" t="str">
        <f>IFERROR(__xludf.DUMMYFUNCTION("""COMPUTED_VALUE"""),"Lbs")</f>
        <v>Lbs</v>
      </c>
      <c r="H125" s="74">
        <f>sumif('SEED INVENTORY'!$P$46:$P1000,A125,'SEED INVENTORY'!$Q$46:$Q1000)</f>
        <v>0</v>
      </c>
      <c r="I125" s="74" t="str">
        <f>vlookup(A125,'SEED INVENTORY'!$P$46:$R1000,3,False)</f>
        <v>#N/A</v>
      </c>
      <c r="J125" s="74">
        <f>sumif('SEED INVENTORY'!$T$46:$T1000,A125,'SEED INVENTORY'!$U$46:$U1000)</f>
        <v>0</v>
      </c>
    </row>
    <row r="126">
      <c r="A126" s="75" t="str">
        <f>IFERROR(__xludf.DUMMYFUNCTION("""COMPUTED_VALUE"""),"MicroHum")</f>
        <v>MicroHum</v>
      </c>
      <c r="D126" s="75">
        <f>IFERROR(__xludf.DUMMYFUNCTION("""COMPUTED_VALUE"""),0.0)</f>
        <v>0</v>
      </c>
      <c r="E126" s="75" t="str">
        <f>IFERROR(__xludf.DUMMYFUNCTION("""COMPUTED_VALUE"""),"Lbs")</f>
        <v>Lbs</v>
      </c>
      <c r="H126" s="74">
        <f>sumif('SEED INVENTORY'!$P$46:$P1000,A126,'SEED INVENTORY'!$Q$46:$Q1000)</f>
        <v>0</v>
      </c>
      <c r="I126" s="74" t="str">
        <f>vlookup(A126,'SEED INVENTORY'!$P$46:$R1000,3,False)</f>
        <v>#N/A</v>
      </c>
      <c r="J126" s="74">
        <f>sumif('SEED INVENTORY'!$T$46:$T1000,A126,'SEED INVENTORY'!$U$46:$U1000)</f>
        <v>0</v>
      </c>
    </row>
    <row r="127">
      <c r="A127" s="75" t="str">
        <f>IFERROR(__xludf.DUMMYFUNCTION("""COMPUTED_VALUE"""),"SPE-120")</f>
        <v>SPE-120</v>
      </c>
      <c r="D127" s="75">
        <f>IFERROR(__xludf.DUMMYFUNCTION("""COMPUTED_VALUE"""),200.0)</f>
        <v>200</v>
      </c>
      <c r="E127" s="75" t="str">
        <f>IFERROR(__xludf.DUMMYFUNCTION("""COMPUTED_VALUE"""),"OZ")</f>
        <v>OZ</v>
      </c>
      <c r="H127" s="74">
        <f>sumif('SEED INVENTORY'!$P$46:$P1000,A127,'SEED INVENTORY'!$Q$46:$Q1000)</f>
        <v>0</v>
      </c>
      <c r="I127" s="74" t="str">
        <f>vlookup(A127,'SEED INVENTORY'!$P$46:$R1000,3,False)</f>
        <v>#N/A</v>
      </c>
      <c r="J127" s="74">
        <f>sumif('SEED INVENTORY'!$T$46:$T1000,A127,'SEED INVENTORY'!$U$46:$U1000)</f>
        <v>0</v>
      </c>
    </row>
    <row r="128">
      <c r="A128" s="75" t="str">
        <f>IFERROR(__xludf.DUMMYFUNCTION("""COMPUTED_VALUE"""),"SBB 2.5")</f>
        <v>SBB 2.5</v>
      </c>
      <c r="D128" s="75">
        <f>IFERROR(__xludf.DUMMYFUNCTION("""COMPUTED_VALUE"""),0.0)</f>
        <v>0</v>
      </c>
      <c r="E128" s="75" t="str">
        <f>IFERROR(__xludf.DUMMYFUNCTION("""COMPUTED_VALUE"""),"OZ")</f>
        <v>OZ</v>
      </c>
      <c r="H128" s="74">
        <f>sumif('SEED INVENTORY'!$P$46:$P1000,A128,'SEED INVENTORY'!$Q$46:$Q1000)</f>
        <v>0</v>
      </c>
      <c r="I128" s="74" t="str">
        <f>vlookup(A128,'SEED INVENTORY'!$P$46:$R1000,3,False)</f>
        <v>#N/A</v>
      </c>
      <c r="J128" s="74">
        <f>sumif('SEED INVENTORY'!$T$46:$T1000,A128,'SEED INVENTORY'!$U$46:$U1000)</f>
        <v>0</v>
      </c>
    </row>
    <row r="129">
      <c r="A129" s="75" t="str">
        <f>IFERROR(__xludf.DUMMYFUNCTION("""COMPUTED_VALUE"""),"beneficial nematoads")</f>
        <v>beneficial nematoads</v>
      </c>
      <c r="D129" s="75">
        <f>IFERROR(__xludf.DUMMYFUNCTION("""COMPUTED_VALUE"""),0.0)</f>
        <v>0</v>
      </c>
      <c r="E129" s="75" t="str">
        <f>IFERROR(__xludf.DUMMYFUNCTION("""COMPUTED_VALUE"""),"Acre")</f>
        <v>Acre</v>
      </c>
      <c r="H129" s="74">
        <f>sumif('SEED INVENTORY'!$P$46:$P1000,A129,'SEED INVENTORY'!$Q$46:$Q1000)</f>
        <v>0</v>
      </c>
      <c r="I129" s="74" t="str">
        <f>vlookup(A129,'SEED INVENTORY'!$P$46:$R1000,3,False)</f>
        <v>#N/A</v>
      </c>
      <c r="J129" s="74">
        <f>sumif('SEED INVENTORY'!$T$46:$T1000,A129,'SEED INVENTORY'!$U$46:$U1000)</f>
        <v>0</v>
      </c>
    </row>
    <row r="130">
      <c r="A130" s="75" t="str">
        <f>IFERROR(__xludf.DUMMYFUNCTION("""COMPUTED_VALUE"""),"Atrazine 4L")</f>
        <v>Atrazine 4L</v>
      </c>
      <c r="D130" s="75">
        <f>IFERROR(__xludf.DUMMYFUNCTION("""COMPUTED_VALUE"""),2893.7144)</f>
        <v>2893.7144</v>
      </c>
      <c r="E130" s="75" t="str">
        <f>IFERROR(__xludf.DUMMYFUNCTION("""COMPUTED_VALUE"""),"Pts")</f>
        <v>Pts</v>
      </c>
      <c r="H130" s="74">
        <f>sumif('SEED INVENTORY'!$P$46:$P1000,A130,'SEED INVENTORY'!$Q$46:$Q1000)</f>
        <v>0</v>
      </c>
      <c r="I130" s="74" t="str">
        <f>vlookup(A130,'SEED INVENTORY'!$P$46:$R1000,3,False)</f>
        <v>#N/A</v>
      </c>
      <c r="J130" s="74">
        <f>sumif('SEED INVENTORY'!$T$46:$T1000,A130,'SEED INVENTORY'!$U$46:$U1000)</f>
        <v>0</v>
      </c>
    </row>
    <row r="131">
      <c r="A131" s="75" t="str">
        <f>IFERROR(__xludf.DUMMYFUNCTION("""COMPUTED_VALUE"""),"NIS")</f>
        <v>NIS</v>
      </c>
      <c r="D131" s="75">
        <f>IFERROR(__xludf.DUMMYFUNCTION("""COMPUTED_VALUE"""),0.0)</f>
        <v>0</v>
      </c>
      <c r="E131" s="75" t="str">
        <f>IFERROR(__xludf.DUMMYFUNCTION("""COMPUTED_VALUE"""),"Quart")</f>
        <v>Quart</v>
      </c>
      <c r="H131" s="74">
        <f>sumif('SEED INVENTORY'!$P$46:$P1000,A131,'SEED INVENTORY'!$Q$46:$Q1000)</f>
        <v>0</v>
      </c>
      <c r="I131" s="74" t="str">
        <f>vlookup(A131,'SEED INVENTORY'!$P$46:$R1000,3,False)</f>
        <v>#N/A</v>
      </c>
      <c r="J131" s="74">
        <f>sumif('SEED INVENTORY'!$T$46:$T1000,A131,'SEED INVENTORY'!$U$46:$U1000)</f>
        <v>0</v>
      </c>
    </row>
    <row r="132">
      <c r="A132" s="75" t="str">
        <f>IFERROR(__xludf.DUMMYFUNCTION("""COMPUTED_VALUE"""),"Volunteer")</f>
        <v>Volunteer</v>
      </c>
      <c r="D132" s="75" t="str">
        <f>IFERROR(__xludf.DUMMYFUNCTION("""COMPUTED_VALUE"""),"#DIV/0!")</f>
        <v>#DIV/0!</v>
      </c>
      <c r="E132" s="75" t="str">
        <f>IFERROR(__xludf.DUMMYFUNCTION("""COMPUTED_VALUE"""),"OZ")</f>
        <v>OZ</v>
      </c>
      <c r="H132" s="74">
        <f>sumif('SEED INVENTORY'!$P$46:$P1000,A132,'SEED INVENTORY'!$Q$46:$Q1000)</f>
        <v>0</v>
      </c>
      <c r="I132" s="74" t="str">
        <f>vlookup(A132,'SEED INVENTORY'!$P$46:$R1000,3,False)</f>
        <v>#N/A</v>
      </c>
      <c r="J132" s="74">
        <f>sumif('SEED INVENTORY'!$T$46:$T1000,A132,'SEED INVENTORY'!$U$46:$U1000)</f>
        <v>0</v>
      </c>
    </row>
    <row r="133">
      <c r="A133" s="75" t="str">
        <f>IFERROR(__xludf.DUMMYFUNCTION("""COMPUTED_VALUE"""),"Coron")</f>
        <v>Coron</v>
      </c>
      <c r="D133" s="75">
        <f>IFERROR(__xludf.DUMMYFUNCTION("""COMPUTED_VALUE"""),0.0)</f>
        <v>0</v>
      </c>
      <c r="E133" s="75" t="str">
        <f>IFERROR(__xludf.DUMMYFUNCTION("""COMPUTED_VALUE"""),"Gal")</f>
        <v>Gal</v>
      </c>
      <c r="H133" s="74">
        <f>sumif('SEED INVENTORY'!$P$46:$P1000,A133,'SEED INVENTORY'!$Q$46:$Q1000)</f>
        <v>0</v>
      </c>
      <c r="I133" s="74" t="str">
        <f>vlookup(A133,'SEED INVENTORY'!$P$46:$R1000,3,False)</f>
        <v>#N/A</v>
      </c>
      <c r="J133" s="74">
        <f>sumif('SEED INVENTORY'!$T$46:$T1000,A133,'SEED INVENTORY'!$U$46:$U1000)</f>
        <v>0</v>
      </c>
    </row>
    <row r="134">
      <c r="A134" s="75" t="str">
        <f>IFERROR(__xludf.DUMMYFUNCTION("""COMPUTED_VALUE"""),"MCPA")</f>
        <v>MCPA</v>
      </c>
      <c r="D134" s="75" t="str">
        <f>IFERROR(__xludf.DUMMYFUNCTION("""COMPUTED_VALUE"""),"#DIV/0!")</f>
        <v>#DIV/0!</v>
      </c>
      <c r="E134" s="75" t="str">
        <f>IFERROR(__xludf.DUMMYFUNCTION("""COMPUTED_VALUE"""),"Tons")</f>
        <v>Tons</v>
      </c>
      <c r="H134" s="74">
        <f>sumif('SEED INVENTORY'!$P$46:$P1000,A134,'SEED INVENTORY'!$Q$46:$Q1000)</f>
        <v>0</v>
      </c>
      <c r="I134" s="74" t="str">
        <f>vlookup(A134,'SEED INVENTORY'!$P$46:$R1000,3,False)</f>
        <v>#N/A</v>
      </c>
      <c r="J134" s="74">
        <f>sumif('SEED INVENTORY'!$T$46:$T1000,A134,'SEED INVENTORY'!$U$46:$U1000)</f>
        <v>0</v>
      </c>
    </row>
    <row r="135">
      <c r="A135" s="75" t="str">
        <f>IFERROR(__xludf.DUMMYFUNCTION("""COMPUTED_VALUE"""),"copper sulfate granular")</f>
        <v>copper sulfate granular</v>
      </c>
      <c r="D135" s="75">
        <f>IFERROR(__xludf.DUMMYFUNCTION("""COMPUTED_VALUE"""),0.0)</f>
        <v>0</v>
      </c>
      <c r="E135" s="75" t="str">
        <f>IFERROR(__xludf.DUMMYFUNCTION("""COMPUTED_VALUE"""),"Lbs")</f>
        <v>Lbs</v>
      </c>
      <c r="H135" s="74">
        <f>sumif('SEED INVENTORY'!$P$46:$P1000,A135,'SEED INVENTORY'!$Q$46:$Q1000)</f>
        <v>0</v>
      </c>
      <c r="I135" s="74" t="str">
        <f>vlookup(A135,'SEED INVENTORY'!$P$46:$R1000,3,False)</f>
        <v>#N/A</v>
      </c>
      <c r="J135" s="74">
        <f>sumif('SEED INVENTORY'!$T$46:$T1000,A135,'SEED INVENTORY'!$U$46:$U1000)</f>
        <v>0</v>
      </c>
    </row>
    <row r="136">
      <c r="A136" s="75" t="str">
        <f>IFERROR(__xludf.DUMMYFUNCTION("""COMPUTED_VALUE"""),"Regalia RX")</f>
        <v>Regalia RX</v>
      </c>
      <c r="D136" s="75">
        <f>IFERROR(__xludf.DUMMYFUNCTION("""COMPUTED_VALUE"""),0.0)</f>
        <v>0</v>
      </c>
      <c r="E136" s="75" t="str">
        <f>IFERROR(__xludf.DUMMYFUNCTION("""COMPUTED_VALUE"""),"Quart")</f>
        <v>Quart</v>
      </c>
      <c r="H136" s="74">
        <f>sumif('SEED INVENTORY'!$P$46:$P1000,A136,'SEED INVENTORY'!$Q$46:$Q1000)</f>
        <v>0</v>
      </c>
      <c r="I136" s="74" t="str">
        <f>vlookup(A136,'SEED INVENTORY'!$P$46:$R1000,3,False)</f>
        <v>#N/A</v>
      </c>
      <c r="J136" s="74">
        <f>sumif('SEED INVENTORY'!$T$46:$T1000,A136,'SEED INVENTORY'!$U$46:$U1000)</f>
        <v>0</v>
      </c>
    </row>
    <row r="137">
      <c r="A137" s="75" t="str">
        <f>IFERROR(__xludf.DUMMYFUNCTION("""COMPUTED_VALUE"""),"copper sulfate fine ground")</f>
        <v>copper sulfate fine ground</v>
      </c>
      <c r="D137" s="75">
        <f>IFERROR(__xludf.DUMMYFUNCTION("""COMPUTED_VALUE"""),0.0)</f>
        <v>0</v>
      </c>
      <c r="E137" s="75" t="str">
        <f>IFERROR(__xludf.DUMMYFUNCTION("""COMPUTED_VALUE"""),"Lbs")</f>
        <v>Lbs</v>
      </c>
      <c r="H137" s="74">
        <f>sumif('SEED INVENTORY'!$P$46:$P1000,A137,'SEED INVENTORY'!$Q$46:$Q1000)</f>
        <v>0</v>
      </c>
      <c r="I137" s="74" t="str">
        <f>vlookup(A137,'SEED INVENTORY'!$P$46:$R1000,3,False)</f>
        <v>#N/A</v>
      </c>
      <c r="J137" s="74">
        <f>sumif('SEED INVENTORY'!$T$46:$T1000,A137,'SEED INVENTORY'!$U$46:$U1000)</f>
        <v>0</v>
      </c>
    </row>
    <row r="138">
      <c r="A138" s="75" t="str">
        <f>IFERROR(__xludf.DUMMYFUNCTION("""COMPUTED_VALUE"""),"0-46-0 Triple Super 15C")</f>
        <v>0-46-0 Triple Super 15C</v>
      </c>
      <c r="D138" s="75">
        <f>IFERROR(__xludf.DUMMYFUNCTION("""COMPUTED_VALUE"""),796.6)</f>
        <v>796.6</v>
      </c>
      <c r="E138" s="75" t="str">
        <f>IFERROR(__xludf.DUMMYFUNCTION("""COMPUTED_VALUE"""),"Lbs")</f>
        <v>Lbs</v>
      </c>
      <c r="H138" s="74">
        <f>sumif('SEED INVENTORY'!$P$46:$P1000,A138,'SEED INVENTORY'!$Q$46:$Q1000)</f>
        <v>0</v>
      </c>
      <c r="I138" s="74" t="str">
        <f>vlookup(A138,'SEED INVENTORY'!$P$46:$R1000,3,False)</f>
        <v>#N/A</v>
      </c>
      <c r="J138" s="74">
        <f>sumif('SEED INVENTORY'!$T$46:$T1000,A138,'SEED INVENTORY'!$U$46:$U1000)</f>
        <v>0</v>
      </c>
    </row>
    <row r="139">
      <c r="A139" s="75" t="str">
        <f>IFERROR(__xludf.DUMMYFUNCTION("""COMPUTED_VALUE"""),"Pell Lime")</f>
        <v>Pell Lime</v>
      </c>
      <c r="D139" s="75">
        <f>IFERROR(__xludf.DUMMYFUNCTION("""COMPUTED_VALUE"""),4368.599999999999)</f>
        <v>4368.6</v>
      </c>
      <c r="E139" s="75" t="str">
        <f>IFERROR(__xludf.DUMMYFUNCTION("""COMPUTED_VALUE"""),"OZ")</f>
        <v>OZ</v>
      </c>
      <c r="H139" s="74">
        <f>sumif('SEED INVENTORY'!$P$46:$P1000,A139,'SEED INVENTORY'!$Q$46:$Q1000)</f>
        <v>0</v>
      </c>
      <c r="I139" s="74" t="str">
        <f>vlookup(A139,'SEED INVENTORY'!$P$46:$R1000,3,False)</f>
        <v>#N/A</v>
      </c>
      <c r="J139" s="74">
        <f>sumif('SEED INVENTORY'!$T$46:$T1000,A139,'SEED INVENTORY'!$U$46:$U1000)</f>
        <v>0</v>
      </c>
    </row>
    <row r="140">
      <c r="A140" s="75" t="str">
        <f>IFERROR(__xludf.DUMMYFUNCTION("""COMPUTED_VALUE"""),"0-0-60 OMRI")</f>
        <v>0-0-60 OMRI</v>
      </c>
      <c r="D140" s="75">
        <f>IFERROR(__xludf.DUMMYFUNCTION("""COMPUTED_VALUE"""),23957.07902)</f>
        <v>23957.07902</v>
      </c>
      <c r="E140" s="75" t="str">
        <f>IFERROR(__xludf.DUMMYFUNCTION("""COMPUTED_VALUE"""),"OZ")</f>
        <v>OZ</v>
      </c>
      <c r="H140" s="74">
        <f>sumif('SEED INVENTORY'!$P$46:$P1000,A140,'SEED INVENTORY'!$Q$46:$Q1000)</f>
        <v>0</v>
      </c>
      <c r="I140" s="74" t="str">
        <f>vlookup(A140,'SEED INVENTORY'!$P$46:$R1000,3,False)</f>
        <v>#N/A</v>
      </c>
      <c r="J140" s="74">
        <f>sumif('SEED INVENTORY'!$T$46:$T1000,A140,'SEED INVENTORY'!$U$46:$U1000)</f>
        <v>0</v>
      </c>
    </row>
    <row r="141">
      <c r="A141" s="75" t="str">
        <f>IFERROR(__xludf.DUMMYFUNCTION("""COMPUTED_VALUE"""),"gold oaks compost")</f>
        <v>gold oaks compost</v>
      </c>
      <c r="D141" s="75">
        <f>IFERROR(__xludf.DUMMYFUNCTION("""COMPUTED_VALUE"""),2861.9999999999995)</f>
        <v>2862</v>
      </c>
      <c r="E141" s="75" t="str">
        <f>IFERROR(__xludf.DUMMYFUNCTION("""COMPUTED_VALUE"""),"OZ")</f>
        <v>OZ</v>
      </c>
      <c r="H141" s="74">
        <f>sumif('SEED INVENTORY'!$P$46:$P1000,A141,'SEED INVENTORY'!$Q$46:$Q1000)</f>
        <v>0</v>
      </c>
      <c r="I141" s="74" t="str">
        <f>vlookup(A141,'SEED INVENTORY'!$P$46:$R1000,3,False)</f>
        <v>#N/A</v>
      </c>
      <c r="J141" s="74">
        <f>sumif('SEED INVENTORY'!$T$46:$T1000,A141,'SEED INVENTORY'!$U$46:$U1000)</f>
        <v>0</v>
      </c>
    </row>
    <row r="142">
      <c r="A142" s="75" t="str">
        <f>IFERROR(__xludf.DUMMYFUNCTION("""COMPUTED_VALUE"""),"living carbon")</f>
        <v>living carbon</v>
      </c>
      <c r="D142" s="75">
        <f>IFERROR(__xludf.DUMMYFUNCTION("""COMPUTED_VALUE"""),1485.9924999999998)</f>
        <v>1485.9925</v>
      </c>
      <c r="E142" s="75" t="str">
        <f>IFERROR(__xludf.DUMMYFUNCTION("""COMPUTED_VALUE"""),"OZ")</f>
        <v>OZ</v>
      </c>
      <c r="H142" s="74">
        <f>sumif('SEED INVENTORY'!$P$46:$P1000,A142,'SEED INVENTORY'!$Q$46:$Q1000)</f>
        <v>0</v>
      </c>
      <c r="I142" s="74" t="str">
        <f>vlookup(A142,'SEED INVENTORY'!$P$46:$R1000,3,False)</f>
        <v>#N/A</v>
      </c>
      <c r="J142" s="74">
        <f>sumif('SEED INVENTORY'!$T$46:$T1000,A142,'SEED INVENTORY'!$U$46:$U1000)</f>
        <v>0</v>
      </c>
    </row>
    <row r="143">
      <c r="A143" s="75" t="str">
        <f>IFERROR(__xludf.DUMMYFUNCTION("""COMPUTED_VALUE"""),"compost tea LLC")</f>
        <v>compost tea LLC</v>
      </c>
      <c r="D143" s="75">
        <f>IFERROR(__xludf.DUMMYFUNCTION("""COMPUTED_VALUE"""),1149.72)</f>
        <v>1149.72</v>
      </c>
      <c r="E143" s="75" t="str">
        <f>IFERROR(__xludf.DUMMYFUNCTION("""COMPUTED_VALUE"""),"OZ")</f>
        <v>OZ</v>
      </c>
      <c r="H143" s="74">
        <f>sumif('SEED INVENTORY'!$P$46:$P1000,A143,'SEED INVENTORY'!$Q$46:$Q1000)</f>
        <v>0</v>
      </c>
      <c r="I143" s="74" t="str">
        <f>vlookup(A143,'SEED INVENTORY'!$P$46:$R1000,3,False)</f>
        <v>#N/A</v>
      </c>
      <c r="J143" s="74">
        <f>sumif('SEED INVENTORY'!$T$46:$T1000,A143,'SEED INVENTORY'!$U$46:$U1000)</f>
        <v>0</v>
      </c>
    </row>
    <row r="144">
      <c r="A144" s="75" t="str">
        <f>IFERROR(__xludf.DUMMYFUNCTION("""COMPUTED_VALUE"""),"Mustang MAX")</f>
        <v>Mustang MAX</v>
      </c>
      <c r="D144" s="75" t="str">
        <f>IFERROR(__xludf.DUMMYFUNCTION("""COMPUTED_VALUE"""),"#DIV/0!")</f>
        <v>#DIV/0!</v>
      </c>
      <c r="E144" s="75" t="str">
        <f>IFERROR(__xludf.DUMMYFUNCTION("""COMPUTED_VALUE"""),"OZ")</f>
        <v>OZ</v>
      </c>
      <c r="H144" s="74">
        <f>sumif('SEED INVENTORY'!$P$46:$P1000,A144,'SEED INVENTORY'!$Q$46:$Q1000)</f>
        <v>0</v>
      </c>
      <c r="I144" s="74" t="str">
        <f>vlookup(A144,'SEED INVENTORY'!$P$46:$R1000,3,False)</f>
        <v>#N/A</v>
      </c>
      <c r="J144" s="74">
        <f>sumif('SEED INVENTORY'!$T$46:$T1000,A144,'SEED INVENTORY'!$U$46:$U1000)</f>
        <v>0</v>
      </c>
    </row>
    <row r="145">
      <c r="A145" s="75" t="str">
        <f>IFERROR(__xludf.DUMMYFUNCTION("""COMPUTED_VALUE"""),"Tenesse brown")</f>
        <v>Tenesse brown</v>
      </c>
      <c r="D145" s="75">
        <f>IFERROR(__xludf.DUMMYFUNCTION("""COMPUTED_VALUE"""),318.99999999999994)</f>
        <v>319</v>
      </c>
      <c r="E145" s="75" t="str">
        <f>IFERROR(__xludf.DUMMYFUNCTION("""COMPUTED_VALUE"""),"OZ")</f>
        <v>OZ</v>
      </c>
      <c r="H145" s="74">
        <f>sumif('SEED INVENTORY'!$P$46:$P1000,A145,'SEED INVENTORY'!$Q$46:$Q1000)</f>
        <v>0</v>
      </c>
      <c r="I145" s="74" t="str">
        <f>vlookup(A145,'SEED INVENTORY'!$P$46:$R1000,3,False)</f>
        <v>#N/A</v>
      </c>
      <c r="J145" s="74">
        <f>sumif('SEED INVENTORY'!$T$46:$T1000,A145,'SEED INVENTORY'!$U$46:$U1000)</f>
        <v>0</v>
      </c>
    </row>
    <row r="146">
      <c r="A146" s="75" t="str">
        <f>IFERROR(__xludf.DUMMYFUNCTION("""COMPUTED_VALUE"""),"Batallion LFC (2x2.5 Gal)")</f>
        <v>Batallion LFC (2x2.5 Gal)</v>
      </c>
      <c r="D146" s="75">
        <f>IFERROR(__xludf.DUMMYFUNCTION("""COMPUTED_VALUE"""),0.0)</f>
        <v>0</v>
      </c>
      <c r="E146" s="75" t="str">
        <f>IFERROR(__xludf.DUMMYFUNCTION("""COMPUTED_VALUE"""),"Lbs")</f>
        <v>Lbs</v>
      </c>
      <c r="H146" s="74">
        <f>sumif('SEED INVENTORY'!$P$46:$P1000,A146,'SEED INVENTORY'!$Q$46:$Q1000)</f>
        <v>0</v>
      </c>
      <c r="I146" s="74" t="str">
        <f>vlookup(A146,'SEED INVENTORY'!$P$46:$R1000,3,False)</f>
        <v>#N/A</v>
      </c>
      <c r="J146" s="74">
        <f>sumif('SEED INVENTORY'!$T$46:$T1000,A146,'SEED INVENTORY'!$U$46:$U1000)</f>
        <v>0</v>
      </c>
    </row>
    <row r="147">
      <c r="A147" s="75" t="str">
        <f>IFERROR(__xludf.DUMMYFUNCTION("""COMPUTED_VALUE"""),"Boost")</f>
        <v>Boost</v>
      </c>
      <c r="D147" s="75" t="str">
        <f>IFERROR(__xludf.DUMMYFUNCTION("""COMPUTED_VALUE"""),"#DIV/0!")</f>
        <v>#DIV/0!</v>
      </c>
      <c r="E147" s="75" t="str">
        <f>IFERROR(__xludf.DUMMYFUNCTION("""COMPUTED_VALUE"""),"Lbs")</f>
        <v>Lbs</v>
      </c>
      <c r="H147" s="74">
        <f>sumif('SEED INVENTORY'!$P$46:$P1000,A147,'SEED INVENTORY'!$Q$46:$Q1000)</f>
        <v>0</v>
      </c>
      <c r="I147" s="74" t="str">
        <f>vlookup(A147,'SEED INVENTORY'!$P$46:$R1000,3,False)</f>
        <v>#N/A</v>
      </c>
      <c r="J147" s="74">
        <f>sumif('SEED INVENTORY'!$T$46:$T1000,A147,'SEED INVENTORY'!$U$46:$U1000)</f>
        <v>0</v>
      </c>
    </row>
    <row r="148">
      <c r="A148" s="75" t="str">
        <f>IFERROR(__xludf.DUMMYFUNCTION("""COMPUTED_VALUE"""),"Fall 21 Kutz Litter")</f>
        <v>Fall 21 Kutz Litter</v>
      </c>
      <c r="D148" s="75" t="str">
        <f>IFERROR(__xludf.DUMMYFUNCTION("""COMPUTED_VALUE"""),"#DIV/0!")</f>
        <v>#DIV/0!</v>
      </c>
      <c r="E148" s="75" t="str">
        <f>IFERROR(__xludf.DUMMYFUNCTION("""COMPUTED_VALUE"""),"Lbs")</f>
        <v>Lbs</v>
      </c>
      <c r="H148" s="74">
        <f>sumif('SEED INVENTORY'!$P$46:$P1000,A148,'SEED INVENTORY'!$Q$46:$Q1000)</f>
        <v>0</v>
      </c>
      <c r="I148" s="74" t="str">
        <f>vlookup(A148,'SEED INVENTORY'!$P$46:$R1000,3,False)</f>
        <v>#N/A</v>
      </c>
      <c r="J148" s="74">
        <f>sumif('SEED INVENTORY'!$T$46:$T1000,A148,'SEED INVENTORY'!$U$46:$U1000)</f>
        <v>0</v>
      </c>
    </row>
    <row r="149">
      <c r="A149" s="75" t="str">
        <f>IFERROR(__xludf.DUMMYFUNCTION("""COMPUTED_VALUE"""),"SideDress N 46-0-0")</f>
        <v>SideDress N 46-0-0</v>
      </c>
      <c r="D149" s="75" t="str">
        <f>IFERROR(__xludf.DUMMYFUNCTION("""COMPUTED_VALUE"""),"#DIV/0!")</f>
        <v>#DIV/0!</v>
      </c>
      <c r="E149" s="75" t="str">
        <f>IFERROR(__xludf.DUMMYFUNCTION("""COMPUTED_VALUE"""),"Lbs")</f>
        <v>Lbs</v>
      </c>
      <c r="H149" s="74">
        <f>sumif('SEED INVENTORY'!$P$46:$P1000,A149,'SEED INVENTORY'!$Q$46:$Q1000)</f>
        <v>0</v>
      </c>
      <c r="I149" s="74" t="str">
        <f>vlookup(A149,'SEED INVENTORY'!$P$46:$R1000,3,False)</f>
        <v>#N/A</v>
      </c>
      <c r="J149" s="74">
        <f>sumif('SEED INVENTORY'!$T$46:$T1000,A149,'SEED INVENTORY'!$U$46:$U1000)</f>
        <v>0</v>
      </c>
    </row>
    <row r="150">
      <c r="A150" s="75" t="str">
        <f>IFERROR(__xludf.DUMMYFUNCTION("""COMPUTED_VALUE"""),"Rhizolizer Duo OMRI")</f>
        <v>Rhizolizer Duo OMRI</v>
      </c>
      <c r="D150" s="75" t="str">
        <f>IFERROR(__xludf.DUMMYFUNCTION("""COMPUTED_VALUE"""),"#DIV/0!")</f>
        <v>#DIV/0!</v>
      </c>
      <c r="E150" s="75" t="str">
        <f>IFERROR(__xludf.DUMMYFUNCTION("""COMPUTED_VALUE"""),"Lbs")</f>
        <v>Lbs</v>
      </c>
      <c r="H150" s="74">
        <f>sumif('SEED INVENTORY'!$P$46:$P1000,A150,'SEED INVENTORY'!$Q$46:$Q1000)</f>
        <v>0</v>
      </c>
      <c r="I150" s="74" t="str">
        <f>vlookup(A150,'SEED INVENTORY'!$P$46:$R1000,3,False)</f>
        <v>#N/A</v>
      </c>
      <c r="J150" s="74">
        <f>sumif('SEED INVENTORY'!$T$46:$T1000,A150,'SEED INVENTORY'!$U$46:$U1000)</f>
        <v>0</v>
      </c>
    </row>
    <row r="151">
      <c r="A151" s="75" t="str">
        <f>IFERROR(__xludf.DUMMYFUNCTION("""COMPUTED_VALUE"""),"Pantego")</f>
        <v>Pantego</v>
      </c>
      <c r="D151" s="75" t="str">
        <f>IFERROR(__xludf.DUMMYFUNCTION("""COMPUTED_VALUE"""),"#DIV/0!")</f>
        <v>#DIV/0!</v>
      </c>
      <c r="E151" s="75" t="str">
        <f>IFERROR(__xludf.DUMMYFUNCTION("""COMPUTED_VALUE"""),"Lbs")</f>
        <v>Lbs</v>
      </c>
      <c r="H151" s="74">
        <f>sumif('SEED INVENTORY'!$P$46:$P1000,A151,'SEED INVENTORY'!$Q$46:$Q1000)</f>
        <v>0</v>
      </c>
      <c r="I151" s="74" t="str">
        <f>vlookup(A151,'SEED INVENTORY'!$P$46:$R1000,3,False)</f>
        <v>#N/A</v>
      </c>
      <c r="J151" s="74">
        <f>sumif('SEED INVENTORY'!$T$46:$T1000,A151,'SEED INVENTORY'!$U$46:$U1000)</f>
        <v>0</v>
      </c>
    </row>
    <row r="152">
      <c r="A152" s="75" t="str">
        <f>IFERROR(__xludf.DUMMYFUNCTION("""COMPUTED_VALUE"""),"Rhizolozer Prime")</f>
        <v>Rhizolozer Prime</v>
      </c>
      <c r="D152" s="75" t="str">
        <f>IFERROR(__xludf.DUMMYFUNCTION("""COMPUTED_VALUE"""),"#DIV/0!")</f>
        <v>#DIV/0!</v>
      </c>
      <c r="E152" s="75" t="str">
        <f>IFERROR(__xludf.DUMMYFUNCTION("""COMPUTED_VALUE"""),"Lbs")</f>
        <v>Lbs</v>
      </c>
      <c r="H152" s="74">
        <f>sumif('SEED INVENTORY'!$P$46:$P1000,A152,'SEED INVENTORY'!$Q$46:$Q1000)</f>
        <v>0</v>
      </c>
      <c r="I152" s="74" t="str">
        <f>vlookup(A152,'SEED INVENTORY'!$P$46:$R1000,3,False)</f>
        <v>#N/A</v>
      </c>
      <c r="J152" s="74">
        <f>sumif('SEED INVENTORY'!$T$46:$T1000,A152,'SEED INVENTORY'!$U$46:$U1000)</f>
        <v>0</v>
      </c>
    </row>
    <row r="153">
      <c r="A153" s="75" t="str">
        <f>IFERROR(__xludf.DUMMYFUNCTION("""COMPUTED_VALUE"""),"Rhizolozer DUO")</f>
        <v>Rhizolozer DUO</v>
      </c>
      <c r="D153" s="75" t="str">
        <f>IFERROR(__xludf.DUMMYFUNCTION("""COMPUTED_VALUE"""),"#DIV/0!")</f>
        <v>#DIV/0!</v>
      </c>
      <c r="E153" s="75" t="str">
        <f>IFERROR(__xludf.DUMMYFUNCTION("""COMPUTED_VALUE"""),"Lbs")</f>
        <v>Lbs</v>
      </c>
      <c r="H153" s="74">
        <f>sumif('SEED INVENTORY'!$P$46:$P1000,A153,'SEED INVENTORY'!$Q$46:$Q1000)</f>
        <v>0</v>
      </c>
      <c r="I153" s="74" t="str">
        <f>vlookup(A153,'SEED INVENTORY'!$P$46:$R1000,3,False)</f>
        <v>#N/A</v>
      </c>
      <c r="J153" s="74">
        <f>sumif('SEED INVENTORY'!$T$46:$T1000,A153,'SEED INVENTORY'!$U$46:$U1000)</f>
        <v>0</v>
      </c>
    </row>
    <row r="154">
      <c r="A154" s="75" t="str">
        <f>IFERROR(__xludf.DUMMYFUNCTION("""COMPUTED_VALUE"""),"0-20-0 OMRI ")</f>
        <v>0-20-0 OMRI </v>
      </c>
      <c r="D154" s="75" t="str">
        <f>IFERROR(__xludf.DUMMYFUNCTION("""COMPUTED_VALUE"""),"#DIV/0!")</f>
        <v>#DIV/0!</v>
      </c>
      <c r="E154" s="75" t="str">
        <f>IFERROR(__xludf.DUMMYFUNCTION("""COMPUTED_VALUE"""),"Lbs")</f>
        <v>Lbs</v>
      </c>
      <c r="H154" s="74">
        <f>sumif('SEED INVENTORY'!$P$46:$P1000,A154,'SEED INVENTORY'!$Q$46:$Q1000)</f>
        <v>0</v>
      </c>
      <c r="I154" s="74" t="str">
        <f>vlookup(A154,'SEED INVENTORY'!$P$46:$R1000,3,False)</f>
        <v>#N/A</v>
      </c>
      <c r="J154" s="74">
        <f>sumif('SEED INVENTORY'!$T$46:$T1000,A154,'SEED INVENTORY'!$U$46:$U1000)</f>
        <v>0</v>
      </c>
    </row>
    <row r="155">
      <c r="A155" s="75" t="str">
        <f>IFERROR(__xludf.DUMMYFUNCTION("""COMPUTED_VALUE"""),"test")</f>
        <v>test</v>
      </c>
      <c r="D155" s="75" t="str">
        <f>IFERROR(__xludf.DUMMYFUNCTION("""COMPUTED_VALUE"""),"#DIV/0!")</f>
        <v>#DIV/0!</v>
      </c>
      <c r="E155" s="75" t="str">
        <f>IFERROR(__xludf.DUMMYFUNCTION("""COMPUTED_VALUE"""),"Lbs")</f>
        <v>Lbs</v>
      </c>
      <c r="H155" s="74">
        <f>sumif('SEED INVENTORY'!$P$46:$P1000,A155,'SEED INVENTORY'!$Q$46:$Q1000)</f>
        <v>0</v>
      </c>
      <c r="I155" s="74" t="str">
        <f>vlookup(A155,'SEED INVENTORY'!$P$46:$R1000,3,False)</f>
        <v>#N/A</v>
      </c>
      <c r="J155" s="74">
        <f>sumif('SEED INVENTORY'!$T$46:$T1000,A155,'SEED INVENTORY'!$U$46:$U1000)</f>
        <v>0</v>
      </c>
    </row>
    <row r="156">
      <c r="A156" s="75" t="str">
        <f>IFERROR(__xludf.DUMMYFUNCTION("""COMPUTED_VALUE"""),"chilean nitrate")</f>
        <v>chilean nitrate</v>
      </c>
      <c r="D156" s="75" t="str">
        <f>IFERROR(__xludf.DUMMYFUNCTION("""COMPUTED_VALUE"""),"#DIV/0!")</f>
        <v>#DIV/0!</v>
      </c>
      <c r="E156" s="75" t="str">
        <f>IFERROR(__xludf.DUMMYFUNCTION("""COMPUTED_VALUE"""),"Lbs")</f>
        <v>Lbs</v>
      </c>
      <c r="H156" s="74">
        <f>sumif('SEED INVENTORY'!$P$46:$P1000,A156,'SEED INVENTORY'!$Q$46:$Q1000)</f>
        <v>0</v>
      </c>
      <c r="I156" s="74" t="str">
        <f>vlookup(A156,'SEED INVENTORY'!$P$46:$R1000,3,False)</f>
        <v>#N/A</v>
      </c>
      <c r="J156" s="74">
        <f>sumif('SEED INVENTORY'!$T$46:$T1000,A156,'SEED INVENTORY'!$U$46:$U1000)</f>
        <v>0</v>
      </c>
    </row>
    <row r="157">
      <c r="A157" s="75" t="str">
        <f>IFERROR(__xludf.DUMMYFUNCTION("""COMPUTED_VALUE"""),"Tulls manure")</f>
        <v>Tulls manure</v>
      </c>
      <c r="D157" s="75" t="str">
        <f>IFERROR(__xludf.DUMMYFUNCTION("""COMPUTED_VALUE"""),"#DIV/0!")</f>
        <v>#DIV/0!</v>
      </c>
      <c r="E157" s="75" t="str">
        <f>IFERROR(__xludf.DUMMYFUNCTION("""COMPUTED_VALUE"""),"Lbs")</f>
        <v>Lbs</v>
      </c>
      <c r="H157" s="74">
        <f>sumif('SEED INVENTORY'!$P$46:$P1000,A157,'SEED INVENTORY'!$Q$46:$Q1000)</f>
        <v>0</v>
      </c>
      <c r="I157" s="74" t="str">
        <f>vlookup(A157,'SEED INVENTORY'!$P$46:$R1000,3,False)</f>
        <v>#N/A</v>
      </c>
      <c r="J157" s="74">
        <f>sumif('SEED INVENTORY'!$T$46:$T1000,A157,'SEED INVENTORY'!$U$46:$U1000)</f>
        <v>0</v>
      </c>
    </row>
    <row r="158">
      <c r="A158" s="75" t="str">
        <f>IFERROR(__xludf.DUMMYFUNCTION("""COMPUTED_VALUE"""),"chicken crumbles OMRI")</f>
        <v>chicken crumbles OMRI</v>
      </c>
      <c r="D158" s="75" t="str">
        <f>IFERROR(__xludf.DUMMYFUNCTION("""COMPUTED_VALUE"""),"#DIV/0!")</f>
        <v>#DIV/0!</v>
      </c>
      <c r="E158" s="75" t="str">
        <f>IFERROR(__xludf.DUMMYFUNCTION("""COMPUTED_VALUE"""),"Lbs")</f>
        <v>Lbs</v>
      </c>
      <c r="H158" s="74">
        <f>sumif('SEED INVENTORY'!$P$46:$P1000,A158,'SEED INVENTORY'!$Q$46:$Q1000)</f>
        <v>0</v>
      </c>
      <c r="I158" s="74" t="str">
        <f>vlookup(A158,'SEED INVENTORY'!$P$46:$R1000,3,False)</f>
        <v>#N/A</v>
      </c>
      <c r="J158" s="74">
        <f>sumif('SEED INVENTORY'!$T$46:$T1000,A158,'SEED INVENTORY'!$U$46:$U1000)</f>
        <v>0</v>
      </c>
    </row>
    <row r="159">
      <c r="A159" s="75" t="str">
        <f>IFERROR(__xludf.DUMMYFUNCTION("""COMPUTED_VALUE"""),"Jason litter/compost mix")</f>
        <v>Jason litter/compost mix</v>
      </c>
      <c r="D159" s="75" t="str">
        <f>IFERROR(__xludf.DUMMYFUNCTION("""COMPUTED_VALUE"""),"#DIV/0!")</f>
        <v>#DIV/0!</v>
      </c>
      <c r="E159" s="75" t="str">
        <f>IFERROR(__xludf.DUMMYFUNCTION("""COMPUTED_VALUE"""),"Lbs")</f>
        <v>Lbs</v>
      </c>
      <c r="H159" s="74">
        <f>sumif('SEED INVENTORY'!$P$46:$P1000,A159,'SEED INVENTORY'!$Q$46:$Q1000)</f>
        <v>0</v>
      </c>
      <c r="I159" s="74" t="str">
        <f>vlookup(A159,'SEED INVENTORY'!$P$46:$R1000,3,False)</f>
        <v>#N/A</v>
      </c>
      <c r="J159" s="74">
        <f>sumif('SEED INVENTORY'!$T$46:$T1000,A159,'SEED INVENTORY'!$U$46:$U1000)</f>
        <v>0</v>
      </c>
    </row>
    <row r="160">
      <c r="A160" s="75" t="str">
        <f>IFERROR(__xludf.DUMMYFUNCTION("""COMPUTED_VALUE"""),"Hay Program")</f>
        <v>Hay Program</v>
      </c>
      <c r="D160" s="75" t="str">
        <f>IFERROR(__xludf.DUMMYFUNCTION("""COMPUTED_VALUE"""),"#DIV/0!")</f>
        <v>#DIV/0!</v>
      </c>
      <c r="E160" s="75" t="str">
        <f>IFERROR(__xludf.DUMMYFUNCTION("""COMPUTED_VALUE"""),"Lbs")</f>
        <v>Lbs</v>
      </c>
      <c r="H160" s="74">
        <f>sumif('SEED INVENTORY'!$P$46:$P1000,A160,'SEED INVENTORY'!$Q$46:$Q1000)</f>
        <v>0</v>
      </c>
      <c r="I160" s="74" t="str">
        <f>vlookup(A160,'SEED INVENTORY'!$P$46:$R1000,3,False)</f>
        <v>#N/A</v>
      </c>
      <c r="J160" s="74">
        <f>sumif('SEED INVENTORY'!$T$46:$T1000,A160,'SEED INVENTORY'!$U$46:$U1000)</f>
        <v>0</v>
      </c>
    </row>
    <row r="161">
      <c r="A161" s="75" t="str">
        <f>IFERROR(__xludf.DUMMYFUNCTION("""COMPUTED_VALUE"""),"Ultim-ST")</f>
        <v>Ultim-ST</v>
      </c>
      <c r="D161" s="75" t="str">
        <f>IFERROR(__xludf.DUMMYFUNCTION("""COMPUTED_VALUE"""),"#DIV/0!")</f>
        <v>#DIV/0!</v>
      </c>
      <c r="E161" s="75" t="str">
        <f>IFERROR(__xludf.DUMMYFUNCTION("""COMPUTED_VALUE"""),"Lbs")</f>
        <v>Lbs</v>
      </c>
      <c r="H161" s="74">
        <f>sumif('SEED INVENTORY'!$P$46:$P1000,A161,'SEED INVENTORY'!$Q$46:$Q1000)</f>
        <v>0</v>
      </c>
      <c r="I161" s="74" t="str">
        <f>vlookup(A161,'SEED INVENTORY'!$P$46:$R1000,3,False)</f>
        <v>#N/A</v>
      </c>
      <c r="J161" s="74">
        <f>sumif('SEED INVENTORY'!$T$46:$T1000,A161,'SEED INVENTORY'!$U$46:$U1000)</f>
        <v>0</v>
      </c>
    </row>
    <row r="162">
      <c r="A162" s="75" t="str">
        <f>IFERROR(__xludf.DUMMYFUNCTION("""COMPUTED_VALUE"""),"01-YS")</f>
        <v>01-YS</v>
      </c>
      <c r="D162" s="75" t="str">
        <f>IFERROR(__xludf.DUMMYFUNCTION("""COMPUTED_VALUE"""),"#DIV/0!")</f>
        <v>#DIV/0!</v>
      </c>
      <c r="E162" s="75" t="str">
        <f>IFERROR(__xludf.DUMMYFUNCTION("""COMPUTED_VALUE"""),"Lbs")</f>
        <v>Lbs</v>
      </c>
      <c r="H162" s="74">
        <f>sumif('SEED INVENTORY'!$P$46:$P1000,A162,'SEED INVENTORY'!$Q$46:$Q1000)</f>
        <v>0</v>
      </c>
      <c r="I162" s="74" t="str">
        <f>vlookup(A162,'SEED INVENTORY'!$P$46:$R1000,3,False)</f>
        <v>#N/A</v>
      </c>
      <c r="J162" s="74">
        <f>sumif('SEED INVENTORY'!$T$46:$T1000,A162,'SEED INVENTORY'!$U$46:$U1000)</f>
        <v>0</v>
      </c>
    </row>
    <row r="163">
      <c r="A163" s="75" t="str">
        <f>IFERROR(__xludf.DUMMYFUNCTION("""COMPUTED_VALUE"""),"Utrisha")</f>
        <v>Utrisha</v>
      </c>
      <c r="D163" s="75" t="str">
        <f>IFERROR(__xludf.DUMMYFUNCTION("""COMPUTED_VALUE"""),"#DIV/0!")</f>
        <v>#DIV/0!</v>
      </c>
      <c r="E163" s="75" t="str">
        <f>IFERROR(__xludf.DUMMYFUNCTION("""COMPUTED_VALUE"""),"Lbs")</f>
        <v>Lbs</v>
      </c>
      <c r="H163" s="74">
        <f>sumif('SEED INVENTORY'!$P$46:$P1000,A163,'SEED INVENTORY'!$Q$46:$Q1000)</f>
        <v>0</v>
      </c>
      <c r="I163" s="74" t="str">
        <f>vlookup(A163,'SEED INVENTORY'!$P$46:$R1000,3,False)</f>
        <v>#N/A</v>
      </c>
      <c r="J163" s="74">
        <f>sumif('SEED INVENTORY'!$T$46:$T1000,A163,'SEED INVENTORY'!$U$46:$U1000)</f>
        <v>0</v>
      </c>
    </row>
    <row r="164">
      <c r="A164" s="75" t="str">
        <f>IFERROR(__xludf.DUMMYFUNCTION("""COMPUTED_VALUE"""),"DRAMM ONE")</f>
        <v>DRAMM ONE</v>
      </c>
      <c r="D164" s="75" t="str">
        <f>IFERROR(__xludf.DUMMYFUNCTION("""COMPUTED_VALUE"""),"#DIV/0!")</f>
        <v>#DIV/0!</v>
      </c>
      <c r="E164" s="75" t="str">
        <f>IFERROR(__xludf.DUMMYFUNCTION("""COMPUTED_VALUE"""),"Lbs")</f>
        <v>Lbs</v>
      </c>
      <c r="H164" s="74">
        <f>sumif('SEED INVENTORY'!$P$46:$P1000,A164,'SEED INVENTORY'!$Q$46:$Q1000)</f>
        <v>0</v>
      </c>
      <c r="I164" s="74" t="str">
        <f>vlookup(A164,'SEED INVENTORY'!$P$46:$R1000,3,False)</f>
        <v>#N/A</v>
      </c>
      <c r="J164" s="74">
        <f>sumif('SEED INVENTORY'!$T$46:$T1000,A164,'SEED INVENTORY'!$U$46:$U1000)</f>
        <v>0</v>
      </c>
    </row>
    <row r="165">
      <c r="A165" s="75" t="str">
        <f>IFERROR(__xludf.DUMMYFUNCTION("""COMPUTED_VALUE"""),"AER MVP")</f>
        <v>AER MVP</v>
      </c>
      <c r="D165" s="75" t="str">
        <f>IFERROR(__xludf.DUMMYFUNCTION("""COMPUTED_VALUE"""),"#DIV/0!")</f>
        <v>#DIV/0!</v>
      </c>
      <c r="E165" s="75" t="str">
        <f>IFERROR(__xludf.DUMMYFUNCTION("""COMPUTED_VALUE"""),"Lbs")</f>
        <v>Lbs</v>
      </c>
      <c r="H165" s="74">
        <f>sumif('SEED INVENTORY'!$P$46:$P1000,A165,'SEED INVENTORY'!$Q$46:$Q1000)</f>
        <v>0</v>
      </c>
      <c r="I165" s="74" t="str">
        <f>vlookup(A165,'SEED INVENTORY'!$P$46:$R1000,3,False)</f>
        <v>#N/A</v>
      </c>
      <c r="J165" s="74">
        <f>sumif('SEED INVENTORY'!$T$46:$T1000,A165,'SEED INVENTORY'!$U$46:$U1000)</f>
        <v>0</v>
      </c>
    </row>
    <row r="166">
      <c r="A166" s="75" t="str">
        <f>IFERROR(__xludf.DUMMYFUNCTION("""COMPUTED_VALUE"""),"AER Boron")</f>
        <v>AER Boron</v>
      </c>
      <c r="D166" s="75" t="str">
        <f>IFERROR(__xludf.DUMMYFUNCTION("""COMPUTED_VALUE"""),"#DIV/0!")</f>
        <v>#DIV/0!</v>
      </c>
      <c r="E166" s="75"/>
      <c r="H166" s="74">
        <f>sumif('SEED INVENTORY'!$P$46:$P1000,A166,'SEED INVENTORY'!$Q$46:$Q1000)</f>
        <v>0</v>
      </c>
      <c r="I166" s="74" t="str">
        <f>vlookup(A166,'SEED INVENTORY'!$P$46:$R1000,3,False)</f>
        <v>#N/A</v>
      </c>
      <c r="J166" s="74">
        <f>sumif('SEED INVENTORY'!$T$46:$T1000,A166,'SEED INVENTORY'!$U$46:$U1000)</f>
        <v>0</v>
      </c>
    </row>
    <row r="167">
      <c r="A167" s="75" t="str">
        <f>IFERROR(__xludf.DUMMYFUNCTION("""COMPUTED_VALUE"""),"Backstop")</f>
        <v>Backstop</v>
      </c>
      <c r="D167" s="75" t="str">
        <f>IFERROR(__xludf.DUMMYFUNCTION("""COMPUTED_VALUE"""),"#DIV/0!")</f>
        <v>#DIV/0!</v>
      </c>
      <c r="E167" s="75"/>
      <c r="H167" s="74">
        <f>sumif('SEED INVENTORY'!$P$46:$P1000,A167,'SEED INVENTORY'!$Q$46:$Q1000)</f>
        <v>0</v>
      </c>
      <c r="I167" s="74" t="str">
        <f>vlookup(A167,'SEED INVENTORY'!$P$46:$R1000,3,False)</f>
        <v>#N/A</v>
      </c>
      <c r="J167" s="74">
        <f>sumif('SEED INVENTORY'!$T$46:$T1000,A167,'SEED INVENTORY'!$U$46:$U1000)</f>
        <v>0</v>
      </c>
    </row>
    <row r="168">
      <c r="A168" s="75" t="str">
        <f>IFERROR(__xludf.DUMMYFUNCTION("""COMPUTED_VALUE"""),"Magnesium Sulfate")</f>
        <v>Magnesium Sulfate</v>
      </c>
      <c r="D168" s="75" t="str">
        <f>IFERROR(__xludf.DUMMYFUNCTION("""COMPUTED_VALUE"""),"#DIV/0!")</f>
        <v>#DIV/0!</v>
      </c>
      <c r="E168" s="75"/>
      <c r="H168" s="74">
        <f>sumif('SEED INVENTORY'!$P$46:$P1000,A168,'SEED INVENTORY'!$Q$46:$Q1000)</f>
        <v>0</v>
      </c>
      <c r="I168" s="74" t="str">
        <f>vlookup(A168,'SEED INVENTORY'!$P$46:$R1000,3,False)</f>
        <v>#N/A</v>
      </c>
      <c r="J168" s="74">
        <f>sumif('SEED INVENTORY'!$T$46:$T1000,A168,'SEED INVENTORY'!$U$46:$U1000)</f>
        <v>0</v>
      </c>
    </row>
    <row r="169">
      <c r="A169" s="75" t="str">
        <f>IFERROR(__xludf.DUMMYFUNCTION("""COMPUTED_VALUE"""),"Exceed Dry bean")</f>
        <v>Exceed Dry bean</v>
      </c>
      <c r="D169" s="75" t="str">
        <f>IFERROR(__xludf.DUMMYFUNCTION("""COMPUTED_VALUE"""),"#DIV/0!")</f>
        <v>#DIV/0!</v>
      </c>
      <c r="E169" s="75"/>
      <c r="H169" s="74">
        <f>sumif('SEED INVENTORY'!$P$46:$P1000,A169,'SEED INVENTORY'!$Q$46:$Q1000)</f>
        <v>0</v>
      </c>
      <c r="I169" s="74" t="str">
        <f>vlookup(A169,'SEED INVENTORY'!$P$46:$R1000,3,False)</f>
        <v>#N/A</v>
      </c>
      <c r="J169" s="74">
        <f>sumif('SEED INVENTORY'!$T$46:$T1000,A169,'SEED INVENTORY'!$U$46:$U1000)</f>
        <v>0</v>
      </c>
    </row>
    <row r="170">
      <c r="A170" s="75" t="str">
        <f>IFERROR(__xludf.DUMMYFUNCTION("""COMPUTED_VALUE"""),"chitosan")</f>
        <v>chitosan</v>
      </c>
      <c r="D170" s="75" t="str">
        <f>IFERROR(__xludf.DUMMYFUNCTION("""COMPUTED_VALUE"""),"#DIV/0!")</f>
        <v>#DIV/0!</v>
      </c>
      <c r="E170" s="75"/>
      <c r="H170" s="74">
        <f>sumif('SEED INVENTORY'!$P$46:$P1000,A170,'SEED INVENTORY'!$Q$46:$Q1000)</f>
        <v>0</v>
      </c>
      <c r="I170" s="74" t="str">
        <f>vlookup(A170,'SEED INVENTORY'!$P$46:$R1000,3,False)</f>
        <v>#N/A</v>
      </c>
      <c r="J170" s="74">
        <f>sumif('SEED INVENTORY'!$T$46:$T1000,A170,'SEED INVENTORY'!$U$46:$U1000)</f>
        <v>0</v>
      </c>
    </row>
    <row r="171">
      <c r="A171" s="75" t="str">
        <f>IFERROR(__xludf.DUMMYFUNCTION("""COMPUTED_VALUE"""),"chicken litter Fall 22")</f>
        <v>chicken litter Fall 22</v>
      </c>
      <c r="D171" s="75" t="str">
        <f>IFERROR(__xludf.DUMMYFUNCTION("""COMPUTED_VALUE"""),"#DIV/0!")</f>
        <v>#DIV/0!</v>
      </c>
      <c r="E171" s="75"/>
      <c r="H171" s="74">
        <f>sumif('SEED INVENTORY'!$P$46:$P1000,A171,'SEED INVENTORY'!$Q$46:$Q1000)</f>
        <v>0</v>
      </c>
      <c r="I171" s="74" t="str">
        <f>vlookup(A171,'SEED INVENTORY'!$P$46:$R1000,3,False)</f>
        <v>#N/A</v>
      </c>
      <c r="J171" s="74">
        <f>sumif('SEED INVENTORY'!$T$46:$T1000,A171,'SEED INVENTORY'!$U$46:$U1000)</f>
        <v>0</v>
      </c>
    </row>
    <row r="172">
      <c r="A172" s="75"/>
      <c r="D172" s="75" t="str">
        <f>IFERROR(__xludf.DUMMYFUNCTION("""COMPUTED_VALUE"""),"#DIV/0!")</f>
        <v>#DIV/0!</v>
      </c>
      <c r="E172" s="75"/>
      <c r="H172" s="74">
        <f>sumif('SEED INVENTORY'!$P$46:$P1000,A172,'SEED INVENTORY'!$Q$46:$Q1000)</f>
        <v>0</v>
      </c>
      <c r="I172" s="74" t="str">
        <f>vlookup(A172,'SEED INVENTORY'!$P$46:$R1000,3,False)</f>
        <v>#N/A</v>
      </c>
      <c r="J172" s="74">
        <f>sumif('SEED INVENTORY'!$T$46:$T1000,A172,'SEED INVENTORY'!$U$46:$U1000)</f>
        <v>0</v>
      </c>
    </row>
    <row r="173">
      <c r="A173" s="75"/>
      <c r="D173" s="75" t="str">
        <f>IFERROR(__xludf.DUMMYFUNCTION("""COMPUTED_VALUE"""),"#DIV/0!")</f>
        <v>#DIV/0!</v>
      </c>
      <c r="E173" s="75"/>
      <c r="H173" s="74">
        <f>sumif('SEED INVENTORY'!$P$46:$P1000,A173,'SEED INVENTORY'!$Q$46:$Q1000)</f>
        <v>0</v>
      </c>
      <c r="I173" s="74" t="str">
        <f>vlookup(A173,'SEED INVENTORY'!$P$46:$R1000,3,False)</f>
        <v>#N/A</v>
      </c>
      <c r="J173" s="74">
        <f>sumif('SEED INVENTORY'!$T$46:$T1000,A173,'SEED INVENTORY'!$U$46:$U1000)</f>
        <v>0</v>
      </c>
    </row>
    <row r="174">
      <c r="A174" s="75"/>
      <c r="D174" s="75" t="str">
        <f>IFERROR(__xludf.DUMMYFUNCTION("""COMPUTED_VALUE"""),"#DIV/0!")</f>
        <v>#DIV/0!</v>
      </c>
      <c r="E174" s="75"/>
      <c r="H174" s="74">
        <f>sumif('SEED INVENTORY'!$P$46:$P1000,A174,'SEED INVENTORY'!$Q$46:$Q1000)</f>
        <v>0</v>
      </c>
      <c r="I174" s="74" t="str">
        <f>vlookup(A174,'SEED INVENTORY'!$P$46:$R1000,3,False)</f>
        <v>#N/A</v>
      </c>
      <c r="J174" s="74">
        <f>sumif('SEED INVENTORY'!$T$46:$T1000,A174,'SEED INVENTORY'!$U$46:$U1000)</f>
        <v>0</v>
      </c>
    </row>
    <row r="175">
      <c r="A175" s="75"/>
      <c r="D175" s="75" t="str">
        <f>IFERROR(__xludf.DUMMYFUNCTION("""COMPUTED_VALUE"""),"#DIV/0!")</f>
        <v>#DIV/0!</v>
      </c>
      <c r="E175" s="75"/>
      <c r="H175" s="74">
        <f>sumif('SEED INVENTORY'!$P$46:$P1000,A175,'SEED INVENTORY'!$Q$46:$Q1000)</f>
        <v>0</v>
      </c>
      <c r="I175" s="74" t="str">
        <f>vlookup(A175,'SEED INVENTORY'!$P$46:$R1000,3,False)</f>
        <v>#N/A</v>
      </c>
      <c r="J175" s="74">
        <f>sumif('SEED INVENTORY'!$T$46:$T1000,A175,'SEED INVENTORY'!$U$46:$U1000)</f>
        <v>0</v>
      </c>
    </row>
    <row r="176">
      <c r="A176" s="75"/>
      <c r="D176" s="75"/>
      <c r="E176" s="75"/>
    </row>
    <row r="177">
      <c r="A177" s="75"/>
      <c r="D177" s="75"/>
      <c r="E177" s="75"/>
    </row>
    <row r="178">
      <c r="A178" s="75"/>
      <c r="D178" s="75"/>
      <c r="E178" s="75"/>
    </row>
    <row r="179">
      <c r="A179" s="75"/>
      <c r="D179" s="75"/>
      <c r="E179" s="75"/>
    </row>
    <row r="180">
      <c r="A180" s="75"/>
      <c r="D180" s="75"/>
      <c r="E180" s="75"/>
    </row>
    <row r="181">
      <c r="A181" s="75"/>
      <c r="D181" s="75"/>
      <c r="E181" s="75"/>
    </row>
    <row r="182">
      <c r="A182" s="75"/>
      <c r="D182" s="75"/>
      <c r="E182" s="75"/>
    </row>
    <row r="183">
      <c r="A183" s="75"/>
      <c r="D183" s="75"/>
      <c r="E183" s="75"/>
    </row>
    <row r="184">
      <c r="A184" s="75"/>
      <c r="D184" s="75"/>
      <c r="E184" s="75"/>
    </row>
    <row r="185">
      <c r="A185" s="75"/>
      <c r="D185" s="75"/>
      <c r="E185" s="75"/>
    </row>
    <row r="186">
      <c r="A186" s="75"/>
      <c r="D186" s="75"/>
      <c r="E186" s="75"/>
    </row>
    <row r="187">
      <c r="A187" s="75"/>
      <c r="D187" s="75"/>
      <c r="E187" s="75"/>
    </row>
    <row r="188">
      <c r="A188" s="75"/>
      <c r="D188" s="75"/>
      <c r="E188" s="75"/>
    </row>
    <row r="189">
      <c r="A189" s="75"/>
      <c r="D189" s="75"/>
      <c r="E189" s="75"/>
    </row>
    <row r="190">
      <c r="A190" s="75"/>
      <c r="D190" s="75"/>
      <c r="E190" s="75"/>
    </row>
    <row r="191">
      <c r="A191" s="75"/>
      <c r="D191" s="75"/>
      <c r="E191" s="75"/>
    </row>
    <row r="192">
      <c r="A192" s="75"/>
      <c r="D192" s="75"/>
      <c r="E192" s="75"/>
    </row>
    <row r="193">
      <c r="A193" s="75"/>
      <c r="D193" s="75"/>
      <c r="E193" s="75"/>
    </row>
    <row r="194">
      <c r="A194" s="75"/>
      <c r="D194" s="75"/>
      <c r="E194" s="75"/>
    </row>
    <row r="195">
      <c r="A195" s="75"/>
      <c r="D195" s="75"/>
      <c r="E195" s="75"/>
    </row>
    <row r="196">
      <c r="A196" s="75"/>
      <c r="D196" s="75"/>
      <c r="E196" s="75"/>
    </row>
    <row r="197">
      <c r="A197" s="75"/>
      <c r="D197" s="75"/>
      <c r="E197" s="75"/>
    </row>
    <row r="198">
      <c r="A198" s="75"/>
      <c r="D198" s="75"/>
      <c r="E198" s="75"/>
    </row>
    <row r="199">
      <c r="A199" s="75"/>
      <c r="D199" s="75"/>
      <c r="E199" s="75"/>
    </row>
    <row r="200">
      <c r="A200" s="75"/>
      <c r="D200" s="75"/>
      <c r="E200" s="75"/>
    </row>
    <row r="201">
      <c r="A201" s="75"/>
      <c r="D201" s="75"/>
      <c r="E201" s="75"/>
    </row>
    <row r="202">
      <c r="A202" s="75"/>
      <c r="D202" s="75"/>
      <c r="E202" s="75"/>
    </row>
    <row r="203">
      <c r="A203" s="75"/>
      <c r="D203" s="75"/>
      <c r="E203" s="75"/>
    </row>
    <row r="204">
      <c r="A204" s="75"/>
      <c r="D204" s="75"/>
      <c r="E204" s="75"/>
    </row>
    <row r="205">
      <c r="A205" s="75"/>
      <c r="D205" s="75"/>
      <c r="E205" s="75"/>
    </row>
    <row r="206">
      <c r="A206" s="75"/>
      <c r="D206" s="75"/>
      <c r="E206" s="75"/>
    </row>
    <row r="207">
      <c r="A207" s="75"/>
      <c r="D207" s="75"/>
      <c r="E207" s="75"/>
    </row>
    <row r="208">
      <c r="A208" s="75"/>
      <c r="D208" s="75"/>
      <c r="E208" s="75"/>
    </row>
    <row r="209">
      <c r="A209" s="75"/>
      <c r="D209" s="75"/>
      <c r="E209" s="75"/>
    </row>
    <row r="210">
      <c r="A210" s="75"/>
      <c r="D210" s="75"/>
      <c r="E210" s="75"/>
    </row>
    <row r="211">
      <c r="A211" s="75"/>
      <c r="D211" s="75"/>
      <c r="E211" s="75"/>
    </row>
    <row r="212">
      <c r="A212" s="75"/>
      <c r="D212" s="75"/>
      <c r="E212" s="75"/>
    </row>
    <row r="213">
      <c r="A213" s="75"/>
      <c r="D213" s="75"/>
      <c r="E213" s="75"/>
    </row>
    <row r="214">
      <c r="A214" s="75"/>
      <c r="D214" s="75"/>
      <c r="E214" s="75"/>
    </row>
    <row r="215">
      <c r="A215" s="75"/>
      <c r="D215" s="75"/>
      <c r="E215" s="75"/>
    </row>
    <row r="216">
      <c r="A216" s="75"/>
      <c r="D216" s="75"/>
      <c r="E216" s="75"/>
    </row>
    <row r="217">
      <c r="A217" s="75"/>
      <c r="D217" s="75"/>
      <c r="E217" s="75"/>
    </row>
    <row r="218">
      <c r="A218" s="75"/>
      <c r="D218" s="75"/>
      <c r="E218" s="75"/>
    </row>
    <row r="219">
      <c r="A219" s="75"/>
      <c r="D219" s="75"/>
      <c r="E219" s="75"/>
    </row>
    <row r="220">
      <c r="A220" s="75"/>
      <c r="D220" s="75"/>
      <c r="E220" s="75"/>
    </row>
    <row r="221">
      <c r="A221" s="75"/>
      <c r="D221" s="75"/>
      <c r="E221" s="75"/>
    </row>
    <row r="222">
      <c r="A222" s="75"/>
      <c r="D222" s="75"/>
      <c r="E222" s="75"/>
    </row>
    <row r="223">
      <c r="A223" s="75"/>
      <c r="D223" s="75"/>
      <c r="E223" s="75"/>
    </row>
    <row r="224">
      <c r="A224" s="75"/>
      <c r="D224" s="75"/>
      <c r="E224" s="75"/>
    </row>
    <row r="225">
      <c r="A225" s="75"/>
      <c r="D225" s="75"/>
      <c r="E225" s="75"/>
    </row>
    <row r="226">
      <c r="A226" s="75"/>
      <c r="D226" s="75"/>
      <c r="E226" s="75"/>
    </row>
    <row r="227">
      <c r="A227" s="75"/>
      <c r="D227" s="75"/>
      <c r="E227" s="75"/>
    </row>
    <row r="228">
      <c r="A228" s="75"/>
      <c r="D228" s="75"/>
      <c r="E228" s="75"/>
    </row>
    <row r="229">
      <c r="A229" s="75"/>
      <c r="D229" s="75"/>
      <c r="E229" s="75"/>
    </row>
    <row r="230">
      <c r="A230" s="75"/>
      <c r="D230" s="75"/>
      <c r="E230" s="75"/>
    </row>
    <row r="231">
      <c r="A231" s="75"/>
      <c r="D231" s="75"/>
      <c r="E231" s="75"/>
    </row>
    <row r="232">
      <c r="A232" s="75"/>
      <c r="D232" s="75"/>
      <c r="E232" s="75"/>
    </row>
    <row r="233">
      <c r="A233" s="75"/>
      <c r="D233" s="75"/>
      <c r="E233" s="75"/>
    </row>
    <row r="234">
      <c r="A234" s="75"/>
      <c r="D234" s="75"/>
      <c r="E234" s="75"/>
    </row>
    <row r="235">
      <c r="A235" s="75"/>
      <c r="D235" s="75"/>
      <c r="E235" s="75"/>
    </row>
    <row r="236">
      <c r="A236" s="75"/>
      <c r="D236" s="75"/>
      <c r="E236" s="75"/>
    </row>
    <row r="237">
      <c r="A237" s="75"/>
      <c r="D237" s="75"/>
      <c r="E237" s="75"/>
    </row>
    <row r="238">
      <c r="A238" s="75"/>
      <c r="D238" s="75"/>
      <c r="E238" s="75"/>
    </row>
    <row r="239">
      <c r="A239" s="75"/>
      <c r="D239" s="75"/>
      <c r="E239" s="75"/>
    </row>
    <row r="240">
      <c r="A240" s="75"/>
      <c r="D240" s="75"/>
      <c r="E240" s="75"/>
    </row>
    <row r="241">
      <c r="A241" s="75"/>
      <c r="D241" s="75"/>
      <c r="E241" s="75"/>
    </row>
    <row r="242">
      <c r="A242" s="75"/>
      <c r="D242" s="75"/>
      <c r="E242" s="75"/>
    </row>
    <row r="243">
      <c r="A243" s="75"/>
      <c r="D243" s="75"/>
      <c r="E243" s="75"/>
    </row>
    <row r="244">
      <c r="A244" s="75"/>
      <c r="D244" s="75"/>
      <c r="E244" s="75"/>
    </row>
    <row r="245">
      <c r="A245" s="75"/>
      <c r="D245" s="75"/>
      <c r="E245" s="75"/>
    </row>
    <row r="246">
      <c r="A246" s="75"/>
      <c r="D246" s="75"/>
      <c r="E246" s="75"/>
    </row>
    <row r="247">
      <c r="A247" s="75"/>
      <c r="D247" s="75"/>
      <c r="E247" s="75"/>
    </row>
    <row r="248">
      <c r="A248" s="75"/>
      <c r="D248" s="75"/>
      <c r="E248" s="75"/>
    </row>
    <row r="249">
      <c r="A249" s="75"/>
      <c r="D249" s="75"/>
      <c r="E249" s="75"/>
    </row>
    <row r="250">
      <c r="A250" s="75"/>
      <c r="D250" s="75"/>
      <c r="E250" s="75"/>
    </row>
    <row r="251">
      <c r="A251" s="75"/>
      <c r="D251" s="75"/>
      <c r="E251" s="75"/>
    </row>
    <row r="252">
      <c r="A252" s="75"/>
      <c r="D252" s="75"/>
      <c r="E252" s="75"/>
    </row>
    <row r="253">
      <c r="A253" s="75"/>
      <c r="D253" s="75"/>
      <c r="E253" s="75"/>
    </row>
    <row r="254">
      <c r="A254" s="75"/>
      <c r="D254" s="75"/>
      <c r="E254" s="75"/>
    </row>
    <row r="255">
      <c r="A255" s="75"/>
      <c r="D255" s="75"/>
      <c r="E255" s="75"/>
    </row>
    <row r="256">
      <c r="A256" s="75"/>
      <c r="D256" s="75"/>
      <c r="E256" s="75"/>
    </row>
    <row r="257">
      <c r="A257" s="75"/>
      <c r="D257" s="75"/>
      <c r="E257" s="75"/>
    </row>
    <row r="258">
      <c r="A258" s="75"/>
      <c r="D258" s="75"/>
      <c r="E258" s="75"/>
    </row>
    <row r="259">
      <c r="A259" s="75"/>
      <c r="D259" s="75"/>
      <c r="E259" s="75"/>
    </row>
    <row r="260">
      <c r="A260" s="75"/>
      <c r="D260" s="75"/>
      <c r="E260" s="75"/>
    </row>
    <row r="261">
      <c r="A261" s="75"/>
      <c r="D261" s="75"/>
      <c r="E261" s="75"/>
    </row>
    <row r="262">
      <c r="A262" s="75"/>
      <c r="D262" s="75"/>
      <c r="E262" s="75"/>
    </row>
    <row r="263">
      <c r="A263" s="75"/>
      <c r="D263" s="75"/>
      <c r="E263" s="75"/>
    </row>
    <row r="264">
      <c r="A264" s="75"/>
      <c r="D264" s="75"/>
      <c r="E264" s="75"/>
    </row>
    <row r="265">
      <c r="A265" s="75"/>
      <c r="D265" s="75"/>
      <c r="E265" s="75"/>
    </row>
    <row r="266">
      <c r="A266" s="75"/>
      <c r="D266" s="75"/>
      <c r="E266" s="75"/>
    </row>
    <row r="267">
      <c r="A267" s="75"/>
      <c r="D267" s="75"/>
      <c r="E267" s="75"/>
    </row>
    <row r="268">
      <c r="A268" s="75"/>
      <c r="D268" s="75"/>
      <c r="E268" s="75"/>
    </row>
    <row r="269">
      <c r="A269" s="75"/>
      <c r="D269" s="75"/>
      <c r="E269" s="75"/>
    </row>
    <row r="270">
      <c r="A270" s="75"/>
      <c r="D270" s="75"/>
      <c r="E270" s="75"/>
    </row>
    <row r="271">
      <c r="A271" s="75"/>
      <c r="D271" s="75"/>
      <c r="E271" s="75"/>
    </row>
    <row r="272">
      <c r="A272" s="75"/>
      <c r="D272" s="75"/>
      <c r="E272" s="75"/>
    </row>
    <row r="273">
      <c r="A273" s="75"/>
      <c r="D273" s="75"/>
      <c r="E273" s="75"/>
    </row>
    <row r="274">
      <c r="A274" s="75"/>
      <c r="D274" s="75"/>
      <c r="E274" s="75"/>
    </row>
    <row r="275">
      <c r="A275" s="75"/>
      <c r="D275" s="75"/>
      <c r="E275" s="75"/>
    </row>
    <row r="276">
      <c r="A276" s="75"/>
      <c r="D276" s="75"/>
      <c r="E276" s="75"/>
    </row>
    <row r="277">
      <c r="A277" s="75"/>
      <c r="D277" s="75"/>
      <c r="E277" s="75"/>
    </row>
    <row r="278">
      <c r="A278" s="75"/>
      <c r="D278" s="75"/>
      <c r="E278" s="75"/>
    </row>
    <row r="279">
      <c r="A279" s="75"/>
      <c r="D279" s="75"/>
      <c r="E279" s="75"/>
    </row>
    <row r="280">
      <c r="A280" s="75"/>
      <c r="D280" s="75"/>
      <c r="E280" s="75"/>
    </row>
    <row r="281">
      <c r="A281" s="75"/>
      <c r="D281" s="75"/>
      <c r="E281" s="75"/>
    </row>
    <row r="282">
      <c r="A282" s="75"/>
      <c r="D282" s="75"/>
      <c r="E282" s="75"/>
    </row>
    <row r="283">
      <c r="A283" s="75"/>
      <c r="D283" s="75"/>
      <c r="E283" s="75"/>
    </row>
    <row r="284">
      <c r="A284" s="75"/>
      <c r="D284" s="75"/>
      <c r="E284" s="75"/>
    </row>
    <row r="285">
      <c r="A285" s="75"/>
      <c r="D285" s="75"/>
      <c r="E285" s="75"/>
    </row>
    <row r="286">
      <c r="A286" s="75"/>
      <c r="D286" s="75"/>
      <c r="E286" s="75"/>
    </row>
    <row r="287">
      <c r="A287" s="75"/>
      <c r="D287" s="75"/>
      <c r="E287" s="75"/>
    </row>
    <row r="288">
      <c r="A288" s="75"/>
      <c r="D288" s="75"/>
      <c r="E288" s="75"/>
    </row>
    <row r="289">
      <c r="A289" s="75"/>
      <c r="D289" s="75"/>
      <c r="E289" s="75"/>
    </row>
    <row r="290">
      <c r="A290" s="75"/>
      <c r="D290" s="75"/>
      <c r="E290" s="75"/>
    </row>
    <row r="291">
      <c r="A291" s="75"/>
      <c r="D291" s="75"/>
      <c r="E291" s="75"/>
    </row>
    <row r="292">
      <c r="A292" s="75"/>
      <c r="D292" s="75"/>
      <c r="E292" s="75"/>
    </row>
    <row r="293">
      <c r="A293" s="75"/>
      <c r="D293" s="75"/>
      <c r="E293" s="75"/>
    </row>
    <row r="294">
      <c r="A294" s="75"/>
      <c r="D294" s="75"/>
      <c r="E294" s="75"/>
    </row>
    <row r="295">
      <c r="A295" s="75"/>
      <c r="D295" s="75"/>
      <c r="E295" s="75"/>
    </row>
    <row r="296">
      <c r="A296" s="75"/>
      <c r="D296" s="75"/>
      <c r="E296" s="75"/>
    </row>
    <row r="297">
      <c r="A297" s="75"/>
      <c r="D297" s="75"/>
      <c r="E297" s="75"/>
    </row>
    <row r="298">
      <c r="A298" s="75"/>
      <c r="D298" s="75"/>
      <c r="E298" s="75"/>
    </row>
    <row r="299">
      <c r="A299" s="75"/>
      <c r="D299" s="75"/>
      <c r="E299" s="75"/>
    </row>
    <row r="300">
      <c r="A300" s="75"/>
      <c r="D300" s="75"/>
      <c r="E300" s="75"/>
    </row>
    <row r="301">
      <c r="A301" s="75"/>
      <c r="D301" s="75"/>
      <c r="E301" s="75"/>
    </row>
    <row r="302">
      <c r="A302" s="75"/>
      <c r="D302" s="75"/>
      <c r="E302" s="75"/>
    </row>
    <row r="303">
      <c r="A303" s="75"/>
      <c r="D303" s="75"/>
      <c r="E303" s="75"/>
    </row>
    <row r="304">
      <c r="A304" s="75"/>
      <c r="D304" s="75"/>
      <c r="E304" s="75"/>
    </row>
    <row r="305">
      <c r="A305" s="75"/>
      <c r="D305" s="75"/>
      <c r="E305" s="75"/>
    </row>
    <row r="306">
      <c r="A306" s="75"/>
      <c r="D306" s="75"/>
      <c r="E306" s="75"/>
    </row>
    <row r="307">
      <c r="A307" s="75"/>
      <c r="D307" s="75"/>
      <c r="E307" s="75"/>
    </row>
    <row r="308">
      <c r="A308" s="75"/>
      <c r="D308" s="75"/>
      <c r="E308" s="75"/>
    </row>
    <row r="309">
      <c r="A309" s="75"/>
      <c r="D309" s="75"/>
      <c r="E309" s="75"/>
    </row>
    <row r="310">
      <c r="A310" s="75"/>
      <c r="D310" s="75"/>
      <c r="E310" s="75"/>
    </row>
    <row r="311">
      <c r="A311" s="75"/>
      <c r="D311" s="75"/>
      <c r="E311" s="75"/>
    </row>
    <row r="312">
      <c r="A312" s="75"/>
      <c r="D312" s="75"/>
      <c r="E312" s="75"/>
    </row>
    <row r="313">
      <c r="A313" s="75"/>
      <c r="D313" s="75"/>
      <c r="E313" s="75"/>
    </row>
    <row r="314">
      <c r="A314" s="75"/>
      <c r="D314" s="75"/>
      <c r="E314" s="75"/>
    </row>
    <row r="315">
      <c r="A315" s="75"/>
      <c r="D315" s="75"/>
      <c r="E315" s="75"/>
    </row>
    <row r="316">
      <c r="A316" s="75"/>
      <c r="D316" s="75"/>
      <c r="E316" s="75"/>
    </row>
    <row r="317">
      <c r="A317" s="75"/>
      <c r="D317" s="75"/>
      <c r="E317" s="75"/>
    </row>
    <row r="318">
      <c r="A318" s="75"/>
      <c r="D318" s="75"/>
      <c r="E318" s="75"/>
    </row>
    <row r="319">
      <c r="A319" s="75"/>
      <c r="D319" s="75"/>
      <c r="E319" s="75"/>
    </row>
    <row r="320">
      <c r="A320" s="75"/>
      <c r="D320" s="75"/>
      <c r="E320" s="75"/>
    </row>
    <row r="321">
      <c r="A321" s="75"/>
      <c r="D321" s="75"/>
      <c r="E321" s="75"/>
    </row>
    <row r="322">
      <c r="A322" s="75"/>
      <c r="D322" s="75"/>
      <c r="E322" s="75"/>
    </row>
    <row r="323">
      <c r="A323" s="75"/>
      <c r="D323" s="75"/>
      <c r="E323" s="75"/>
    </row>
    <row r="324">
      <c r="A324" s="75"/>
      <c r="D324" s="75"/>
      <c r="E324" s="75"/>
    </row>
    <row r="325">
      <c r="A325" s="75"/>
      <c r="D325" s="75"/>
      <c r="E325" s="75"/>
    </row>
    <row r="326">
      <c r="A326" s="75"/>
      <c r="D326" s="75"/>
      <c r="E326" s="75"/>
    </row>
    <row r="327">
      <c r="A327" s="75"/>
      <c r="D327" s="75"/>
      <c r="E327" s="75"/>
    </row>
    <row r="328">
      <c r="A328" s="75"/>
      <c r="D328" s="75"/>
      <c r="E328" s="75"/>
    </row>
    <row r="329">
      <c r="A329" s="75"/>
      <c r="D329" s="75"/>
      <c r="E329" s="75"/>
    </row>
    <row r="330">
      <c r="A330" s="75"/>
      <c r="D330" s="75"/>
      <c r="E330" s="75"/>
    </row>
    <row r="331">
      <c r="A331" s="75"/>
      <c r="D331" s="75"/>
      <c r="E331" s="75"/>
    </row>
    <row r="332">
      <c r="A332" s="75"/>
      <c r="D332" s="75"/>
      <c r="E332" s="75"/>
    </row>
    <row r="333">
      <c r="A333" s="75"/>
      <c r="D333" s="75"/>
      <c r="E333" s="75"/>
    </row>
    <row r="334">
      <c r="A334" s="75"/>
      <c r="D334" s="75"/>
      <c r="E334" s="75"/>
    </row>
    <row r="335">
      <c r="A335" s="75"/>
      <c r="D335" s="75"/>
      <c r="E335" s="75"/>
    </row>
    <row r="336">
      <c r="A336" s="75"/>
      <c r="D336" s="75"/>
      <c r="E336" s="75"/>
    </row>
    <row r="337">
      <c r="A337" s="75"/>
      <c r="D337" s="75"/>
      <c r="E337" s="75"/>
    </row>
    <row r="338">
      <c r="A338" s="75"/>
      <c r="D338" s="75"/>
      <c r="E338" s="75"/>
    </row>
    <row r="339">
      <c r="A339" s="75"/>
      <c r="D339" s="75"/>
      <c r="E339" s="75"/>
    </row>
    <row r="340">
      <c r="A340" s="75"/>
      <c r="D340" s="75"/>
      <c r="E340" s="75"/>
    </row>
    <row r="341">
      <c r="A341" s="75"/>
      <c r="D341" s="75"/>
      <c r="E341" s="75"/>
    </row>
    <row r="342">
      <c r="A342" s="75"/>
      <c r="D342" s="75"/>
      <c r="E342" s="75"/>
    </row>
    <row r="343">
      <c r="A343" s="75"/>
      <c r="D343" s="75"/>
      <c r="E343" s="75"/>
    </row>
    <row r="344">
      <c r="A344" s="75"/>
      <c r="D344" s="75"/>
      <c r="E344" s="75"/>
    </row>
    <row r="345">
      <c r="A345" s="75"/>
      <c r="D345" s="75"/>
      <c r="E345" s="75"/>
    </row>
    <row r="346">
      <c r="A346" s="75"/>
      <c r="D346" s="75"/>
      <c r="E346" s="75"/>
    </row>
    <row r="347">
      <c r="A347" s="75"/>
      <c r="D347" s="75"/>
      <c r="E347" s="75"/>
    </row>
    <row r="348">
      <c r="A348" s="75"/>
      <c r="D348" s="75"/>
      <c r="E348" s="75"/>
    </row>
    <row r="349">
      <c r="A349" s="75"/>
      <c r="D349" s="75"/>
      <c r="E349" s="75"/>
    </row>
    <row r="350">
      <c r="A350" s="75"/>
      <c r="D350" s="75"/>
      <c r="E350" s="75"/>
    </row>
    <row r="351">
      <c r="A351" s="75"/>
      <c r="D351" s="75"/>
      <c r="E351" s="75"/>
    </row>
    <row r="352">
      <c r="A352" s="75"/>
      <c r="D352" s="75"/>
      <c r="E352" s="75"/>
    </row>
    <row r="353">
      <c r="A353" s="75"/>
      <c r="D353" s="75"/>
      <c r="E353" s="75"/>
    </row>
    <row r="354">
      <c r="A354" s="75"/>
      <c r="D354" s="75"/>
      <c r="E354" s="75"/>
    </row>
    <row r="355">
      <c r="A355" s="75"/>
      <c r="D355" s="75"/>
      <c r="E355" s="75"/>
    </row>
    <row r="356">
      <c r="A356" s="75"/>
      <c r="D356" s="75"/>
      <c r="E356" s="75"/>
    </row>
    <row r="357">
      <c r="A357" s="75"/>
      <c r="D357" s="75"/>
      <c r="E357" s="75"/>
    </row>
    <row r="358">
      <c r="A358" s="75"/>
      <c r="D358" s="75"/>
      <c r="E358" s="75"/>
    </row>
    <row r="359">
      <c r="A359" s="75"/>
      <c r="D359" s="75"/>
      <c r="E359" s="75"/>
    </row>
    <row r="360">
      <c r="A360" s="75"/>
      <c r="D360" s="75"/>
      <c r="E360" s="75"/>
    </row>
    <row r="361">
      <c r="A361" s="75"/>
      <c r="D361" s="75"/>
      <c r="E361" s="75"/>
    </row>
    <row r="362">
      <c r="A362" s="75"/>
      <c r="D362" s="75"/>
      <c r="E362" s="75"/>
    </row>
    <row r="363">
      <c r="A363" s="75"/>
      <c r="D363" s="75"/>
      <c r="E363" s="75"/>
    </row>
    <row r="364">
      <c r="A364" s="75"/>
      <c r="D364" s="75"/>
      <c r="E364" s="75"/>
    </row>
    <row r="365">
      <c r="A365" s="75"/>
      <c r="D365" s="75"/>
      <c r="E365" s="75"/>
    </row>
    <row r="366">
      <c r="A366" s="75"/>
      <c r="D366" s="75"/>
      <c r="E366" s="75"/>
    </row>
    <row r="367">
      <c r="A367" s="75"/>
      <c r="D367" s="75"/>
      <c r="E367" s="75"/>
    </row>
    <row r="368">
      <c r="A368" s="75"/>
      <c r="D368" s="75"/>
      <c r="E368" s="75"/>
    </row>
    <row r="369">
      <c r="A369" s="75"/>
      <c r="D369" s="75"/>
      <c r="E369" s="75"/>
    </row>
    <row r="370">
      <c r="A370" s="75"/>
      <c r="D370" s="75"/>
      <c r="E370" s="75"/>
    </row>
    <row r="371">
      <c r="A371" s="75"/>
      <c r="D371" s="75"/>
      <c r="E371" s="75"/>
    </row>
    <row r="372">
      <c r="A372" s="75"/>
      <c r="D372" s="75"/>
      <c r="E372" s="75"/>
    </row>
    <row r="373">
      <c r="A373" s="75"/>
      <c r="D373" s="75"/>
      <c r="E373" s="75"/>
    </row>
    <row r="374">
      <c r="A374" s="75"/>
      <c r="D374" s="75"/>
      <c r="E374" s="75"/>
    </row>
    <row r="375">
      <c r="A375" s="75"/>
      <c r="D375" s="75"/>
      <c r="E375" s="75"/>
    </row>
    <row r="376">
      <c r="A376" s="75"/>
      <c r="D376" s="75"/>
      <c r="E376" s="75"/>
    </row>
    <row r="377">
      <c r="A377" s="75"/>
      <c r="D377" s="75"/>
      <c r="E377" s="75"/>
    </row>
    <row r="378">
      <c r="A378" s="75"/>
      <c r="D378" s="75"/>
      <c r="E378" s="75"/>
    </row>
    <row r="379">
      <c r="A379" s="75"/>
      <c r="D379" s="75"/>
      <c r="E379" s="75"/>
    </row>
    <row r="380">
      <c r="A380" s="75"/>
      <c r="D380" s="75"/>
      <c r="E380" s="75"/>
    </row>
    <row r="381">
      <c r="A381" s="75"/>
      <c r="D381" s="75"/>
      <c r="E381" s="75"/>
    </row>
    <row r="382">
      <c r="A382" s="75"/>
      <c r="D382" s="75"/>
      <c r="E382" s="75"/>
    </row>
    <row r="383">
      <c r="A383" s="75"/>
      <c r="D383" s="75"/>
      <c r="E383" s="75"/>
    </row>
    <row r="384">
      <c r="A384" s="75"/>
      <c r="D384" s="75"/>
      <c r="E384" s="75"/>
    </row>
    <row r="385">
      <c r="A385" s="75"/>
      <c r="D385" s="75"/>
      <c r="E385" s="75"/>
    </row>
    <row r="386">
      <c r="A386" s="75"/>
      <c r="D386" s="75"/>
      <c r="E386" s="75"/>
    </row>
    <row r="387">
      <c r="A387" s="75"/>
      <c r="D387" s="75"/>
      <c r="E387" s="75"/>
    </row>
    <row r="388">
      <c r="A388" s="75"/>
      <c r="D388" s="75"/>
      <c r="E388" s="75"/>
    </row>
    <row r="389">
      <c r="A389" s="75"/>
      <c r="D389" s="75"/>
      <c r="E389" s="75"/>
    </row>
    <row r="390">
      <c r="A390" s="75"/>
      <c r="D390" s="75"/>
      <c r="E390" s="75"/>
    </row>
    <row r="391">
      <c r="A391" s="75"/>
      <c r="D391" s="75"/>
      <c r="E391" s="75"/>
    </row>
    <row r="392">
      <c r="A392" s="75"/>
      <c r="D392" s="75"/>
      <c r="E392" s="75"/>
    </row>
    <row r="393">
      <c r="A393" s="75"/>
      <c r="D393" s="75"/>
      <c r="E393" s="75"/>
    </row>
    <row r="394">
      <c r="A394" s="75"/>
      <c r="D394" s="75"/>
      <c r="E394" s="75"/>
    </row>
    <row r="395">
      <c r="A395" s="75"/>
      <c r="D395" s="75"/>
      <c r="E395" s="75"/>
    </row>
    <row r="396">
      <c r="A396" s="75"/>
      <c r="D396" s="75"/>
      <c r="E396" s="75"/>
    </row>
    <row r="397">
      <c r="A397" s="75"/>
      <c r="D397" s="75"/>
      <c r="E397" s="75"/>
    </row>
    <row r="398">
      <c r="A398" s="75"/>
      <c r="D398" s="75"/>
      <c r="E398" s="75"/>
    </row>
    <row r="399">
      <c r="A399" s="75"/>
      <c r="D399" s="75"/>
      <c r="E399" s="75"/>
    </row>
    <row r="400">
      <c r="A400" s="75"/>
      <c r="D400" s="75"/>
      <c r="E400" s="75"/>
    </row>
    <row r="401">
      <c r="A401" s="75"/>
      <c r="D401" s="75"/>
      <c r="E401" s="75"/>
    </row>
    <row r="402">
      <c r="A402" s="75"/>
      <c r="D402" s="75"/>
      <c r="E402" s="75"/>
    </row>
    <row r="403">
      <c r="A403" s="75"/>
      <c r="D403" s="75"/>
      <c r="E403" s="75"/>
    </row>
    <row r="404">
      <c r="A404" s="75"/>
      <c r="D404" s="75"/>
      <c r="E404" s="75"/>
    </row>
    <row r="405">
      <c r="A405" s="75"/>
      <c r="D405" s="75"/>
      <c r="E405" s="75"/>
    </row>
    <row r="406">
      <c r="A406" s="75"/>
      <c r="D406" s="75"/>
      <c r="E406" s="75"/>
    </row>
    <row r="407">
      <c r="A407" s="75"/>
      <c r="D407" s="75"/>
      <c r="E407" s="75"/>
    </row>
    <row r="408">
      <c r="A408" s="75"/>
      <c r="D408" s="75"/>
      <c r="E408" s="75"/>
    </row>
    <row r="409">
      <c r="A409" s="75"/>
      <c r="D409" s="75"/>
      <c r="E409" s="75"/>
    </row>
    <row r="410">
      <c r="A410" s="75"/>
      <c r="D410" s="75"/>
      <c r="E410" s="75"/>
    </row>
    <row r="411">
      <c r="A411" s="75"/>
      <c r="D411" s="75"/>
      <c r="E411" s="75"/>
    </row>
    <row r="412">
      <c r="A412" s="75"/>
      <c r="D412" s="75"/>
      <c r="E412" s="75"/>
    </row>
    <row r="413">
      <c r="A413" s="75"/>
      <c r="D413" s="75"/>
      <c r="E413" s="75"/>
    </row>
    <row r="414">
      <c r="A414" s="75"/>
      <c r="D414" s="75"/>
      <c r="E414" s="75"/>
    </row>
    <row r="415">
      <c r="A415" s="75"/>
      <c r="D415" s="75"/>
      <c r="E415" s="75"/>
    </row>
    <row r="416">
      <c r="A416" s="75"/>
      <c r="D416" s="75"/>
      <c r="E416" s="75"/>
    </row>
    <row r="417">
      <c r="A417" s="75"/>
      <c r="D417" s="75"/>
      <c r="E417" s="75"/>
    </row>
    <row r="418">
      <c r="A418" s="75"/>
      <c r="D418" s="75"/>
      <c r="E418" s="75"/>
    </row>
    <row r="419">
      <c r="A419" s="75"/>
      <c r="D419" s="75"/>
      <c r="E419" s="75"/>
    </row>
    <row r="420">
      <c r="A420" s="75"/>
      <c r="D420" s="75"/>
      <c r="E420" s="75"/>
    </row>
    <row r="421">
      <c r="A421" s="75"/>
      <c r="D421" s="75"/>
      <c r="E421" s="75"/>
    </row>
    <row r="422">
      <c r="A422" s="75"/>
      <c r="D422" s="75"/>
      <c r="E422" s="75"/>
    </row>
    <row r="423">
      <c r="A423" s="75"/>
      <c r="D423" s="75"/>
      <c r="E423" s="75"/>
    </row>
    <row r="424">
      <c r="A424" s="75"/>
      <c r="D424" s="75"/>
      <c r="E424" s="75"/>
    </row>
    <row r="425">
      <c r="A425" s="75"/>
      <c r="D425" s="75"/>
      <c r="E425" s="75"/>
    </row>
    <row r="426">
      <c r="A426" s="75"/>
      <c r="D426" s="75"/>
      <c r="E426" s="75"/>
    </row>
    <row r="427">
      <c r="A427" s="75"/>
      <c r="D427" s="75"/>
      <c r="E427" s="75"/>
    </row>
    <row r="428">
      <c r="A428" s="75"/>
      <c r="D428" s="75"/>
      <c r="E428" s="75"/>
    </row>
    <row r="429">
      <c r="A429" s="75"/>
      <c r="D429" s="75"/>
      <c r="E429" s="75"/>
    </row>
    <row r="430">
      <c r="A430" s="75"/>
      <c r="D430" s="75"/>
      <c r="E430" s="75"/>
    </row>
    <row r="431">
      <c r="A431" s="75"/>
      <c r="D431" s="75"/>
      <c r="E431" s="75"/>
    </row>
    <row r="432">
      <c r="A432" s="75"/>
      <c r="D432" s="75"/>
      <c r="E432" s="75"/>
    </row>
    <row r="433">
      <c r="A433" s="75"/>
      <c r="D433" s="75"/>
      <c r="E433" s="75"/>
    </row>
    <row r="434">
      <c r="A434" s="75"/>
      <c r="D434" s="75"/>
      <c r="E434" s="75"/>
    </row>
    <row r="435">
      <c r="A435" s="75"/>
      <c r="D435" s="75"/>
      <c r="E435" s="75"/>
    </row>
    <row r="436">
      <c r="A436" s="75"/>
      <c r="D436" s="75"/>
      <c r="E436" s="75"/>
    </row>
    <row r="437">
      <c r="A437" s="75"/>
      <c r="D437" s="75"/>
      <c r="E437" s="75"/>
    </row>
    <row r="438">
      <c r="A438" s="75"/>
      <c r="D438" s="75"/>
      <c r="E438" s="75"/>
    </row>
    <row r="439">
      <c r="A439" s="75"/>
      <c r="D439" s="75"/>
      <c r="E439" s="75"/>
    </row>
    <row r="440">
      <c r="A440" s="75"/>
      <c r="D440" s="75"/>
      <c r="E440" s="75"/>
    </row>
    <row r="441">
      <c r="A441" s="75"/>
      <c r="D441" s="75"/>
      <c r="E441" s="75"/>
    </row>
    <row r="442">
      <c r="A442" s="75"/>
      <c r="D442" s="75"/>
      <c r="E442" s="75"/>
    </row>
    <row r="443">
      <c r="A443" s="75"/>
      <c r="D443" s="75"/>
      <c r="E443" s="75"/>
    </row>
    <row r="444">
      <c r="A444" s="75"/>
      <c r="D444" s="75"/>
      <c r="E444" s="75"/>
    </row>
    <row r="445">
      <c r="A445" s="75"/>
      <c r="D445" s="75"/>
      <c r="E445" s="75"/>
    </row>
    <row r="446">
      <c r="A446" s="75"/>
      <c r="D446" s="75"/>
      <c r="E446" s="75"/>
    </row>
    <row r="447">
      <c r="A447" s="75"/>
      <c r="D447" s="75"/>
      <c r="E447" s="75"/>
    </row>
    <row r="448">
      <c r="A448" s="75"/>
      <c r="D448" s="75"/>
      <c r="E448" s="75"/>
    </row>
    <row r="449">
      <c r="A449" s="75"/>
      <c r="D449" s="75"/>
      <c r="E449" s="75"/>
    </row>
    <row r="450">
      <c r="A450" s="75"/>
      <c r="D450" s="75"/>
      <c r="E450" s="75"/>
    </row>
    <row r="451">
      <c r="A451" s="75"/>
      <c r="D451" s="75"/>
      <c r="E451" s="75"/>
    </row>
    <row r="452">
      <c r="A452" s="75"/>
      <c r="D452" s="75"/>
      <c r="E452" s="75"/>
    </row>
    <row r="453">
      <c r="A453" s="75"/>
      <c r="D453" s="75"/>
      <c r="E453" s="75"/>
    </row>
    <row r="454">
      <c r="A454" s="75"/>
      <c r="D454" s="75"/>
      <c r="E454" s="75"/>
    </row>
    <row r="455">
      <c r="A455" s="75"/>
      <c r="D455" s="75"/>
      <c r="E455" s="75"/>
    </row>
    <row r="456">
      <c r="A456" s="75"/>
      <c r="D456" s="75"/>
      <c r="E456" s="75"/>
    </row>
    <row r="457">
      <c r="A457" s="75"/>
      <c r="D457" s="75"/>
      <c r="E457" s="75"/>
    </row>
    <row r="458">
      <c r="A458" s="75"/>
      <c r="D458" s="75"/>
      <c r="E458" s="75"/>
    </row>
    <row r="459">
      <c r="A459" s="75"/>
      <c r="D459" s="75"/>
      <c r="E459" s="75"/>
    </row>
    <row r="460">
      <c r="A460" s="75"/>
      <c r="D460" s="75"/>
      <c r="E460" s="75"/>
    </row>
    <row r="461">
      <c r="A461" s="75"/>
      <c r="D461" s="75"/>
      <c r="E461" s="75"/>
    </row>
    <row r="462">
      <c r="A462" s="75"/>
      <c r="D462" s="75"/>
      <c r="E462" s="75"/>
    </row>
    <row r="463">
      <c r="A463" s="75"/>
      <c r="D463" s="75"/>
      <c r="E463" s="75"/>
    </row>
    <row r="464">
      <c r="A464" s="75"/>
      <c r="D464" s="75"/>
      <c r="E464" s="75"/>
    </row>
    <row r="465">
      <c r="A465" s="75"/>
      <c r="D465" s="75"/>
      <c r="E465" s="75"/>
    </row>
    <row r="466">
      <c r="A466" s="75"/>
      <c r="D466" s="75"/>
      <c r="E466" s="75"/>
    </row>
    <row r="467">
      <c r="A467" s="75"/>
      <c r="D467" s="75"/>
      <c r="E467" s="75"/>
    </row>
    <row r="468">
      <c r="A468" s="75"/>
      <c r="D468" s="75"/>
      <c r="E468" s="75"/>
    </row>
    <row r="469">
      <c r="A469" s="75"/>
      <c r="D469" s="75"/>
      <c r="E469" s="75"/>
    </row>
    <row r="470">
      <c r="A470" s="75"/>
      <c r="D470" s="75"/>
      <c r="E470" s="75"/>
    </row>
    <row r="471">
      <c r="A471" s="75"/>
      <c r="D471" s="75"/>
      <c r="E471" s="75"/>
    </row>
    <row r="472">
      <c r="A472" s="75"/>
      <c r="D472" s="75"/>
      <c r="E472" s="75"/>
    </row>
    <row r="473">
      <c r="A473" s="75"/>
      <c r="D473" s="75"/>
      <c r="E473" s="75"/>
    </row>
    <row r="474">
      <c r="A474" s="75"/>
      <c r="D474" s="75"/>
      <c r="E474" s="75"/>
    </row>
    <row r="475">
      <c r="A475" s="75"/>
      <c r="D475" s="75"/>
      <c r="E475" s="75"/>
    </row>
    <row r="476">
      <c r="A476" s="75"/>
      <c r="D476" s="75"/>
      <c r="E476" s="75"/>
    </row>
    <row r="477">
      <c r="A477" s="75"/>
      <c r="D477" s="75"/>
      <c r="E477" s="75"/>
    </row>
    <row r="478">
      <c r="A478" s="75"/>
      <c r="D478" s="75"/>
      <c r="E478" s="75"/>
    </row>
    <row r="479">
      <c r="A479" s="75"/>
      <c r="D479" s="75"/>
      <c r="E479" s="75"/>
    </row>
    <row r="480">
      <c r="A480" s="75"/>
      <c r="D480" s="75"/>
      <c r="E480" s="75"/>
    </row>
    <row r="481">
      <c r="A481" s="75"/>
      <c r="D481" s="75"/>
      <c r="E481" s="75"/>
    </row>
    <row r="482">
      <c r="A482" s="75"/>
      <c r="D482" s="75"/>
      <c r="E482" s="75"/>
    </row>
    <row r="483">
      <c r="A483" s="75"/>
      <c r="D483" s="75"/>
      <c r="E483" s="75"/>
    </row>
    <row r="484">
      <c r="A484" s="75"/>
      <c r="D484" s="75"/>
      <c r="E484" s="75"/>
    </row>
    <row r="485">
      <c r="A485" s="75"/>
      <c r="D485" s="75"/>
      <c r="E485" s="75"/>
    </row>
    <row r="486">
      <c r="A486" s="75"/>
      <c r="D486" s="75"/>
      <c r="E486" s="75"/>
    </row>
    <row r="487">
      <c r="A487" s="75"/>
      <c r="D487" s="75"/>
      <c r="E487" s="75"/>
    </row>
    <row r="488">
      <c r="A488" s="75"/>
      <c r="D488" s="75"/>
      <c r="E488" s="75"/>
    </row>
    <row r="489">
      <c r="A489" s="75"/>
      <c r="D489" s="75"/>
      <c r="E489" s="75"/>
    </row>
    <row r="490">
      <c r="A490" s="75"/>
      <c r="D490" s="75"/>
      <c r="E490" s="75"/>
    </row>
    <row r="491">
      <c r="A491" s="75"/>
      <c r="D491" s="75"/>
      <c r="E491" s="75"/>
    </row>
    <row r="492">
      <c r="A492" s="75"/>
      <c r="D492" s="75"/>
      <c r="E492" s="75"/>
    </row>
    <row r="493">
      <c r="A493" s="75"/>
      <c r="D493" s="75"/>
      <c r="E493" s="75"/>
    </row>
    <row r="494">
      <c r="A494" s="75"/>
      <c r="D494" s="75"/>
      <c r="E494" s="75"/>
    </row>
    <row r="495">
      <c r="A495" s="75"/>
      <c r="D495" s="75"/>
      <c r="E495" s="75"/>
    </row>
    <row r="496">
      <c r="A496" s="75"/>
      <c r="D496" s="75"/>
      <c r="E496" s="75"/>
    </row>
    <row r="497">
      <c r="A497" s="75"/>
      <c r="D497" s="75"/>
      <c r="E497" s="75"/>
    </row>
    <row r="498">
      <c r="A498" s="75"/>
      <c r="D498" s="75"/>
      <c r="E498" s="75"/>
    </row>
    <row r="499">
      <c r="A499" s="75"/>
      <c r="D499" s="75"/>
      <c r="E499" s="75"/>
    </row>
    <row r="500">
      <c r="A500" s="75"/>
      <c r="D500" s="75"/>
      <c r="E500" s="75"/>
    </row>
    <row r="501">
      <c r="A501" s="75"/>
      <c r="D501" s="75"/>
      <c r="E501" s="75"/>
    </row>
    <row r="502">
      <c r="A502" s="75"/>
      <c r="D502" s="75"/>
      <c r="E502" s="75"/>
    </row>
    <row r="503">
      <c r="A503" s="75"/>
      <c r="D503" s="75"/>
      <c r="E503" s="75"/>
    </row>
    <row r="504">
      <c r="A504" s="75"/>
      <c r="D504" s="75"/>
      <c r="E504" s="75"/>
    </row>
    <row r="505">
      <c r="A505" s="75"/>
      <c r="D505" s="75"/>
      <c r="E505" s="75"/>
    </row>
    <row r="506">
      <c r="A506" s="75"/>
      <c r="D506" s="75"/>
      <c r="E506" s="75"/>
    </row>
    <row r="507">
      <c r="A507" s="75"/>
      <c r="D507" s="75"/>
      <c r="E507" s="75"/>
    </row>
    <row r="508">
      <c r="A508" s="75"/>
      <c r="D508" s="75"/>
      <c r="E508" s="75"/>
    </row>
    <row r="509">
      <c r="A509" s="75"/>
      <c r="D509" s="75"/>
      <c r="E509" s="75"/>
    </row>
    <row r="510">
      <c r="A510" s="75"/>
      <c r="D510" s="75"/>
      <c r="E510" s="75"/>
    </row>
    <row r="511">
      <c r="A511" s="75"/>
      <c r="D511" s="75"/>
      <c r="E511" s="75"/>
    </row>
    <row r="512">
      <c r="A512" s="75"/>
      <c r="D512" s="75"/>
      <c r="E512" s="75"/>
    </row>
    <row r="513">
      <c r="A513" s="75"/>
      <c r="D513" s="75"/>
      <c r="E513" s="75"/>
    </row>
    <row r="514">
      <c r="A514" s="75"/>
      <c r="D514" s="75"/>
      <c r="E514" s="75"/>
    </row>
    <row r="515">
      <c r="A515" s="75"/>
      <c r="D515" s="75"/>
      <c r="E515" s="75"/>
    </row>
    <row r="516">
      <c r="A516" s="75"/>
      <c r="D516" s="75"/>
      <c r="E516" s="75"/>
    </row>
    <row r="517">
      <c r="A517" s="75"/>
      <c r="D517" s="75"/>
      <c r="E517" s="75"/>
    </row>
    <row r="518">
      <c r="A518" s="75"/>
      <c r="D518" s="75"/>
      <c r="E518" s="75"/>
    </row>
    <row r="519">
      <c r="A519" s="75"/>
      <c r="D519" s="75"/>
      <c r="E519" s="75"/>
    </row>
    <row r="520">
      <c r="A520" s="75"/>
      <c r="D520" s="75"/>
      <c r="E520" s="75"/>
    </row>
    <row r="521">
      <c r="A521" s="75"/>
      <c r="D521" s="75"/>
      <c r="E521" s="75"/>
    </row>
    <row r="522">
      <c r="A522" s="75"/>
      <c r="D522" s="75"/>
      <c r="E522" s="75"/>
    </row>
    <row r="523">
      <c r="A523" s="75"/>
      <c r="D523" s="75"/>
      <c r="E523" s="75"/>
    </row>
    <row r="524">
      <c r="A524" s="75"/>
      <c r="D524" s="75"/>
      <c r="E524" s="75"/>
    </row>
    <row r="525">
      <c r="A525" s="75"/>
      <c r="D525" s="75"/>
      <c r="E525" s="75"/>
    </row>
    <row r="526">
      <c r="A526" s="75"/>
      <c r="D526" s="75"/>
      <c r="E526" s="75"/>
    </row>
    <row r="527">
      <c r="A527" s="75"/>
      <c r="D527" s="75"/>
      <c r="E527" s="75"/>
    </row>
    <row r="528">
      <c r="A528" s="75"/>
      <c r="D528" s="75"/>
      <c r="E528" s="75"/>
    </row>
    <row r="529">
      <c r="A529" s="75"/>
      <c r="D529" s="75"/>
      <c r="E529" s="75"/>
    </row>
    <row r="530">
      <c r="A530" s="75"/>
      <c r="D530" s="75"/>
      <c r="E530" s="75"/>
    </row>
    <row r="531">
      <c r="A531" s="75"/>
      <c r="D531" s="75"/>
      <c r="E531" s="75"/>
    </row>
    <row r="532">
      <c r="A532" s="75"/>
      <c r="D532" s="75"/>
      <c r="E532" s="75"/>
    </row>
    <row r="533">
      <c r="A533" s="75"/>
      <c r="D533" s="75"/>
      <c r="E533" s="75"/>
    </row>
    <row r="534">
      <c r="A534" s="75"/>
      <c r="D534" s="75"/>
      <c r="E534" s="75"/>
    </row>
    <row r="535">
      <c r="A535" s="75"/>
      <c r="D535" s="75"/>
      <c r="E535" s="75"/>
    </row>
    <row r="536">
      <c r="A536" s="75"/>
      <c r="D536" s="75"/>
      <c r="E536" s="75"/>
    </row>
    <row r="537">
      <c r="A537" s="75"/>
      <c r="D537" s="75"/>
      <c r="E537" s="75"/>
    </row>
    <row r="538">
      <c r="A538" s="75"/>
      <c r="D538" s="75"/>
      <c r="E538" s="75"/>
    </row>
    <row r="539">
      <c r="A539" s="75"/>
      <c r="D539" s="75"/>
      <c r="E539" s="75"/>
    </row>
    <row r="540">
      <c r="A540" s="75"/>
      <c r="D540" s="75"/>
      <c r="E540" s="75"/>
    </row>
    <row r="541">
      <c r="A541" s="75"/>
      <c r="D541" s="75"/>
      <c r="E541" s="75"/>
    </row>
    <row r="542">
      <c r="A542" s="75"/>
      <c r="D542" s="75"/>
      <c r="E542" s="75"/>
    </row>
    <row r="543">
      <c r="A543" s="75"/>
      <c r="D543" s="75"/>
      <c r="E543" s="75"/>
    </row>
    <row r="544">
      <c r="A544" s="75"/>
      <c r="D544" s="75"/>
      <c r="E544" s="75"/>
    </row>
    <row r="545">
      <c r="A545" s="75"/>
      <c r="D545" s="75"/>
      <c r="E545" s="75"/>
    </row>
    <row r="546">
      <c r="A546" s="75"/>
      <c r="D546" s="75"/>
      <c r="E546" s="75"/>
    </row>
    <row r="547">
      <c r="A547" s="75"/>
      <c r="D547" s="75"/>
      <c r="E547" s="75"/>
    </row>
    <row r="548">
      <c r="A548" s="75"/>
      <c r="D548" s="75"/>
      <c r="E548" s="75"/>
    </row>
    <row r="549">
      <c r="A549" s="75"/>
      <c r="D549" s="75"/>
      <c r="E549" s="75"/>
    </row>
    <row r="550">
      <c r="A550" s="75"/>
      <c r="D550" s="75"/>
      <c r="E550" s="75"/>
    </row>
    <row r="551">
      <c r="A551" s="75"/>
      <c r="D551" s="75"/>
      <c r="E551" s="75"/>
    </row>
    <row r="552">
      <c r="A552" s="75"/>
      <c r="D552" s="75"/>
      <c r="E552" s="75"/>
    </row>
    <row r="553">
      <c r="A553" s="75"/>
      <c r="D553" s="75"/>
      <c r="E553" s="75"/>
    </row>
    <row r="554">
      <c r="A554" s="75"/>
      <c r="D554" s="75"/>
      <c r="E554" s="75"/>
    </row>
    <row r="555">
      <c r="A555" s="75"/>
      <c r="D555" s="75"/>
      <c r="E555" s="75"/>
    </row>
    <row r="556">
      <c r="A556" s="75"/>
      <c r="D556" s="75"/>
      <c r="E556" s="75"/>
    </row>
    <row r="557">
      <c r="A557" s="75"/>
      <c r="D557" s="75"/>
      <c r="E557" s="75"/>
    </row>
    <row r="558">
      <c r="A558" s="75"/>
      <c r="D558" s="75"/>
      <c r="E558" s="75"/>
    </row>
    <row r="559">
      <c r="A559" s="75"/>
      <c r="D559" s="75"/>
      <c r="E559" s="75"/>
    </row>
    <row r="560">
      <c r="A560" s="75"/>
      <c r="D560" s="75"/>
      <c r="E560" s="75"/>
    </row>
    <row r="561">
      <c r="A561" s="75"/>
      <c r="D561" s="75"/>
      <c r="E561" s="75"/>
    </row>
    <row r="562">
      <c r="A562" s="75"/>
      <c r="D562" s="75"/>
      <c r="E562" s="75"/>
    </row>
    <row r="563">
      <c r="A563" s="75"/>
      <c r="D563" s="75"/>
      <c r="E563" s="75"/>
    </row>
    <row r="564">
      <c r="A564" s="75"/>
      <c r="D564" s="75"/>
      <c r="E564" s="75"/>
    </row>
    <row r="565">
      <c r="A565" s="75"/>
      <c r="D565" s="75"/>
      <c r="E565" s="75"/>
    </row>
    <row r="566">
      <c r="A566" s="75"/>
      <c r="D566" s="75"/>
      <c r="E566" s="75"/>
    </row>
    <row r="567">
      <c r="A567" s="75"/>
      <c r="D567" s="75"/>
      <c r="E567" s="75"/>
    </row>
    <row r="568">
      <c r="A568" s="75"/>
      <c r="D568" s="75"/>
      <c r="E568" s="75"/>
    </row>
    <row r="569">
      <c r="A569" s="75"/>
      <c r="D569" s="75"/>
      <c r="E569" s="75"/>
    </row>
    <row r="570">
      <c r="A570" s="75"/>
      <c r="D570" s="75"/>
      <c r="E570" s="75"/>
    </row>
    <row r="571">
      <c r="A571" s="75"/>
      <c r="D571" s="75"/>
      <c r="E571" s="75"/>
    </row>
    <row r="572">
      <c r="A572" s="75"/>
      <c r="D572" s="75"/>
      <c r="E572" s="75"/>
    </row>
    <row r="573">
      <c r="A573" s="75"/>
      <c r="D573" s="75"/>
      <c r="E573" s="75"/>
    </row>
    <row r="574">
      <c r="A574" s="75"/>
      <c r="D574" s="75"/>
      <c r="E574" s="75"/>
    </row>
    <row r="575">
      <c r="A575" s="75"/>
      <c r="D575" s="75"/>
      <c r="E575" s="75"/>
    </row>
    <row r="576">
      <c r="A576" s="75"/>
      <c r="D576" s="75"/>
      <c r="E576" s="75"/>
    </row>
    <row r="577">
      <c r="A577" s="75"/>
      <c r="D577" s="75"/>
      <c r="E577" s="75"/>
    </row>
    <row r="578">
      <c r="A578" s="75"/>
      <c r="D578" s="75"/>
      <c r="E578" s="75"/>
    </row>
    <row r="579">
      <c r="A579" s="75"/>
      <c r="D579" s="75"/>
      <c r="E579" s="75"/>
    </row>
    <row r="580">
      <c r="A580" s="75"/>
      <c r="D580" s="75"/>
      <c r="E580" s="75"/>
    </row>
    <row r="581">
      <c r="A581" s="75"/>
      <c r="D581" s="75"/>
      <c r="E581" s="75"/>
    </row>
    <row r="582">
      <c r="A582" s="75"/>
      <c r="D582" s="75"/>
      <c r="E582" s="75"/>
    </row>
    <row r="583">
      <c r="A583" s="75"/>
      <c r="D583" s="75"/>
      <c r="E583" s="75"/>
    </row>
    <row r="584">
      <c r="A584" s="75"/>
      <c r="D584" s="75"/>
      <c r="E584" s="75"/>
    </row>
    <row r="585">
      <c r="A585" s="75"/>
      <c r="D585" s="75"/>
      <c r="E585" s="75"/>
    </row>
    <row r="586">
      <c r="A586" s="75"/>
      <c r="D586" s="75"/>
      <c r="E586" s="75"/>
    </row>
    <row r="587">
      <c r="A587" s="75"/>
      <c r="D587" s="75"/>
      <c r="E587" s="75"/>
    </row>
    <row r="588">
      <c r="A588" s="75"/>
      <c r="D588" s="75"/>
      <c r="E588" s="75"/>
    </row>
    <row r="589">
      <c r="A589" s="75"/>
      <c r="D589" s="75"/>
      <c r="E589" s="75"/>
    </row>
    <row r="590">
      <c r="A590" s="75"/>
      <c r="D590" s="75"/>
      <c r="E590" s="75"/>
    </row>
    <row r="591">
      <c r="A591" s="75"/>
      <c r="D591" s="75"/>
      <c r="E591" s="75"/>
    </row>
    <row r="592">
      <c r="A592" s="75"/>
      <c r="D592" s="75"/>
      <c r="E592" s="75"/>
    </row>
    <row r="593">
      <c r="A593" s="75"/>
      <c r="D593" s="75"/>
      <c r="E593" s="75"/>
    </row>
    <row r="594">
      <c r="A594" s="75"/>
      <c r="D594" s="75"/>
      <c r="E594" s="75"/>
    </row>
    <row r="595">
      <c r="A595" s="75"/>
      <c r="D595" s="75"/>
      <c r="E595" s="75"/>
    </row>
    <row r="596">
      <c r="A596" s="75"/>
      <c r="D596" s="75"/>
      <c r="E596" s="75"/>
    </row>
    <row r="597">
      <c r="A597" s="75"/>
      <c r="D597" s="75"/>
      <c r="E597" s="75"/>
    </row>
    <row r="598">
      <c r="A598" s="75"/>
      <c r="D598" s="75"/>
      <c r="E598" s="75"/>
    </row>
    <row r="599">
      <c r="A599" s="75"/>
      <c r="D599" s="75"/>
      <c r="E599" s="75"/>
    </row>
    <row r="600">
      <c r="A600" s="75"/>
      <c r="D600" s="75"/>
      <c r="E600" s="75"/>
    </row>
    <row r="601">
      <c r="A601" s="75"/>
      <c r="D601" s="75"/>
      <c r="E601" s="75"/>
    </row>
    <row r="602">
      <c r="A602" s="75"/>
      <c r="D602" s="75"/>
      <c r="E602" s="75"/>
    </row>
    <row r="603">
      <c r="A603" s="75"/>
      <c r="D603" s="75"/>
      <c r="E603" s="75"/>
    </row>
    <row r="604">
      <c r="A604" s="75"/>
      <c r="D604" s="75"/>
      <c r="E604" s="75"/>
    </row>
    <row r="605">
      <c r="A605" s="75"/>
      <c r="D605" s="75"/>
      <c r="E605" s="75"/>
    </row>
    <row r="606">
      <c r="A606" s="75"/>
      <c r="D606" s="75"/>
      <c r="E606" s="75"/>
    </row>
    <row r="607">
      <c r="A607" s="75"/>
      <c r="D607" s="75"/>
      <c r="E607" s="75"/>
    </row>
    <row r="608">
      <c r="A608" s="75"/>
      <c r="D608" s="75"/>
      <c r="E608" s="75"/>
    </row>
    <row r="609">
      <c r="A609" s="75"/>
      <c r="D609" s="75"/>
      <c r="E609" s="75"/>
    </row>
    <row r="610">
      <c r="A610" s="75"/>
      <c r="D610" s="75"/>
      <c r="E610" s="75"/>
    </row>
    <row r="611">
      <c r="A611" s="75"/>
      <c r="D611" s="75"/>
      <c r="E611" s="75"/>
    </row>
    <row r="612">
      <c r="A612" s="75"/>
      <c r="D612" s="75"/>
      <c r="E612" s="75"/>
    </row>
    <row r="613">
      <c r="A613" s="75"/>
      <c r="D613" s="75"/>
      <c r="E613" s="75"/>
    </row>
    <row r="614">
      <c r="A614" s="75"/>
      <c r="D614" s="75"/>
      <c r="E614" s="75"/>
    </row>
    <row r="615">
      <c r="A615" s="75"/>
      <c r="D615" s="75"/>
      <c r="E615" s="75"/>
    </row>
    <row r="616">
      <c r="A616" s="75"/>
      <c r="D616" s="75"/>
      <c r="E616" s="75"/>
    </row>
    <row r="617">
      <c r="A617" s="75"/>
      <c r="D617" s="75"/>
      <c r="E617" s="75"/>
    </row>
    <row r="618">
      <c r="A618" s="75"/>
      <c r="D618" s="75"/>
      <c r="E618" s="75"/>
    </row>
    <row r="619">
      <c r="A619" s="75"/>
      <c r="D619" s="75"/>
      <c r="E619" s="75"/>
    </row>
    <row r="620">
      <c r="A620" s="75"/>
      <c r="D620" s="75"/>
      <c r="E620" s="75"/>
    </row>
    <row r="621">
      <c r="A621" s="75"/>
      <c r="D621" s="75"/>
      <c r="E621" s="75"/>
    </row>
    <row r="622">
      <c r="A622" s="75"/>
      <c r="D622" s="75"/>
      <c r="E622" s="75"/>
    </row>
    <row r="623">
      <c r="A623" s="75"/>
      <c r="D623" s="75"/>
      <c r="E623" s="75"/>
    </row>
    <row r="624">
      <c r="A624" s="75"/>
      <c r="D624" s="75"/>
      <c r="E624" s="75"/>
    </row>
    <row r="625">
      <c r="A625" s="75"/>
      <c r="D625" s="75"/>
      <c r="E625" s="75"/>
    </row>
    <row r="626">
      <c r="A626" s="75"/>
      <c r="D626" s="75"/>
      <c r="E626" s="75"/>
    </row>
    <row r="627">
      <c r="A627" s="75"/>
      <c r="D627" s="75"/>
      <c r="E627" s="75"/>
    </row>
    <row r="628">
      <c r="A628" s="75"/>
      <c r="D628" s="75"/>
      <c r="E628" s="75"/>
    </row>
    <row r="629">
      <c r="A629" s="75"/>
      <c r="D629" s="75"/>
      <c r="E629" s="75"/>
    </row>
    <row r="630">
      <c r="A630" s="75"/>
      <c r="D630" s="75"/>
      <c r="E630" s="75"/>
    </row>
    <row r="631">
      <c r="A631" s="75"/>
      <c r="D631" s="75"/>
      <c r="E631" s="75"/>
    </row>
    <row r="632">
      <c r="A632" s="75"/>
      <c r="D632" s="75"/>
      <c r="E632" s="75"/>
    </row>
    <row r="633">
      <c r="A633" s="75"/>
      <c r="D633" s="75"/>
      <c r="E633" s="75"/>
    </row>
    <row r="634">
      <c r="A634" s="75"/>
      <c r="D634" s="75"/>
      <c r="E634" s="75"/>
    </row>
    <row r="635">
      <c r="A635" s="75"/>
      <c r="D635" s="75"/>
      <c r="E635" s="75"/>
    </row>
    <row r="636">
      <c r="A636" s="75"/>
      <c r="D636" s="75"/>
      <c r="E636" s="75"/>
    </row>
    <row r="637">
      <c r="A637" s="75"/>
      <c r="D637" s="75"/>
      <c r="E637" s="75"/>
    </row>
    <row r="638">
      <c r="A638" s="75"/>
      <c r="D638" s="75"/>
      <c r="E638" s="75"/>
    </row>
    <row r="639">
      <c r="A639" s="75"/>
      <c r="D639" s="75"/>
      <c r="E639" s="75"/>
    </row>
    <row r="640">
      <c r="A640" s="75"/>
      <c r="D640" s="75"/>
      <c r="E640" s="75"/>
    </row>
    <row r="641">
      <c r="A641" s="75"/>
      <c r="D641" s="75"/>
      <c r="E641" s="75"/>
    </row>
    <row r="642">
      <c r="A642" s="75"/>
      <c r="D642" s="75"/>
      <c r="E642" s="75"/>
    </row>
    <row r="643">
      <c r="A643" s="75"/>
      <c r="D643" s="75"/>
      <c r="E643" s="75"/>
    </row>
    <row r="644">
      <c r="A644" s="75"/>
      <c r="D644" s="75"/>
      <c r="E644" s="75"/>
    </row>
    <row r="645">
      <c r="A645" s="75"/>
      <c r="D645" s="75"/>
      <c r="E645" s="75"/>
    </row>
    <row r="646">
      <c r="A646" s="75"/>
      <c r="D646" s="75"/>
      <c r="E646" s="75"/>
    </row>
    <row r="647">
      <c r="A647" s="75"/>
      <c r="D647" s="75"/>
      <c r="E647" s="75"/>
    </row>
    <row r="648">
      <c r="A648" s="75"/>
      <c r="D648" s="75"/>
      <c r="E648" s="75"/>
    </row>
    <row r="649">
      <c r="A649" s="75"/>
      <c r="D649" s="75"/>
      <c r="E649" s="75"/>
    </row>
    <row r="650">
      <c r="A650" s="75"/>
      <c r="D650" s="75"/>
      <c r="E650" s="75"/>
    </row>
    <row r="651">
      <c r="A651" s="75"/>
      <c r="D651" s="75"/>
      <c r="E651" s="75"/>
    </row>
    <row r="652">
      <c r="A652" s="75"/>
      <c r="D652" s="75"/>
      <c r="E652" s="75"/>
    </row>
    <row r="653">
      <c r="A653" s="75"/>
      <c r="D653" s="75"/>
      <c r="E653" s="75"/>
    </row>
    <row r="654">
      <c r="A654" s="75"/>
      <c r="D654" s="75"/>
      <c r="E654" s="75"/>
    </row>
    <row r="655">
      <c r="A655" s="75"/>
      <c r="D655" s="75"/>
      <c r="E655" s="75"/>
    </row>
    <row r="656">
      <c r="A656" s="75"/>
      <c r="D656" s="75"/>
      <c r="E656" s="75"/>
    </row>
    <row r="657">
      <c r="A657" s="75"/>
      <c r="D657" s="75"/>
      <c r="E657" s="75"/>
    </row>
    <row r="658">
      <c r="A658" s="75"/>
      <c r="D658" s="75"/>
      <c r="E658" s="75"/>
    </row>
    <row r="659">
      <c r="A659" s="75"/>
      <c r="D659" s="75"/>
      <c r="E659" s="75"/>
    </row>
    <row r="660">
      <c r="A660" s="75"/>
      <c r="D660" s="75"/>
      <c r="E660" s="75"/>
    </row>
    <row r="661">
      <c r="A661" s="75"/>
      <c r="D661" s="75"/>
      <c r="E661" s="75"/>
    </row>
    <row r="662">
      <c r="A662" s="75"/>
      <c r="D662" s="75"/>
      <c r="E662" s="75"/>
    </row>
    <row r="663">
      <c r="A663" s="75"/>
      <c r="D663" s="75"/>
      <c r="E663" s="75"/>
    </row>
    <row r="664">
      <c r="A664" s="75"/>
      <c r="D664" s="75"/>
      <c r="E664" s="75"/>
    </row>
    <row r="665">
      <c r="A665" s="75"/>
      <c r="D665" s="75"/>
      <c r="E665" s="75"/>
    </row>
    <row r="666">
      <c r="A666" s="75"/>
      <c r="D666" s="75"/>
      <c r="E666" s="75"/>
    </row>
    <row r="667">
      <c r="A667" s="75"/>
      <c r="D667" s="75"/>
      <c r="E667" s="75"/>
    </row>
    <row r="668">
      <c r="A668" s="75"/>
      <c r="D668" s="75"/>
      <c r="E668" s="75"/>
    </row>
    <row r="669">
      <c r="A669" s="75"/>
      <c r="D669" s="75"/>
      <c r="E669" s="75"/>
    </row>
    <row r="670">
      <c r="A670" s="75"/>
      <c r="D670" s="75"/>
      <c r="E670" s="75"/>
    </row>
    <row r="671">
      <c r="A671" s="75"/>
      <c r="D671" s="75"/>
      <c r="E671" s="75"/>
    </row>
    <row r="672">
      <c r="A672" s="75"/>
      <c r="D672" s="75"/>
      <c r="E672" s="75"/>
    </row>
    <row r="673">
      <c r="A673" s="75"/>
      <c r="D673" s="75"/>
      <c r="E673" s="75"/>
    </row>
    <row r="674">
      <c r="A674" s="75"/>
      <c r="D674" s="75"/>
      <c r="E674" s="75"/>
    </row>
    <row r="675">
      <c r="A675" s="75"/>
      <c r="D675" s="75"/>
      <c r="E675" s="75"/>
    </row>
    <row r="676">
      <c r="A676" s="75"/>
      <c r="D676" s="75"/>
      <c r="E676" s="75"/>
    </row>
    <row r="677">
      <c r="A677" s="75"/>
      <c r="D677" s="75"/>
      <c r="E677" s="75"/>
    </row>
    <row r="678">
      <c r="A678" s="75"/>
      <c r="D678" s="75"/>
      <c r="E678" s="75"/>
    </row>
    <row r="679">
      <c r="A679" s="75"/>
      <c r="D679" s="75"/>
      <c r="E679" s="75"/>
    </row>
    <row r="680">
      <c r="A680" s="75"/>
      <c r="D680" s="75"/>
      <c r="E680" s="75"/>
    </row>
    <row r="681">
      <c r="A681" s="75"/>
      <c r="D681" s="75"/>
      <c r="E681" s="75"/>
    </row>
    <row r="682">
      <c r="A682" s="75"/>
      <c r="D682" s="75"/>
      <c r="E682" s="75"/>
    </row>
    <row r="683">
      <c r="A683" s="75"/>
      <c r="D683" s="75"/>
      <c r="E683" s="75"/>
    </row>
    <row r="684">
      <c r="A684" s="75"/>
      <c r="D684" s="75"/>
      <c r="E684" s="75"/>
    </row>
    <row r="685">
      <c r="A685" s="75"/>
      <c r="D685" s="75"/>
      <c r="E685" s="75"/>
    </row>
    <row r="686">
      <c r="A686" s="75"/>
      <c r="D686" s="75"/>
      <c r="E686" s="75"/>
    </row>
    <row r="687">
      <c r="A687" s="75"/>
      <c r="D687" s="75"/>
      <c r="E687" s="75"/>
    </row>
    <row r="688">
      <c r="A688" s="75"/>
      <c r="D688" s="75"/>
      <c r="E688" s="75"/>
    </row>
    <row r="689">
      <c r="A689" s="75"/>
      <c r="D689" s="75"/>
      <c r="E689" s="75"/>
    </row>
    <row r="690">
      <c r="A690" s="75"/>
      <c r="D690" s="75"/>
      <c r="E690" s="75"/>
    </row>
    <row r="691">
      <c r="A691" s="75"/>
      <c r="D691" s="75"/>
      <c r="E691" s="75"/>
    </row>
    <row r="692">
      <c r="A692" s="75"/>
      <c r="D692" s="75"/>
      <c r="E692" s="75"/>
    </row>
    <row r="693">
      <c r="A693" s="75"/>
      <c r="D693" s="75"/>
      <c r="E693" s="75"/>
    </row>
    <row r="694">
      <c r="A694" s="75"/>
      <c r="D694" s="75"/>
      <c r="E694" s="75"/>
    </row>
    <row r="695">
      <c r="A695" s="75"/>
      <c r="D695" s="75"/>
      <c r="E695" s="75"/>
    </row>
    <row r="696">
      <c r="A696" s="75"/>
      <c r="D696" s="75"/>
      <c r="E696" s="75"/>
    </row>
    <row r="697">
      <c r="A697" s="75"/>
      <c r="D697" s="75"/>
      <c r="E697" s="75"/>
    </row>
    <row r="698">
      <c r="A698" s="75"/>
      <c r="D698" s="75"/>
      <c r="E698" s="75"/>
    </row>
    <row r="699">
      <c r="A699" s="75"/>
      <c r="D699" s="75"/>
      <c r="E699" s="75"/>
    </row>
    <row r="700">
      <c r="A700" s="75"/>
      <c r="D700" s="75"/>
      <c r="E700" s="75"/>
    </row>
    <row r="701">
      <c r="A701" s="75"/>
      <c r="D701" s="75"/>
      <c r="E701" s="75"/>
    </row>
    <row r="702">
      <c r="A702" s="75"/>
      <c r="D702" s="75"/>
      <c r="E702" s="75"/>
    </row>
    <row r="703">
      <c r="A703" s="75"/>
      <c r="D703" s="75"/>
      <c r="E703" s="75"/>
    </row>
    <row r="704">
      <c r="A704" s="75"/>
      <c r="D704" s="75"/>
      <c r="E704" s="75"/>
    </row>
    <row r="705">
      <c r="A705" s="75"/>
      <c r="D705" s="75"/>
      <c r="E705" s="75"/>
    </row>
    <row r="706">
      <c r="A706" s="75"/>
      <c r="D706" s="75"/>
      <c r="E706" s="75"/>
    </row>
    <row r="707">
      <c r="A707" s="75"/>
      <c r="D707" s="75"/>
      <c r="E707" s="75"/>
    </row>
    <row r="708">
      <c r="A708" s="75"/>
      <c r="D708" s="75"/>
      <c r="E708" s="75"/>
    </row>
    <row r="709">
      <c r="A709" s="75"/>
      <c r="D709" s="75"/>
      <c r="E709" s="75"/>
    </row>
    <row r="710">
      <c r="A710" s="75"/>
      <c r="D710" s="75"/>
      <c r="E710" s="75"/>
    </row>
    <row r="711">
      <c r="A711" s="75"/>
      <c r="D711" s="75"/>
      <c r="E711" s="75"/>
    </row>
    <row r="712">
      <c r="A712" s="75"/>
      <c r="D712" s="75"/>
      <c r="E712" s="75"/>
    </row>
    <row r="713">
      <c r="A713" s="75"/>
      <c r="D713" s="75"/>
      <c r="E713" s="75"/>
    </row>
    <row r="714">
      <c r="A714" s="75"/>
      <c r="D714" s="75"/>
      <c r="E714" s="75"/>
    </row>
    <row r="715">
      <c r="A715" s="75"/>
      <c r="D715" s="75"/>
      <c r="E715" s="75"/>
    </row>
    <row r="716">
      <c r="A716" s="75"/>
      <c r="D716" s="75"/>
      <c r="E716" s="75"/>
    </row>
    <row r="717">
      <c r="A717" s="75"/>
      <c r="D717" s="75"/>
      <c r="E717" s="75"/>
    </row>
    <row r="718">
      <c r="A718" s="75"/>
      <c r="D718" s="75"/>
      <c r="E718" s="75"/>
    </row>
    <row r="719">
      <c r="A719" s="75"/>
      <c r="D719" s="75"/>
      <c r="E719" s="75"/>
    </row>
    <row r="720">
      <c r="A720" s="75"/>
      <c r="D720" s="75"/>
      <c r="E720" s="75"/>
    </row>
    <row r="721">
      <c r="A721" s="75"/>
      <c r="D721" s="75"/>
      <c r="E721" s="75"/>
    </row>
    <row r="722">
      <c r="A722" s="75"/>
      <c r="D722" s="75"/>
      <c r="E722" s="75"/>
    </row>
    <row r="723">
      <c r="A723" s="75"/>
      <c r="D723" s="75"/>
      <c r="E723" s="75"/>
    </row>
    <row r="724">
      <c r="A724" s="75"/>
      <c r="D724" s="75"/>
      <c r="E724" s="75"/>
    </row>
    <row r="725">
      <c r="A725" s="75"/>
      <c r="D725" s="75"/>
      <c r="E725" s="75"/>
    </row>
    <row r="726">
      <c r="A726" s="75"/>
      <c r="D726" s="75"/>
      <c r="E726" s="75"/>
    </row>
    <row r="727">
      <c r="A727" s="75"/>
      <c r="D727" s="75"/>
      <c r="E727" s="75"/>
    </row>
    <row r="728">
      <c r="A728" s="75"/>
      <c r="D728" s="75"/>
      <c r="E728" s="75"/>
    </row>
    <row r="729">
      <c r="A729" s="75"/>
      <c r="D729" s="75"/>
      <c r="E729" s="75"/>
    </row>
    <row r="730">
      <c r="A730" s="75"/>
      <c r="D730" s="75"/>
      <c r="E730" s="75"/>
    </row>
    <row r="731">
      <c r="A731" s="75"/>
      <c r="D731" s="75"/>
      <c r="E731" s="75"/>
    </row>
    <row r="732">
      <c r="A732" s="75"/>
      <c r="D732" s="75"/>
      <c r="E732" s="75"/>
    </row>
    <row r="733">
      <c r="A733" s="75"/>
      <c r="D733" s="75"/>
      <c r="E733" s="75"/>
    </row>
    <row r="734">
      <c r="A734" s="75"/>
      <c r="D734" s="75"/>
      <c r="E734" s="75"/>
    </row>
    <row r="735">
      <c r="A735" s="75"/>
      <c r="D735" s="75"/>
      <c r="E735" s="75"/>
    </row>
    <row r="736">
      <c r="A736" s="75"/>
      <c r="D736" s="75"/>
      <c r="E736" s="75"/>
    </row>
    <row r="737">
      <c r="A737" s="75"/>
      <c r="D737" s="75"/>
      <c r="E737" s="75"/>
    </row>
    <row r="738">
      <c r="A738" s="75"/>
      <c r="D738" s="75"/>
      <c r="E738" s="75"/>
    </row>
    <row r="739">
      <c r="A739" s="75"/>
      <c r="D739" s="75"/>
      <c r="E739" s="75"/>
    </row>
    <row r="740">
      <c r="A740" s="75"/>
      <c r="D740" s="75"/>
      <c r="E740" s="75"/>
    </row>
    <row r="741">
      <c r="A741" s="75"/>
      <c r="D741" s="75"/>
      <c r="E741" s="75"/>
    </row>
    <row r="742">
      <c r="A742" s="75"/>
      <c r="D742" s="75"/>
      <c r="E742" s="75"/>
    </row>
    <row r="743">
      <c r="A743" s="75"/>
      <c r="D743" s="75"/>
      <c r="E743" s="75"/>
    </row>
    <row r="744">
      <c r="A744" s="75"/>
      <c r="D744" s="75"/>
      <c r="E744" s="75"/>
    </row>
    <row r="745">
      <c r="A745" s="75"/>
      <c r="D745" s="75"/>
      <c r="E745" s="75"/>
    </row>
    <row r="746">
      <c r="A746" s="75"/>
      <c r="D746" s="75"/>
      <c r="E746" s="75"/>
    </row>
    <row r="747">
      <c r="A747" s="75"/>
      <c r="D747" s="75"/>
      <c r="E747" s="75"/>
    </row>
    <row r="748">
      <c r="A748" s="75"/>
      <c r="D748" s="75"/>
      <c r="E748" s="75"/>
    </row>
    <row r="749">
      <c r="A749" s="75"/>
      <c r="D749" s="75"/>
      <c r="E749" s="75"/>
    </row>
    <row r="750">
      <c r="A750" s="75"/>
      <c r="D750" s="75"/>
      <c r="E750" s="75"/>
    </row>
    <row r="751">
      <c r="A751" s="75"/>
      <c r="D751" s="75"/>
      <c r="E751" s="75"/>
    </row>
    <row r="752">
      <c r="A752" s="75"/>
      <c r="D752" s="75"/>
      <c r="E752" s="75"/>
    </row>
    <row r="753">
      <c r="A753" s="75"/>
      <c r="D753" s="75"/>
      <c r="E753" s="75"/>
    </row>
    <row r="754">
      <c r="A754" s="75"/>
      <c r="D754" s="75"/>
      <c r="E754" s="75"/>
    </row>
    <row r="755">
      <c r="A755" s="75"/>
      <c r="D755" s="75"/>
      <c r="E755" s="75"/>
    </row>
    <row r="756">
      <c r="A756" s="75"/>
      <c r="D756" s="75"/>
      <c r="E756" s="75"/>
    </row>
    <row r="757">
      <c r="A757" s="75"/>
      <c r="D757" s="75"/>
      <c r="E757" s="75"/>
    </row>
    <row r="758">
      <c r="A758" s="75"/>
      <c r="D758" s="75"/>
      <c r="E758" s="75"/>
    </row>
    <row r="759">
      <c r="A759" s="75"/>
      <c r="D759" s="75"/>
      <c r="E759" s="75"/>
    </row>
    <row r="760">
      <c r="A760" s="75"/>
      <c r="D760" s="75"/>
      <c r="E760" s="75"/>
    </row>
    <row r="761">
      <c r="A761" s="75"/>
      <c r="D761" s="75"/>
      <c r="E761" s="75"/>
    </row>
    <row r="762">
      <c r="A762" s="75"/>
      <c r="D762" s="75"/>
      <c r="E762" s="75"/>
    </row>
    <row r="763">
      <c r="A763" s="75"/>
      <c r="D763" s="75"/>
      <c r="E763" s="75"/>
    </row>
    <row r="764">
      <c r="A764" s="75"/>
      <c r="D764" s="75"/>
      <c r="E764" s="75"/>
    </row>
    <row r="765">
      <c r="A765" s="75"/>
      <c r="D765" s="75"/>
      <c r="E765" s="75"/>
    </row>
    <row r="766">
      <c r="A766" s="75"/>
      <c r="D766" s="75"/>
      <c r="E766" s="75"/>
    </row>
    <row r="767">
      <c r="A767" s="75"/>
      <c r="D767" s="75"/>
      <c r="E767" s="75"/>
    </row>
    <row r="768">
      <c r="A768" s="75"/>
      <c r="D768" s="75"/>
      <c r="E768" s="75"/>
    </row>
    <row r="769">
      <c r="A769" s="75"/>
      <c r="D769" s="75"/>
      <c r="E769" s="75"/>
    </row>
    <row r="770">
      <c r="A770" s="75"/>
      <c r="D770" s="75"/>
      <c r="E770" s="75"/>
    </row>
    <row r="771">
      <c r="A771" s="75"/>
      <c r="D771" s="75"/>
      <c r="E771" s="75"/>
    </row>
    <row r="772">
      <c r="A772" s="75"/>
      <c r="D772" s="75"/>
      <c r="E772" s="75"/>
    </row>
    <row r="773">
      <c r="A773" s="75"/>
      <c r="D773" s="75"/>
      <c r="E773" s="75"/>
    </row>
    <row r="774">
      <c r="A774" s="75"/>
      <c r="D774" s="75"/>
      <c r="E774" s="75"/>
    </row>
    <row r="775">
      <c r="A775" s="75"/>
      <c r="D775" s="75"/>
      <c r="E775" s="75"/>
    </row>
    <row r="776">
      <c r="A776" s="75"/>
      <c r="D776" s="75"/>
      <c r="E776" s="75"/>
    </row>
    <row r="777">
      <c r="A777" s="75"/>
      <c r="D777" s="75"/>
      <c r="E777" s="75"/>
    </row>
    <row r="778">
      <c r="A778" s="75"/>
      <c r="D778" s="75"/>
      <c r="E778" s="75"/>
    </row>
    <row r="779">
      <c r="A779" s="75"/>
      <c r="D779" s="75"/>
      <c r="E779" s="75"/>
    </row>
    <row r="780">
      <c r="A780" s="75"/>
      <c r="D780" s="75"/>
      <c r="E780" s="75"/>
    </row>
    <row r="781">
      <c r="A781" s="75"/>
      <c r="D781" s="75"/>
      <c r="E781" s="75"/>
    </row>
    <row r="782">
      <c r="A782" s="75"/>
      <c r="D782" s="75"/>
      <c r="E782" s="75"/>
    </row>
    <row r="783">
      <c r="A783" s="75"/>
      <c r="D783" s="75"/>
      <c r="E783" s="75"/>
    </row>
    <row r="784">
      <c r="A784" s="75"/>
      <c r="D784" s="75"/>
      <c r="E784" s="75"/>
    </row>
    <row r="785">
      <c r="A785" s="75"/>
      <c r="D785" s="75"/>
      <c r="E785" s="75"/>
    </row>
    <row r="786">
      <c r="A786" s="75"/>
      <c r="D786" s="75"/>
      <c r="E786" s="75"/>
    </row>
    <row r="787">
      <c r="A787" s="75"/>
      <c r="D787" s="75"/>
      <c r="E787" s="75"/>
    </row>
    <row r="788">
      <c r="A788" s="75"/>
      <c r="D788" s="75"/>
      <c r="E788" s="75"/>
    </row>
    <row r="789">
      <c r="A789" s="75"/>
      <c r="D789" s="75"/>
      <c r="E789" s="75"/>
    </row>
    <row r="790">
      <c r="A790" s="75"/>
      <c r="D790" s="75"/>
      <c r="E790" s="75"/>
    </row>
    <row r="791">
      <c r="A791" s="75"/>
      <c r="D791" s="75"/>
      <c r="E791" s="75"/>
    </row>
    <row r="792">
      <c r="A792" s="75"/>
      <c r="D792" s="75"/>
      <c r="E792" s="75"/>
    </row>
    <row r="793">
      <c r="A793" s="75"/>
      <c r="D793" s="75"/>
      <c r="E793" s="75"/>
    </row>
    <row r="794">
      <c r="A794" s="75"/>
      <c r="D794" s="75"/>
      <c r="E794" s="75"/>
    </row>
    <row r="795">
      <c r="A795" s="75"/>
      <c r="D795" s="75"/>
      <c r="E795" s="75"/>
    </row>
    <row r="796">
      <c r="A796" s="75"/>
      <c r="D796" s="75"/>
      <c r="E796" s="75"/>
    </row>
    <row r="797">
      <c r="A797" s="75"/>
      <c r="D797" s="75"/>
      <c r="E797" s="75"/>
    </row>
    <row r="798">
      <c r="A798" s="75"/>
      <c r="D798" s="75"/>
      <c r="E798" s="75"/>
    </row>
    <row r="799">
      <c r="A799" s="75"/>
      <c r="D799" s="75"/>
      <c r="E799" s="75"/>
    </row>
    <row r="800">
      <c r="A800" s="75"/>
      <c r="D800" s="75"/>
      <c r="E800" s="75"/>
    </row>
    <row r="801">
      <c r="A801" s="75"/>
      <c r="D801" s="75"/>
      <c r="E801" s="75"/>
    </row>
    <row r="802">
      <c r="A802" s="75"/>
      <c r="D802" s="75"/>
      <c r="E802" s="75"/>
    </row>
    <row r="803">
      <c r="A803" s="75"/>
      <c r="D803" s="75"/>
      <c r="E803" s="75"/>
    </row>
    <row r="804">
      <c r="A804" s="75"/>
      <c r="D804" s="75"/>
      <c r="E804" s="75"/>
    </row>
    <row r="805">
      <c r="A805" s="75"/>
      <c r="D805" s="75"/>
      <c r="E805" s="75"/>
    </row>
    <row r="806">
      <c r="A806" s="75"/>
      <c r="D806" s="75"/>
      <c r="E806" s="75"/>
    </row>
    <row r="807">
      <c r="A807" s="75"/>
      <c r="D807" s="75"/>
      <c r="E807" s="75"/>
    </row>
    <row r="808">
      <c r="A808" s="75"/>
      <c r="D808" s="75"/>
      <c r="E808" s="75"/>
    </row>
    <row r="809">
      <c r="A809" s="75"/>
      <c r="D809" s="75"/>
      <c r="E809" s="75"/>
    </row>
    <row r="810">
      <c r="A810" s="75"/>
      <c r="D810" s="75"/>
      <c r="E810" s="75"/>
    </row>
    <row r="811">
      <c r="A811" s="75"/>
      <c r="D811" s="75"/>
      <c r="E811" s="75"/>
    </row>
    <row r="812">
      <c r="A812" s="75"/>
      <c r="D812" s="75"/>
      <c r="E812" s="75"/>
    </row>
    <row r="813">
      <c r="A813" s="75"/>
      <c r="D813" s="75"/>
      <c r="E813" s="75"/>
    </row>
    <row r="814">
      <c r="A814" s="75"/>
      <c r="D814" s="75"/>
      <c r="E814" s="75"/>
    </row>
    <row r="815">
      <c r="A815" s="75"/>
      <c r="D815" s="75"/>
      <c r="E815" s="75"/>
    </row>
    <row r="816">
      <c r="A816" s="75"/>
      <c r="D816" s="75"/>
      <c r="E816" s="75"/>
    </row>
    <row r="817">
      <c r="A817" s="75"/>
      <c r="D817" s="75"/>
      <c r="E817" s="75"/>
    </row>
    <row r="818">
      <c r="A818" s="75"/>
      <c r="D818" s="75"/>
      <c r="E818" s="75"/>
    </row>
    <row r="819">
      <c r="A819" s="75"/>
      <c r="D819" s="75"/>
      <c r="E819" s="75"/>
    </row>
    <row r="820">
      <c r="A820" s="75"/>
      <c r="D820" s="75"/>
      <c r="E820" s="75"/>
    </row>
    <row r="821">
      <c r="A821" s="75"/>
      <c r="D821" s="75"/>
      <c r="E821" s="75"/>
    </row>
    <row r="822">
      <c r="A822" s="75"/>
      <c r="D822" s="75"/>
      <c r="E822" s="75"/>
    </row>
    <row r="823">
      <c r="A823" s="75"/>
      <c r="D823" s="75"/>
      <c r="E823" s="75"/>
    </row>
    <row r="824">
      <c r="A824" s="75"/>
      <c r="D824" s="75"/>
      <c r="E824" s="75"/>
    </row>
    <row r="825">
      <c r="A825" s="75"/>
      <c r="D825" s="75"/>
      <c r="E825" s="75"/>
    </row>
    <row r="826">
      <c r="A826" s="75"/>
      <c r="D826" s="75"/>
      <c r="E826" s="75"/>
    </row>
    <row r="827">
      <c r="A827" s="75"/>
      <c r="D827" s="75"/>
      <c r="E827" s="75"/>
    </row>
    <row r="828">
      <c r="A828" s="75"/>
      <c r="D828" s="75"/>
      <c r="E828" s="75"/>
    </row>
    <row r="829">
      <c r="A829" s="75"/>
      <c r="D829" s="75"/>
      <c r="E829" s="75"/>
    </row>
    <row r="830">
      <c r="A830" s="75"/>
      <c r="D830" s="75"/>
      <c r="E830" s="75"/>
    </row>
    <row r="831">
      <c r="A831" s="75"/>
      <c r="D831" s="75"/>
      <c r="E831" s="75"/>
    </row>
    <row r="832">
      <c r="A832" s="75"/>
      <c r="D832" s="75"/>
      <c r="E832" s="75"/>
    </row>
    <row r="833">
      <c r="A833" s="75"/>
      <c r="D833" s="75"/>
      <c r="E833" s="75"/>
    </row>
    <row r="834">
      <c r="A834" s="75"/>
      <c r="D834" s="75"/>
      <c r="E834" s="75"/>
    </row>
    <row r="835">
      <c r="A835" s="75"/>
      <c r="D835" s="75"/>
      <c r="E835" s="75"/>
    </row>
    <row r="836">
      <c r="A836" s="75"/>
      <c r="D836" s="75"/>
      <c r="E836" s="75"/>
    </row>
    <row r="837">
      <c r="A837" s="75"/>
      <c r="D837" s="75"/>
      <c r="E837" s="75"/>
    </row>
    <row r="838">
      <c r="A838" s="75"/>
      <c r="D838" s="75"/>
      <c r="E838" s="75"/>
    </row>
    <row r="839">
      <c r="A839" s="75"/>
      <c r="D839" s="75"/>
      <c r="E839" s="75"/>
    </row>
    <row r="840">
      <c r="A840" s="75"/>
      <c r="D840" s="75"/>
      <c r="E840" s="75"/>
    </row>
    <row r="841">
      <c r="A841" s="75"/>
      <c r="D841" s="75"/>
      <c r="E841" s="75"/>
    </row>
    <row r="842">
      <c r="A842" s="75"/>
      <c r="D842" s="75"/>
      <c r="E842" s="75"/>
    </row>
    <row r="843">
      <c r="A843" s="75"/>
      <c r="D843" s="75"/>
      <c r="E843" s="75"/>
    </row>
    <row r="844">
      <c r="A844" s="75"/>
      <c r="D844" s="75"/>
      <c r="E844" s="75"/>
    </row>
    <row r="845">
      <c r="A845" s="75"/>
      <c r="D845" s="75"/>
      <c r="E845" s="75"/>
    </row>
    <row r="846">
      <c r="A846" s="75"/>
      <c r="D846" s="75"/>
      <c r="E846" s="75"/>
    </row>
    <row r="847">
      <c r="A847" s="75"/>
      <c r="D847" s="75"/>
      <c r="E847" s="75"/>
    </row>
    <row r="848">
      <c r="A848" s="75"/>
      <c r="D848" s="75"/>
      <c r="E848" s="75"/>
    </row>
    <row r="849">
      <c r="A849" s="75"/>
      <c r="D849" s="75"/>
      <c r="E849" s="75"/>
    </row>
    <row r="850">
      <c r="A850" s="75"/>
      <c r="D850" s="75"/>
      <c r="E850" s="75"/>
    </row>
    <row r="851">
      <c r="A851" s="75"/>
      <c r="D851" s="75"/>
      <c r="E851" s="75"/>
    </row>
    <row r="852">
      <c r="A852" s="75"/>
      <c r="D852" s="75"/>
      <c r="E852" s="75"/>
    </row>
    <row r="853">
      <c r="A853" s="75"/>
      <c r="D853" s="75"/>
      <c r="E853" s="75"/>
    </row>
    <row r="854">
      <c r="A854" s="75"/>
      <c r="D854" s="75"/>
      <c r="E854" s="75"/>
    </row>
    <row r="855">
      <c r="A855" s="75"/>
      <c r="D855" s="75"/>
      <c r="E855" s="75"/>
    </row>
    <row r="856">
      <c r="A856" s="75"/>
      <c r="D856" s="75"/>
      <c r="E856" s="75"/>
    </row>
    <row r="857">
      <c r="A857" s="75"/>
      <c r="D857" s="75"/>
      <c r="E857" s="75"/>
    </row>
    <row r="858">
      <c r="A858" s="75"/>
      <c r="D858" s="75"/>
      <c r="E858" s="75"/>
    </row>
    <row r="859">
      <c r="A859" s="75"/>
      <c r="D859" s="75"/>
      <c r="E859" s="75"/>
    </row>
    <row r="860">
      <c r="A860" s="75"/>
      <c r="D860" s="75"/>
      <c r="E860" s="75"/>
    </row>
    <row r="861">
      <c r="A861" s="75"/>
      <c r="D861" s="75"/>
      <c r="E861" s="75"/>
    </row>
    <row r="862">
      <c r="A862" s="75"/>
      <c r="D862" s="75"/>
      <c r="E862" s="75"/>
    </row>
    <row r="863">
      <c r="A863" s="75"/>
      <c r="D863" s="75"/>
      <c r="E863" s="75"/>
    </row>
    <row r="864">
      <c r="A864" s="75"/>
      <c r="D864" s="75"/>
      <c r="E864" s="75"/>
    </row>
    <row r="865">
      <c r="A865" s="75"/>
      <c r="D865" s="75"/>
      <c r="E865" s="75"/>
    </row>
    <row r="866">
      <c r="A866" s="75"/>
      <c r="D866" s="75"/>
      <c r="E866" s="75"/>
    </row>
    <row r="867">
      <c r="A867" s="75"/>
      <c r="D867" s="75"/>
      <c r="E867" s="75"/>
    </row>
    <row r="868">
      <c r="A868" s="75"/>
      <c r="D868" s="75"/>
      <c r="E868" s="75"/>
    </row>
    <row r="869">
      <c r="A869" s="75"/>
      <c r="D869" s="75"/>
      <c r="E869" s="75"/>
    </row>
    <row r="870">
      <c r="A870" s="75"/>
      <c r="D870" s="75"/>
      <c r="E870" s="75"/>
    </row>
    <row r="871">
      <c r="A871" s="75"/>
      <c r="D871" s="75"/>
      <c r="E871" s="75"/>
    </row>
    <row r="872">
      <c r="A872" s="75"/>
      <c r="D872" s="75"/>
      <c r="E872" s="75"/>
    </row>
    <row r="873">
      <c r="A873" s="75"/>
      <c r="D873" s="75"/>
      <c r="E873" s="75"/>
    </row>
    <row r="874">
      <c r="A874" s="75"/>
      <c r="D874" s="75"/>
      <c r="E874" s="75"/>
    </row>
    <row r="875">
      <c r="A875" s="75"/>
      <c r="D875" s="75"/>
      <c r="E875" s="75"/>
    </row>
    <row r="876">
      <c r="A876" s="75"/>
      <c r="D876" s="75"/>
      <c r="E876" s="75"/>
    </row>
    <row r="877">
      <c r="A877" s="75"/>
      <c r="D877" s="75"/>
      <c r="E877" s="75"/>
    </row>
    <row r="878">
      <c r="A878" s="75"/>
      <c r="D878" s="75"/>
      <c r="E878" s="75"/>
    </row>
    <row r="879">
      <c r="A879" s="75"/>
      <c r="D879" s="75"/>
      <c r="E879" s="75"/>
    </row>
    <row r="880">
      <c r="A880" s="75"/>
      <c r="D880" s="75"/>
      <c r="E880" s="75"/>
    </row>
    <row r="881">
      <c r="A881" s="75"/>
      <c r="D881" s="75"/>
      <c r="E881" s="75"/>
    </row>
    <row r="882">
      <c r="A882" s="75"/>
      <c r="D882" s="75"/>
      <c r="E882" s="75"/>
    </row>
    <row r="883">
      <c r="A883" s="75"/>
      <c r="D883" s="75"/>
      <c r="E883" s="75"/>
    </row>
    <row r="884">
      <c r="A884" s="75"/>
      <c r="D884" s="75"/>
      <c r="E884" s="75"/>
    </row>
    <row r="885">
      <c r="A885" s="75"/>
      <c r="D885" s="75"/>
      <c r="E885" s="75"/>
    </row>
    <row r="886">
      <c r="A886" s="75"/>
      <c r="D886" s="75"/>
      <c r="E886" s="75"/>
    </row>
    <row r="887">
      <c r="A887" s="75"/>
      <c r="D887" s="75"/>
      <c r="E887" s="75"/>
    </row>
    <row r="888">
      <c r="A888" s="75"/>
      <c r="D888" s="75"/>
      <c r="E888" s="75"/>
    </row>
    <row r="889">
      <c r="A889" s="75"/>
      <c r="D889" s="75"/>
      <c r="E889" s="75"/>
    </row>
    <row r="890">
      <c r="A890" s="75"/>
      <c r="D890" s="75"/>
      <c r="E890" s="75"/>
    </row>
    <row r="891">
      <c r="A891" s="75"/>
      <c r="D891" s="75"/>
      <c r="E891" s="75"/>
    </row>
    <row r="892">
      <c r="A892" s="75"/>
      <c r="D892" s="75"/>
      <c r="E892" s="75"/>
    </row>
    <row r="893">
      <c r="A893" s="75"/>
      <c r="D893" s="75"/>
      <c r="E893" s="75"/>
    </row>
    <row r="894">
      <c r="A894" s="75"/>
      <c r="D894" s="75"/>
      <c r="E894" s="75"/>
    </row>
    <row r="895">
      <c r="A895" s="75"/>
      <c r="D895" s="75"/>
      <c r="E895" s="75"/>
    </row>
    <row r="896">
      <c r="A896" s="75"/>
      <c r="D896" s="75"/>
      <c r="E896" s="75"/>
    </row>
    <row r="897">
      <c r="A897" s="75"/>
      <c r="D897" s="75"/>
      <c r="E897" s="75"/>
    </row>
    <row r="898">
      <c r="A898" s="75"/>
      <c r="D898" s="75"/>
      <c r="E898" s="75"/>
    </row>
    <row r="899">
      <c r="A899" s="75"/>
      <c r="D899" s="75"/>
      <c r="E899" s="75"/>
    </row>
    <row r="900">
      <c r="A900" s="75"/>
      <c r="D900" s="75"/>
      <c r="E900" s="75"/>
    </row>
    <row r="901">
      <c r="A901" s="75"/>
      <c r="D901" s="75"/>
      <c r="E901" s="75"/>
    </row>
    <row r="902">
      <c r="A902" s="75"/>
      <c r="D902" s="75"/>
      <c r="E902" s="75"/>
    </row>
    <row r="903">
      <c r="A903" s="75"/>
      <c r="D903" s="75"/>
      <c r="E903" s="75"/>
    </row>
    <row r="904">
      <c r="A904" s="75"/>
      <c r="D904" s="75"/>
      <c r="E904" s="75"/>
    </row>
    <row r="905">
      <c r="A905" s="75"/>
      <c r="D905" s="75"/>
      <c r="E905" s="75"/>
    </row>
    <row r="906">
      <c r="A906" s="75"/>
      <c r="D906" s="75"/>
      <c r="E906" s="75"/>
    </row>
    <row r="907">
      <c r="A907" s="75"/>
      <c r="D907" s="75"/>
      <c r="E907" s="75"/>
    </row>
    <row r="908">
      <c r="A908" s="75"/>
      <c r="D908" s="75"/>
      <c r="E908" s="75"/>
    </row>
    <row r="909">
      <c r="A909" s="75"/>
      <c r="D909" s="75"/>
      <c r="E909" s="75"/>
    </row>
    <row r="910">
      <c r="A910" s="75"/>
      <c r="D910" s="75"/>
      <c r="E910" s="75"/>
    </row>
    <row r="911">
      <c r="A911" s="75"/>
      <c r="D911" s="75"/>
      <c r="E911" s="75"/>
    </row>
    <row r="912">
      <c r="A912" s="75"/>
      <c r="D912" s="75"/>
      <c r="E912" s="75"/>
    </row>
    <row r="913">
      <c r="A913" s="75"/>
      <c r="D913" s="75"/>
      <c r="E913" s="75"/>
    </row>
    <row r="914">
      <c r="A914" s="75"/>
      <c r="D914" s="75"/>
      <c r="E914" s="75"/>
    </row>
    <row r="915">
      <c r="A915" s="75"/>
      <c r="D915" s="75"/>
      <c r="E915" s="75"/>
    </row>
    <row r="916">
      <c r="A916" s="75"/>
      <c r="D916" s="75"/>
      <c r="E916" s="75"/>
    </row>
    <row r="917">
      <c r="A917" s="75"/>
      <c r="D917" s="75"/>
      <c r="E917" s="75"/>
    </row>
    <row r="918">
      <c r="A918" s="75"/>
      <c r="D918" s="75"/>
      <c r="E918" s="75"/>
    </row>
    <row r="919">
      <c r="A919" s="75"/>
      <c r="D919" s="75"/>
      <c r="E919" s="75"/>
    </row>
    <row r="920">
      <c r="A920" s="75"/>
      <c r="D920" s="75"/>
      <c r="E920" s="75"/>
    </row>
    <row r="921">
      <c r="A921" s="75"/>
      <c r="D921" s="75"/>
      <c r="E921" s="75"/>
    </row>
    <row r="922">
      <c r="A922" s="75"/>
      <c r="D922" s="75"/>
      <c r="E922" s="75"/>
    </row>
    <row r="923">
      <c r="A923" s="75"/>
      <c r="D923" s="75"/>
      <c r="E923" s="75"/>
    </row>
    <row r="924">
      <c r="A924" s="75"/>
      <c r="D924" s="75"/>
      <c r="E924" s="75"/>
    </row>
    <row r="925">
      <c r="A925" s="75"/>
      <c r="D925" s="75"/>
      <c r="E925" s="75"/>
    </row>
    <row r="926">
      <c r="A926" s="75"/>
      <c r="D926" s="75"/>
      <c r="E926" s="75"/>
    </row>
    <row r="927">
      <c r="A927" s="75"/>
      <c r="D927" s="75"/>
      <c r="E927" s="75"/>
    </row>
    <row r="928">
      <c r="A928" s="75"/>
      <c r="D928" s="75"/>
      <c r="E928" s="75"/>
    </row>
    <row r="929">
      <c r="A929" s="75"/>
      <c r="D929" s="75"/>
      <c r="E929" s="75"/>
    </row>
    <row r="930">
      <c r="A930" s="75"/>
      <c r="D930" s="75"/>
      <c r="E930" s="75"/>
    </row>
    <row r="931">
      <c r="A931" s="75"/>
      <c r="D931" s="75"/>
      <c r="E931" s="75"/>
    </row>
    <row r="932">
      <c r="A932" s="75"/>
      <c r="D932" s="75"/>
      <c r="E932" s="75"/>
    </row>
    <row r="933">
      <c r="A933" s="75"/>
      <c r="D933" s="75"/>
      <c r="E933" s="75"/>
    </row>
    <row r="934">
      <c r="A934" s="75"/>
      <c r="D934" s="75"/>
      <c r="E934" s="75"/>
    </row>
    <row r="935">
      <c r="A935" s="75"/>
      <c r="D935" s="75"/>
      <c r="E935" s="75"/>
    </row>
    <row r="936">
      <c r="A936" s="75"/>
      <c r="D936" s="75"/>
      <c r="E936" s="75"/>
    </row>
    <row r="937">
      <c r="A937" s="75"/>
      <c r="D937" s="75"/>
      <c r="E937" s="75"/>
    </row>
    <row r="938">
      <c r="A938" s="75"/>
      <c r="D938" s="75"/>
      <c r="E938" s="75"/>
    </row>
    <row r="939">
      <c r="A939" s="75"/>
      <c r="D939" s="75"/>
      <c r="E939" s="75"/>
    </row>
    <row r="940">
      <c r="A940" s="75"/>
      <c r="D940" s="75"/>
      <c r="E940" s="75"/>
    </row>
    <row r="941">
      <c r="A941" s="75"/>
      <c r="D941" s="75"/>
      <c r="E941" s="75"/>
    </row>
    <row r="942">
      <c r="A942" s="75"/>
      <c r="D942" s="75"/>
      <c r="E942" s="75"/>
    </row>
    <row r="943">
      <c r="A943" s="75"/>
      <c r="D943" s="75"/>
      <c r="E943" s="75"/>
    </row>
    <row r="944">
      <c r="A944" s="75"/>
      <c r="D944" s="75"/>
      <c r="E944" s="75"/>
    </row>
    <row r="945">
      <c r="A945" s="75"/>
      <c r="D945" s="75"/>
      <c r="E945" s="75"/>
    </row>
    <row r="946">
      <c r="A946" s="75"/>
      <c r="D946" s="75"/>
      <c r="E946" s="75"/>
    </row>
    <row r="947">
      <c r="A947" s="75"/>
      <c r="D947" s="75"/>
      <c r="E947" s="75"/>
    </row>
    <row r="948">
      <c r="A948" s="75"/>
      <c r="D948" s="75"/>
      <c r="E948" s="75"/>
    </row>
    <row r="949">
      <c r="A949" s="75"/>
      <c r="D949" s="75"/>
      <c r="E949" s="75"/>
    </row>
    <row r="950">
      <c r="A950" s="75"/>
      <c r="D950" s="75"/>
      <c r="E950" s="75"/>
    </row>
    <row r="951">
      <c r="A951" s="75"/>
      <c r="D951" s="75"/>
      <c r="E951" s="75"/>
    </row>
    <row r="952">
      <c r="A952" s="75"/>
      <c r="D952" s="75"/>
      <c r="E952" s="75"/>
    </row>
    <row r="953">
      <c r="A953" s="75"/>
      <c r="D953" s="75"/>
      <c r="E953" s="75"/>
    </row>
    <row r="954">
      <c r="A954" s="75"/>
      <c r="D954" s="75"/>
      <c r="E954" s="75"/>
    </row>
    <row r="955">
      <c r="A955" s="75"/>
      <c r="D955" s="75"/>
      <c r="E955" s="75"/>
    </row>
    <row r="956">
      <c r="A956" s="75"/>
      <c r="D956" s="75"/>
      <c r="E956" s="75"/>
    </row>
    <row r="957">
      <c r="A957" s="75"/>
      <c r="D957" s="75"/>
      <c r="E957" s="75"/>
    </row>
    <row r="958">
      <c r="A958" s="75"/>
      <c r="D958" s="75"/>
      <c r="E958" s="75"/>
    </row>
    <row r="959">
      <c r="A959" s="75"/>
      <c r="D959" s="75"/>
      <c r="E959" s="75"/>
    </row>
    <row r="960">
      <c r="A960" s="75"/>
      <c r="D960" s="75"/>
      <c r="E960" s="75"/>
    </row>
    <row r="961">
      <c r="A961" s="75"/>
      <c r="D961" s="75"/>
      <c r="E961" s="75"/>
    </row>
    <row r="962">
      <c r="A962" s="75"/>
      <c r="D962" s="75"/>
      <c r="E962" s="75"/>
    </row>
    <row r="963">
      <c r="A963" s="75"/>
      <c r="D963" s="75"/>
      <c r="E963" s="75"/>
    </row>
    <row r="964">
      <c r="A964" s="75"/>
      <c r="D964" s="75"/>
      <c r="E964" s="75"/>
    </row>
    <row r="965">
      <c r="A965" s="75"/>
      <c r="D965" s="75"/>
      <c r="E965" s="75"/>
    </row>
    <row r="966">
      <c r="A966" s="75"/>
      <c r="D966" s="75"/>
      <c r="E966" s="75"/>
    </row>
    <row r="967">
      <c r="A967" s="75"/>
      <c r="D967" s="75"/>
      <c r="E967" s="75"/>
    </row>
    <row r="968">
      <c r="A968" s="75"/>
      <c r="D968" s="75"/>
      <c r="E968" s="75"/>
    </row>
    <row r="969">
      <c r="A969" s="75"/>
      <c r="D969" s="75"/>
      <c r="E969" s="75"/>
    </row>
    <row r="970">
      <c r="A970" s="75"/>
      <c r="D970" s="75"/>
      <c r="E970" s="75"/>
    </row>
    <row r="971">
      <c r="A971" s="75"/>
      <c r="D971" s="75"/>
      <c r="E971" s="75"/>
    </row>
    <row r="972">
      <c r="A972" s="75"/>
      <c r="D972" s="75"/>
      <c r="E972" s="75"/>
    </row>
    <row r="973">
      <c r="A973" s="75"/>
      <c r="D973" s="75"/>
      <c r="E973" s="75"/>
    </row>
    <row r="974">
      <c r="A974" s="75"/>
      <c r="D974" s="75"/>
      <c r="E974" s="75"/>
    </row>
    <row r="975">
      <c r="A975" s="75"/>
      <c r="D975" s="75"/>
      <c r="E975" s="75"/>
    </row>
    <row r="976">
      <c r="A976" s="75"/>
      <c r="D976" s="75"/>
      <c r="E976" s="75"/>
    </row>
    <row r="977">
      <c r="A977" s="75"/>
      <c r="D977" s="75"/>
      <c r="E977" s="75"/>
    </row>
    <row r="978">
      <c r="A978" s="75"/>
      <c r="D978" s="75"/>
      <c r="E978" s="75"/>
    </row>
    <row r="979">
      <c r="A979" s="75"/>
      <c r="D979" s="75"/>
      <c r="E979" s="75"/>
    </row>
    <row r="980">
      <c r="A980" s="75"/>
      <c r="D980" s="75"/>
      <c r="E980" s="75"/>
    </row>
    <row r="981">
      <c r="A981" s="75"/>
      <c r="D981" s="75"/>
      <c r="E981" s="75"/>
    </row>
    <row r="982">
      <c r="A982" s="75"/>
      <c r="D982" s="75"/>
      <c r="E982" s="75"/>
    </row>
    <row r="983">
      <c r="A983" s="75"/>
      <c r="D983" s="75"/>
      <c r="E983" s="75"/>
    </row>
    <row r="984">
      <c r="A984" s="75"/>
      <c r="D984" s="75"/>
      <c r="E984" s="75"/>
    </row>
    <row r="985">
      <c r="A985" s="75"/>
      <c r="D985" s="75"/>
      <c r="E985" s="75"/>
    </row>
    <row r="986">
      <c r="A986" s="75"/>
      <c r="D986" s="75"/>
      <c r="E986" s="75"/>
    </row>
    <row r="987">
      <c r="A987" s="75"/>
      <c r="D987" s="75"/>
      <c r="E987" s="75"/>
    </row>
    <row r="988">
      <c r="A988" s="75"/>
      <c r="D988" s="75"/>
      <c r="E988" s="75"/>
    </row>
    <row r="989">
      <c r="A989" s="75"/>
      <c r="D989" s="75"/>
      <c r="E989" s="75"/>
    </row>
    <row r="990">
      <c r="A990" s="75"/>
      <c r="D990" s="75"/>
      <c r="E990" s="75"/>
    </row>
    <row r="991">
      <c r="A991" s="75"/>
      <c r="D991" s="75"/>
      <c r="E991" s="75"/>
    </row>
    <row r="992">
      <c r="A992" s="75"/>
      <c r="D992" s="75"/>
      <c r="E992" s="75"/>
    </row>
    <row r="993">
      <c r="A993" s="75"/>
      <c r="D993" s="75"/>
      <c r="E993" s="75"/>
    </row>
    <row r="994">
      <c r="A994" s="75"/>
      <c r="D994" s="75"/>
      <c r="E994" s="75"/>
    </row>
    <row r="995">
      <c r="A995" s="75"/>
      <c r="D995" s="75"/>
      <c r="E995" s="75"/>
    </row>
    <row r="996">
      <c r="A996" s="75"/>
      <c r="D996" s="75"/>
      <c r="E996" s="75"/>
    </row>
    <row r="997">
      <c r="A997" s="75"/>
      <c r="D997" s="75"/>
      <c r="E997" s="75"/>
    </row>
    <row r="998">
      <c r="A998" s="75"/>
      <c r="D998" s="75"/>
      <c r="E998" s="75"/>
    </row>
    <row r="999">
      <c r="A999" s="75"/>
      <c r="D999" s="75"/>
      <c r="E999" s="75"/>
    </row>
    <row r="1000">
      <c r="A1000" s="75"/>
      <c r="D1000" s="75"/>
      <c r="E1000" s="7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4.38"/>
    <col customWidth="1" min="4" max="4" width="22.13"/>
  </cols>
  <sheetData>
    <row r="1">
      <c r="A1" s="87">
        <f>IFERROR(__xludf.DUMMYFUNCTION("IMPORTRANGE(""https://docs.google.com/spreadsheets/d/1ROIDByG8JQ9QnTav5kMbqjv_otDakkYL7H10iPWcU48/edit#gid=1300287554"",""seed!b5:e"")"),44683.0)</f>
        <v>44683</v>
      </c>
      <c r="B1" s="88"/>
      <c r="C1" s="89"/>
      <c r="D1" s="90"/>
      <c r="E1" s="90"/>
      <c r="F1" s="76"/>
      <c r="G1" s="76"/>
      <c r="H1" s="77"/>
      <c r="I1" s="77"/>
      <c r="J1" s="78"/>
      <c r="K1" s="78"/>
      <c r="L1" s="79"/>
    </row>
    <row r="2">
      <c r="A2" s="91" t="str">
        <f>IFERROR(__xludf.DUMMYFUNCTION("""COMPUTED_VALUE"""),"Crop (UNDERLINE)")</f>
        <v>Crop (UNDERLINE)</v>
      </c>
      <c r="B2" s="92" t="str">
        <f>IFERROR(__xludf.DUMMYFUNCTION("""COMPUTED_VALUE"""),"Brand")</f>
        <v>Brand</v>
      </c>
      <c r="C2" s="93" t="str">
        <f>IFERROR(__xludf.DUMMYFUNCTION("""COMPUTED_VALUE"""),"VARIETY")</f>
        <v>VARIETY</v>
      </c>
      <c r="D2" s="94" t="str">
        <f>IFERROR(__xludf.DUMMYFUNCTION("""COMPUTED_VALUE"""),"Total Projected Units")</f>
        <v>Total Projected Units</v>
      </c>
      <c r="E2" s="95"/>
      <c r="F2" s="96" t="s">
        <v>160</v>
      </c>
      <c r="G2" s="97"/>
      <c r="H2" s="98" t="s">
        <v>161</v>
      </c>
      <c r="I2" s="99"/>
      <c r="J2" s="100" t="s">
        <v>162</v>
      </c>
      <c r="K2" s="101"/>
      <c r="L2" s="102" t="s">
        <v>163</v>
      </c>
    </row>
    <row r="3">
      <c r="A3" s="103" t="str">
        <f>IFERROR(__xludf.DUMMYFUNCTION("""COMPUTED_VALUE"""),"Barley")</f>
        <v>Barley</v>
      </c>
      <c r="B3" s="104" t="str">
        <f>IFERROR(__xludf.DUMMYFUNCTION("""COMPUTED_VALUE"""),"Albert Lea")</f>
        <v>Albert Lea</v>
      </c>
      <c r="C3" s="105" t="str">
        <f>IFERROR(__xludf.DUMMYFUNCTION("""COMPUTED_VALUE"""),"SB151")</f>
        <v>SB151</v>
      </c>
      <c r="D3" s="106">
        <f>IFERROR(__xludf.DUMMYFUNCTION("""COMPUTED_VALUE"""),468.74999999999994)</f>
        <v>468.75</v>
      </c>
      <c r="E3" s="107"/>
      <c r="F3" s="108">
        <f>sumif('INVOICE ACCOUNT SUMMARIES'!$A$2:$A1000,C3,'INVOICE ACCOUNT SUMMARIES'!$E$2:$E1000)</f>
        <v>0</v>
      </c>
      <c r="G3" s="109"/>
      <c r="H3" s="110">
        <f>sumif('SEED INVENTORY'!$I$46:$I1000,C3,'SEED INVENTORY'!$K$46:$K1000)</f>
        <v>0</v>
      </c>
      <c r="I3" s="110"/>
      <c r="J3" s="111">
        <f>sumif('SEED INVENTORY'!$I$46:$I1000,C3,'SEED INVENTORY'!$T$46:$T1000)</f>
        <v>0</v>
      </c>
      <c r="K3" s="112"/>
      <c r="L3" s="113">
        <f t="shared" ref="L3:L48" si="1">H3-J3</f>
        <v>0</v>
      </c>
    </row>
    <row r="4">
      <c r="A4" s="103" t="str">
        <f>IFERROR(__xludf.DUMMYFUNCTION("""COMPUTED_VALUE"""),"Blue_Corn")</f>
        <v>Blue_Corn</v>
      </c>
      <c r="B4" s="104" t="str">
        <f>IFERROR(__xludf.DUMMYFUNCTION("""COMPUTED_VALUE"""),"Kentucky Blue Corn")</f>
        <v>Kentucky Blue Corn</v>
      </c>
      <c r="C4" s="105" t="str">
        <f>IFERROR(__xludf.DUMMYFUNCTION("""COMPUTED_VALUE"""),"T1081J")</f>
        <v>T1081J</v>
      </c>
      <c r="D4" s="106">
        <f>IFERROR(__xludf.DUMMYFUNCTION("""COMPUTED_VALUE"""),42.9)</f>
        <v>42.9</v>
      </c>
      <c r="E4" s="107"/>
      <c r="F4" s="108">
        <f>sumif('INVOICE ACCOUNT SUMMARIES'!$A$2:$A1000,C4,'INVOICE ACCOUNT SUMMARIES'!$E$2:$E1000)</f>
        <v>0</v>
      </c>
      <c r="G4" s="109"/>
      <c r="H4" s="110">
        <f>sumif('SEED INVENTORY'!$I$46:$I1000,C4,'SEED INVENTORY'!$K$46:$K1000)</f>
        <v>50</v>
      </c>
      <c r="I4" s="110"/>
      <c r="J4" s="114">
        <f>sumif('SEED INVENTORY'!$I$46:$I1000,C4,'SEED INVENTORY'!$T$46:$T1000)</f>
        <v>0</v>
      </c>
      <c r="K4" s="112"/>
      <c r="L4" s="113">
        <f t="shared" si="1"/>
        <v>50</v>
      </c>
    </row>
    <row r="5">
      <c r="A5" s="103" t="str">
        <f>IFERROR(__xludf.DUMMYFUNCTION("""COMPUTED_VALUE"""),"Yellow_Corn")</f>
        <v>Yellow_Corn</v>
      </c>
      <c r="B5" s="104" t="str">
        <f>IFERROR(__xludf.DUMMYFUNCTION("""COMPUTED_VALUE"""),"viking")</f>
        <v>viking</v>
      </c>
      <c r="C5" s="105" t="str">
        <f>IFERROR(__xludf.DUMMYFUNCTION("""COMPUTED_VALUE"""),"Viking 051-04GS")</f>
        <v>Viking 051-04GS</v>
      </c>
      <c r="D5" s="106">
        <f>IFERROR(__xludf.DUMMYFUNCTION("""COMPUTED_VALUE"""),0.0)</f>
        <v>0</v>
      </c>
      <c r="E5" s="107"/>
      <c r="F5" s="108">
        <f>sumif('INVOICE ACCOUNT SUMMARIES'!$A$2:$A1000,C5,'INVOICE ACCOUNT SUMMARIES'!$E$2:$E1000)</f>
        <v>0</v>
      </c>
      <c r="G5" s="109"/>
      <c r="H5" s="110">
        <f>sumif('SEED INVENTORY'!$I$46:$I1000,C5,'SEED INVENTORY'!$K$46:$K1000)</f>
        <v>0</v>
      </c>
      <c r="I5" s="110"/>
      <c r="J5" s="114">
        <f>sumif('SEED INVENTORY'!$I$46:$I1000,C5,'SEED INVENTORY'!$T$46:$T1000)</f>
        <v>0</v>
      </c>
      <c r="K5" s="112"/>
      <c r="L5" s="113">
        <f t="shared" si="1"/>
        <v>0</v>
      </c>
    </row>
    <row r="6">
      <c r="A6" s="103" t="str">
        <f>IFERROR(__xludf.DUMMYFUNCTION("""COMPUTED_VALUE"""),"Yellow_Corn")</f>
        <v>Yellow_Corn</v>
      </c>
      <c r="B6" s="104" t="str">
        <f>IFERROR(__xludf.DUMMYFUNCTION("""COMPUTED_VALUE"""),"Pioneer")</f>
        <v>Pioneer</v>
      </c>
      <c r="C6" s="105" t="str">
        <f>IFERROR(__xludf.DUMMYFUNCTION("""COMPUTED_VALUE"""),"P0157")</f>
        <v>P0157</v>
      </c>
      <c r="D6" s="106">
        <f>IFERROR(__xludf.DUMMYFUNCTION("""COMPUTED_VALUE"""),250.441125)</f>
        <v>250.441125</v>
      </c>
      <c r="E6" s="107"/>
      <c r="F6" s="108">
        <f>sumif('INVOICE ACCOUNT SUMMARIES'!$A$2:$A1000,C6,'INVOICE ACCOUNT SUMMARIES'!$E$2:$E1000)</f>
        <v>0</v>
      </c>
      <c r="G6" s="109"/>
      <c r="H6" s="110">
        <f>sumif('SEED INVENTORY'!$I$46:$I1000,C6,'SEED INVENTORY'!$K$46:$K1000)</f>
        <v>0</v>
      </c>
      <c r="I6" s="110"/>
      <c r="J6" s="114">
        <f>sumif('SEED INVENTORY'!$I$46:$I1000,C6,'SEED INVENTORY'!$T$46:$T1000)</f>
        <v>0</v>
      </c>
      <c r="K6" s="112"/>
      <c r="L6" s="113">
        <f t="shared" si="1"/>
        <v>0</v>
      </c>
    </row>
    <row r="7">
      <c r="A7" s="103" t="str">
        <f>IFERROR(__xludf.DUMMYFUNCTION("""COMPUTED_VALUE"""),"Yellow_Corn")</f>
        <v>Yellow_Corn</v>
      </c>
      <c r="B7" s="104" t="str">
        <f>IFERROR(__xludf.DUMMYFUNCTION("""COMPUTED_VALUE"""),"Pioneer")</f>
        <v>Pioneer</v>
      </c>
      <c r="C7" s="105" t="str">
        <f>IFERROR(__xludf.DUMMYFUNCTION("""COMPUTED_VALUE"""),"P0075")</f>
        <v>P0075</v>
      </c>
      <c r="D7" s="106">
        <f>IFERROR(__xludf.DUMMYFUNCTION("""COMPUTED_VALUE"""),0.0)</f>
        <v>0</v>
      </c>
      <c r="E7" s="107"/>
      <c r="F7" s="108">
        <f>sumif('INVOICE ACCOUNT SUMMARIES'!$A$2:$A1000,C7,'INVOICE ACCOUNT SUMMARIES'!$E$2:$E1000)</f>
        <v>0</v>
      </c>
      <c r="G7" s="109"/>
      <c r="H7" s="110">
        <f>sumif('SEED INVENTORY'!$I$46:$I1000,C7,'SEED INVENTORY'!$K$46:$K1000)</f>
        <v>0</v>
      </c>
      <c r="I7" s="110"/>
      <c r="J7" s="114">
        <f>sumif('SEED INVENTORY'!$I$46:$I1000,C7,'SEED INVENTORY'!$T$46:$T1000)</f>
        <v>0</v>
      </c>
      <c r="K7" s="112"/>
      <c r="L7" s="113">
        <f t="shared" si="1"/>
        <v>0</v>
      </c>
    </row>
    <row r="8">
      <c r="A8" s="103" t="str">
        <f>IFERROR(__xludf.DUMMYFUNCTION("""COMPUTED_VALUE"""),"Yellow_Corn")</f>
        <v>Yellow_Corn</v>
      </c>
      <c r="B8" s="104" t="str">
        <f>IFERROR(__xludf.DUMMYFUNCTION("""COMPUTED_VALUE"""),"viking")</f>
        <v>viking</v>
      </c>
      <c r="C8" s="105" t="str">
        <f>IFERROR(__xludf.DUMMYFUNCTION("""COMPUTED_VALUE"""),"O46-02")</f>
        <v>O46-02</v>
      </c>
      <c r="D8" s="106">
        <f>IFERROR(__xludf.DUMMYFUNCTION("""COMPUTED_VALUE"""),0.0)</f>
        <v>0</v>
      </c>
      <c r="E8" s="107"/>
      <c r="F8" s="108">
        <f>sumif('INVOICE ACCOUNT SUMMARIES'!$A$2:$A1000,C8,'INVOICE ACCOUNT SUMMARIES'!$E$2:$E1000)</f>
        <v>0</v>
      </c>
      <c r="G8" s="109"/>
      <c r="H8" s="110">
        <f>sumif('SEED INVENTORY'!$I$46:$I1000,C8,'SEED INVENTORY'!$K$46:$K1000)</f>
        <v>0</v>
      </c>
      <c r="I8" s="110"/>
      <c r="J8" s="114">
        <f>sumif('SEED INVENTORY'!$I$46:$I1000,C8,'SEED INVENTORY'!$T$46:$T1000)</f>
        <v>0</v>
      </c>
      <c r="K8" s="112"/>
      <c r="L8" s="113">
        <f t="shared" si="1"/>
        <v>0</v>
      </c>
    </row>
    <row r="9">
      <c r="A9" s="103" t="str">
        <f>IFERROR(__xludf.DUMMYFUNCTION("""COMPUTED_VALUE"""),"Yellow_Corn")</f>
        <v>Yellow_Corn</v>
      </c>
      <c r="B9" s="104" t="str">
        <f>IFERROR(__xludf.DUMMYFUNCTION("""COMPUTED_VALUE"""),"viking")</f>
        <v>viking</v>
      </c>
      <c r="C9" s="105" t="str">
        <f>IFERROR(__xludf.DUMMYFUNCTION("""COMPUTED_VALUE"""),"O.18-06UP")</f>
        <v>O.18-06UP</v>
      </c>
      <c r="D9" s="106">
        <f>IFERROR(__xludf.DUMMYFUNCTION("""COMPUTED_VALUE"""),198.00000000000003)</f>
        <v>198</v>
      </c>
      <c r="E9" s="107"/>
      <c r="F9" s="108">
        <f>sumif('INVOICE ACCOUNT SUMMARIES'!$A$2:$A1000,C9,'INVOICE ACCOUNT SUMMARIES'!$E$2:$E1000)</f>
        <v>0</v>
      </c>
      <c r="G9" s="109"/>
      <c r="H9" s="110">
        <f>sumif('SEED INVENTORY'!$I$46:$I1000,C9,'SEED INVENTORY'!$K$46:$K1000)</f>
        <v>0</v>
      </c>
      <c r="I9" s="110"/>
      <c r="J9" s="114">
        <f>sumif('SEED INVENTORY'!$I$46:$I1000,C9,'SEED INVENTORY'!$T$46:$T1000)</f>
        <v>0</v>
      </c>
      <c r="K9" s="112"/>
      <c r="L9" s="113">
        <f t="shared" si="1"/>
        <v>0</v>
      </c>
    </row>
    <row r="10">
      <c r="A10" s="103" t="str">
        <f>IFERROR(__xludf.DUMMYFUNCTION("""COMPUTED_VALUE"""),"Yellow_Corn")</f>
        <v>Yellow_Corn</v>
      </c>
      <c r="B10" s="104" t="str">
        <f>IFERROR(__xludf.DUMMYFUNCTION("""COMPUTED_VALUE"""),"viking")</f>
        <v>viking</v>
      </c>
      <c r="C10" s="105" t="str">
        <f>IFERROR(__xludf.DUMMYFUNCTION("""COMPUTED_VALUE"""),"55-02")</f>
        <v>55-02</v>
      </c>
      <c r="D10" s="106">
        <f>IFERROR(__xludf.DUMMYFUNCTION("""COMPUTED_VALUE"""),0.0)</f>
        <v>0</v>
      </c>
      <c r="E10" s="107"/>
      <c r="F10" s="108">
        <f>sumif('INVOICE ACCOUNT SUMMARIES'!$A$2:$A1000,C10,'INVOICE ACCOUNT SUMMARIES'!$E$2:$E1000)</f>
        <v>0</v>
      </c>
      <c r="G10" s="109"/>
      <c r="H10" s="110">
        <f>sumif('SEED INVENTORY'!$I$46:$I1000,C10,'SEED INVENTORY'!$K$46:$K1000)</f>
        <v>0</v>
      </c>
      <c r="I10" s="110"/>
      <c r="J10" s="114">
        <f>sumif('SEED INVENTORY'!$I$46:$I1000,C10,'SEED INVENTORY'!$T$46:$T1000)</f>
        <v>0</v>
      </c>
      <c r="K10" s="112"/>
      <c r="L10" s="113">
        <f t="shared" si="1"/>
        <v>0</v>
      </c>
    </row>
    <row r="11">
      <c r="A11" s="103" t="str">
        <f>IFERROR(__xludf.DUMMYFUNCTION("""COMPUTED_VALUE"""),"Yellow_Corn")</f>
        <v>Yellow_Corn</v>
      </c>
      <c r="B11" s="104" t="str">
        <f>IFERROR(__xludf.DUMMYFUNCTION("""COMPUTED_VALUE"""),"viking")</f>
        <v>viking</v>
      </c>
      <c r="C11" s="115" t="str">
        <f>IFERROR(__xludf.DUMMYFUNCTION("""COMPUTED_VALUE"""),"51-04")</f>
        <v>51-04</v>
      </c>
      <c r="D11" s="106">
        <f>IFERROR(__xludf.DUMMYFUNCTION("""COMPUTED_VALUE"""),0.0)</f>
        <v>0</v>
      </c>
      <c r="E11" s="107"/>
      <c r="F11" s="108">
        <f>sumif('INVOICE ACCOUNT SUMMARIES'!$A$2:$A1000,C11,'INVOICE ACCOUNT SUMMARIES'!$E$2:$E1000)</f>
        <v>0</v>
      </c>
      <c r="G11" s="109"/>
      <c r="H11" s="110">
        <f>sumif('SEED INVENTORY'!$I$46:$I1000,C11,'SEED INVENTORY'!$K$46:$K1000)</f>
        <v>0</v>
      </c>
      <c r="I11" s="110"/>
      <c r="J11" s="114">
        <f>sumif('SEED INVENTORY'!$I$46:$I1000,C11,'SEED INVENTORY'!$T$46:$T1000)</f>
        <v>0</v>
      </c>
      <c r="K11" s="112"/>
      <c r="L11" s="113">
        <f t="shared" si="1"/>
        <v>0</v>
      </c>
    </row>
    <row r="12">
      <c r="A12" s="103" t="str">
        <f>IFERROR(__xludf.DUMMYFUNCTION("""COMPUTED_VALUE"""),"Yellow_Corn")</f>
        <v>Yellow_Corn</v>
      </c>
      <c r="B12" s="104" t="str">
        <f>IFERROR(__xludf.DUMMYFUNCTION("""COMPUTED_VALUE"""),"prarie hybrids")</f>
        <v>prarie hybrids</v>
      </c>
      <c r="C12" s="115">
        <f>IFERROR(__xludf.DUMMYFUNCTION("""COMPUTED_VALUE"""),3081.0)</f>
        <v>3081</v>
      </c>
      <c r="D12" s="106">
        <f>IFERROR(__xludf.DUMMYFUNCTION("""COMPUTED_VALUE"""),0.0)</f>
        <v>0</v>
      </c>
      <c r="E12" s="107"/>
      <c r="F12" s="108">
        <f>sumif('INVOICE ACCOUNT SUMMARIES'!$A$2:$A1000,C12,'INVOICE ACCOUNT SUMMARIES'!$E$2:$E1000)</f>
        <v>0</v>
      </c>
      <c r="G12" s="109"/>
      <c r="H12" s="110">
        <f>sumif('SEED INVENTORY'!$I$46:$I1000,C12,'SEED INVENTORY'!$K$46:$K1000)</f>
        <v>0</v>
      </c>
      <c r="I12" s="110"/>
      <c r="J12" s="114">
        <f>sumif('SEED INVENTORY'!$I$46:$I1000,C12,'SEED INVENTORY'!$T$46:$T1000)</f>
        <v>0</v>
      </c>
      <c r="K12" s="112"/>
      <c r="L12" s="113">
        <f t="shared" si="1"/>
        <v>0</v>
      </c>
    </row>
    <row r="13">
      <c r="A13" s="103" t="str">
        <f>IFERROR(__xludf.DUMMYFUNCTION("""COMPUTED_VALUE"""),"Yellow_Corn")</f>
        <v>Yellow_Corn</v>
      </c>
      <c r="B13" s="104" t="str">
        <f>IFERROR(__xludf.DUMMYFUNCTION("""COMPUTED_VALUE"""),"prarie hybrids")</f>
        <v>prarie hybrids</v>
      </c>
      <c r="C13" s="105">
        <f>IFERROR(__xludf.DUMMYFUNCTION("""COMPUTED_VALUE"""),5351.0)</f>
        <v>5351</v>
      </c>
      <c r="D13" s="106">
        <f>IFERROR(__xludf.DUMMYFUNCTION("""COMPUTED_VALUE"""),0.0)</f>
        <v>0</v>
      </c>
      <c r="E13" s="107"/>
      <c r="F13" s="108">
        <f>sumif('INVOICE ACCOUNT SUMMARIES'!$A$2:$A1000,C13,'INVOICE ACCOUNT SUMMARIES'!$E$2:$E1000)</f>
        <v>0</v>
      </c>
      <c r="G13" s="109"/>
      <c r="H13" s="110">
        <f>sumif('SEED INVENTORY'!$I$46:$I1000,C13,'SEED INVENTORY'!$K$46:$K1000)</f>
        <v>0</v>
      </c>
      <c r="I13" s="110"/>
      <c r="J13" s="114">
        <f>sumif('SEED INVENTORY'!$I$46:$I1000,C13,'SEED INVENTORY'!$T$46:$T1000)</f>
        <v>0</v>
      </c>
      <c r="K13" s="112"/>
      <c r="L13" s="113">
        <f t="shared" si="1"/>
        <v>0</v>
      </c>
    </row>
    <row r="14">
      <c r="A14" s="103" t="str">
        <f>IFERROR(__xludf.DUMMYFUNCTION("""COMPUTED_VALUE"""),"Yellow_Corn")</f>
        <v>Yellow_Corn</v>
      </c>
      <c r="B14" s="104" t="str">
        <f>IFERROR(__xludf.DUMMYFUNCTION("""COMPUTED_VALUE"""),"Pioneer")</f>
        <v>Pioneer</v>
      </c>
      <c r="C14" s="105" t="str">
        <f>IFERROR(__xludf.DUMMYFUNCTION("""COMPUTED_VALUE"""),"P0506")</f>
        <v>P0506</v>
      </c>
      <c r="D14" s="106">
        <f>IFERROR(__xludf.DUMMYFUNCTION("""COMPUTED_VALUE"""),0.0)</f>
        <v>0</v>
      </c>
      <c r="E14" s="107"/>
      <c r="F14" s="108">
        <f>sumif('INVOICE ACCOUNT SUMMARIES'!$A$2:$A1000,C14,'INVOICE ACCOUNT SUMMARIES'!$E$2:$E1000)</f>
        <v>0</v>
      </c>
      <c r="G14" s="109"/>
      <c r="H14" s="110">
        <f>sumif('SEED INVENTORY'!$I$46:$I1000,C14,'SEED INVENTORY'!$K$46:$K1000)</f>
        <v>0</v>
      </c>
      <c r="I14" s="110"/>
      <c r="J14" s="114">
        <f>sumif('SEED INVENTORY'!$I$46:$I1000,C14,'SEED INVENTORY'!$T$46:$T1000)</f>
        <v>0</v>
      </c>
      <c r="K14" s="112"/>
      <c r="L14" s="113">
        <f t="shared" si="1"/>
        <v>0</v>
      </c>
    </row>
    <row r="15">
      <c r="A15" s="103" t="str">
        <f>IFERROR(__xludf.DUMMYFUNCTION("""COMPUTED_VALUE"""),"Yellow_Corn")</f>
        <v>Yellow_Corn</v>
      </c>
      <c r="B15" s="104" t="str">
        <f>IFERROR(__xludf.DUMMYFUNCTION("""COMPUTED_VALUE"""),"Pioneer")</f>
        <v>Pioneer</v>
      </c>
      <c r="C15" s="115" t="str">
        <f>IFERROR(__xludf.DUMMYFUNCTION("""COMPUTED_VALUE"""),"P9998")</f>
        <v>P9998</v>
      </c>
      <c r="D15" s="106">
        <f>IFERROR(__xludf.DUMMYFUNCTION("""COMPUTED_VALUE"""),0.0)</f>
        <v>0</v>
      </c>
      <c r="E15" s="107"/>
      <c r="F15" s="108">
        <f>sumif('INVOICE ACCOUNT SUMMARIES'!$A$2:$A1000,C15,'INVOICE ACCOUNT SUMMARIES'!$E$2:$E1000)</f>
        <v>0</v>
      </c>
      <c r="G15" s="109"/>
      <c r="H15" s="110">
        <f>sumif('SEED INVENTORY'!$I$46:$I1000,C15,'SEED INVENTORY'!$K$46:$K1000)</f>
        <v>0</v>
      </c>
      <c r="I15" s="110"/>
      <c r="J15" s="114">
        <f>sumif('SEED INVENTORY'!$I$46:$I1000,C15,'SEED INVENTORY'!$T$46:$T1000)</f>
        <v>0</v>
      </c>
      <c r="K15" s="112"/>
      <c r="L15" s="113">
        <f t="shared" si="1"/>
        <v>0</v>
      </c>
    </row>
    <row r="16">
      <c r="A16" s="103" t="str">
        <f>IFERROR(__xludf.DUMMYFUNCTION("""COMPUTED_VALUE"""),"Field_pea")</f>
        <v>Field_pea</v>
      </c>
      <c r="B16" s="104" t="str">
        <f>IFERROR(__xludf.DUMMYFUNCTION("""COMPUTED_VALUE"""),"puris")</f>
        <v>puris</v>
      </c>
      <c r="C16" s="105">
        <f>IFERROR(__xludf.DUMMYFUNCTION("""COMPUTED_VALUE"""),1804.0)</f>
        <v>1804</v>
      </c>
      <c r="D16" s="106">
        <f>IFERROR(__xludf.DUMMYFUNCTION("""COMPUTED_VALUE"""),0.0)</f>
        <v>0</v>
      </c>
      <c r="E16" s="107"/>
      <c r="F16" s="108">
        <f>sumif('INVOICE ACCOUNT SUMMARIES'!$A$2:$A1000,C16,'INVOICE ACCOUNT SUMMARIES'!$E$2:$E1000)</f>
        <v>0</v>
      </c>
      <c r="G16" s="109"/>
      <c r="H16" s="110">
        <f>sumif('SEED INVENTORY'!$I$46:$I1000,C16,'SEED INVENTORY'!$K$46:$K1000)</f>
        <v>0</v>
      </c>
      <c r="I16" s="110"/>
      <c r="J16" s="114">
        <f>sumif('SEED INVENTORY'!$I$46:$I1000,C16,'SEED INVENTORY'!$T$46:$T1000)</f>
        <v>0</v>
      </c>
      <c r="K16" s="112"/>
      <c r="L16" s="113">
        <f t="shared" si="1"/>
        <v>0</v>
      </c>
    </row>
    <row r="17">
      <c r="A17" s="103" t="str">
        <f>IFERROR(__xludf.DUMMYFUNCTION("""COMPUTED_VALUE"""),"Hairy_Vetch")</f>
        <v>Hairy_Vetch</v>
      </c>
      <c r="B17" s="104" t="str">
        <f>IFERROR(__xludf.DUMMYFUNCTION("""COMPUTED_VALUE"""),"Albert Lea")</f>
        <v>Albert Lea</v>
      </c>
      <c r="C17" s="105" t="str">
        <f>IFERROR(__xludf.DUMMYFUNCTION("""COMPUTED_VALUE"""),"VNS vetch")</f>
        <v>VNS vetch</v>
      </c>
      <c r="D17" s="106">
        <f>IFERROR(__xludf.DUMMYFUNCTION("""COMPUTED_VALUE"""),0.0)</f>
        <v>0</v>
      </c>
      <c r="E17" s="107"/>
      <c r="F17" s="108">
        <f>sumif('INVOICE ACCOUNT SUMMARIES'!$A$2:$A1000,C17,'INVOICE ACCOUNT SUMMARIES'!$E$2:$E1000)</f>
        <v>0</v>
      </c>
      <c r="G17" s="109"/>
      <c r="H17" s="110">
        <f>sumif('SEED INVENTORY'!$I$46:$I1000,C17,'SEED INVENTORY'!$K$46:$K1000)</f>
        <v>0</v>
      </c>
      <c r="I17" s="110"/>
      <c r="J17" s="114">
        <f>sumif('SEED INVENTORY'!$I$46:$I1000,C17,'SEED INVENTORY'!$T$46:$T1000)</f>
        <v>0</v>
      </c>
      <c r="K17" s="112"/>
      <c r="L17" s="113">
        <f t="shared" si="1"/>
        <v>0</v>
      </c>
    </row>
    <row r="18">
      <c r="A18" s="103" t="str">
        <f>IFERROR(__xludf.DUMMYFUNCTION("""COMPUTED_VALUE"""),"Hybrid_Rye")</f>
        <v>Hybrid_Rye</v>
      </c>
      <c r="B18" s="104" t="str">
        <f>IFERROR(__xludf.DUMMYFUNCTION("""COMPUTED_VALUE"""),"KWS")</f>
        <v>KWS</v>
      </c>
      <c r="C18" s="105" t="str">
        <f>IFERROR(__xludf.DUMMYFUNCTION("""COMPUTED_VALUE"""),"Serafino - Parent")</f>
        <v>Serafino - Parent</v>
      </c>
      <c r="D18" s="106">
        <f>IFERROR(__xludf.DUMMYFUNCTION("""COMPUTED_VALUE"""),0.0)</f>
        <v>0</v>
      </c>
      <c r="E18" s="107"/>
      <c r="F18" s="108">
        <f>sumif('INVOICE ACCOUNT SUMMARIES'!$A$2:$A1000,C18,'INVOICE ACCOUNT SUMMARIES'!$E$2:$E1000)</f>
        <v>0</v>
      </c>
      <c r="G18" s="109"/>
      <c r="H18" s="110">
        <f>sumif('SEED INVENTORY'!$I$46:$I1000,C18,'SEED INVENTORY'!$K$46:$K1000)</f>
        <v>0</v>
      </c>
      <c r="I18" s="110"/>
      <c r="J18" s="114">
        <f>sumif('SEED INVENTORY'!$I$46:$I1000,C18,'SEED INVENTORY'!$T$46:$T1000)</f>
        <v>0</v>
      </c>
      <c r="K18" s="112"/>
      <c r="L18" s="113">
        <f t="shared" si="1"/>
        <v>0</v>
      </c>
    </row>
    <row r="19">
      <c r="A19" s="103" t="str">
        <f>IFERROR(__xludf.DUMMYFUNCTION("""COMPUTED_VALUE"""),"Hybrid_Rye")</f>
        <v>Hybrid_Rye</v>
      </c>
      <c r="B19" s="104" t="str">
        <f>IFERROR(__xludf.DUMMYFUNCTION("""COMPUTED_VALUE"""),"KWS")</f>
        <v>KWS</v>
      </c>
      <c r="C19" s="105" t="str">
        <f>IFERROR(__xludf.DUMMYFUNCTION("""COMPUTED_VALUE"""),"Serafino - restorer")</f>
        <v>Serafino - restorer</v>
      </c>
      <c r="D19" s="106">
        <f>IFERROR(__xludf.DUMMYFUNCTION("""COMPUTED_VALUE"""),0.0)</f>
        <v>0</v>
      </c>
      <c r="E19" s="107"/>
      <c r="F19" s="108">
        <f>sumif('INVOICE ACCOUNT SUMMARIES'!$A$2:$A1000,C19,'INVOICE ACCOUNT SUMMARIES'!$E$2:$E1000)</f>
        <v>0</v>
      </c>
      <c r="G19" s="109"/>
      <c r="H19" s="110">
        <f>sumif('SEED INVENTORY'!$I$46:$I1000,C19,'SEED INVENTORY'!$K$46:$K1000)</f>
        <v>0</v>
      </c>
      <c r="I19" s="110"/>
      <c r="J19" s="114">
        <f>sumif('SEED INVENTORY'!$I$46:$I1000,C19,'SEED INVENTORY'!$T$46:$T1000)</f>
        <v>0</v>
      </c>
      <c r="K19" s="112"/>
      <c r="L19" s="113">
        <f t="shared" si="1"/>
        <v>0</v>
      </c>
    </row>
    <row r="20">
      <c r="A20" s="103" t="str">
        <f>IFERROR(__xludf.DUMMYFUNCTION("""COMPUTED_VALUE"""),"Kernza")</f>
        <v>Kernza</v>
      </c>
      <c r="B20" s="104" t="str">
        <f>IFERROR(__xludf.DUMMYFUNCTION("""COMPUTED_VALUE"""),"TLI")</f>
        <v>TLI</v>
      </c>
      <c r="C20" s="105" t="str">
        <f>IFERROR(__xludf.DUMMYFUNCTION("""COMPUTED_VALUE"""),"MN Clearwater")</f>
        <v>MN Clearwater</v>
      </c>
      <c r="D20" s="106">
        <f>IFERROR(__xludf.DUMMYFUNCTION("""COMPUTED_VALUE"""),0.0)</f>
        <v>0</v>
      </c>
      <c r="E20" s="107"/>
      <c r="F20" s="108">
        <f>sumif('INVOICE ACCOUNT SUMMARIES'!$A$2:$A1000,C20,'INVOICE ACCOUNT SUMMARIES'!$E$2:$E1000)</f>
        <v>0</v>
      </c>
      <c r="G20" s="109"/>
      <c r="H20" s="110">
        <f>sumif('SEED INVENTORY'!$I$46:$I1000,C20,'SEED INVENTORY'!$K$46:$K1000)</f>
        <v>0</v>
      </c>
      <c r="I20" s="110"/>
      <c r="J20" s="114">
        <f>sumif('SEED INVENTORY'!$I$46:$I1000,C20,'SEED INVENTORY'!$T$46:$T1000)</f>
        <v>0</v>
      </c>
      <c r="K20" s="112"/>
      <c r="L20" s="113">
        <f t="shared" si="1"/>
        <v>0</v>
      </c>
    </row>
    <row r="21">
      <c r="A21" s="103" t="str">
        <f>IFERROR(__xludf.DUMMYFUNCTION("""COMPUTED_VALUE"""),"None")</f>
        <v>None</v>
      </c>
      <c r="B21" s="104" t="str">
        <f>IFERROR(__xludf.DUMMYFUNCTION("""COMPUTED_VALUE"""),"none")</f>
        <v>none</v>
      </c>
      <c r="C21" s="105" t="str">
        <f>IFERROR(__xludf.DUMMYFUNCTION("""COMPUTED_VALUE"""),"none")</f>
        <v>none</v>
      </c>
      <c r="D21" s="106">
        <f>IFERROR(__xludf.DUMMYFUNCTION("""COMPUTED_VALUE"""),0.0)</f>
        <v>0</v>
      </c>
      <c r="E21" s="107"/>
      <c r="F21" s="108">
        <f>sumif('INVOICE ACCOUNT SUMMARIES'!$A$2:$A1000,C21,'INVOICE ACCOUNT SUMMARIES'!$E$2:$E1000)</f>
        <v>0</v>
      </c>
      <c r="G21" s="109"/>
      <c r="H21" s="110">
        <f>sumif('SEED INVENTORY'!$I$46:$I1000,C21,'SEED INVENTORY'!$K$46:$K1000)</f>
        <v>0</v>
      </c>
      <c r="I21" s="110"/>
      <c r="J21" s="114">
        <f>sumif('SEED INVENTORY'!$I$46:$I1000,C21,'SEED INVENTORY'!$T$46:$T1000)</f>
        <v>0</v>
      </c>
      <c r="K21" s="112"/>
      <c r="L21" s="113">
        <f t="shared" si="1"/>
        <v>0</v>
      </c>
    </row>
    <row r="22">
      <c r="A22" s="103" t="str">
        <f>IFERROR(__xludf.DUMMYFUNCTION("""COMPUTED_VALUE"""),"Rye")</f>
        <v>Rye</v>
      </c>
      <c r="B22" s="104" t="str">
        <f>IFERROR(__xludf.DUMMYFUNCTION("""COMPUTED_VALUE"""),"Albert Lea")</f>
        <v>Albert Lea</v>
      </c>
      <c r="C22" s="105" t="str">
        <f>IFERROR(__xludf.DUMMYFUNCTION("""COMPUTED_VALUE"""),"Hazlett")</f>
        <v>Hazlett</v>
      </c>
      <c r="D22" s="106">
        <f>IFERROR(__xludf.DUMMYFUNCTION("""COMPUTED_VALUE"""),0.0)</f>
        <v>0</v>
      </c>
      <c r="E22" s="107"/>
      <c r="F22" s="108">
        <f>sumif('INVOICE ACCOUNT SUMMARIES'!$A$2:$A1000,C22,'INVOICE ACCOUNT SUMMARIES'!$E$2:$E1000)</f>
        <v>0</v>
      </c>
      <c r="G22" s="109"/>
      <c r="H22" s="110">
        <f>sumif('SEED INVENTORY'!$I$46:$I1000,C22,'SEED INVENTORY'!$K$46:$K1000)</f>
        <v>0</v>
      </c>
      <c r="I22" s="110"/>
      <c r="J22" s="114">
        <f>sumif('SEED INVENTORY'!$I$46:$I1000,C22,'SEED INVENTORY'!$T$46:$T1000)</f>
        <v>0</v>
      </c>
      <c r="K22" s="112"/>
      <c r="L22" s="113">
        <f t="shared" si="1"/>
        <v>0</v>
      </c>
    </row>
    <row r="23">
      <c r="A23" s="103" t="str">
        <f>IFERROR(__xludf.DUMMYFUNCTION("""COMPUTED_VALUE"""),"SEED_CORN")</f>
        <v>SEED_CORN</v>
      </c>
      <c r="B23" s="103"/>
      <c r="C23" s="105" t="str">
        <f>IFERROR(__xludf.DUMMYFUNCTION("""COMPUTED_VALUE"""),"SEED CORN")</f>
        <v>SEED CORN</v>
      </c>
      <c r="D23" s="106">
        <f>IFERROR(__xludf.DUMMYFUNCTION("""COMPUTED_VALUE"""),0.0)</f>
        <v>0</v>
      </c>
      <c r="E23" s="107"/>
      <c r="F23" s="108">
        <f>sumif('INVOICE ACCOUNT SUMMARIES'!$A$2:$A1000,C23,'INVOICE ACCOUNT SUMMARIES'!$E$2:$E1000)</f>
        <v>0</v>
      </c>
      <c r="G23" s="109"/>
      <c r="H23" s="110">
        <f>sumif('SEED INVENTORY'!$I$46:$I1000,C23,'SEED INVENTORY'!$K$46:$K1000)</f>
        <v>0</v>
      </c>
      <c r="I23" s="110"/>
      <c r="J23" s="114">
        <f>sumif('SEED INVENTORY'!$I$46:$I1000,C23,'SEED INVENTORY'!$T$46:$T1000)</f>
        <v>0</v>
      </c>
      <c r="K23" s="112"/>
      <c r="L23" s="113">
        <f t="shared" si="1"/>
        <v>0</v>
      </c>
    </row>
    <row r="24">
      <c r="A24" s="103" t="str">
        <f>IFERROR(__xludf.DUMMYFUNCTION("""COMPUTED_VALUE"""),"Sorghum")</f>
        <v>Sorghum</v>
      </c>
      <c r="B24" s="104" t="str">
        <f>IFERROR(__xludf.DUMMYFUNCTION("""COMPUTED_VALUE"""),"Pioneer")</f>
        <v>Pioneer</v>
      </c>
      <c r="C24" s="105" t="str">
        <f>IFERROR(__xludf.DUMMYFUNCTION("""COMPUTED_VALUE"""),"89Y78")</f>
        <v>89Y78</v>
      </c>
      <c r="D24" s="106">
        <f>IFERROR(__xludf.DUMMYFUNCTION("""COMPUTED_VALUE"""),20.991951219512192)</f>
        <v>20.99195122</v>
      </c>
      <c r="E24" s="107"/>
      <c r="F24" s="108">
        <f>sumif('INVOICE ACCOUNT SUMMARIES'!$A$2:$A1000,C24,'INVOICE ACCOUNT SUMMARIES'!$E$2:$E1000)</f>
        <v>0</v>
      </c>
      <c r="G24" s="109"/>
      <c r="H24" s="110">
        <f>sumif('SEED INVENTORY'!$I$46:$I1000,C24,'SEED INVENTORY'!$K$46:$K1000)</f>
        <v>0</v>
      </c>
      <c r="I24" s="110"/>
      <c r="J24" s="114">
        <f>sumif('SEED INVENTORY'!$I$46:$I1000,C24,'SEED INVENTORY'!$T$46:$T1000)</f>
        <v>0</v>
      </c>
      <c r="K24" s="112"/>
      <c r="L24" s="113">
        <f t="shared" si="1"/>
        <v>0</v>
      </c>
    </row>
    <row r="25">
      <c r="A25" s="103" t="str">
        <f>IFERROR(__xludf.DUMMYFUNCTION("""COMPUTED_VALUE"""),"sorghum")</f>
        <v>sorghum</v>
      </c>
      <c r="B25" s="104" t="str">
        <f>IFERROR(__xludf.DUMMYFUNCTION("""COMPUTED_VALUE"""),"Pioneer")</f>
        <v>Pioneer</v>
      </c>
      <c r="C25" s="105" t="str">
        <f>IFERROR(__xludf.DUMMYFUNCTION("""COMPUTED_VALUE"""),"87P06")</f>
        <v>87P06</v>
      </c>
      <c r="D25" s="106">
        <f>IFERROR(__xludf.DUMMYFUNCTION("""COMPUTED_VALUE"""),0.0)</f>
        <v>0</v>
      </c>
      <c r="E25" s="107"/>
      <c r="F25" s="108">
        <f>sumif('INVOICE ACCOUNT SUMMARIES'!$A$2:$A1000,C25,'INVOICE ACCOUNT SUMMARIES'!$E$2:$E1000)</f>
        <v>0</v>
      </c>
      <c r="G25" s="109"/>
      <c r="H25" s="110">
        <f>sumif('SEED INVENTORY'!$I$46:$I1000,C25,'SEED INVENTORY'!$K$46:$K1000)</f>
        <v>0</v>
      </c>
      <c r="I25" s="110"/>
      <c r="J25" s="114">
        <f>sumif('SEED INVENTORY'!$I$46:$I1000,C25,'SEED INVENTORY'!$T$46:$T1000)</f>
        <v>0</v>
      </c>
      <c r="K25" s="112"/>
      <c r="L25" s="113">
        <f t="shared" si="1"/>
        <v>0</v>
      </c>
    </row>
    <row r="26">
      <c r="A26" s="103" t="str">
        <f>IFERROR(__xludf.DUMMYFUNCTION("""COMPUTED_VALUE"""),"Soybeans")</f>
        <v>Soybeans</v>
      </c>
      <c r="B26" s="104" t="str">
        <f>IFERROR(__xludf.DUMMYFUNCTION("""COMPUTED_VALUE"""),"Pioneer")</f>
        <v>Pioneer</v>
      </c>
      <c r="C26" s="105" t="str">
        <f>IFERROR(__xludf.DUMMYFUNCTION("""COMPUTED_VALUE"""),"21A20")</f>
        <v>21A20</v>
      </c>
      <c r="D26" s="106">
        <f>IFERROR(__xludf.DUMMYFUNCTION("""COMPUTED_VALUE"""),742.4999999999999)</f>
        <v>742.5</v>
      </c>
      <c r="E26" s="107"/>
      <c r="F26" s="108">
        <f>sumif('INVOICE ACCOUNT SUMMARIES'!$A$2:$A1000,C26,'INVOICE ACCOUNT SUMMARIES'!$E$2:$E1000)</f>
        <v>0</v>
      </c>
      <c r="G26" s="116" t="s">
        <v>120</v>
      </c>
      <c r="H26" s="110">
        <f>sumif('SEED INVENTORY'!$I$46:$I1000,C26,'SEED INVENTORY'!$K$46:$K1000)</f>
        <v>0</v>
      </c>
      <c r="I26" s="110"/>
      <c r="J26" s="114">
        <f>sumif('SEED INVENTORY'!$I$46:$I1000,C26,'SEED INVENTORY'!$T$46:$T1000)</f>
        <v>0</v>
      </c>
      <c r="K26" s="112"/>
      <c r="L26" s="113">
        <f t="shared" si="1"/>
        <v>0</v>
      </c>
    </row>
    <row r="27">
      <c r="A27" s="103" t="str">
        <f>IFERROR(__xludf.DUMMYFUNCTION("""COMPUTED_VALUE"""),"Soybeans")</f>
        <v>Soybeans</v>
      </c>
      <c r="B27" s="104" t="str">
        <f>IFERROR(__xludf.DUMMYFUNCTION("""COMPUTED_VALUE"""),"Legend seed")</f>
        <v>Legend seed</v>
      </c>
      <c r="C27" s="105">
        <f>IFERROR(__xludf.DUMMYFUNCTION("""COMPUTED_VALUE"""),2580.0)</f>
        <v>2580</v>
      </c>
      <c r="D27" s="106">
        <f>IFERROR(__xludf.DUMMYFUNCTION("""COMPUTED_VALUE"""),319.09090909090907)</f>
        <v>319.0909091</v>
      </c>
      <c r="E27" s="107"/>
      <c r="F27" s="108">
        <f>sumif('INVOICE ACCOUNT SUMMARIES'!$A$2:$A1000,C27,'INVOICE ACCOUNT SUMMARIES'!$E$2:$E1000)</f>
        <v>0</v>
      </c>
      <c r="G27" s="109"/>
      <c r="H27" s="110">
        <f>sumif('SEED INVENTORY'!$I$46:$I1000,C27,'SEED INVENTORY'!$K$46:$K1000)</f>
        <v>0</v>
      </c>
      <c r="I27" s="110"/>
      <c r="J27" s="114">
        <f>sumif('SEED INVENTORY'!$I$46:$I1000,C27,'SEED INVENTORY'!$T$46:$T1000)</f>
        <v>0</v>
      </c>
      <c r="K27" s="112"/>
      <c r="L27" s="113">
        <f t="shared" si="1"/>
        <v>0</v>
      </c>
    </row>
    <row r="28">
      <c r="A28" s="103" t="str">
        <f>IFERROR(__xludf.DUMMYFUNCTION("""COMPUTED_VALUE"""),"Soybeans")</f>
        <v>Soybeans</v>
      </c>
      <c r="B28" s="104" t="str">
        <f>IFERROR(__xludf.DUMMYFUNCTION("""COMPUTED_VALUE"""),"Pioneer")</f>
        <v>Pioneer</v>
      </c>
      <c r="C28" s="105" t="str">
        <f>IFERROR(__xludf.DUMMYFUNCTION("""COMPUTED_VALUE"""),"RR Beans")</f>
        <v>RR Beans</v>
      </c>
      <c r="D28" s="106">
        <f>IFERROR(__xludf.DUMMYFUNCTION("""COMPUTED_VALUE"""),0.0)</f>
        <v>0</v>
      </c>
      <c r="E28" s="107"/>
      <c r="F28" s="108">
        <f>sumif('INVOICE ACCOUNT SUMMARIES'!$A$2:$A1000,C28,'INVOICE ACCOUNT SUMMARIES'!$E$2:$E1000)</f>
        <v>0</v>
      </c>
      <c r="G28" s="116" t="s">
        <v>120</v>
      </c>
      <c r="H28" s="110">
        <f>sumif('SEED INVENTORY'!$I$46:$I1000,C28,'SEED INVENTORY'!$K$46:$K1000)</f>
        <v>0</v>
      </c>
      <c r="I28" s="110"/>
      <c r="J28" s="114">
        <f>sumif('SEED INVENTORY'!$I$46:$I1000,C28,'SEED INVENTORY'!$T$46:$T1000)</f>
        <v>0</v>
      </c>
      <c r="K28" s="112"/>
      <c r="L28" s="113">
        <f t="shared" si="1"/>
        <v>0</v>
      </c>
    </row>
    <row r="29">
      <c r="A29" s="103" t="str">
        <f>IFERROR(__xludf.DUMMYFUNCTION("""COMPUTED_VALUE"""),"Soybeans")</f>
        <v>Soybeans</v>
      </c>
      <c r="B29" s="104" t="str">
        <f>IFERROR(__xludf.DUMMYFUNCTION("""COMPUTED_VALUE"""),"viking")</f>
        <v>viking</v>
      </c>
      <c r="C29" s="105" t="str">
        <f>IFERROR(__xludf.DUMMYFUNCTION("""COMPUTED_VALUE"""),"VIKING 2188")</f>
        <v>VIKING 2188</v>
      </c>
      <c r="D29" s="106">
        <f>IFERROR(__xludf.DUMMYFUNCTION("""COMPUTED_VALUE"""),289.39285714285717)</f>
        <v>289.3928571</v>
      </c>
      <c r="E29" s="107"/>
      <c r="F29" s="108">
        <f>sumif('INVOICE ACCOUNT SUMMARIES'!$A$2:$A1000,C29,'INVOICE ACCOUNT SUMMARIES'!$E$2:$E1000)</f>
        <v>0</v>
      </c>
      <c r="G29" s="109"/>
      <c r="H29" s="110">
        <f>sumif('SEED INVENTORY'!$I$46:$I1000,C29,'SEED INVENTORY'!$K$46:$K1000)</f>
        <v>-9</v>
      </c>
      <c r="I29" s="110"/>
      <c r="J29" s="114">
        <f>sumif('SEED INVENTORY'!$I$46:$I1000,C29,'SEED INVENTORY'!$T$46:$T1000)</f>
        <v>0</v>
      </c>
      <c r="K29" s="112"/>
      <c r="L29" s="113">
        <f t="shared" si="1"/>
        <v>-9</v>
      </c>
    </row>
    <row r="30">
      <c r="A30" s="103" t="str">
        <f>IFERROR(__xludf.DUMMYFUNCTION("""COMPUTED_VALUE"""),"Soybeans")</f>
        <v>Soybeans</v>
      </c>
      <c r="B30" s="103" t="str">
        <f>IFERROR(__xludf.DUMMYFUNCTION("""COMPUTED_VALUE"""),"puris")</f>
        <v>puris</v>
      </c>
      <c r="C30" s="117" t="str">
        <f>IFERROR(__xludf.DUMMYFUNCTION("""COMPUTED_VALUE"""),"Puris food bean")</f>
        <v>Puris food bean</v>
      </c>
      <c r="D30" s="106">
        <f>IFERROR(__xludf.DUMMYFUNCTION("""COMPUTED_VALUE"""),0.0)</f>
        <v>0</v>
      </c>
      <c r="E30" s="107"/>
      <c r="F30" s="108">
        <f>sumif('INVOICE ACCOUNT SUMMARIES'!$A$2:$A1000,C30,'INVOICE ACCOUNT SUMMARIES'!$E$2:$E1000)</f>
        <v>0</v>
      </c>
      <c r="G30" s="116" t="s">
        <v>120</v>
      </c>
      <c r="H30" s="110">
        <f>sumif('SEED INVENTORY'!$I$46:$I1000,C30,'SEED INVENTORY'!$K$46:$K1000)</f>
        <v>0</v>
      </c>
      <c r="I30" s="110"/>
      <c r="J30" s="114">
        <f>sumif('SEED INVENTORY'!$I$46:$I1000,C30,'SEED INVENTORY'!$T$46:$T1000)</f>
        <v>0</v>
      </c>
      <c r="K30" s="112"/>
      <c r="L30" s="113">
        <f t="shared" si="1"/>
        <v>0</v>
      </c>
    </row>
    <row r="31">
      <c r="A31" s="103" t="str">
        <f>IFERROR(__xludf.DUMMYFUNCTION("""COMPUTED_VALUE"""),"Sunflowers")</f>
        <v>Sunflowers</v>
      </c>
      <c r="B31" s="104" t="str">
        <f>IFERROR(__xludf.DUMMYFUNCTION("""COMPUTED_VALUE"""),"Pioneer")</f>
        <v>Pioneer</v>
      </c>
      <c r="C31" s="105" t="str">
        <f>IFERROR(__xludf.DUMMYFUNCTION("""COMPUTED_VALUE"""),"P63HE90")</f>
        <v>P63HE90</v>
      </c>
      <c r="D31" s="106">
        <f>IFERROR(__xludf.DUMMYFUNCTION("""COMPUTED_VALUE"""),0.0)</f>
        <v>0</v>
      </c>
      <c r="E31" s="107"/>
      <c r="F31" s="108">
        <f>sumif('INVOICE ACCOUNT SUMMARIES'!$A$2:$A1000,C31,'INVOICE ACCOUNT SUMMARIES'!$E$2:$E1000)</f>
        <v>0</v>
      </c>
      <c r="G31" s="109"/>
      <c r="H31" s="110">
        <f>sumif('SEED INVENTORY'!$I$46:$I1000,C31,'SEED INVENTORY'!$K$46:$K1000)</f>
        <v>0</v>
      </c>
      <c r="I31" s="110"/>
      <c r="J31" s="114">
        <f>sumif('SEED INVENTORY'!$I$46:$I1000,C31,'SEED INVENTORY'!$T$46:$T1000)</f>
        <v>0</v>
      </c>
      <c r="K31" s="112"/>
      <c r="L31" s="113">
        <f t="shared" si="1"/>
        <v>0</v>
      </c>
    </row>
    <row r="32">
      <c r="A32" s="103" t="str">
        <f>IFERROR(__xludf.DUMMYFUNCTION("""COMPUTED_VALUE"""),"Wheat")</f>
        <v>Wheat</v>
      </c>
      <c r="B32" s="103"/>
      <c r="C32" s="105" t="str">
        <f>IFERROR(__xludf.DUMMYFUNCTION("""COMPUTED_VALUE"""),"sunburst")</f>
        <v>sunburst</v>
      </c>
      <c r="D32" s="106">
        <f>IFERROR(__xludf.DUMMYFUNCTION("""COMPUTED_VALUE"""),0.0)</f>
        <v>0</v>
      </c>
      <c r="E32" s="107"/>
      <c r="F32" s="108">
        <f>sumif('INVOICE ACCOUNT SUMMARIES'!$A$2:$A1000,C32,'INVOICE ACCOUNT SUMMARIES'!$E$2:$E1000)</f>
        <v>0</v>
      </c>
      <c r="G32" s="116" t="s">
        <v>120</v>
      </c>
      <c r="H32" s="110">
        <f>sumif('SEED INVENTORY'!$I$46:$I1000,C32,'SEED INVENTORY'!$K$46:$K1000)</f>
        <v>0</v>
      </c>
      <c r="I32" s="110"/>
      <c r="J32" s="114">
        <f>sumif('SEED INVENTORY'!$I$46:$I1000,C32,'SEED INVENTORY'!$T$46:$T1000)</f>
        <v>0</v>
      </c>
      <c r="K32" s="112"/>
      <c r="L32" s="113">
        <f t="shared" si="1"/>
        <v>0</v>
      </c>
    </row>
    <row r="33">
      <c r="A33" s="103" t="str">
        <f>IFERROR(__xludf.DUMMYFUNCTION("""COMPUTED_VALUE"""),"Wheat")</f>
        <v>Wheat</v>
      </c>
      <c r="B33" s="104" t="str">
        <f>IFERROR(__xludf.DUMMYFUNCTION("""COMPUTED_VALUE"""),"Limagrain")</f>
        <v>Limagrain</v>
      </c>
      <c r="C33" s="105" t="str">
        <f>IFERROR(__xludf.DUMMYFUNCTION("""COMPUTED_VALUE"""),"LCS 3334")</f>
        <v>LCS 3334</v>
      </c>
      <c r="D33" s="106">
        <f>IFERROR(__xludf.DUMMYFUNCTION("""COMPUTED_VALUE"""),577.9663374600084)</f>
        <v>577.9663375</v>
      </c>
      <c r="E33" s="107"/>
      <c r="F33" s="108">
        <f>sumif('INVOICE ACCOUNT SUMMARIES'!$A$2:$A1000,C33,'INVOICE ACCOUNT SUMMARIES'!$E$2:$E1000)</f>
        <v>0</v>
      </c>
      <c r="G33" s="116" t="s">
        <v>120</v>
      </c>
      <c r="H33" s="110">
        <f>sumif('SEED INVENTORY'!$I$46:$I1000,C33,'SEED INVENTORY'!$K$46:$K1000)</f>
        <v>0</v>
      </c>
      <c r="I33" s="110"/>
      <c r="J33" s="114">
        <f>sumif('SEED INVENTORY'!$I$46:$I1000,C33,'SEED INVENTORY'!$T$46:$T1000)</f>
        <v>0</v>
      </c>
      <c r="K33" s="112"/>
      <c r="L33" s="113">
        <f t="shared" si="1"/>
        <v>0</v>
      </c>
    </row>
    <row r="34">
      <c r="A34" s="103" t="str">
        <f>IFERROR(__xludf.DUMMYFUNCTION("""COMPUTED_VALUE"""),"Wheat")</f>
        <v>Wheat</v>
      </c>
      <c r="B34" s="104" t="str">
        <f>IFERROR(__xludf.DUMMYFUNCTION("""COMPUTED_VALUE"""),"Pioneer")</f>
        <v>Pioneer</v>
      </c>
      <c r="C34" s="105" t="str">
        <f>IFERROR(__xludf.DUMMYFUNCTION("""COMPUTED_VALUE"""),"25R34 N3431")</f>
        <v>25R34 N3431</v>
      </c>
      <c r="D34" s="106">
        <f>IFERROR(__xludf.DUMMYFUNCTION("""COMPUTED_VALUE"""),0.0)</f>
        <v>0</v>
      </c>
      <c r="E34" s="107"/>
      <c r="F34" s="108">
        <f>sumif('INVOICE ACCOUNT SUMMARIES'!$A$2:$A1000,C34,'INVOICE ACCOUNT SUMMARIES'!$E$2:$E1000)</f>
        <v>0</v>
      </c>
      <c r="G34" s="109"/>
      <c r="H34" s="110">
        <f>sumif('SEED INVENTORY'!$I$46:$I1000,C34,'SEED INVENTORY'!$K$46:$K1000)</f>
        <v>0</v>
      </c>
      <c r="I34" s="110"/>
      <c r="J34" s="114">
        <f>sumif('SEED INVENTORY'!$I$46:$I1000,C34,'SEED INVENTORY'!$T$46:$T1000)</f>
        <v>0</v>
      </c>
      <c r="K34" s="112"/>
      <c r="L34" s="113">
        <f t="shared" si="1"/>
        <v>0</v>
      </c>
    </row>
    <row r="35">
      <c r="A35" s="103" t="str">
        <f>IFERROR(__xludf.DUMMYFUNCTION("""COMPUTED_VALUE"""),"Wheat")</f>
        <v>Wheat</v>
      </c>
      <c r="B35" s="104" t="str">
        <f>IFERROR(__xludf.DUMMYFUNCTION("""COMPUTED_VALUE"""),"Kennel Seed")</f>
        <v>Kennel Seed</v>
      </c>
      <c r="C35" s="105" t="str">
        <f>IFERROR(__xludf.DUMMYFUNCTION("""COMPUTED_VALUE"""),"KS- 1618")</f>
        <v>KS- 1618</v>
      </c>
      <c r="D35" s="106">
        <f>IFERROR(__xludf.DUMMYFUNCTION("""COMPUTED_VALUE"""),0.0)</f>
        <v>0</v>
      </c>
      <c r="E35" s="107"/>
      <c r="F35" s="108">
        <f>sumif('INVOICE ACCOUNT SUMMARIES'!$A$2:$A1000,C35,'INVOICE ACCOUNT SUMMARIES'!$E$2:$E1000)</f>
        <v>0</v>
      </c>
      <c r="G35" s="109"/>
      <c r="H35" s="110">
        <f>sumif('SEED INVENTORY'!$I$46:$I1000,C35,'SEED INVENTORY'!$K$46:$K1000)</f>
        <v>0</v>
      </c>
      <c r="I35" s="110"/>
      <c r="J35" s="114">
        <f>sumif('SEED INVENTORY'!$I$46:$I1000,C35,'SEED INVENTORY'!$T$46:$T1000)</f>
        <v>0</v>
      </c>
      <c r="K35" s="112"/>
      <c r="L35" s="113">
        <f t="shared" si="1"/>
        <v>0</v>
      </c>
    </row>
    <row r="36">
      <c r="A36" s="103" t="str">
        <f>IFERROR(__xludf.DUMMYFUNCTION("""COMPUTED_VALUE"""),"White_Corn")</f>
        <v>White_Corn</v>
      </c>
      <c r="B36" s="104" t="str">
        <f>IFERROR(__xludf.DUMMYFUNCTION("""COMPUTED_VALUE"""),"Pioneer")</f>
        <v>Pioneer</v>
      </c>
      <c r="C36" s="105" t="str">
        <f>IFERROR(__xludf.DUMMYFUNCTION("""COMPUTED_VALUE"""),"1306W")</f>
        <v>1306W</v>
      </c>
      <c r="D36" s="106">
        <f>IFERROR(__xludf.DUMMYFUNCTION("""COMPUTED_VALUE"""),303.4375)</f>
        <v>303.4375</v>
      </c>
      <c r="E36" s="107"/>
      <c r="F36" s="108">
        <f>sumif('INVOICE ACCOUNT SUMMARIES'!$A$2:$A1000,C36,'INVOICE ACCOUNT SUMMARIES'!$E$2:$E1000)</f>
        <v>0</v>
      </c>
      <c r="G36" s="109"/>
      <c r="H36" s="110">
        <f>sumif('SEED INVENTORY'!$I$46:$I1000,C36,'SEED INVENTORY'!$K$46:$K1000)</f>
        <v>0</v>
      </c>
      <c r="I36" s="110"/>
      <c r="J36" s="114">
        <f>sumif('SEED INVENTORY'!$I$46:$I1000,C36,'SEED INVENTORY'!$T$46:$T1000)</f>
        <v>0</v>
      </c>
      <c r="K36" s="112"/>
      <c r="L36" s="113">
        <f t="shared" si="1"/>
        <v>0</v>
      </c>
    </row>
    <row r="37">
      <c r="A37" s="103" t="str">
        <f>IFERROR(__xludf.DUMMYFUNCTION("""COMPUTED_VALUE"""),"White_Corn")</f>
        <v>White_Corn</v>
      </c>
      <c r="B37" s="104" t="str">
        <f>IFERROR(__xludf.DUMMYFUNCTION("""COMPUTED_VALUE"""),"Pioneer")</f>
        <v>Pioneer</v>
      </c>
      <c r="C37" s="105" t="str">
        <f>IFERROR(__xludf.DUMMYFUNCTION("""COMPUTED_VALUE"""),"1306W untreated")</f>
        <v>1306W untreated</v>
      </c>
      <c r="D37" s="106">
        <f>IFERROR(__xludf.DUMMYFUNCTION("""COMPUTED_VALUE"""),0.0)</f>
        <v>0</v>
      </c>
      <c r="E37" s="107"/>
      <c r="F37" s="108">
        <f>sumif('INVOICE ACCOUNT SUMMARIES'!$A$2:$A1000,C37,'INVOICE ACCOUNT SUMMARIES'!$E$2:$E1000)</f>
        <v>0</v>
      </c>
      <c r="G37" s="109"/>
      <c r="H37" s="110">
        <f>sumif('SEED INVENTORY'!$I$46:$I1000,C37,'SEED INVENTORY'!$K$46:$K1000)</f>
        <v>0</v>
      </c>
      <c r="I37" s="110"/>
      <c r="J37" s="114">
        <f>sumif('SEED INVENTORY'!$I$46:$I1000,C37,'SEED INVENTORY'!$T$46:$T1000)</f>
        <v>0</v>
      </c>
      <c r="K37" s="112"/>
      <c r="L37" s="113">
        <f t="shared" si="1"/>
        <v>0</v>
      </c>
    </row>
    <row r="38">
      <c r="A38" s="103"/>
      <c r="B38" s="103"/>
      <c r="C38" s="105" t="str">
        <f>IFERROR(__xludf.DUMMYFUNCTION("""COMPUTED_VALUE"""),"CANNING")</f>
        <v>CANNING</v>
      </c>
      <c r="D38" s="106">
        <f>IFERROR(__xludf.DUMMYFUNCTION("""COMPUTED_VALUE"""),1772.216041666667)</f>
        <v>1772.216042</v>
      </c>
      <c r="E38" s="107"/>
      <c r="F38" s="108">
        <f>sumif('INVOICE ACCOUNT SUMMARIES'!$A$2:$A1000,C38,'INVOICE ACCOUNT SUMMARIES'!$E$2:$E1000)</f>
        <v>0</v>
      </c>
      <c r="G38" s="109"/>
      <c r="H38" s="110">
        <f>sumif('SEED INVENTORY'!$I$46:$I1000,C38,'SEED INVENTORY'!$K$46:$K1000)</f>
        <v>0</v>
      </c>
      <c r="I38" s="110"/>
      <c r="J38" s="114">
        <f>sumif('SEED INVENTORY'!$I$46:$I1000,C38,'SEED INVENTORY'!$T$46:$T1000)</f>
        <v>0</v>
      </c>
      <c r="K38" s="112"/>
      <c r="L38" s="113">
        <f t="shared" si="1"/>
        <v>0</v>
      </c>
    </row>
    <row r="39">
      <c r="A39" s="103" t="str">
        <f>IFERROR(__xludf.DUMMYFUNCTION("""COMPUTED_VALUE"""),"AlFALFA")</f>
        <v>AlFALFA</v>
      </c>
      <c r="B39" s="103" t="str">
        <f>IFERROR(__xludf.DUMMYFUNCTION("""COMPUTED_VALUE"""),"Pioneer")</f>
        <v>Pioneer</v>
      </c>
      <c r="C39" s="117" t="str">
        <f>IFERROR(__xludf.DUMMYFUNCTION("""COMPUTED_VALUE"""),"54VQ52")</f>
        <v>54VQ52</v>
      </c>
      <c r="D39" s="106">
        <f>IFERROR(__xludf.DUMMYFUNCTION("""COMPUTED_VALUE"""),0.0)</f>
        <v>0</v>
      </c>
      <c r="E39" s="107"/>
      <c r="F39" s="108">
        <f>sumif('INVOICE ACCOUNT SUMMARIES'!$A$2:$A1000,C39,'INVOICE ACCOUNT SUMMARIES'!$E$2:$E1000)</f>
        <v>0</v>
      </c>
      <c r="G39" s="109"/>
      <c r="H39" s="110">
        <f>sumif('SEED INVENTORY'!$I$46:$I1000,C39,'SEED INVENTORY'!$K$46:$K1000)</f>
        <v>0</v>
      </c>
      <c r="I39" s="110"/>
      <c r="J39" s="114">
        <f>sumif('SEED INVENTORY'!$I$46:$I1000,C39,'SEED INVENTORY'!$T$46:$T1000)</f>
        <v>0</v>
      </c>
      <c r="K39" s="112"/>
      <c r="L39" s="113">
        <f t="shared" si="1"/>
        <v>0</v>
      </c>
    </row>
    <row r="40">
      <c r="A40" s="103" t="str">
        <f>IFERROR(__xludf.DUMMYFUNCTION("""COMPUTED_VALUE"""),"ALFALFA")</f>
        <v>ALFALFA</v>
      </c>
      <c r="B40" s="104" t="str">
        <f>IFERROR(__xludf.DUMMYFUNCTION("""COMPUTED_VALUE"""),"Haravatron")</f>
        <v>Haravatron</v>
      </c>
      <c r="C40" s="105" t="str">
        <f>IFERROR(__xludf.DUMMYFUNCTION("""COMPUTED_VALUE"""),"Harvatron")</f>
        <v>Harvatron</v>
      </c>
      <c r="D40" s="106">
        <f>IFERROR(__xludf.DUMMYFUNCTION("""COMPUTED_VALUE"""),0.0)</f>
        <v>0</v>
      </c>
      <c r="E40" s="107"/>
      <c r="F40" s="108">
        <f>sumif('INVOICE ACCOUNT SUMMARIES'!$A$2:$A1000,C40,'INVOICE ACCOUNT SUMMARIES'!$E$2:$E1000)</f>
        <v>0</v>
      </c>
      <c r="G40" s="109"/>
      <c r="H40" s="110">
        <f>sumif('SEED INVENTORY'!$I$46:$I1000,C40,'SEED INVENTORY'!$K$46:$K1000)</f>
        <v>0</v>
      </c>
      <c r="I40" s="110"/>
      <c r="J40" s="114">
        <f>sumif('SEED INVENTORY'!$I$46:$I1000,C40,'SEED INVENTORY'!$T$46:$T1000)</f>
        <v>0</v>
      </c>
      <c r="K40" s="112"/>
      <c r="L40" s="113">
        <f t="shared" si="1"/>
        <v>0</v>
      </c>
    </row>
    <row r="41">
      <c r="A41" s="103" t="str">
        <f>IFERROR(__xludf.DUMMYFUNCTION("""COMPUTED_VALUE"""),"LIMA_BEANS")</f>
        <v>LIMA_BEANS</v>
      </c>
      <c r="B41" s="103"/>
      <c r="C41" s="117"/>
      <c r="D41" s="106" t="str">
        <f>IFERROR(__xludf.DUMMYFUNCTION("""COMPUTED_VALUE"""),"#DIV/0!")</f>
        <v>#DIV/0!</v>
      </c>
      <c r="E41" s="107"/>
      <c r="F41" s="108">
        <f>sumif('INVOICE ACCOUNT SUMMARIES'!$A$2:$A1000,C41,'INVOICE ACCOUNT SUMMARIES'!$E$2:$E1000)</f>
        <v>0</v>
      </c>
      <c r="G41" s="116" t="s">
        <v>164</v>
      </c>
      <c r="H41" s="110">
        <f>sumif('SEED INVENTORY'!$I$46:$I1000,C41,'SEED INVENTORY'!$K$46:$K1000)</f>
        <v>0</v>
      </c>
      <c r="I41" s="110"/>
      <c r="J41" s="114">
        <f>sumif('SEED INVENTORY'!$I$46:$I1000,C41,'SEED INVENTORY'!$T$46:$T1000)</f>
        <v>0</v>
      </c>
      <c r="K41" s="112"/>
      <c r="L41" s="113">
        <f t="shared" si="1"/>
        <v>0</v>
      </c>
    </row>
    <row r="42">
      <c r="A42" s="103" t="str">
        <f>IFERROR(__xludf.DUMMYFUNCTION("""COMPUTED_VALUE"""),"CANNING_PEAS")</f>
        <v>CANNING_PEAS</v>
      </c>
      <c r="B42" s="103"/>
      <c r="C42" s="117"/>
      <c r="D42" s="106" t="str">
        <f>IFERROR(__xludf.DUMMYFUNCTION("""COMPUTED_VALUE"""),"#DIV/0!")</f>
        <v>#DIV/0!</v>
      </c>
      <c r="E42" s="107"/>
      <c r="F42" s="108">
        <f>sumif('INVOICE ACCOUNT SUMMARIES'!$A$2:$A1000,C42,'INVOICE ACCOUNT SUMMARIES'!$E$2:$E1000)</f>
        <v>0</v>
      </c>
      <c r="G42" s="116" t="s">
        <v>120</v>
      </c>
      <c r="H42" s="110">
        <f>sumif('SEED INVENTORY'!$I$46:$I1000,C42,'SEED INVENTORY'!$K$46:$K1000)</f>
        <v>0</v>
      </c>
      <c r="I42" s="110"/>
      <c r="J42" s="114">
        <f>sumif('SEED INVENTORY'!$I$46:$I1000,C42,'SEED INVENTORY'!$T$46:$T1000)</f>
        <v>0</v>
      </c>
      <c r="K42" s="112"/>
      <c r="L42" s="113">
        <f t="shared" si="1"/>
        <v>0</v>
      </c>
    </row>
    <row r="43">
      <c r="A43" s="118" t="str">
        <f>IFERROR(__xludf.DUMMYFUNCTION("""COMPUTED_VALUE"""),"OATS")</f>
        <v>OATS</v>
      </c>
      <c r="B43" s="103"/>
      <c r="C43" s="117"/>
      <c r="D43" s="106" t="str">
        <f>IFERROR(__xludf.DUMMYFUNCTION("""COMPUTED_VALUE"""),"#DIV/0!")</f>
        <v>#DIV/0!</v>
      </c>
      <c r="E43" s="107"/>
      <c r="F43" s="108">
        <f>sumif('INVOICE ACCOUNT SUMMARIES'!$A$2:$A1000,C43,'INVOICE ACCOUNT SUMMARIES'!$E$2:$E1000)</f>
        <v>0</v>
      </c>
      <c r="G43" s="109"/>
      <c r="H43" s="110">
        <f>sumif('SEED INVENTORY'!$I$46:$I1000,C43,'SEED INVENTORY'!$K$46:$K1000)</f>
        <v>0</v>
      </c>
      <c r="I43" s="110"/>
      <c r="J43" s="114">
        <f>sumif('SEED INVENTORY'!$I$46:$I1000,C43,'SEED INVENTORY'!$T$46:$T1000)</f>
        <v>0</v>
      </c>
      <c r="K43" s="112"/>
      <c r="L43" s="113">
        <f t="shared" si="1"/>
        <v>0</v>
      </c>
    </row>
    <row r="44">
      <c r="A44" s="103" t="str">
        <f>IFERROR(__xludf.DUMMYFUNCTION("""COMPUTED_VALUE"""),"TREATMENT")</f>
        <v>TREATMENT</v>
      </c>
      <c r="B44" s="103"/>
      <c r="C44" s="117"/>
      <c r="D44" s="106" t="str">
        <f>IFERROR(__xludf.DUMMYFUNCTION("""COMPUTED_VALUE"""),"#DIV/0!")</f>
        <v>#DIV/0!</v>
      </c>
      <c r="E44" s="107"/>
      <c r="F44" s="108">
        <f>sumif('INVOICE ACCOUNT SUMMARIES'!$A$2:$A1000,C44,'INVOICE ACCOUNT SUMMARIES'!$E$2:$E1000)</f>
        <v>0</v>
      </c>
      <c r="G44" s="109"/>
      <c r="H44" s="110">
        <f>sumif('SEED INVENTORY'!$I$46:$I1000,C44,'SEED INVENTORY'!$K$46:$K1000)</f>
        <v>0</v>
      </c>
      <c r="I44" s="110"/>
      <c r="J44" s="114">
        <f>sumif('SEED INVENTORY'!$I$46:$I1000,C44,'SEED INVENTORY'!$T$46:$T1000)</f>
        <v>0</v>
      </c>
      <c r="K44" s="112"/>
      <c r="L44" s="113">
        <f t="shared" si="1"/>
        <v>0</v>
      </c>
    </row>
    <row r="45">
      <c r="A45" s="103" t="str">
        <f>IFERROR(__xludf.DUMMYFUNCTION("""COMPUTED_VALUE"""),"CLOVER")</f>
        <v>CLOVER</v>
      </c>
      <c r="B45" s="104" t="str">
        <f>IFERROR(__xludf.DUMMYFUNCTION("""COMPUTED_VALUE"""),"KENNEL SEED")</f>
        <v>KENNEL SEED</v>
      </c>
      <c r="C45" s="105" t="str">
        <f>IFERROR(__xludf.DUMMYFUNCTION("""COMPUTED_VALUE"""),"MAMMOTH")</f>
        <v>MAMMOTH</v>
      </c>
      <c r="D45" s="106" t="str">
        <f>IFERROR(__xludf.DUMMYFUNCTION("""COMPUTED_VALUE"""),"#DIV/0!")</f>
        <v>#DIV/0!</v>
      </c>
      <c r="E45" s="107"/>
      <c r="F45" s="108">
        <f>sumif('INVOICE ACCOUNT SUMMARIES'!$A$2:$A1000,C45,'INVOICE ACCOUNT SUMMARIES'!$E$2:$E1000)</f>
        <v>0</v>
      </c>
      <c r="G45" s="109"/>
      <c r="H45" s="110">
        <f>sumif('SEED INVENTORY'!$I$46:$I1000,C45,'SEED INVENTORY'!$K$46:$K1000)</f>
        <v>0</v>
      </c>
      <c r="I45" s="110"/>
      <c r="J45" s="114">
        <f>sumif('SEED INVENTORY'!$I$46:$I1000,C45,'SEED INVENTORY'!$T$46:$T1000)</f>
        <v>0</v>
      </c>
      <c r="K45" s="112"/>
      <c r="L45" s="113">
        <f t="shared" si="1"/>
        <v>0</v>
      </c>
    </row>
    <row r="46">
      <c r="A46" s="103" t="str">
        <f>IFERROR(__xludf.DUMMYFUNCTION("""COMPUTED_VALUE"""),"VNS RYE")</f>
        <v>VNS RYE</v>
      </c>
      <c r="B46" s="103"/>
      <c r="C46" s="105" t="str">
        <f>IFERROR(__xludf.DUMMYFUNCTION("""COMPUTED_VALUE"""),"Cereal Rye")</f>
        <v>Cereal Rye</v>
      </c>
      <c r="D46" s="106" t="str">
        <f>IFERROR(__xludf.DUMMYFUNCTION("""COMPUTED_VALUE"""),"#DIV/0!")</f>
        <v>#DIV/0!</v>
      </c>
      <c r="E46" s="107"/>
      <c r="F46" s="108">
        <f>sumif('INVOICE ACCOUNT SUMMARIES'!$A$2:$A1000,C46,'INVOICE ACCOUNT SUMMARIES'!$E$2:$E1000)</f>
        <v>0</v>
      </c>
      <c r="G46" s="109"/>
      <c r="H46" s="110">
        <f>sumif('SEED INVENTORY'!$I$46:$I1000,C46,'SEED INVENTORY'!$K$46:$K1000)</f>
        <v>0</v>
      </c>
      <c r="I46" s="110"/>
      <c r="J46" s="114">
        <f>sumif('SEED INVENTORY'!$I$46:$I1000,C46,'SEED INVENTORY'!$T$46:$T1000)</f>
        <v>0</v>
      </c>
      <c r="K46" s="112"/>
      <c r="L46" s="113">
        <f t="shared" si="1"/>
        <v>0</v>
      </c>
    </row>
    <row r="47">
      <c r="A47" s="103" t="str">
        <f>IFERROR(__xludf.DUMMYFUNCTION("""COMPUTED_VALUE"""),"Hybrid Rye")</f>
        <v>Hybrid Rye</v>
      </c>
      <c r="B47" s="103" t="str">
        <f>IFERROR(__xludf.DUMMYFUNCTION("""COMPUTED_VALUE"""),"KWS")</f>
        <v>KWS</v>
      </c>
      <c r="C47" s="117" t="str">
        <f>IFERROR(__xludf.DUMMYFUNCTION("""COMPUTED_VALUE"""),"Aviator")</f>
        <v>Aviator</v>
      </c>
      <c r="D47" s="106">
        <f>IFERROR(__xludf.DUMMYFUNCTION("""COMPUTED_VALUE"""),28.049999999999997)</f>
        <v>28.05</v>
      </c>
      <c r="E47" s="107"/>
      <c r="F47" s="108">
        <f>sumif('INVOICE ACCOUNT SUMMARIES'!$A$2:$A1000,C47,'INVOICE ACCOUNT SUMMARIES'!$E$2:$E1000)</f>
        <v>0</v>
      </c>
      <c r="G47" s="109"/>
      <c r="H47" s="110">
        <f>sumif('SEED INVENTORY'!$I$46:$I1000,C47,'SEED INVENTORY'!$K$46:$K1000)</f>
        <v>0</v>
      </c>
      <c r="I47" s="110"/>
      <c r="J47" s="114">
        <f>sumif('SEED INVENTORY'!$I$46:$I1000,C47,'SEED INVENTORY'!$T$46:$T1000)</f>
        <v>0</v>
      </c>
      <c r="K47" s="112"/>
      <c r="L47" s="113">
        <f t="shared" si="1"/>
        <v>0</v>
      </c>
    </row>
    <row r="48">
      <c r="A48" s="119" t="str">
        <f>IFERROR(__xludf.DUMMYFUNCTION("""COMPUTED_VALUE"""),"Hybrid Rye")</f>
        <v>Hybrid Rye</v>
      </c>
      <c r="B48" s="119" t="str">
        <f>IFERROR(__xludf.DUMMYFUNCTION("""COMPUTED_VALUE"""),"KWS")</f>
        <v>KWS</v>
      </c>
      <c r="C48" s="120" t="str">
        <f>IFERROR(__xludf.DUMMYFUNCTION("""COMPUTED_VALUE"""),"Pro Power")</f>
        <v>Pro Power</v>
      </c>
      <c r="D48" s="121">
        <f>IFERROR(__xludf.DUMMYFUNCTION("""COMPUTED_VALUE"""),84.99999999999999)</f>
        <v>85</v>
      </c>
      <c r="E48" s="122"/>
      <c r="F48" s="123">
        <f>sumif('INVOICE ACCOUNT SUMMARIES'!$A$2:$A1000,C48,'INVOICE ACCOUNT SUMMARIES'!$E$2:$E1000)</f>
        <v>0</v>
      </c>
      <c r="G48" s="124"/>
      <c r="H48" s="110">
        <f>sumif('SEED INVENTORY'!$I$46:$I1000,C48,'SEED INVENTORY'!$K$46:$K1000)</f>
        <v>0</v>
      </c>
      <c r="I48" s="125"/>
      <c r="J48" s="126">
        <f>sumif('SEED INVENTORY'!$I$46:$I1000,C48,'SEED INVENTORY'!$T$46:$T1000)</f>
        <v>0</v>
      </c>
      <c r="K48" s="127"/>
      <c r="L48" s="113">
        <f t="shared" si="1"/>
        <v>0</v>
      </c>
    </row>
    <row r="49">
      <c r="A49" s="128" t="str">
        <f>IFERROR(__xludf.DUMMYFUNCTION("""COMPUTED_VALUE"""),"soybeans")</f>
        <v>soybeans</v>
      </c>
      <c r="B49" s="128" t="str">
        <f>IFERROR(__xludf.DUMMYFUNCTION("""COMPUTED_VALUE"""),"Viking")</f>
        <v>Viking</v>
      </c>
      <c r="C49" s="129" t="str">
        <f>IFERROR(__xludf.DUMMYFUNCTION("""COMPUTED_VALUE"""),"O.2418")</f>
        <v>O.2418</v>
      </c>
      <c r="D49" s="130">
        <f>IFERROR(__xludf.DUMMYFUNCTION("""COMPUTED_VALUE"""),0.0)</f>
        <v>0</v>
      </c>
      <c r="E49" s="131"/>
      <c r="F49" s="132"/>
      <c r="G49" s="132"/>
      <c r="H49" s="133"/>
      <c r="I49" s="133"/>
      <c r="J49" s="127"/>
      <c r="K49" s="127"/>
      <c r="L49" s="113"/>
    </row>
    <row r="50">
      <c r="A50" s="128" t="str">
        <f>IFERROR(__xludf.DUMMYFUNCTION("""COMPUTED_VALUE"""),"soybeans")</f>
        <v>soybeans</v>
      </c>
      <c r="B50" s="128" t="str">
        <f>IFERROR(__xludf.DUMMYFUNCTION("""COMPUTED_VALUE"""),"Viking")</f>
        <v>Viking</v>
      </c>
      <c r="C50" s="129" t="str">
        <f>IFERROR(__xludf.DUMMYFUNCTION("""COMPUTED_VALUE"""),"Registered 2188")</f>
        <v>Registered 2188</v>
      </c>
      <c r="D50" s="130">
        <f>IFERROR(__xludf.DUMMYFUNCTION("""COMPUTED_VALUE"""),100.42857142857142)</f>
        <v>100.4285714</v>
      </c>
      <c r="E50" s="131"/>
      <c r="F50" s="132"/>
      <c r="G50" s="132"/>
      <c r="H50" s="133"/>
      <c r="I50" s="133"/>
      <c r="J50" s="127"/>
      <c r="K50" s="127"/>
      <c r="L50" s="113"/>
    </row>
    <row r="51">
      <c r="A51" s="128" t="str">
        <f>IFERROR(__xludf.DUMMYFUNCTION("""COMPUTED_VALUE"""),"winter camelina")</f>
        <v>winter camelina</v>
      </c>
      <c r="B51" s="128"/>
      <c r="C51" s="129" t="str">
        <f>IFERROR(__xludf.DUMMYFUNCTION("""COMPUTED_VALUE"""),"joelle")</f>
        <v>joelle</v>
      </c>
      <c r="D51" s="130">
        <f>IFERROR(__xludf.DUMMYFUNCTION("""COMPUTED_VALUE"""),0.0)</f>
        <v>0</v>
      </c>
      <c r="E51" s="131"/>
      <c r="F51" s="132"/>
      <c r="G51" s="132"/>
      <c r="H51" s="133"/>
      <c r="I51" s="133"/>
      <c r="J51" s="127"/>
      <c r="K51" s="127"/>
      <c r="L51" s="113"/>
    </row>
    <row r="52">
      <c r="A52" s="128"/>
      <c r="B52" s="128"/>
      <c r="C52" s="129"/>
      <c r="D52" s="130" t="str">
        <f>IFERROR(__xludf.DUMMYFUNCTION("""COMPUTED_VALUE"""),"#DIV/0!")</f>
        <v>#DIV/0!</v>
      </c>
      <c r="E52" s="131"/>
      <c r="F52" s="132"/>
      <c r="G52" s="132"/>
      <c r="H52" s="133"/>
      <c r="I52" s="133"/>
      <c r="J52" s="127"/>
      <c r="K52" s="127"/>
      <c r="L52" s="113"/>
    </row>
    <row r="53">
      <c r="A53" s="128"/>
      <c r="B53" s="128"/>
      <c r="C53" s="129"/>
      <c r="D53" s="131"/>
      <c r="E53" s="131"/>
      <c r="F53" s="132"/>
      <c r="G53" s="132"/>
      <c r="H53" s="133"/>
      <c r="I53" s="133"/>
      <c r="J53" s="127"/>
      <c r="K53" s="127"/>
      <c r="L53" s="113"/>
    </row>
    <row r="54">
      <c r="A54" s="128"/>
      <c r="B54" s="128"/>
      <c r="C54" s="129"/>
      <c r="D54" s="131"/>
      <c r="E54" s="131"/>
      <c r="F54" s="132"/>
      <c r="G54" s="132"/>
      <c r="H54" s="133"/>
      <c r="I54" s="133"/>
      <c r="J54" s="127"/>
      <c r="K54" s="127"/>
      <c r="L54" s="113"/>
    </row>
    <row r="55">
      <c r="A55" s="128"/>
      <c r="B55" s="128"/>
      <c r="C55" s="129"/>
      <c r="D55" s="131"/>
      <c r="E55" s="131"/>
      <c r="F55" s="132"/>
      <c r="G55" s="132"/>
      <c r="H55" s="133"/>
      <c r="I55" s="133"/>
      <c r="J55" s="127"/>
      <c r="K55" s="127"/>
      <c r="L55" s="113"/>
    </row>
    <row r="56">
      <c r="A56" s="128"/>
      <c r="B56" s="128"/>
      <c r="C56" s="129"/>
      <c r="D56" s="131"/>
      <c r="E56" s="131"/>
      <c r="F56" s="132"/>
      <c r="G56" s="132"/>
      <c r="H56" s="133"/>
      <c r="I56" s="133"/>
      <c r="J56" s="127"/>
      <c r="K56" s="127"/>
      <c r="L56" s="113"/>
    </row>
    <row r="57">
      <c r="A57" s="128"/>
      <c r="B57" s="128"/>
      <c r="C57" s="129"/>
      <c r="D57" s="131"/>
      <c r="E57" s="131"/>
      <c r="F57" s="132"/>
      <c r="G57" s="132"/>
      <c r="H57" s="133"/>
      <c r="I57" s="133"/>
      <c r="J57" s="127"/>
      <c r="K57" s="127"/>
      <c r="L57" s="113"/>
    </row>
    <row r="58">
      <c r="A58" s="128"/>
      <c r="B58" s="128"/>
      <c r="C58" s="129"/>
      <c r="D58" s="131"/>
      <c r="E58" s="131"/>
      <c r="F58" s="132"/>
      <c r="G58" s="132"/>
      <c r="H58" s="133"/>
      <c r="I58" s="133"/>
      <c r="J58" s="127"/>
      <c r="K58" s="127"/>
      <c r="L58" s="113"/>
    </row>
    <row r="59">
      <c r="A59" s="128"/>
      <c r="B59" s="128"/>
      <c r="C59" s="129"/>
      <c r="D59" s="131"/>
      <c r="E59" s="131"/>
      <c r="F59" s="132"/>
      <c r="G59" s="132"/>
      <c r="H59" s="133"/>
      <c r="I59" s="133"/>
      <c r="J59" s="127"/>
      <c r="K59" s="127"/>
      <c r="L59" s="113"/>
    </row>
    <row r="60">
      <c r="A60" s="128"/>
      <c r="B60" s="128"/>
      <c r="C60" s="129"/>
      <c r="D60" s="131"/>
      <c r="E60" s="131"/>
      <c r="F60" s="132"/>
      <c r="G60" s="132"/>
      <c r="H60" s="133"/>
      <c r="I60" s="133"/>
      <c r="J60" s="127"/>
      <c r="K60" s="127"/>
      <c r="L60" s="113"/>
    </row>
    <row r="61">
      <c r="A61" s="128"/>
      <c r="B61" s="128"/>
      <c r="C61" s="129"/>
      <c r="D61" s="131"/>
      <c r="E61" s="131"/>
      <c r="F61" s="132"/>
      <c r="G61" s="132"/>
      <c r="H61" s="133"/>
      <c r="I61" s="133"/>
      <c r="J61" s="127"/>
      <c r="K61" s="127"/>
      <c r="L61" s="113"/>
    </row>
    <row r="62">
      <c r="A62" s="128"/>
      <c r="B62" s="128"/>
      <c r="C62" s="129"/>
      <c r="D62" s="131"/>
      <c r="E62" s="131"/>
      <c r="F62" s="132"/>
      <c r="G62" s="132"/>
      <c r="H62" s="133"/>
      <c r="I62" s="133"/>
      <c r="J62" s="127"/>
      <c r="K62" s="127"/>
      <c r="L62" s="113"/>
    </row>
    <row r="63">
      <c r="A63" s="128"/>
      <c r="B63" s="128"/>
      <c r="C63" s="129"/>
      <c r="D63" s="131"/>
      <c r="E63" s="131"/>
      <c r="F63" s="132"/>
      <c r="G63" s="132"/>
      <c r="H63" s="133"/>
      <c r="I63" s="133"/>
      <c r="J63" s="127"/>
      <c r="K63" s="127"/>
      <c r="L63" s="113"/>
    </row>
    <row r="64">
      <c r="A64" s="128"/>
      <c r="B64" s="128"/>
      <c r="C64" s="129"/>
      <c r="D64" s="131"/>
      <c r="E64" s="131"/>
      <c r="F64" s="132"/>
      <c r="G64" s="132"/>
      <c r="H64" s="133"/>
      <c r="I64" s="133"/>
      <c r="J64" s="127"/>
      <c r="K64" s="127"/>
      <c r="L64" s="113"/>
    </row>
    <row r="65">
      <c r="A65" s="128"/>
      <c r="B65" s="128"/>
      <c r="C65" s="129"/>
      <c r="D65" s="131"/>
      <c r="E65" s="131"/>
      <c r="F65" s="132"/>
      <c r="G65" s="132"/>
      <c r="H65" s="133"/>
      <c r="I65" s="133"/>
      <c r="J65" s="127"/>
      <c r="K65" s="127"/>
      <c r="L65" s="113"/>
    </row>
    <row r="66">
      <c r="A66" s="128"/>
      <c r="B66" s="128"/>
      <c r="C66" s="129"/>
      <c r="D66" s="131"/>
      <c r="E66" s="131"/>
      <c r="F66" s="132"/>
      <c r="G66" s="132"/>
      <c r="H66" s="133"/>
      <c r="I66" s="133"/>
      <c r="J66" s="127"/>
      <c r="K66" s="127"/>
      <c r="L66" s="113"/>
    </row>
    <row r="67">
      <c r="A67" s="128"/>
      <c r="B67" s="128"/>
      <c r="C67" s="129"/>
      <c r="D67" s="131"/>
      <c r="E67" s="131"/>
      <c r="F67" s="132"/>
      <c r="G67" s="132"/>
      <c r="H67" s="133"/>
      <c r="I67" s="133"/>
      <c r="J67" s="127"/>
      <c r="K67" s="127"/>
      <c r="L67" s="113"/>
    </row>
    <row r="68">
      <c r="A68" s="128"/>
      <c r="B68" s="128"/>
      <c r="C68" s="129"/>
      <c r="D68" s="131"/>
      <c r="E68" s="131"/>
      <c r="F68" s="132"/>
      <c r="G68" s="132"/>
      <c r="H68" s="133"/>
      <c r="I68" s="133"/>
      <c r="J68" s="127"/>
      <c r="K68" s="127"/>
      <c r="L68" s="113"/>
    </row>
    <row r="69">
      <c r="A69" s="128"/>
      <c r="B69" s="128"/>
      <c r="C69" s="129"/>
      <c r="D69" s="131"/>
      <c r="E69" s="131"/>
      <c r="F69" s="132"/>
      <c r="G69" s="132"/>
      <c r="H69" s="133"/>
      <c r="I69" s="133"/>
      <c r="J69" s="127"/>
      <c r="K69" s="127"/>
      <c r="L69" s="113"/>
    </row>
    <row r="70">
      <c r="A70" s="128"/>
      <c r="B70" s="128"/>
      <c r="C70" s="129"/>
      <c r="D70" s="131"/>
      <c r="E70" s="131"/>
      <c r="F70" s="132"/>
      <c r="G70" s="132"/>
      <c r="H70" s="133"/>
      <c r="I70" s="133"/>
      <c r="J70" s="127"/>
      <c r="K70" s="127"/>
      <c r="L70" s="113"/>
    </row>
    <row r="71">
      <c r="A71" s="128"/>
      <c r="B71" s="128"/>
      <c r="C71" s="129"/>
      <c r="D71" s="131"/>
      <c r="E71" s="131"/>
      <c r="F71" s="132"/>
      <c r="G71" s="132"/>
      <c r="H71" s="133"/>
      <c r="I71" s="133"/>
      <c r="J71" s="127"/>
      <c r="K71" s="127"/>
      <c r="L71" s="113"/>
    </row>
    <row r="72">
      <c r="A72" s="128"/>
      <c r="B72" s="128"/>
      <c r="C72" s="129"/>
      <c r="D72" s="131"/>
      <c r="E72" s="131"/>
      <c r="F72" s="132"/>
      <c r="G72" s="132"/>
      <c r="H72" s="133"/>
      <c r="I72" s="133"/>
      <c r="J72" s="127"/>
      <c r="K72" s="127"/>
      <c r="L72" s="113"/>
    </row>
    <row r="73">
      <c r="A73" s="128"/>
      <c r="B73" s="128"/>
      <c r="C73" s="129"/>
      <c r="D73" s="131"/>
      <c r="E73" s="131"/>
      <c r="F73" s="132"/>
      <c r="G73" s="132"/>
      <c r="H73" s="133"/>
      <c r="I73" s="133"/>
      <c r="J73" s="127"/>
      <c r="K73" s="127"/>
      <c r="L73" s="113"/>
    </row>
    <row r="74">
      <c r="A74" s="128"/>
      <c r="B74" s="128"/>
      <c r="C74" s="129"/>
      <c r="D74" s="131"/>
      <c r="E74" s="131"/>
      <c r="F74" s="132"/>
      <c r="G74" s="132"/>
      <c r="H74" s="133"/>
      <c r="I74" s="133"/>
      <c r="J74" s="127"/>
      <c r="K74" s="127"/>
      <c r="L74" s="113"/>
    </row>
    <row r="75">
      <c r="A75" s="128"/>
      <c r="B75" s="128"/>
      <c r="C75" s="129"/>
      <c r="D75" s="131"/>
      <c r="E75" s="131"/>
      <c r="F75" s="132"/>
      <c r="G75" s="132"/>
      <c r="H75" s="133"/>
      <c r="I75" s="133"/>
      <c r="J75" s="127"/>
      <c r="K75" s="127"/>
      <c r="L75" s="113"/>
    </row>
    <row r="76">
      <c r="A76" s="128"/>
      <c r="B76" s="128"/>
      <c r="C76" s="129"/>
      <c r="D76" s="131"/>
      <c r="E76" s="131"/>
      <c r="F76" s="132"/>
      <c r="G76" s="132"/>
      <c r="H76" s="133"/>
      <c r="I76" s="133"/>
      <c r="J76" s="127"/>
      <c r="K76" s="127"/>
      <c r="L76" s="113"/>
    </row>
    <row r="77">
      <c r="A77" s="128"/>
      <c r="B77" s="128"/>
      <c r="C77" s="129"/>
      <c r="D77" s="131"/>
      <c r="E77" s="131"/>
      <c r="F77" s="132"/>
      <c r="G77" s="132"/>
      <c r="H77" s="133"/>
      <c r="I77" s="133"/>
      <c r="J77" s="127"/>
      <c r="K77" s="127"/>
      <c r="L77" s="113"/>
    </row>
    <row r="78">
      <c r="A78" s="128"/>
      <c r="B78" s="128"/>
      <c r="C78" s="129"/>
      <c r="D78" s="131"/>
      <c r="E78" s="131"/>
      <c r="F78" s="132"/>
      <c r="G78" s="132"/>
      <c r="H78" s="133"/>
      <c r="I78" s="133"/>
      <c r="J78" s="127"/>
      <c r="K78" s="127"/>
      <c r="L78" s="113"/>
    </row>
    <row r="79">
      <c r="A79" s="128"/>
      <c r="B79" s="128"/>
      <c r="C79" s="129"/>
      <c r="D79" s="131"/>
      <c r="E79" s="131"/>
      <c r="F79" s="132"/>
      <c r="G79" s="132"/>
      <c r="H79" s="133"/>
      <c r="I79" s="133"/>
      <c r="J79" s="127"/>
      <c r="K79" s="127"/>
      <c r="L79" s="113"/>
    </row>
    <row r="80">
      <c r="A80" s="128"/>
      <c r="B80" s="128"/>
      <c r="C80" s="129"/>
      <c r="D80" s="131"/>
      <c r="E80" s="131"/>
      <c r="F80" s="132"/>
      <c r="G80" s="132"/>
      <c r="H80" s="133"/>
      <c r="I80" s="133"/>
      <c r="J80" s="127"/>
      <c r="K80" s="127"/>
      <c r="L80" s="113"/>
    </row>
    <row r="81">
      <c r="A81" s="128"/>
      <c r="B81" s="128"/>
      <c r="C81" s="129"/>
      <c r="D81" s="131"/>
      <c r="E81" s="131"/>
      <c r="F81" s="132"/>
      <c r="G81" s="132"/>
      <c r="H81" s="133"/>
      <c r="I81" s="133"/>
      <c r="J81" s="127"/>
      <c r="K81" s="127"/>
      <c r="L81" s="113"/>
    </row>
    <row r="82">
      <c r="A82" s="128"/>
      <c r="B82" s="128"/>
      <c r="C82" s="129"/>
      <c r="D82" s="131"/>
      <c r="E82" s="131"/>
      <c r="F82" s="132"/>
      <c r="G82" s="132"/>
      <c r="H82" s="133"/>
      <c r="I82" s="133"/>
      <c r="J82" s="127"/>
      <c r="K82" s="127"/>
      <c r="L82" s="113"/>
    </row>
    <row r="83">
      <c r="A83" s="128"/>
      <c r="B83" s="128"/>
      <c r="C83" s="129"/>
      <c r="D83" s="131"/>
      <c r="E83" s="131"/>
      <c r="F83" s="132"/>
      <c r="G83" s="132"/>
      <c r="H83" s="133"/>
      <c r="I83" s="133"/>
      <c r="J83" s="127"/>
      <c r="K83" s="127"/>
      <c r="L83" s="113"/>
    </row>
    <row r="84">
      <c r="A84" s="128"/>
      <c r="B84" s="128"/>
      <c r="C84" s="129"/>
      <c r="D84" s="131"/>
      <c r="E84" s="131"/>
      <c r="F84" s="132"/>
      <c r="G84" s="132"/>
      <c r="H84" s="133"/>
      <c r="I84" s="133"/>
      <c r="J84" s="127"/>
      <c r="K84" s="127"/>
      <c r="L84" s="113"/>
    </row>
    <row r="85">
      <c r="A85" s="128"/>
      <c r="B85" s="128"/>
      <c r="C85" s="129"/>
      <c r="D85" s="131"/>
      <c r="E85" s="131"/>
      <c r="F85" s="132"/>
      <c r="G85" s="132"/>
      <c r="H85" s="133"/>
      <c r="I85" s="133"/>
      <c r="J85" s="127"/>
      <c r="K85" s="127"/>
      <c r="L85" s="113"/>
    </row>
    <row r="86">
      <c r="A86" s="128"/>
      <c r="B86" s="128"/>
      <c r="C86" s="129"/>
      <c r="D86" s="131"/>
      <c r="E86" s="131"/>
      <c r="F86" s="132"/>
      <c r="G86" s="132"/>
      <c r="H86" s="133"/>
      <c r="I86" s="133"/>
      <c r="J86" s="127"/>
      <c r="K86" s="127"/>
      <c r="L86" s="113"/>
    </row>
    <row r="87">
      <c r="A87" s="128"/>
      <c r="B87" s="128"/>
      <c r="C87" s="129"/>
      <c r="D87" s="131"/>
      <c r="E87" s="131"/>
      <c r="F87" s="132"/>
      <c r="G87" s="132"/>
      <c r="H87" s="133"/>
      <c r="I87" s="133"/>
      <c r="J87" s="127"/>
      <c r="K87" s="127"/>
      <c r="L87" s="113"/>
    </row>
    <row r="88">
      <c r="A88" s="128"/>
      <c r="B88" s="128"/>
      <c r="C88" s="129"/>
      <c r="D88" s="131"/>
      <c r="E88" s="131"/>
      <c r="F88" s="132"/>
      <c r="G88" s="132"/>
      <c r="H88" s="133"/>
      <c r="I88" s="133"/>
      <c r="J88" s="127"/>
      <c r="K88" s="127"/>
      <c r="L88" s="113"/>
    </row>
    <row r="89">
      <c r="A89" s="128"/>
      <c r="B89" s="128"/>
      <c r="C89" s="129"/>
      <c r="D89" s="131"/>
      <c r="E89" s="131"/>
      <c r="F89" s="132"/>
      <c r="G89" s="132"/>
      <c r="H89" s="133"/>
      <c r="I89" s="133"/>
      <c r="J89" s="127"/>
      <c r="K89" s="127"/>
      <c r="L89" s="113"/>
    </row>
    <row r="90">
      <c r="A90" s="128"/>
      <c r="B90" s="128"/>
      <c r="C90" s="129"/>
      <c r="D90" s="131"/>
      <c r="E90" s="131"/>
      <c r="F90" s="132"/>
      <c r="G90" s="132"/>
      <c r="H90" s="133"/>
      <c r="I90" s="133"/>
      <c r="J90" s="127"/>
      <c r="K90" s="127"/>
      <c r="L90" s="113"/>
    </row>
    <row r="91">
      <c r="A91" s="128"/>
      <c r="B91" s="128"/>
      <c r="C91" s="129"/>
      <c r="D91" s="131"/>
      <c r="E91" s="131"/>
      <c r="F91" s="132"/>
      <c r="G91" s="132"/>
      <c r="H91" s="133"/>
      <c r="I91" s="133"/>
      <c r="J91" s="127"/>
      <c r="K91" s="127"/>
      <c r="L91" s="113"/>
    </row>
    <row r="92">
      <c r="A92" s="128"/>
      <c r="B92" s="128"/>
      <c r="C92" s="129"/>
      <c r="D92" s="131"/>
      <c r="E92" s="131"/>
      <c r="F92" s="132"/>
      <c r="G92" s="132"/>
      <c r="H92" s="133"/>
      <c r="I92" s="133"/>
      <c r="J92" s="127"/>
      <c r="K92" s="127"/>
      <c r="L92" s="113"/>
    </row>
    <row r="93">
      <c r="A93" s="128"/>
      <c r="B93" s="128"/>
      <c r="C93" s="129"/>
      <c r="D93" s="131"/>
      <c r="E93" s="131"/>
      <c r="F93" s="132"/>
      <c r="G93" s="132"/>
      <c r="H93" s="133"/>
      <c r="I93" s="133"/>
      <c r="J93" s="127"/>
      <c r="K93" s="127"/>
      <c r="L93" s="113"/>
    </row>
    <row r="94">
      <c r="A94" s="128"/>
      <c r="B94" s="128"/>
      <c r="C94" s="129"/>
      <c r="D94" s="131"/>
      <c r="E94" s="131"/>
      <c r="F94" s="132"/>
      <c r="G94" s="132"/>
      <c r="H94" s="133"/>
      <c r="I94" s="133"/>
      <c r="J94" s="127"/>
      <c r="K94" s="127"/>
      <c r="L94" s="113"/>
    </row>
    <row r="95">
      <c r="A95" s="128"/>
      <c r="B95" s="128"/>
      <c r="C95" s="129"/>
      <c r="D95" s="131"/>
      <c r="E95" s="131"/>
      <c r="F95" s="132"/>
      <c r="G95" s="132"/>
      <c r="H95" s="133"/>
      <c r="I95" s="133"/>
      <c r="J95" s="127"/>
      <c r="K95" s="127"/>
      <c r="L95" s="113"/>
    </row>
    <row r="96">
      <c r="A96" s="128"/>
      <c r="B96" s="128"/>
      <c r="C96" s="129"/>
      <c r="D96" s="131"/>
      <c r="E96" s="131"/>
      <c r="F96" s="132"/>
      <c r="G96" s="132"/>
      <c r="H96" s="133"/>
      <c r="I96" s="133"/>
      <c r="J96" s="127"/>
      <c r="K96" s="127"/>
      <c r="L96" s="113"/>
    </row>
    <row r="97">
      <c r="A97" s="128"/>
      <c r="B97" s="128"/>
      <c r="C97" s="129"/>
      <c r="D97" s="131"/>
      <c r="E97" s="131"/>
      <c r="F97" s="132"/>
      <c r="G97" s="132"/>
      <c r="H97" s="133"/>
      <c r="I97" s="133"/>
      <c r="J97" s="127"/>
      <c r="K97" s="127"/>
      <c r="L97" s="113"/>
    </row>
    <row r="98">
      <c r="A98" s="128"/>
      <c r="B98" s="128"/>
      <c r="C98" s="129"/>
      <c r="D98" s="131"/>
      <c r="E98" s="131"/>
      <c r="F98" s="132"/>
      <c r="G98" s="132"/>
      <c r="H98" s="133"/>
      <c r="I98" s="133"/>
      <c r="J98" s="127"/>
      <c r="K98" s="127"/>
      <c r="L98" s="113"/>
    </row>
    <row r="99">
      <c r="A99" s="128"/>
      <c r="B99" s="128"/>
      <c r="C99" s="129"/>
      <c r="D99" s="131"/>
      <c r="E99" s="131"/>
      <c r="F99" s="132"/>
      <c r="G99" s="132"/>
      <c r="H99" s="133"/>
      <c r="I99" s="133"/>
      <c r="J99" s="127"/>
      <c r="K99" s="127"/>
      <c r="L99" s="113"/>
    </row>
    <row r="100">
      <c r="A100" s="128"/>
      <c r="B100" s="128"/>
      <c r="C100" s="129"/>
      <c r="D100" s="131"/>
      <c r="E100" s="131"/>
      <c r="F100" s="132"/>
      <c r="G100" s="132"/>
      <c r="H100" s="133"/>
      <c r="I100" s="133"/>
      <c r="J100" s="127"/>
      <c r="K100" s="127"/>
      <c r="L100" s="113"/>
    </row>
    <row r="101">
      <c r="A101" s="128"/>
      <c r="B101" s="128"/>
      <c r="C101" s="129"/>
      <c r="D101" s="131"/>
      <c r="E101" s="131"/>
      <c r="F101" s="132"/>
      <c r="G101" s="132"/>
      <c r="H101" s="133"/>
      <c r="I101" s="133"/>
      <c r="J101" s="127"/>
      <c r="K101" s="127"/>
      <c r="L101" s="113"/>
    </row>
    <row r="102">
      <c r="A102" s="128"/>
      <c r="B102" s="128"/>
      <c r="C102" s="129"/>
      <c r="D102" s="131"/>
      <c r="E102" s="131"/>
      <c r="F102" s="132"/>
      <c r="G102" s="132"/>
      <c r="H102" s="133"/>
      <c r="I102" s="133"/>
      <c r="J102" s="127"/>
      <c r="K102" s="127"/>
      <c r="L102" s="113"/>
    </row>
    <row r="103">
      <c r="A103" s="128"/>
      <c r="B103" s="128"/>
      <c r="C103" s="129"/>
      <c r="D103" s="131"/>
      <c r="E103" s="131"/>
      <c r="F103" s="132"/>
      <c r="G103" s="132"/>
      <c r="H103" s="133"/>
      <c r="I103" s="133"/>
      <c r="J103" s="127"/>
      <c r="K103" s="127"/>
      <c r="L103" s="113"/>
    </row>
    <row r="104">
      <c r="A104" s="128"/>
      <c r="B104" s="128"/>
      <c r="C104" s="129"/>
      <c r="D104" s="131"/>
      <c r="E104" s="131"/>
      <c r="F104" s="132"/>
      <c r="G104" s="132"/>
      <c r="H104" s="133"/>
      <c r="I104" s="133"/>
      <c r="J104" s="127"/>
      <c r="K104" s="127"/>
      <c r="L104" s="113"/>
    </row>
    <row r="105">
      <c r="A105" s="128"/>
      <c r="B105" s="128"/>
      <c r="C105" s="129"/>
      <c r="D105" s="131"/>
      <c r="E105" s="131"/>
      <c r="F105" s="132"/>
      <c r="G105" s="132"/>
      <c r="H105" s="133"/>
      <c r="I105" s="133"/>
      <c r="J105" s="127"/>
      <c r="K105" s="127"/>
      <c r="L105" s="113"/>
    </row>
    <row r="106">
      <c r="A106" s="128"/>
      <c r="B106" s="128"/>
      <c r="C106" s="129"/>
      <c r="D106" s="131"/>
      <c r="E106" s="131"/>
      <c r="F106" s="132"/>
      <c r="G106" s="132"/>
      <c r="H106" s="133"/>
      <c r="I106" s="133"/>
      <c r="J106" s="127"/>
      <c r="K106" s="127"/>
      <c r="L106" s="113"/>
    </row>
    <row r="107">
      <c r="A107" s="128"/>
      <c r="B107" s="128"/>
      <c r="C107" s="129"/>
      <c r="D107" s="131"/>
      <c r="E107" s="131"/>
      <c r="F107" s="132"/>
      <c r="G107" s="132"/>
      <c r="H107" s="133"/>
      <c r="I107" s="133"/>
      <c r="J107" s="127"/>
      <c r="K107" s="127"/>
      <c r="L107" s="113"/>
    </row>
    <row r="108">
      <c r="A108" s="128"/>
      <c r="B108" s="128"/>
      <c r="C108" s="129"/>
      <c r="D108" s="131"/>
      <c r="E108" s="131"/>
      <c r="F108" s="132"/>
      <c r="G108" s="132"/>
      <c r="H108" s="133"/>
      <c r="I108" s="133"/>
      <c r="J108" s="127"/>
      <c r="K108" s="127"/>
      <c r="L108" s="113"/>
    </row>
    <row r="109">
      <c r="A109" s="128"/>
      <c r="B109" s="128"/>
      <c r="C109" s="129"/>
      <c r="D109" s="131"/>
      <c r="E109" s="131"/>
      <c r="F109" s="132"/>
      <c r="G109" s="132"/>
      <c r="H109" s="133"/>
      <c r="I109" s="133"/>
      <c r="J109" s="127"/>
      <c r="K109" s="127"/>
      <c r="L109" s="113"/>
    </row>
    <row r="110">
      <c r="A110" s="128"/>
      <c r="B110" s="128"/>
      <c r="C110" s="129"/>
      <c r="D110" s="131"/>
      <c r="E110" s="131"/>
      <c r="F110" s="132"/>
      <c r="G110" s="132"/>
      <c r="H110" s="133"/>
      <c r="I110" s="133"/>
      <c r="J110" s="127"/>
      <c r="K110" s="127"/>
      <c r="L110" s="113"/>
    </row>
    <row r="111">
      <c r="A111" s="128"/>
      <c r="B111" s="128"/>
      <c r="C111" s="129"/>
      <c r="D111" s="131"/>
      <c r="E111" s="131"/>
      <c r="F111" s="132"/>
      <c r="G111" s="132"/>
      <c r="H111" s="133"/>
      <c r="I111" s="133"/>
      <c r="J111" s="127"/>
      <c r="K111" s="127"/>
      <c r="L111" s="113"/>
    </row>
    <row r="112">
      <c r="A112" s="128"/>
      <c r="B112" s="128"/>
      <c r="C112" s="129"/>
      <c r="D112" s="131"/>
      <c r="E112" s="131"/>
      <c r="F112" s="132"/>
      <c r="G112" s="132"/>
      <c r="H112" s="133"/>
      <c r="I112" s="133"/>
      <c r="J112" s="127"/>
      <c r="K112" s="127"/>
      <c r="L112" s="113"/>
    </row>
    <row r="113">
      <c r="A113" s="128"/>
      <c r="B113" s="128"/>
      <c r="C113" s="129"/>
      <c r="D113" s="131"/>
      <c r="E113" s="131"/>
      <c r="F113" s="132"/>
      <c r="G113" s="132"/>
      <c r="H113" s="133"/>
      <c r="I113" s="133"/>
      <c r="J113" s="127"/>
      <c r="K113" s="127"/>
      <c r="L113" s="113"/>
    </row>
    <row r="114">
      <c r="A114" s="128"/>
      <c r="B114" s="128"/>
      <c r="C114" s="129"/>
      <c r="D114" s="131"/>
      <c r="E114" s="131"/>
      <c r="F114" s="132"/>
      <c r="G114" s="132"/>
      <c r="H114" s="133"/>
      <c r="I114" s="133"/>
      <c r="J114" s="127"/>
      <c r="K114" s="127"/>
      <c r="L114" s="113"/>
    </row>
    <row r="115">
      <c r="A115" s="128"/>
      <c r="B115" s="128"/>
      <c r="C115" s="129"/>
      <c r="D115" s="131"/>
      <c r="E115" s="131"/>
      <c r="F115" s="132"/>
      <c r="G115" s="132"/>
      <c r="H115" s="133"/>
      <c r="I115" s="133"/>
      <c r="J115" s="127"/>
      <c r="K115" s="127"/>
      <c r="L115" s="113"/>
    </row>
    <row r="116">
      <c r="A116" s="128"/>
      <c r="B116" s="128"/>
      <c r="C116" s="129"/>
      <c r="D116" s="131"/>
      <c r="E116" s="131"/>
      <c r="F116" s="132"/>
      <c r="G116" s="132"/>
      <c r="H116" s="133"/>
      <c r="I116" s="133"/>
      <c r="J116" s="127"/>
      <c r="K116" s="127"/>
      <c r="L116" s="113"/>
    </row>
    <row r="117">
      <c r="A117" s="128"/>
      <c r="B117" s="128"/>
      <c r="C117" s="129"/>
      <c r="D117" s="131"/>
      <c r="E117" s="131"/>
      <c r="F117" s="132"/>
      <c r="G117" s="132"/>
      <c r="H117" s="133"/>
      <c r="I117" s="133"/>
      <c r="J117" s="127"/>
      <c r="K117" s="127"/>
      <c r="L117" s="113"/>
    </row>
    <row r="118">
      <c r="A118" s="128"/>
      <c r="B118" s="128"/>
      <c r="C118" s="129"/>
      <c r="D118" s="131"/>
      <c r="E118" s="131"/>
      <c r="F118" s="132"/>
      <c r="G118" s="132"/>
      <c r="H118" s="133"/>
      <c r="I118" s="133"/>
      <c r="J118" s="127"/>
      <c r="K118" s="127"/>
      <c r="L118" s="113"/>
    </row>
    <row r="119">
      <c r="A119" s="128"/>
      <c r="B119" s="128"/>
      <c r="C119" s="129"/>
      <c r="D119" s="131"/>
      <c r="E119" s="131"/>
      <c r="F119" s="132"/>
      <c r="G119" s="132"/>
      <c r="H119" s="133"/>
      <c r="I119" s="133"/>
      <c r="J119" s="127"/>
      <c r="K119" s="127"/>
      <c r="L119" s="113"/>
    </row>
    <row r="120">
      <c r="A120" s="128"/>
      <c r="B120" s="128"/>
      <c r="C120" s="129"/>
      <c r="D120" s="131"/>
      <c r="E120" s="131"/>
      <c r="F120" s="132"/>
      <c r="G120" s="132"/>
      <c r="H120" s="133"/>
      <c r="I120" s="133"/>
      <c r="J120" s="127"/>
      <c r="K120" s="127"/>
      <c r="L120" s="113"/>
    </row>
    <row r="121">
      <c r="A121" s="128"/>
      <c r="B121" s="128"/>
      <c r="C121" s="129"/>
      <c r="D121" s="131"/>
      <c r="E121" s="131"/>
      <c r="F121" s="132"/>
      <c r="G121" s="132"/>
      <c r="H121" s="133"/>
      <c r="I121" s="133"/>
      <c r="J121" s="127"/>
      <c r="K121" s="127"/>
      <c r="L121" s="113"/>
    </row>
    <row r="122">
      <c r="A122" s="128"/>
      <c r="B122" s="128"/>
      <c r="C122" s="129"/>
      <c r="D122" s="131"/>
      <c r="E122" s="131"/>
      <c r="F122" s="132"/>
      <c r="G122" s="132"/>
      <c r="H122" s="133"/>
      <c r="I122" s="133"/>
      <c r="J122" s="127"/>
      <c r="K122" s="127"/>
      <c r="L122" s="113"/>
    </row>
    <row r="123">
      <c r="A123" s="128"/>
      <c r="B123" s="128"/>
      <c r="C123" s="129"/>
      <c r="D123" s="131"/>
      <c r="E123" s="131"/>
      <c r="F123" s="132"/>
      <c r="G123" s="132"/>
      <c r="H123" s="133"/>
      <c r="I123" s="133"/>
      <c r="J123" s="127"/>
      <c r="K123" s="127"/>
      <c r="L123" s="113"/>
    </row>
    <row r="124">
      <c r="A124" s="128"/>
      <c r="B124" s="128"/>
      <c r="C124" s="129"/>
      <c r="D124" s="131"/>
      <c r="E124" s="131"/>
      <c r="F124" s="132"/>
      <c r="G124" s="132"/>
      <c r="H124" s="133"/>
      <c r="I124" s="133"/>
      <c r="J124" s="127"/>
      <c r="K124" s="127"/>
      <c r="L124" s="113"/>
    </row>
    <row r="125">
      <c r="A125" s="128"/>
      <c r="B125" s="128"/>
      <c r="C125" s="129"/>
      <c r="D125" s="131"/>
      <c r="E125" s="131"/>
      <c r="F125" s="132"/>
      <c r="G125" s="132"/>
      <c r="H125" s="133"/>
      <c r="I125" s="133"/>
      <c r="J125" s="127"/>
      <c r="K125" s="127"/>
      <c r="L125" s="113"/>
    </row>
    <row r="126">
      <c r="A126" s="128"/>
      <c r="B126" s="128"/>
      <c r="C126" s="129"/>
      <c r="D126" s="131"/>
      <c r="E126" s="131"/>
      <c r="F126" s="132"/>
      <c r="G126" s="132"/>
      <c r="H126" s="133"/>
      <c r="I126" s="133"/>
      <c r="J126" s="127"/>
      <c r="K126" s="127"/>
      <c r="L126" s="113"/>
    </row>
    <row r="127">
      <c r="A127" s="128"/>
      <c r="B127" s="128"/>
      <c r="C127" s="129"/>
      <c r="D127" s="131"/>
      <c r="E127" s="131"/>
      <c r="F127" s="132"/>
      <c r="G127" s="132"/>
      <c r="H127" s="133"/>
      <c r="I127" s="133"/>
      <c r="J127" s="127"/>
      <c r="K127" s="127"/>
      <c r="L127" s="113"/>
    </row>
    <row r="128">
      <c r="A128" s="128"/>
      <c r="B128" s="128"/>
      <c r="C128" s="129"/>
      <c r="D128" s="131"/>
      <c r="E128" s="131"/>
      <c r="F128" s="132"/>
      <c r="G128" s="132"/>
      <c r="H128" s="133"/>
      <c r="I128" s="133"/>
      <c r="J128" s="127"/>
      <c r="K128" s="127"/>
      <c r="L128" s="113"/>
    </row>
    <row r="129">
      <c r="A129" s="128"/>
      <c r="B129" s="128"/>
      <c r="C129" s="129"/>
      <c r="D129" s="131"/>
      <c r="E129" s="131"/>
      <c r="F129" s="132"/>
      <c r="G129" s="132"/>
      <c r="H129" s="133"/>
      <c r="I129" s="133"/>
      <c r="J129" s="127"/>
      <c r="K129" s="127"/>
      <c r="L129" s="113"/>
    </row>
    <row r="130">
      <c r="A130" s="128"/>
      <c r="B130" s="128"/>
      <c r="C130" s="129"/>
      <c r="D130" s="131"/>
      <c r="E130" s="131"/>
      <c r="F130" s="132"/>
      <c r="G130" s="132"/>
      <c r="H130" s="133"/>
      <c r="I130" s="133"/>
      <c r="J130" s="127"/>
      <c r="K130" s="127"/>
      <c r="L130" s="113"/>
    </row>
    <row r="131">
      <c r="A131" s="128"/>
      <c r="B131" s="128"/>
      <c r="C131" s="129"/>
      <c r="D131" s="131"/>
      <c r="E131" s="131"/>
      <c r="F131" s="132"/>
      <c r="G131" s="132"/>
      <c r="H131" s="133"/>
      <c r="I131" s="133"/>
      <c r="J131" s="127"/>
      <c r="K131" s="127"/>
      <c r="L131" s="113"/>
    </row>
    <row r="132">
      <c r="A132" s="128"/>
      <c r="B132" s="128"/>
      <c r="C132" s="129"/>
      <c r="D132" s="131"/>
      <c r="E132" s="131"/>
      <c r="F132" s="132"/>
      <c r="G132" s="132"/>
      <c r="H132" s="133"/>
      <c r="I132" s="133"/>
      <c r="J132" s="127"/>
      <c r="K132" s="127"/>
      <c r="L132" s="113"/>
    </row>
    <row r="133">
      <c r="A133" s="128"/>
      <c r="B133" s="128"/>
      <c r="C133" s="129"/>
      <c r="D133" s="131"/>
      <c r="E133" s="131"/>
      <c r="F133" s="132"/>
      <c r="G133" s="132"/>
      <c r="H133" s="133"/>
      <c r="I133" s="133"/>
      <c r="J133" s="127"/>
      <c r="K133" s="127"/>
      <c r="L133" s="113"/>
    </row>
    <row r="134">
      <c r="A134" s="128"/>
      <c r="B134" s="128"/>
      <c r="C134" s="129"/>
      <c r="D134" s="131"/>
      <c r="E134" s="131"/>
      <c r="F134" s="132"/>
      <c r="G134" s="132"/>
      <c r="H134" s="133"/>
      <c r="I134" s="133"/>
      <c r="J134" s="127"/>
      <c r="K134" s="127"/>
      <c r="L134" s="113"/>
    </row>
    <row r="135">
      <c r="A135" s="128"/>
      <c r="B135" s="128"/>
      <c r="C135" s="129"/>
      <c r="D135" s="131"/>
      <c r="E135" s="131"/>
      <c r="F135" s="132"/>
      <c r="G135" s="132"/>
      <c r="H135" s="133"/>
      <c r="I135" s="133"/>
      <c r="J135" s="127"/>
      <c r="K135" s="127"/>
      <c r="L135" s="113"/>
    </row>
    <row r="136">
      <c r="A136" s="128"/>
      <c r="B136" s="128"/>
      <c r="C136" s="129"/>
      <c r="D136" s="131"/>
      <c r="E136" s="131"/>
      <c r="F136" s="132"/>
      <c r="G136" s="132"/>
      <c r="H136" s="133"/>
      <c r="I136" s="133"/>
      <c r="J136" s="127"/>
      <c r="K136" s="127"/>
      <c r="L136" s="113"/>
    </row>
    <row r="137">
      <c r="A137" s="128"/>
      <c r="B137" s="128"/>
      <c r="C137" s="129"/>
      <c r="D137" s="131"/>
      <c r="E137" s="131"/>
      <c r="F137" s="132"/>
      <c r="G137" s="132"/>
      <c r="H137" s="133"/>
      <c r="I137" s="133"/>
      <c r="J137" s="127"/>
      <c r="K137" s="127"/>
      <c r="L137" s="113"/>
    </row>
    <row r="138">
      <c r="A138" s="128"/>
      <c r="B138" s="128"/>
      <c r="C138" s="129"/>
      <c r="D138" s="131"/>
      <c r="E138" s="131"/>
      <c r="F138" s="132"/>
      <c r="G138" s="132"/>
      <c r="H138" s="133"/>
      <c r="I138" s="133"/>
      <c r="J138" s="127"/>
      <c r="K138" s="127"/>
      <c r="L138" s="113"/>
    </row>
    <row r="139">
      <c r="A139" s="128"/>
      <c r="B139" s="128"/>
      <c r="C139" s="129"/>
      <c r="D139" s="131"/>
      <c r="E139" s="131"/>
      <c r="F139" s="132"/>
      <c r="G139" s="132"/>
      <c r="H139" s="133"/>
      <c r="I139" s="133"/>
      <c r="J139" s="127"/>
      <c r="K139" s="127"/>
      <c r="L139" s="113"/>
    </row>
    <row r="140">
      <c r="A140" s="128"/>
      <c r="B140" s="128"/>
      <c r="C140" s="129"/>
      <c r="D140" s="131"/>
      <c r="E140" s="131"/>
      <c r="F140" s="132"/>
      <c r="G140" s="132"/>
      <c r="H140" s="133"/>
      <c r="I140" s="133"/>
      <c r="J140" s="127"/>
      <c r="K140" s="127"/>
      <c r="L140" s="113"/>
    </row>
    <row r="141">
      <c r="A141" s="128"/>
      <c r="B141" s="128"/>
      <c r="C141" s="129"/>
      <c r="D141" s="131"/>
      <c r="E141" s="131"/>
      <c r="F141" s="132"/>
      <c r="G141" s="132"/>
      <c r="H141" s="133"/>
      <c r="I141" s="133"/>
      <c r="J141" s="127"/>
      <c r="K141" s="127"/>
      <c r="L141" s="113"/>
    </row>
    <row r="142">
      <c r="A142" s="128"/>
      <c r="B142" s="128"/>
      <c r="C142" s="129"/>
      <c r="D142" s="131"/>
      <c r="E142" s="131"/>
      <c r="F142" s="132"/>
      <c r="G142" s="132"/>
      <c r="H142" s="133"/>
      <c r="I142" s="133"/>
      <c r="J142" s="127"/>
      <c r="K142" s="127"/>
      <c r="L142" s="113"/>
    </row>
    <row r="143">
      <c r="A143" s="128"/>
      <c r="B143" s="128"/>
      <c r="C143" s="129"/>
      <c r="D143" s="131"/>
      <c r="E143" s="131"/>
      <c r="F143" s="132"/>
      <c r="G143" s="132"/>
      <c r="H143" s="133"/>
      <c r="I143" s="133"/>
      <c r="J143" s="127"/>
      <c r="K143" s="127"/>
      <c r="L143" s="113"/>
    </row>
    <row r="144">
      <c r="A144" s="128"/>
      <c r="B144" s="128"/>
      <c r="C144" s="129"/>
      <c r="D144" s="131"/>
      <c r="E144" s="131"/>
      <c r="F144" s="132"/>
      <c r="G144" s="132"/>
      <c r="H144" s="133"/>
      <c r="I144" s="133"/>
      <c r="J144" s="127"/>
      <c r="K144" s="127"/>
      <c r="L144" s="113"/>
    </row>
    <row r="145">
      <c r="A145" s="128"/>
      <c r="B145" s="128"/>
      <c r="C145" s="129"/>
      <c r="D145" s="131"/>
      <c r="E145" s="131"/>
      <c r="F145" s="132"/>
      <c r="G145" s="132"/>
      <c r="H145" s="133"/>
      <c r="I145" s="133"/>
      <c r="J145" s="127"/>
      <c r="K145" s="127"/>
      <c r="L145" s="113"/>
    </row>
    <row r="146">
      <c r="A146" s="128"/>
      <c r="B146" s="128"/>
      <c r="C146" s="129"/>
      <c r="D146" s="131"/>
      <c r="E146" s="131"/>
      <c r="F146" s="132"/>
      <c r="G146" s="132"/>
      <c r="H146" s="133"/>
      <c r="I146" s="133"/>
      <c r="J146" s="127"/>
      <c r="K146" s="127"/>
      <c r="L146" s="113"/>
    </row>
    <row r="147">
      <c r="A147" s="128"/>
      <c r="B147" s="128"/>
      <c r="C147" s="129"/>
      <c r="D147" s="131"/>
      <c r="E147" s="131"/>
      <c r="F147" s="132"/>
      <c r="G147" s="132"/>
      <c r="H147" s="133"/>
      <c r="I147" s="133"/>
      <c r="J147" s="127"/>
      <c r="K147" s="127"/>
      <c r="L147" s="113"/>
    </row>
    <row r="148">
      <c r="A148" s="128"/>
      <c r="B148" s="128"/>
      <c r="C148" s="129"/>
      <c r="D148" s="131"/>
      <c r="E148" s="131"/>
      <c r="F148" s="132"/>
      <c r="G148" s="132"/>
      <c r="H148" s="133"/>
      <c r="I148" s="133"/>
      <c r="J148" s="127"/>
      <c r="K148" s="127"/>
      <c r="L148" s="113"/>
    </row>
    <row r="149">
      <c r="A149" s="128"/>
      <c r="B149" s="128"/>
      <c r="C149" s="129"/>
      <c r="D149" s="131"/>
      <c r="E149" s="131"/>
      <c r="F149" s="132"/>
      <c r="G149" s="132"/>
      <c r="H149" s="133"/>
      <c r="I149" s="133"/>
      <c r="J149" s="127"/>
      <c r="K149" s="127"/>
      <c r="L149" s="113"/>
    </row>
    <row r="150">
      <c r="A150" s="128"/>
      <c r="B150" s="128"/>
      <c r="C150" s="129"/>
      <c r="D150" s="131"/>
      <c r="E150" s="131"/>
      <c r="F150" s="132"/>
      <c r="G150" s="132"/>
      <c r="H150" s="133"/>
      <c r="I150" s="133"/>
      <c r="J150" s="127"/>
      <c r="K150" s="127"/>
      <c r="L150" s="113"/>
    </row>
    <row r="151">
      <c r="A151" s="128"/>
      <c r="B151" s="128"/>
      <c r="C151" s="129"/>
      <c r="D151" s="131"/>
      <c r="E151" s="131"/>
      <c r="F151" s="132"/>
      <c r="G151" s="132"/>
      <c r="H151" s="133"/>
      <c r="I151" s="133"/>
      <c r="J151" s="127"/>
      <c r="K151" s="127"/>
      <c r="L151" s="113"/>
    </row>
    <row r="152">
      <c r="A152" s="128"/>
      <c r="B152" s="128"/>
      <c r="C152" s="129"/>
      <c r="D152" s="131"/>
      <c r="E152" s="131"/>
      <c r="F152" s="132"/>
      <c r="G152" s="132"/>
      <c r="H152" s="133"/>
      <c r="I152" s="133"/>
      <c r="J152" s="127"/>
      <c r="K152" s="127"/>
      <c r="L152" s="113"/>
    </row>
    <row r="153">
      <c r="A153" s="128"/>
      <c r="B153" s="128"/>
      <c r="C153" s="129"/>
      <c r="D153" s="131"/>
      <c r="E153" s="131"/>
      <c r="F153" s="132"/>
      <c r="G153" s="132"/>
      <c r="H153" s="133"/>
      <c r="I153" s="133"/>
      <c r="J153" s="127"/>
      <c r="K153" s="127"/>
      <c r="L153" s="113"/>
    </row>
    <row r="154">
      <c r="A154" s="128"/>
      <c r="B154" s="128"/>
      <c r="C154" s="129"/>
      <c r="D154" s="131"/>
      <c r="E154" s="131"/>
      <c r="F154" s="132"/>
      <c r="G154" s="132"/>
      <c r="H154" s="133"/>
      <c r="I154" s="133"/>
      <c r="J154" s="127"/>
      <c r="K154" s="127"/>
      <c r="L154" s="113"/>
    </row>
    <row r="155">
      <c r="A155" s="128"/>
      <c r="B155" s="128"/>
      <c r="C155" s="129"/>
      <c r="D155" s="131"/>
      <c r="E155" s="131"/>
      <c r="F155" s="132"/>
      <c r="G155" s="132"/>
      <c r="H155" s="133"/>
      <c r="I155" s="133"/>
      <c r="J155" s="127"/>
      <c r="K155" s="127"/>
      <c r="L155" s="113"/>
    </row>
    <row r="156">
      <c r="A156" s="128"/>
      <c r="B156" s="128"/>
      <c r="C156" s="129"/>
      <c r="D156" s="131"/>
      <c r="E156" s="131"/>
      <c r="F156" s="132"/>
      <c r="G156" s="132"/>
      <c r="H156" s="133"/>
      <c r="I156" s="133"/>
      <c r="J156" s="127"/>
      <c r="K156" s="127"/>
      <c r="L156" s="113"/>
    </row>
    <row r="157">
      <c r="A157" s="128"/>
      <c r="B157" s="128"/>
      <c r="C157" s="129"/>
      <c r="D157" s="131"/>
      <c r="E157" s="131"/>
      <c r="F157" s="132"/>
      <c r="G157" s="132"/>
      <c r="H157" s="133"/>
      <c r="I157" s="133"/>
      <c r="J157" s="127"/>
      <c r="K157" s="127"/>
      <c r="L157" s="113"/>
    </row>
    <row r="158">
      <c r="A158" s="128"/>
      <c r="B158" s="128"/>
      <c r="C158" s="129"/>
      <c r="D158" s="131"/>
      <c r="E158" s="131"/>
      <c r="F158" s="132"/>
      <c r="G158" s="132"/>
      <c r="H158" s="133"/>
      <c r="I158" s="133"/>
      <c r="J158" s="127"/>
      <c r="K158" s="127"/>
      <c r="L158" s="113"/>
    </row>
    <row r="159">
      <c r="A159" s="128"/>
      <c r="B159" s="128"/>
      <c r="C159" s="129"/>
      <c r="D159" s="131"/>
      <c r="E159" s="131"/>
      <c r="F159" s="132"/>
      <c r="G159" s="132"/>
      <c r="H159" s="133"/>
      <c r="I159" s="133"/>
      <c r="J159" s="127"/>
      <c r="K159" s="127"/>
      <c r="L159" s="113"/>
    </row>
    <row r="160">
      <c r="A160" s="128"/>
      <c r="B160" s="128"/>
      <c r="C160" s="129"/>
      <c r="D160" s="131"/>
      <c r="E160" s="131"/>
      <c r="F160" s="132"/>
      <c r="G160" s="132"/>
      <c r="H160" s="133"/>
      <c r="I160" s="133"/>
      <c r="J160" s="127"/>
      <c r="K160" s="127"/>
      <c r="L160" s="113"/>
    </row>
    <row r="161">
      <c r="A161" s="128"/>
      <c r="B161" s="128"/>
      <c r="C161" s="129"/>
      <c r="D161" s="131"/>
      <c r="E161" s="131"/>
      <c r="F161" s="132"/>
      <c r="G161" s="132"/>
      <c r="H161" s="133"/>
      <c r="I161" s="133"/>
      <c r="J161" s="127"/>
      <c r="K161" s="127"/>
      <c r="L161" s="113"/>
    </row>
    <row r="162">
      <c r="A162" s="128"/>
      <c r="B162" s="128"/>
      <c r="C162" s="129"/>
      <c r="D162" s="131"/>
      <c r="E162" s="131"/>
      <c r="F162" s="132"/>
      <c r="G162" s="132"/>
      <c r="H162" s="133"/>
      <c r="I162" s="133"/>
      <c r="J162" s="127"/>
      <c r="K162" s="127"/>
      <c r="L162" s="113"/>
    </row>
    <row r="163">
      <c r="A163" s="128"/>
      <c r="B163" s="128"/>
      <c r="C163" s="129"/>
      <c r="D163" s="131"/>
      <c r="E163" s="131"/>
      <c r="F163" s="132"/>
      <c r="G163" s="132"/>
      <c r="H163" s="133"/>
      <c r="I163" s="133"/>
      <c r="J163" s="127"/>
      <c r="K163" s="127"/>
      <c r="L163" s="113"/>
    </row>
    <row r="164">
      <c r="A164" s="128"/>
      <c r="B164" s="128"/>
      <c r="C164" s="129"/>
      <c r="D164" s="131"/>
      <c r="E164" s="131"/>
      <c r="F164" s="132"/>
      <c r="G164" s="132"/>
      <c r="H164" s="133"/>
      <c r="I164" s="133"/>
      <c r="J164" s="127"/>
      <c r="K164" s="127"/>
      <c r="L164" s="113"/>
    </row>
    <row r="165">
      <c r="A165" s="128"/>
      <c r="B165" s="128"/>
      <c r="C165" s="129"/>
      <c r="D165" s="131"/>
      <c r="E165" s="131"/>
      <c r="F165" s="132"/>
      <c r="G165" s="132"/>
      <c r="H165" s="133"/>
      <c r="I165" s="133"/>
      <c r="J165" s="127"/>
      <c r="K165" s="127"/>
      <c r="L165" s="113"/>
    </row>
    <row r="166">
      <c r="A166" s="128"/>
      <c r="B166" s="128"/>
      <c r="C166" s="129"/>
      <c r="D166" s="131"/>
      <c r="E166" s="131"/>
      <c r="F166" s="132"/>
      <c r="G166" s="132"/>
      <c r="H166" s="133"/>
      <c r="I166" s="133"/>
      <c r="J166" s="127"/>
      <c r="K166" s="127"/>
      <c r="L166" s="113"/>
    </row>
    <row r="167">
      <c r="A167" s="128"/>
      <c r="B167" s="128"/>
      <c r="C167" s="129"/>
      <c r="D167" s="131"/>
      <c r="E167" s="131"/>
      <c r="F167" s="132"/>
      <c r="G167" s="132"/>
      <c r="H167" s="133"/>
      <c r="I167" s="133"/>
      <c r="J167" s="127"/>
      <c r="K167" s="127"/>
      <c r="L167" s="113"/>
    </row>
    <row r="168">
      <c r="A168" s="128"/>
      <c r="B168" s="128"/>
      <c r="C168" s="129"/>
      <c r="D168" s="131"/>
      <c r="E168" s="131"/>
      <c r="F168" s="132"/>
      <c r="G168" s="132"/>
      <c r="H168" s="133"/>
      <c r="I168" s="133"/>
      <c r="J168" s="127"/>
      <c r="K168" s="127"/>
      <c r="L168" s="113"/>
    </row>
    <row r="169">
      <c r="A169" s="128"/>
      <c r="B169" s="128"/>
      <c r="C169" s="129"/>
      <c r="D169" s="131"/>
      <c r="E169" s="131"/>
      <c r="F169" s="132"/>
      <c r="G169" s="132"/>
      <c r="H169" s="133"/>
      <c r="I169" s="133"/>
      <c r="J169" s="127"/>
      <c r="K169" s="127"/>
      <c r="L169" s="113"/>
    </row>
    <row r="170">
      <c r="A170" s="128"/>
      <c r="B170" s="128"/>
      <c r="C170" s="129"/>
      <c r="D170" s="131"/>
      <c r="E170" s="131"/>
      <c r="F170" s="132"/>
      <c r="G170" s="132"/>
      <c r="H170" s="133"/>
      <c r="I170" s="133"/>
      <c r="J170" s="127"/>
      <c r="K170" s="127"/>
      <c r="L170" s="113"/>
    </row>
    <row r="171">
      <c r="A171" s="128"/>
      <c r="B171" s="128"/>
      <c r="C171" s="129"/>
      <c r="D171" s="131"/>
      <c r="E171" s="131"/>
      <c r="F171" s="132"/>
      <c r="G171" s="132"/>
      <c r="H171" s="133"/>
      <c r="I171" s="133"/>
      <c r="J171" s="127"/>
      <c r="K171" s="127"/>
      <c r="L171" s="113"/>
    </row>
    <row r="172">
      <c r="A172" s="128"/>
      <c r="B172" s="128"/>
      <c r="C172" s="129"/>
      <c r="D172" s="131"/>
      <c r="E172" s="131"/>
      <c r="F172" s="132"/>
      <c r="G172" s="132"/>
      <c r="H172" s="133"/>
      <c r="I172" s="133"/>
      <c r="J172" s="127"/>
      <c r="K172" s="127"/>
      <c r="L172" s="113"/>
    </row>
    <row r="173">
      <c r="A173" s="128"/>
      <c r="B173" s="128"/>
      <c r="C173" s="129"/>
      <c r="D173" s="131"/>
      <c r="E173" s="131"/>
      <c r="F173" s="132"/>
      <c r="G173" s="132"/>
      <c r="H173" s="133"/>
      <c r="I173" s="133"/>
      <c r="J173" s="127"/>
      <c r="K173" s="127"/>
      <c r="L173" s="113"/>
    </row>
    <row r="174">
      <c r="A174" s="128"/>
      <c r="B174" s="128"/>
      <c r="C174" s="129"/>
      <c r="D174" s="131"/>
      <c r="E174" s="131"/>
      <c r="F174" s="132"/>
      <c r="G174" s="132"/>
      <c r="H174" s="133"/>
      <c r="I174" s="133"/>
      <c r="J174" s="127"/>
      <c r="K174" s="127"/>
      <c r="L174" s="113"/>
    </row>
    <row r="175">
      <c r="A175" s="128"/>
      <c r="B175" s="128"/>
      <c r="C175" s="129"/>
      <c r="D175" s="131"/>
      <c r="E175" s="131"/>
      <c r="F175" s="132"/>
      <c r="G175" s="132"/>
      <c r="H175" s="133"/>
      <c r="I175" s="133"/>
      <c r="J175" s="127"/>
      <c r="K175" s="127"/>
      <c r="L175" s="113"/>
    </row>
    <row r="176">
      <c r="A176" s="128"/>
      <c r="B176" s="128"/>
      <c r="C176" s="129"/>
      <c r="D176" s="131"/>
      <c r="E176" s="131"/>
      <c r="F176" s="132"/>
      <c r="G176" s="132"/>
      <c r="H176" s="133"/>
      <c r="I176" s="133"/>
      <c r="J176" s="127"/>
      <c r="K176" s="127"/>
      <c r="L176" s="113"/>
    </row>
    <row r="177">
      <c r="A177" s="128"/>
      <c r="B177" s="128"/>
      <c r="C177" s="129"/>
      <c r="D177" s="131"/>
      <c r="E177" s="131"/>
      <c r="F177" s="132"/>
      <c r="G177" s="132"/>
      <c r="H177" s="133"/>
      <c r="I177" s="133"/>
      <c r="J177" s="127"/>
      <c r="K177" s="127"/>
      <c r="L177" s="113"/>
    </row>
    <row r="178">
      <c r="A178" s="128"/>
      <c r="B178" s="128"/>
      <c r="C178" s="129"/>
      <c r="D178" s="131"/>
      <c r="E178" s="131"/>
      <c r="F178" s="132"/>
      <c r="G178" s="132"/>
      <c r="H178" s="133"/>
      <c r="I178" s="133"/>
      <c r="J178" s="127"/>
      <c r="K178" s="127"/>
      <c r="L178" s="113"/>
    </row>
    <row r="179">
      <c r="A179" s="128"/>
      <c r="B179" s="128"/>
      <c r="C179" s="129"/>
      <c r="D179" s="131"/>
      <c r="E179" s="131"/>
      <c r="F179" s="132"/>
      <c r="G179" s="132"/>
      <c r="H179" s="133"/>
      <c r="I179" s="133"/>
      <c r="J179" s="127"/>
      <c r="K179" s="127"/>
      <c r="L179" s="113"/>
    </row>
    <row r="180">
      <c r="A180" s="128"/>
      <c r="B180" s="128"/>
      <c r="C180" s="129"/>
      <c r="D180" s="131"/>
      <c r="E180" s="131"/>
      <c r="F180" s="132"/>
      <c r="G180" s="132"/>
      <c r="H180" s="133"/>
      <c r="I180" s="133"/>
      <c r="J180" s="127"/>
      <c r="K180" s="127"/>
      <c r="L180" s="113"/>
    </row>
    <row r="181">
      <c r="A181" s="128"/>
      <c r="B181" s="128"/>
      <c r="C181" s="129"/>
      <c r="D181" s="131"/>
      <c r="E181" s="131"/>
      <c r="F181" s="132"/>
      <c r="G181" s="132"/>
      <c r="H181" s="133"/>
      <c r="I181" s="133"/>
      <c r="J181" s="127"/>
      <c r="K181" s="127"/>
      <c r="L181" s="113"/>
    </row>
    <row r="182">
      <c r="A182" s="128"/>
      <c r="B182" s="128"/>
      <c r="C182" s="129"/>
      <c r="D182" s="131"/>
      <c r="E182" s="131"/>
      <c r="F182" s="132"/>
      <c r="G182" s="132"/>
      <c r="H182" s="133"/>
      <c r="I182" s="133"/>
      <c r="J182" s="127"/>
      <c r="K182" s="127"/>
      <c r="L182" s="113"/>
    </row>
    <row r="183">
      <c r="A183" s="128"/>
      <c r="B183" s="128"/>
      <c r="C183" s="129"/>
      <c r="D183" s="131"/>
      <c r="E183" s="131"/>
      <c r="F183" s="132"/>
      <c r="G183" s="132"/>
      <c r="H183" s="133"/>
      <c r="I183" s="133"/>
      <c r="J183" s="127"/>
      <c r="K183" s="127"/>
      <c r="L183" s="113"/>
    </row>
    <row r="184">
      <c r="A184" s="128"/>
      <c r="B184" s="128"/>
      <c r="C184" s="129"/>
      <c r="D184" s="131"/>
      <c r="E184" s="131"/>
      <c r="F184" s="132"/>
      <c r="G184" s="132"/>
      <c r="H184" s="133"/>
      <c r="I184" s="133"/>
      <c r="J184" s="127"/>
      <c r="K184" s="127"/>
      <c r="L184" s="113"/>
    </row>
    <row r="185">
      <c r="A185" s="128"/>
      <c r="B185" s="128"/>
      <c r="C185" s="129"/>
      <c r="D185" s="131"/>
      <c r="E185" s="131"/>
      <c r="F185" s="132"/>
      <c r="G185" s="132"/>
      <c r="H185" s="133"/>
      <c r="I185" s="133"/>
      <c r="J185" s="127"/>
      <c r="K185" s="127"/>
      <c r="L185" s="113"/>
    </row>
    <row r="186">
      <c r="A186" s="128"/>
      <c r="B186" s="128"/>
      <c r="C186" s="129"/>
      <c r="D186" s="131"/>
      <c r="E186" s="131"/>
      <c r="F186" s="132"/>
      <c r="G186" s="132"/>
      <c r="H186" s="133"/>
      <c r="I186" s="133"/>
      <c r="J186" s="127"/>
      <c r="K186" s="127"/>
      <c r="L186" s="113"/>
    </row>
    <row r="187">
      <c r="A187" s="128"/>
      <c r="B187" s="128"/>
      <c r="C187" s="129"/>
      <c r="D187" s="131"/>
      <c r="E187" s="131"/>
      <c r="F187" s="132"/>
      <c r="G187" s="132"/>
      <c r="H187" s="133"/>
      <c r="I187" s="133"/>
      <c r="J187" s="127"/>
      <c r="K187" s="127"/>
      <c r="L187" s="113"/>
    </row>
    <row r="188">
      <c r="A188" s="128"/>
      <c r="B188" s="128"/>
      <c r="C188" s="129"/>
      <c r="D188" s="131"/>
      <c r="E188" s="131"/>
      <c r="F188" s="132"/>
      <c r="G188" s="132"/>
      <c r="H188" s="133"/>
      <c r="I188" s="133"/>
      <c r="J188" s="127"/>
      <c r="K188" s="127"/>
      <c r="L188" s="113"/>
    </row>
    <row r="189">
      <c r="A189" s="128"/>
      <c r="B189" s="128"/>
      <c r="C189" s="129"/>
      <c r="D189" s="131"/>
      <c r="E189" s="131"/>
      <c r="F189" s="132"/>
      <c r="G189" s="132"/>
      <c r="H189" s="133"/>
      <c r="I189" s="133"/>
      <c r="J189" s="127"/>
      <c r="K189" s="127"/>
      <c r="L189" s="113"/>
    </row>
    <row r="190">
      <c r="A190" s="128"/>
      <c r="B190" s="128"/>
      <c r="C190" s="129"/>
      <c r="D190" s="131"/>
      <c r="E190" s="131"/>
      <c r="F190" s="132"/>
      <c r="G190" s="132"/>
      <c r="H190" s="133"/>
      <c r="I190" s="133"/>
      <c r="J190" s="127"/>
      <c r="K190" s="127"/>
      <c r="L190" s="113"/>
    </row>
    <row r="191">
      <c r="A191" s="128"/>
      <c r="B191" s="128"/>
      <c r="C191" s="129"/>
      <c r="D191" s="131"/>
      <c r="E191" s="131"/>
      <c r="F191" s="132"/>
      <c r="G191" s="132"/>
      <c r="H191" s="133"/>
      <c r="I191" s="133"/>
      <c r="J191" s="127"/>
      <c r="K191" s="127"/>
      <c r="L191" s="113"/>
    </row>
    <row r="192">
      <c r="A192" s="128"/>
      <c r="B192" s="128"/>
      <c r="C192" s="129"/>
      <c r="D192" s="131"/>
      <c r="E192" s="131"/>
      <c r="F192" s="132"/>
      <c r="G192" s="132"/>
      <c r="H192" s="133"/>
      <c r="I192" s="133"/>
      <c r="J192" s="127"/>
      <c r="K192" s="127"/>
      <c r="L192" s="113"/>
    </row>
    <row r="193">
      <c r="A193" s="128"/>
      <c r="B193" s="128"/>
      <c r="C193" s="129"/>
      <c r="D193" s="131"/>
      <c r="E193" s="131"/>
      <c r="F193" s="132"/>
      <c r="G193" s="132"/>
      <c r="H193" s="133"/>
      <c r="I193" s="133"/>
      <c r="J193" s="127"/>
      <c r="K193" s="127"/>
      <c r="L193" s="113"/>
    </row>
    <row r="194">
      <c r="A194" s="128"/>
      <c r="B194" s="128"/>
      <c r="C194" s="129"/>
      <c r="D194" s="131"/>
      <c r="E194" s="131"/>
      <c r="F194" s="132"/>
      <c r="G194" s="132"/>
      <c r="H194" s="133"/>
      <c r="I194" s="133"/>
      <c r="J194" s="127"/>
      <c r="K194" s="127"/>
      <c r="L194" s="113"/>
    </row>
    <row r="195">
      <c r="A195" s="128"/>
      <c r="B195" s="128"/>
      <c r="C195" s="129"/>
      <c r="D195" s="131"/>
      <c r="E195" s="131"/>
      <c r="F195" s="132"/>
      <c r="G195" s="132"/>
      <c r="H195" s="133"/>
      <c r="I195" s="133"/>
      <c r="J195" s="127"/>
      <c r="K195" s="127"/>
      <c r="L195" s="113"/>
    </row>
    <row r="196">
      <c r="A196" s="128"/>
      <c r="B196" s="128"/>
      <c r="C196" s="129"/>
      <c r="D196" s="131"/>
      <c r="E196" s="131"/>
      <c r="F196" s="132"/>
      <c r="G196" s="132"/>
      <c r="H196" s="133"/>
      <c r="I196" s="133"/>
      <c r="J196" s="127"/>
      <c r="K196" s="127"/>
      <c r="L196" s="113"/>
    </row>
    <row r="197">
      <c r="A197" s="128"/>
      <c r="B197" s="128"/>
      <c r="C197" s="129"/>
      <c r="D197" s="131"/>
      <c r="E197" s="131"/>
      <c r="F197" s="132"/>
      <c r="G197" s="132"/>
      <c r="H197" s="133"/>
      <c r="I197" s="133"/>
      <c r="J197" s="127"/>
      <c r="K197" s="127"/>
      <c r="L197" s="113"/>
    </row>
    <row r="198">
      <c r="A198" s="128"/>
      <c r="B198" s="128"/>
      <c r="C198" s="129"/>
      <c r="D198" s="131"/>
      <c r="E198" s="131"/>
      <c r="F198" s="132"/>
      <c r="G198" s="132"/>
      <c r="H198" s="133"/>
      <c r="I198" s="133"/>
      <c r="J198" s="127"/>
      <c r="K198" s="127"/>
      <c r="L198" s="113"/>
    </row>
    <row r="199">
      <c r="A199" s="128"/>
      <c r="B199" s="128"/>
      <c r="C199" s="129"/>
      <c r="D199" s="131"/>
      <c r="E199" s="131"/>
      <c r="F199" s="132"/>
      <c r="G199" s="132"/>
      <c r="H199" s="133"/>
      <c r="I199" s="133"/>
      <c r="J199" s="127"/>
      <c r="K199" s="127"/>
      <c r="L199" s="113"/>
    </row>
    <row r="200">
      <c r="A200" s="128"/>
      <c r="B200" s="128"/>
      <c r="C200" s="129"/>
      <c r="D200" s="131"/>
      <c r="E200" s="131"/>
      <c r="F200" s="132"/>
      <c r="G200" s="132"/>
      <c r="H200" s="133"/>
      <c r="I200" s="133"/>
      <c r="J200" s="127"/>
      <c r="K200" s="127"/>
      <c r="L200" s="113"/>
    </row>
    <row r="201">
      <c r="A201" s="128"/>
      <c r="B201" s="128"/>
      <c r="C201" s="129"/>
      <c r="D201" s="131"/>
      <c r="E201" s="131"/>
      <c r="F201" s="132"/>
      <c r="G201" s="132"/>
      <c r="H201" s="133"/>
      <c r="I201" s="133"/>
      <c r="J201" s="127"/>
      <c r="K201" s="127"/>
      <c r="L201" s="113"/>
    </row>
    <row r="202">
      <c r="A202" s="128"/>
      <c r="B202" s="128"/>
      <c r="C202" s="129"/>
      <c r="D202" s="131"/>
      <c r="E202" s="131"/>
      <c r="F202" s="132"/>
      <c r="G202" s="132"/>
      <c r="H202" s="133"/>
      <c r="I202" s="133"/>
      <c r="J202" s="127"/>
      <c r="K202" s="127"/>
      <c r="L202" s="113"/>
    </row>
    <row r="203">
      <c r="A203" s="128"/>
      <c r="B203" s="128"/>
      <c r="C203" s="129"/>
      <c r="D203" s="131"/>
      <c r="E203" s="131"/>
      <c r="F203" s="132"/>
      <c r="G203" s="132"/>
      <c r="H203" s="133"/>
      <c r="I203" s="133"/>
      <c r="J203" s="127"/>
      <c r="K203" s="127"/>
      <c r="L203" s="113"/>
    </row>
    <row r="204">
      <c r="A204" s="128"/>
      <c r="B204" s="128"/>
      <c r="C204" s="129"/>
      <c r="D204" s="131"/>
      <c r="E204" s="131"/>
      <c r="F204" s="132"/>
      <c r="G204" s="132"/>
      <c r="H204" s="133"/>
      <c r="I204" s="133"/>
      <c r="J204" s="127"/>
      <c r="K204" s="127"/>
      <c r="L204" s="113"/>
    </row>
    <row r="205">
      <c r="A205" s="128"/>
      <c r="B205" s="128"/>
      <c r="C205" s="129"/>
      <c r="D205" s="131"/>
      <c r="E205" s="131"/>
      <c r="F205" s="132"/>
      <c r="G205" s="132"/>
      <c r="H205" s="133"/>
      <c r="I205" s="133"/>
      <c r="J205" s="127"/>
      <c r="K205" s="127"/>
      <c r="L205" s="113"/>
    </row>
    <row r="206">
      <c r="A206" s="128"/>
      <c r="B206" s="128"/>
      <c r="C206" s="129"/>
      <c r="D206" s="131"/>
      <c r="E206" s="131"/>
      <c r="F206" s="132"/>
      <c r="G206" s="132"/>
      <c r="H206" s="133"/>
      <c r="I206" s="133"/>
      <c r="J206" s="127"/>
      <c r="K206" s="127"/>
      <c r="L206" s="113"/>
    </row>
    <row r="207">
      <c r="A207" s="128"/>
      <c r="B207" s="128"/>
      <c r="C207" s="129"/>
      <c r="D207" s="131"/>
      <c r="E207" s="131"/>
      <c r="F207" s="132"/>
      <c r="G207" s="132"/>
      <c r="H207" s="133"/>
      <c r="I207" s="133"/>
      <c r="J207" s="127"/>
      <c r="K207" s="127"/>
      <c r="L207" s="113"/>
    </row>
    <row r="208">
      <c r="A208" s="128"/>
      <c r="B208" s="128"/>
      <c r="C208" s="129"/>
      <c r="D208" s="131"/>
      <c r="E208" s="131"/>
      <c r="F208" s="132"/>
      <c r="G208" s="132"/>
      <c r="H208" s="133"/>
      <c r="I208" s="133"/>
      <c r="J208" s="127"/>
      <c r="K208" s="127"/>
      <c r="L208" s="113"/>
    </row>
    <row r="209">
      <c r="A209" s="128"/>
      <c r="B209" s="128"/>
      <c r="C209" s="129"/>
      <c r="D209" s="131"/>
      <c r="E209" s="131"/>
      <c r="F209" s="132"/>
      <c r="G209" s="132"/>
      <c r="H209" s="133"/>
      <c r="I209" s="133"/>
      <c r="J209" s="127"/>
      <c r="K209" s="127"/>
      <c r="L209" s="113"/>
    </row>
    <row r="210">
      <c r="A210" s="128"/>
      <c r="B210" s="128"/>
      <c r="C210" s="129"/>
      <c r="D210" s="131"/>
      <c r="E210" s="131"/>
      <c r="F210" s="132"/>
      <c r="G210" s="132"/>
      <c r="H210" s="133"/>
      <c r="I210" s="133"/>
      <c r="J210" s="127"/>
      <c r="K210" s="127"/>
      <c r="L210" s="113"/>
    </row>
    <row r="211">
      <c r="A211" s="128"/>
      <c r="B211" s="128"/>
      <c r="C211" s="129"/>
      <c r="D211" s="131"/>
      <c r="E211" s="131"/>
      <c r="F211" s="132"/>
      <c r="G211" s="132"/>
      <c r="H211" s="133"/>
      <c r="I211" s="133"/>
      <c r="J211" s="127"/>
      <c r="K211" s="127"/>
      <c r="L211" s="113"/>
    </row>
    <row r="212">
      <c r="A212" s="128"/>
      <c r="B212" s="128"/>
      <c r="C212" s="129"/>
      <c r="D212" s="131"/>
      <c r="E212" s="131"/>
      <c r="F212" s="132"/>
      <c r="G212" s="132"/>
      <c r="H212" s="133"/>
      <c r="I212" s="133"/>
      <c r="J212" s="127"/>
      <c r="K212" s="127"/>
      <c r="L212" s="113"/>
    </row>
    <row r="213">
      <c r="A213" s="128"/>
      <c r="B213" s="128"/>
      <c r="C213" s="129"/>
      <c r="D213" s="131"/>
      <c r="E213" s="131"/>
      <c r="F213" s="132"/>
      <c r="G213" s="132"/>
      <c r="H213" s="133"/>
      <c r="I213" s="133"/>
      <c r="J213" s="127"/>
      <c r="K213" s="127"/>
      <c r="L213" s="113"/>
    </row>
    <row r="214">
      <c r="A214" s="128"/>
      <c r="B214" s="128"/>
      <c r="C214" s="129"/>
      <c r="D214" s="131"/>
      <c r="E214" s="131"/>
      <c r="F214" s="132"/>
      <c r="G214" s="132"/>
      <c r="H214" s="133"/>
      <c r="I214" s="133"/>
      <c r="J214" s="127"/>
      <c r="K214" s="127"/>
      <c r="L214" s="113"/>
    </row>
    <row r="215">
      <c r="A215" s="128"/>
      <c r="B215" s="128"/>
      <c r="C215" s="129"/>
      <c r="D215" s="131"/>
      <c r="E215" s="131"/>
      <c r="F215" s="132"/>
      <c r="G215" s="132"/>
      <c r="H215" s="133"/>
      <c r="I215" s="133"/>
      <c r="J215" s="127"/>
      <c r="K215" s="127"/>
      <c r="L215" s="113"/>
    </row>
    <row r="216">
      <c r="A216" s="128"/>
      <c r="B216" s="128"/>
      <c r="C216" s="129"/>
      <c r="D216" s="131"/>
      <c r="E216" s="131"/>
      <c r="F216" s="132"/>
      <c r="G216" s="132"/>
      <c r="H216" s="133"/>
      <c r="I216" s="133"/>
      <c r="J216" s="127"/>
      <c r="K216" s="127"/>
      <c r="L216" s="113"/>
    </row>
    <row r="217">
      <c r="A217" s="128"/>
      <c r="B217" s="128"/>
      <c r="C217" s="129"/>
      <c r="D217" s="131"/>
      <c r="E217" s="131"/>
      <c r="F217" s="132"/>
      <c r="G217" s="132"/>
      <c r="H217" s="133"/>
      <c r="I217" s="133"/>
      <c r="J217" s="127"/>
      <c r="K217" s="127"/>
      <c r="L217" s="113"/>
    </row>
    <row r="218">
      <c r="A218" s="128"/>
      <c r="B218" s="128"/>
      <c r="C218" s="129"/>
      <c r="D218" s="131"/>
      <c r="E218" s="131"/>
      <c r="F218" s="132"/>
      <c r="G218" s="132"/>
      <c r="H218" s="133"/>
      <c r="I218" s="133"/>
      <c r="J218" s="127"/>
      <c r="K218" s="127"/>
      <c r="L218" s="113"/>
    </row>
    <row r="219">
      <c r="A219" s="128"/>
      <c r="B219" s="128"/>
      <c r="C219" s="129"/>
      <c r="D219" s="131"/>
      <c r="E219" s="131"/>
      <c r="F219" s="132"/>
      <c r="G219" s="132"/>
      <c r="H219" s="133"/>
      <c r="I219" s="133"/>
      <c r="J219" s="127"/>
      <c r="K219" s="127"/>
      <c r="L219" s="113"/>
    </row>
    <row r="220">
      <c r="A220" s="128"/>
      <c r="B220" s="128"/>
      <c r="C220" s="129"/>
      <c r="D220" s="131"/>
      <c r="E220" s="131"/>
      <c r="F220" s="132"/>
      <c r="G220" s="132"/>
      <c r="H220" s="133"/>
      <c r="I220" s="133"/>
      <c r="J220" s="127"/>
      <c r="K220" s="127"/>
      <c r="L220" s="113"/>
    </row>
    <row r="221">
      <c r="A221" s="128"/>
      <c r="B221" s="128"/>
      <c r="C221" s="129"/>
      <c r="D221" s="131"/>
      <c r="E221" s="131"/>
      <c r="F221" s="132"/>
      <c r="G221" s="132"/>
      <c r="H221" s="133"/>
      <c r="I221" s="133"/>
      <c r="J221" s="127"/>
      <c r="K221" s="127"/>
      <c r="L221" s="113"/>
    </row>
    <row r="222">
      <c r="A222" s="128"/>
      <c r="B222" s="128"/>
      <c r="C222" s="129"/>
      <c r="D222" s="131"/>
      <c r="E222" s="131"/>
      <c r="F222" s="132"/>
      <c r="G222" s="132"/>
      <c r="H222" s="133"/>
      <c r="I222" s="133"/>
      <c r="J222" s="127"/>
      <c r="K222" s="127"/>
      <c r="L222" s="113"/>
    </row>
    <row r="223">
      <c r="A223" s="128"/>
      <c r="B223" s="128"/>
      <c r="C223" s="129"/>
      <c r="D223" s="131"/>
      <c r="E223" s="131"/>
      <c r="F223" s="132"/>
      <c r="G223" s="132"/>
      <c r="H223" s="133"/>
      <c r="I223" s="133"/>
      <c r="J223" s="127"/>
      <c r="K223" s="127"/>
      <c r="L223" s="113"/>
    </row>
    <row r="224">
      <c r="A224" s="128"/>
      <c r="B224" s="128"/>
      <c r="C224" s="129"/>
      <c r="D224" s="131"/>
      <c r="E224" s="131"/>
      <c r="F224" s="132"/>
      <c r="G224" s="132"/>
      <c r="H224" s="133"/>
      <c r="I224" s="133"/>
      <c r="J224" s="127"/>
      <c r="K224" s="127"/>
      <c r="L224" s="113"/>
    </row>
    <row r="225">
      <c r="A225" s="128"/>
      <c r="B225" s="128"/>
      <c r="C225" s="129"/>
      <c r="D225" s="131"/>
      <c r="E225" s="131"/>
      <c r="F225" s="132"/>
      <c r="G225" s="132"/>
      <c r="H225" s="133"/>
      <c r="I225" s="133"/>
      <c r="J225" s="127"/>
      <c r="K225" s="127"/>
      <c r="L225" s="113"/>
    </row>
    <row r="226">
      <c r="A226" s="128"/>
      <c r="B226" s="128"/>
      <c r="C226" s="129"/>
      <c r="D226" s="131"/>
      <c r="E226" s="131"/>
      <c r="F226" s="132"/>
      <c r="G226" s="132"/>
      <c r="H226" s="133"/>
      <c r="I226" s="133"/>
      <c r="J226" s="127"/>
      <c r="K226" s="127"/>
      <c r="L226" s="113"/>
    </row>
    <row r="227">
      <c r="A227" s="128"/>
      <c r="B227" s="128"/>
      <c r="C227" s="129"/>
      <c r="D227" s="131"/>
      <c r="E227" s="131"/>
      <c r="F227" s="132"/>
      <c r="G227" s="132"/>
      <c r="H227" s="133"/>
      <c r="I227" s="133"/>
      <c r="J227" s="127"/>
      <c r="K227" s="127"/>
      <c r="L227" s="113"/>
    </row>
    <row r="228">
      <c r="A228" s="128"/>
      <c r="B228" s="128"/>
      <c r="C228" s="129"/>
      <c r="D228" s="131"/>
      <c r="E228" s="131"/>
      <c r="F228" s="132"/>
      <c r="G228" s="132"/>
      <c r="H228" s="133"/>
      <c r="I228" s="133"/>
      <c r="J228" s="127"/>
      <c r="K228" s="127"/>
      <c r="L228" s="113"/>
    </row>
    <row r="229">
      <c r="A229" s="128"/>
      <c r="B229" s="128"/>
      <c r="C229" s="129"/>
      <c r="D229" s="131"/>
      <c r="E229" s="131"/>
      <c r="F229" s="132"/>
      <c r="G229" s="132"/>
      <c r="H229" s="133"/>
      <c r="I229" s="133"/>
      <c r="J229" s="127"/>
      <c r="K229" s="127"/>
      <c r="L229" s="113"/>
    </row>
    <row r="230">
      <c r="A230" s="128"/>
      <c r="B230" s="128"/>
      <c r="C230" s="129"/>
      <c r="D230" s="131"/>
      <c r="E230" s="131"/>
      <c r="F230" s="132"/>
      <c r="G230" s="132"/>
      <c r="H230" s="133"/>
      <c r="I230" s="133"/>
      <c r="J230" s="127"/>
      <c r="K230" s="127"/>
      <c r="L230" s="113"/>
    </row>
    <row r="231">
      <c r="A231" s="128"/>
      <c r="B231" s="128"/>
      <c r="C231" s="129"/>
      <c r="D231" s="131"/>
      <c r="E231" s="131"/>
      <c r="F231" s="132"/>
      <c r="G231" s="132"/>
      <c r="H231" s="133"/>
      <c r="I231" s="133"/>
      <c r="J231" s="127"/>
      <c r="K231" s="127"/>
      <c r="L231" s="113"/>
    </row>
    <row r="232">
      <c r="A232" s="128"/>
      <c r="B232" s="128"/>
      <c r="C232" s="129"/>
      <c r="D232" s="131"/>
      <c r="E232" s="131"/>
      <c r="F232" s="132"/>
      <c r="G232" s="132"/>
      <c r="H232" s="133"/>
      <c r="I232" s="133"/>
      <c r="J232" s="127"/>
      <c r="K232" s="127"/>
      <c r="L232" s="113"/>
    </row>
    <row r="233">
      <c r="A233" s="128"/>
      <c r="B233" s="128"/>
      <c r="C233" s="129"/>
      <c r="D233" s="131"/>
      <c r="E233" s="131"/>
      <c r="F233" s="132"/>
      <c r="G233" s="132"/>
      <c r="H233" s="133"/>
      <c r="I233" s="133"/>
      <c r="J233" s="127"/>
      <c r="K233" s="127"/>
      <c r="L233" s="113"/>
    </row>
    <row r="234">
      <c r="A234" s="128"/>
      <c r="B234" s="128"/>
      <c r="C234" s="129"/>
      <c r="D234" s="131"/>
      <c r="E234" s="131"/>
      <c r="F234" s="132"/>
      <c r="G234" s="132"/>
      <c r="H234" s="133"/>
      <c r="I234" s="133"/>
      <c r="J234" s="127"/>
      <c r="K234" s="127"/>
      <c r="L234" s="113"/>
    </row>
    <row r="235">
      <c r="A235" s="128"/>
      <c r="B235" s="128"/>
      <c r="C235" s="129"/>
      <c r="D235" s="131"/>
      <c r="E235" s="131"/>
      <c r="F235" s="132"/>
      <c r="G235" s="132"/>
      <c r="H235" s="133"/>
      <c r="I235" s="133"/>
      <c r="J235" s="127"/>
      <c r="K235" s="127"/>
      <c r="L235" s="113"/>
    </row>
    <row r="236">
      <c r="A236" s="128"/>
      <c r="B236" s="128"/>
      <c r="C236" s="129"/>
      <c r="D236" s="131"/>
      <c r="E236" s="131"/>
      <c r="F236" s="132"/>
      <c r="G236" s="132"/>
      <c r="H236" s="133"/>
      <c r="I236" s="133"/>
      <c r="J236" s="127"/>
      <c r="K236" s="127"/>
      <c r="L236" s="113"/>
    </row>
    <row r="237">
      <c r="A237" s="128"/>
      <c r="B237" s="128"/>
      <c r="C237" s="129"/>
      <c r="D237" s="131"/>
      <c r="E237" s="131"/>
      <c r="F237" s="132"/>
      <c r="G237" s="132"/>
      <c r="H237" s="133"/>
      <c r="I237" s="133"/>
      <c r="J237" s="127"/>
      <c r="K237" s="127"/>
      <c r="L237" s="113"/>
    </row>
    <row r="238">
      <c r="A238" s="128"/>
      <c r="B238" s="128"/>
      <c r="C238" s="129"/>
      <c r="D238" s="131"/>
      <c r="E238" s="131"/>
      <c r="F238" s="132"/>
      <c r="G238" s="132"/>
      <c r="H238" s="133"/>
      <c r="I238" s="133"/>
      <c r="J238" s="127"/>
      <c r="K238" s="127"/>
      <c r="L238" s="113"/>
    </row>
    <row r="239">
      <c r="A239" s="128"/>
      <c r="B239" s="128"/>
      <c r="C239" s="129"/>
      <c r="D239" s="131"/>
      <c r="E239" s="131"/>
      <c r="F239" s="132"/>
      <c r="G239" s="132"/>
      <c r="H239" s="133"/>
      <c r="I239" s="133"/>
      <c r="J239" s="127"/>
      <c r="K239" s="127"/>
      <c r="L239" s="113"/>
    </row>
    <row r="240">
      <c r="A240" s="128"/>
      <c r="B240" s="128"/>
      <c r="C240" s="129"/>
      <c r="D240" s="131"/>
      <c r="E240" s="131"/>
      <c r="F240" s="132"/>
      <c r="G240" s="132"/>
      <c r="H240" s="133"/>
      <c r="I240" s="133"/>
      <c r="J240" s="127"/>
      <c r="K240" s="127"/>
      <c r="L240" s="113"/>
    </row>
    <row r="241">
      <c r="A241" s="128"/>
      <c r="B241" s="128"/>
      <c r="C241" s="129"/>
      <c r="D241" s="131"/>
      <c r="E241" s="131"/>
      <c r="F241" s="132"/>
      <c r="G241" s="132"/>
      <c r="H241" s="133"/>
      <c r="I241" s="133"/>
      <c r="J241" s="127"/>
      <c r="K241" s="127"/>
      <c r="L241" s="113"/>
    </row>
    <row r="242">
      <c r="A242" s="128"/>
      <c r="B242" s="128"/>
      <c r="C242" s="129"/>
      <c r="D242" s="131"/>
      <c r="E242" s="131"/>
      <c r="F242" s="132"/>
      <c r="G242" s="132"/>
      <c r="H242" s="133"/>
      <c r="I242" s="133"/>
      <c r="J242" s="127"/>
      <c r="K242" s="127"/>
      <c r="L242" s="113"/>
    </row>
    <row r="243">
      <c r="A243" s="128"/>
      <c r="B243" s="128"/>
      <c r="C243" s="129"/>
      <c r="D243" s="131"/>
      <c r="E243" s="131"/>
      <c r="F243" s="132"/>
      <c r="G243" s="132"/>
      <c r="H243" s="133"/>
      <c r="I243" s="133"/>
      <c r="J243" s="127"/>
      <c r="K243" s="127"/>
      <c r="L243" s="113"/>
    </row>
    <row r="244">
      <c r="A244" s="128"/>
      <c r="B244" s="128"/>
      <c r="C244" s="129"/>
      <c r="D244" s="131"/>
      <c r="E244" s="131"/>
      <c r="F244" s="132"/>
      <c r="G244" s="132"/>
      <c r="H244" s="133"/>
      <c r="I244" s="133"/>
      <c r="J244" s="127"/>
      <c r="K244" s="127"/>
      <c r="L244" s="113"/>
    </row>
    <row r="245">
      <c r="A245" s="128"/>
      <c r="B245" s="128"/>
      <c r="C245" s="129"/>
      <c r="D245" s="131"/>
      <c r="E245" s="131"/>
      <c r="F245" s="132"/>
      <c r="G245" s="132"/>
      <c r="H245" s="133"/>
      <c r="I245" s="133"/>
      <c r="J245" s="127"/>
      <c r="K245" s="127"/>
      <c r="L245" s="113"/>
    </row>
    <row r="246">
      <c r="A246" s="128"/>
      <c r="B246" s="128"/>
      <c r="C246" s="129"/>
      <c r="D246" s="131"/>
      <c r="E246" s="131"/>
      <c r="F246" s="132"/>
      <c r="G246" s="132"/>
      <c r="H246" s="133"/>
      <c r="I246" s="133"/>
      <c r="J246" s="127"/>
      <c r="K246" s="127"/>
      <c r="L246" s="113"/>
    </row>
    <row r="247">
      <c r="A247" s="128"/>
      <c r="B247" s="128"/>
      <c r="C247" s="129"/>
      <c r="D247" s="131"/>
      <c r="E247" s="131"/>
      <c r="F247" s="132"/>
      <c r="G247" s="132"/>
      <c r="H247" s="133"/>
      <c r="I247" s="133"/>
      <c r="J247" s="127"/>
      <c r="K247" s="127"/>
      <c r="L247" s="113"/>
    </row>
    <row r="248">
      <c r="A248" s="128"/>
      <c r="B248" s="128"/>
      <c r="C248" s="129"/>
      <c r="D248" s="131"/>
      <c r="E248" s="131"/>
      <c r="F248" s="132"/>
      <c r="G248" s="132"/>
      <c r="H248" s="133"/>
      <c r="I248" s="133"/>
      <c r="J248" s="127"/>
      <c r="K248" s="127"/>
      <c r="L248" s="113"/>
    </row>
    <row r="249">
      <c r="A249" s="128"/>
      <c r="B249" s="128"/>
      <c r="C249" s="129"/>
      <c r="D249" s="131"/>
      <c r="E249" s="131"/>
      <c r="F249" s="132"/>
      <c r="G249" s="132"/>
      <c r="H249" s="133"/>
      <c r="I249" s="133"/>
      <c r="J249" s="127"/>
      <c r="K249" s="127"/>
      <c r="L249" s="113"/>
    </row>
    <row r="250">
      <c r="A250" s="128"/>
      <c r="B250" s="128"/>
      <c r="C250" s="129"/>
      <c r="D250" s="131"/>
      <c r="E250" s="131"/>
      <c r="F250" s="132"/>
      <c r="G250" s="132"/>
      <c r="H250" s="133"/>
      <c r="I250" s="133"/>
      <c r="J250" s="127"/>
      <c r="K250" s="127"/>
      <c r="L250" s="113"/>
    </row>
    <row r="251">
      <c r="A251" s="128"/>
      <c r="B251" s="128"/>
      <c r="C251" s="129"/>
      <c r="D251" s="131"/>
      <c r="E251" s="131"/>
      <c r="F251" s="132"/>
      <c r="G251" s="132"/>
      <c r="H251" s="133"/>
      <c r="I251" s="133"/>
      <c r="J251" s="127"/>
      <c r="K251" s="127"/>
      <c r="L251" s="113"/>
    </row>
    <row r="252">
      <c r="A252" s="128"/>
      <c r="B252" s="128"/>
      <c r="C252" s="129"/>
      <c r="D252" s="131"/>
      <c r="E252" s="131"/>
      <c r="F252" s="132"/>
      <c r="G252" s="132"/>
      <c r="H252" s="133"/>
      <c r="I252" s="133"/>
      <c r="J252" s="127"/>
      <c r="K252" s="127"/>
      <c r="L252" s="113"/>
    </row>
    <row r="253">
      <c r="A253" s="128"/>
      <c r="B253" s="128"/>
      <c r="C253" s="129"/>
      <c r="D253" s="131"/>
      <c r="E253" s="131"/>
      <c r="F253" s="132"/>
      <c r="G253" s="132"/>
      <c r="H253" s="133"/>
      <c r="I253" s="133"/>
      <c r="J253" s="127"/>
      <c r="K253" s="127"/>
      <c r="L253" s="113"/>
    </row>
    <row r="254">
      <c r="A254" s="128"/>
      <c r="B254" s="128"/>
      <c r="C254" s="129"/>
      <c r="D254" s="131"/>
      <c r="E254" s="131"/>
      <c r="F254" s="132"/>
      <c r="G254" s="132"/>
      <c r="H254" s="133"/>
      <c r="I254" s="133"/>
      <c r="J254" s="127"/>
      <c r="K254" s="127"/>
      <c r="L254" s="113"/>
    </row>
    <row r="255">
      <c r="A255" s="128"/>
      <c r="B255" s="128"/>
      <c r="C255" s="129"/>
      <c r="D255" s="131"/>
      <c r="E255" s="131"/>
      <c r="F255" s="132"/>
      <c r="G255" s="132"/>
      <c r="H255" s="133"/>
      <c r="I255" s="133"/>
      <c r="J255" s="127"/>
      <c r="K255" s="127"/>
      <c r="L255" s="113"/>
    </row>
    <row r="256">
      <c r="A256" s="128"/>
      <c r="B256" s="128"/>
      <c r="C256" s="129"/>
      <c r="D256" s="131"/>
      <c r="E256" s="131"/>
      <c r="F256" s="132"/>
      <c r="G256" s="132"/>
      <c r="H256" s="133"/>
      <c r="I256" s="133"/>
      <c r="J256" s="127"/>
      <c r="K256" s="127"/>
      <c r="L256" s="113"/>
    </row>
    <row r="257">
      <c r="A257" s="128"/>
      <c r="B257" s="128"/>
      <c r="C257" s="129"/>
      <c r="D257" s="131"/>
      <c r="E257" s="131"/>
      <c r="F257" s="132"/>
      <c r="G257" s="132"/>
      <c r="H257" s="133"/>
      <c r="I257" s="133"/>
      <c r="J257" s="127"/>
      <c r="K257" s="127"/>
      <c r="L257" s="113"/>
    </row>
    <row r="258">
      <c r="A258" s="128"/>
      <c r="B258" s="128"/>
      <c r="C258" s="129"/>
      <c r="D258" s="131"/>
      <c r="E258" s="131"/>
      <c r="F258" s="132"/>
      <c r="G258" s="132"/>
      <c r="H258" s="133"/>
      <c r="I258" s="133"/>
      <c r="J258" s="127"/>
      <c r="K258" s="127"/>
      <c r="L258" s="113"/>
    </row>
    <row r="259">
      <c r="A259" s="128"/>
      <c r="B259" s="128"/>
      <c r="C259" s="129"/>
      <c r="D259" s="131"/>
      <c r="E259" s="131"/>
      <c r="F259" s="132"/>
      <c r="G259" s="132"/>
      <c r="H259" s="133"/>
      <c r="I259" s="133"/>
      <c r="J259" s="127"/>
      <c r="K259" s="127"/>
      <c r="L259" s="113"/>
    </row>
    <row r="260">
      <c r="A260" s="128"/>
      <c r="B260" s="128"/>
      <c r="C260" s="129"/>
      <c r="D260" s="131"/>
      <c r="E260" s="131"/>
      <c r="F260" s="132"/>
      <c r="G260" s="132"/>
      <c r="H260" s="133"/>
      <c r="I260" s="133"/>
      <c r="J260" s="127"/>
      <c r="K260" s="127"/>
      <c r="L260" s="113"/>
    </row>
    <row r="261">
      <c r="A261" s="128"/>
      <c r="B261" s="128"/>
      <c r="C261" s="129"/>
      <c r="D261" s="131"/>
      <c r="E261" s="131"/>
      <c r="F261" s="132"/>
      <c r="G261" s="132"/>
      <c r="H261" s="133"/>
      <c r="I261" s="133"/>
      <c r="J261" s="127"/>
      <c r="K261" s="127"/>
      <c r="L261" s="113"/>
    </row>
    <row r="262">
      <c r="A262" s="128"/>
      <c r="B262" s="128"/>
      <c r="C262" s="129"/>
      <c r="D262" s="131"/>
      <c r="E262" s="131"/>
      <c r="F262" s="132"/>
      <c r="G262" s="132"/>
      <c r="H262" s="133"/>
      <c r="I262" s="133"/>
      <c r="J262" s="127"/>
      <c r="K262" s="127"/>
      <c r="L262" s="113"/>
    </row>
    <row r="263">
      <c r="A263" s="128"/>
      <c r="B263" s="128"/>
      <c r="C263" s="129"/>
      <c r="D263" s="131"/>
      <c r="E263" s="131"/>
      <c r="F263" s="132"/>
      <c r="G263" s="132"/>
      <c r="H263" s="133"/>
      <c r="I263" s="133"/>
      <c r="J263" s="127"/>
      <c r="K263" s="127"/>
      <c r="L263" s="113"/>
    </row>
    <row r="264">
      <c r="A264" s="128"/>
      <c r="B264" s="128"/>
      <c r="C264" s="129"/>
      <c r="D264" s="131"/>
      <c r="E264" s="131"/>
      <c r="F264" s="132"/>
      <c r="G264" s="132"/>
      <c r="H264" s="133"/>
      <c r="I264" s="133"/>
      <c r="J264" s="127"/>
      <c r="K264" s="127"/>
      <c r="L264" s="113"/>
    </row>
    <row r="265">
      <c r="A265" s="128"/>
      <c r="B265" s="128"/>
      <c r="C265" s="129"/>
      <c r="D265" s="131"/>
      <c r="E265" s="131"/>
      <c r="F265" s="132"/>
      <c r="G265" s="132"/>
      <c r="H265" s="133"/>
      <c r="I265" s="133"/>
      <c r="J265" s="127"/>
      <c r="K265" s="127"/>
      <c r="L265" s="113"/>
    </row>
    <row r="266">
      <c r="A266" s="128"/>
      <c r="B266" s="128"/>
      <c r="C266" s="129"/>
      <c r="D266" s="131"/>
      <c r="E266" s="131"/>
      <c r="F266" s="132"/>
      <c r="G266" s="132"/>
      <c r="H266" s="133"/>
      <c r="I266" s="133"/>
      <c r="J266" s="127"/>
      <c r="K266" s="127"/>
      <c r="L266" s="113"/>
    </row>
    <row r="267">
      <c r="A267" s="128"/>
      <c r="B267" s="128"/>
      <c r="C267" s="129"/>
      <c r="D267" s="131"/>
      <c r="E267" s="131"/>
      <c r="F267" s="132"/>
      <c r="G267" s="132"/>
      <c r="H267" s="133"/>
      <c r="I267" s="133"/>
      <c r="J267" s="127"/>
      <c r="K267" s="127"/>
      <c r="L267" s="113"/>
    </row>
    <row r="268">
      <c r="A268" s="128"/>
      <c r="B268" s="128"/>
      <c r="C268" s="129"/>
      <c r="D268" s="131"/>
      <c r="E268" s="131"/>
      <c r="F268" s="132"/>
      <c r="G268" s="132"/>
      <c r="H268" s="133"/>
      <c r="I268" s="133"/>
      <c r="J268" s="127"/>
      <c r="K268" s="127"/>
      <c r="L268" s="113"/>
    </row>
    <row r="269">
      <c r="A269" s="128"/>
      <c r="B269" s="128"/>
      <c r="C269" s="129"/>
      <c r="D269" s="131"/>
      <c r="E269" s="131"/>
      <c r="F269" s="132"/>
      <c r="G269" s="132"/>
      <c r="H269" s="133"/>
      <c r="I269" s="133"/>
      <c r="J269" s="127"/>
      <c r="K269" s="127"/>
      <c r="L269" s="113"/>
    </row>
    <row r="270">
      <c r="A270" s="128"/>
      <c r="B270" s="128"/>
      <c r="C270" s="129"/>
      <c r="D270" s="131"/>
      <c r="E270" s="131"/>
      <c r="F270" s="132"/>
      <c r="G270" s="132"/>
      <c r="H270" s="133"/>
      <c r="I270" s="133"/>
      <c r="J270" s="127"/>
      <c r="K270" s="127"/>
      <c r="L270" s="113"/>
    </row>
    <row r="271">
      <c r="A271" s="128"/>
      <c r="B271" s="128"/>
      <c r="C271" s="129"/>
      <c r="D271" s="131"/>
      <c r="E271" s="131"/>
      <c r="F271" s="132"/>
      <c r="G271" s="132"/>
      <c r="H271" s="133"/>
      <c r="I271" s="133"/>
      <c r="J271" s="127"/>
      <c r="K271" s="127"/>
      <c r="L271" s="113"/>
    </row>
    <row r="272">
      <c r="A272" s="128"/>
      <c r="B272" s="128"/>
      <c r="C272" s="129"/>
      <c r="D272" s="131"/>
      <c r="E272" s="131"/>
      <c r="F272" s="132"/>
      <c r="G272" s="132"/>
      <c r="H272" s="133"/>
      <c r="I272" s="133"/>
      <c r="J272" s="127"/>
      <c r="K272" s="127"/>
      <c r="L272" s="113"/>
    </row>
    <row r="273">
      <c r="A273" s="128"/>
      <c r="B273" s="128"/>
      <c r="C273" s="129"/>
      <c r="D273" s="131"/>
      <c r="E273" s="131"/>
      <c r="F273" s="132"/>
      <c r="G273" s="132"/>
      <c r="H273" s="133"/>
      <c r="I273" s="133"/>
      <c r="J273" s="127"/>
      <c r="K273" s="127"/>
      <c r="L273" s="113"/>
    </row>
    <row r="274">
      <c r="A274" s="128"/>
      <c r="B274" s="128"/>
      <c r="C274" s="129"/>
      <c r="D274" s="131"/>
      <c r="E274" s="131"/>
      <c r="F274" s="132"/>
      <c r="G274" s="132"/>
      <c r="H274" s="133"/>
      <c r="I274" s="133"/>
      <c r="J274" s="127"/>
      <c r="K274" s="127"/>
      <c r="L274" s="113"/>
    </row>
    <row r="275">
      <c r="A275" s="128"/>
      <c r="B275" s="128"/>
      <c r="C275" s="129"/>
      <c r="D275" s="131"/>
      <c r="E275" s="131"/>
      <c r="F275" s="132"/>
      <c r="G275" s="132"/>
      <c r="H275" s="133"/>
      <c r="I275" s="133"/>
      <c r="J275" s="127"/>
      <c r="K275" s="127"/>
      <c r="L275" s="113"/>
    </row>
    <row r="276">
      <c r="A276" s="128"/>
      <c r="B276" s="128"/>
      <c r="C276" s="129"/>
      <c r="D276" s="131"/>
      <c r="E276" s="131"/>
      <c r="F276" s="132"/>
      <c r="G276" s="132"/>
      <c r="H276" s="133"/>
      <c r="I276" s="133"/>
      <c r="J276" s="127"/>
      <c r="K276" s="127"/>
      <c r="L276" s="113"/>
    </row>
    <row r="277">
      <c r="A277" s="128"/>
      <c r="B277" s="128"/>
      <c r="C277" s="129"/>
      <c r="D277" s="131"/>
      <c r="E277" s="131"/>
      <c r="F277" s="132"/>
      <c r="G277" s="132"/>
      <c r="H277" s="133"/>
      <c r="I277" s="133"/>
      <c r="J277" s="127"/>
      <c r="K277" s="127"/>
      <c r="L277" s="113"/>
    </row>
    <row r="278">
      <c r="A278" s="128"/>
      <c r="B278" s="128"/>
      <c r="C278" s="129"/>
      <c r="D278" s="131"/>
      <c r="E278" s="131"/>
      <c r="F278" s="132"/>
      <c r="G278" s="132"/>
      <c r="H278" s="133"/>
      <c r="I278" s="133"/>
      <c r="J278" s="127"/>
      <c r="K278" s="127"/>
      <c r="L278" s="113"/>
    </row>
    <row r="279">
      <c r="A279" s="128"/>
      <c r="B279" s="128"/>
      <c r="C279" s="129"/>
      <c r="D279" s="131"/>
      <c r="E279" s="131"/>
      <c r="F279" s="132"/>
      <c r="G279" s="132"/>
      <c r="H279" s="133"/>
      <c r="I279" s="133"/>
      <c r="J279" s="127"/>
      <c r="K279" s="127"/>
      <c r="L279" s="113"/>
    </row>
    <row r="280">
      <c r="A280" s="128"/>
      <c r="B280" s="128"/>
      <c r="C280" s="129"/>
      <c r="D280" s="131"/>
      <c r="E280" s="131"/>
      <c r="F280" s="132"/>
      <c r="G280" s="132"/>
      <c r="H280" s="133"/>
      <c r="I280" s="133"/>
      <c r="J280" s="127"/>
      <c r="K280" s="127"/>
      <c r="L280" s="113"/>
    </row>
    <row r="281">
      <c r="A281" s="128"/>
      <c r="B281" s="128"/>
      <c r="C281" s="129"/>
      <c r="D281" s="131"/>
      <c r="E281" s="131"/>
      <c r="F281" s="132"/>
      <c r="G281" s="132"/>
      <c r="H281" s="133"/>
      <c r="I281" s="133"/>
      <c r="J281" s="127"/>
      <c r="K281" s="127"/>
      <c r="L281" s="113"/>
    </row>
    <row r="282">
      <c r="A282" s="128"/>
      <c r="B282" s="128"/>
      <c r="C282" s="129"/>
      <c r="D282" s="131"/>
      <c r="E282" s="131"/>
      <c r="F282" s="132"/>
      <c r="G282" s="132"/>
      <c r="H282" s="133"/>
      <c r="I282" s="133"/>
      <c r="J282" s="127"/>
      <c r="K282" s="127"/>
      <c r="L282" s="113"/>
    </row>
    <row r="283">
      <c r="A283" s="128"/>
      <c r="B283" s="128"/>
      <c r="C283" s="129"/>
      <c r="D283" s="131"/>
      <c r="E283" s="131"/>
      <c r="F283" s="132"/>
      <c r="G283" s="132"/>
      <c r="H283" s="133"/>
      <c r="I283" s="133"/>
      <c r="J283" s="127"/>
      <c r="K283" s="127"/>
      <c r="L283" s="113"/>
    </row>
    <row r="284">
      <c r="A284" s="128"/>
      <c r="B284" s="128"/>
      <c r="C284" s="129"/>
      <c r="D284" s="131"/>
      <c r="E284" s="131"/>
      <c r="F284" s="132"/>
      <c r="G284" s="132"/>
      <c r="H284" s="133"/>
      <c r="I284" s="133"/>
      <c r="J284" s="127"/>
      <c r="K284" s="127"/>
      <c r="L284" s="113"/>
    </row>
    <row r="285">
      <c r="A285" s="128"/>
      <c r="B285" s="128"/>
      <c r="C285" s="129"/>
      <c r="D285" s="131"/>
      <c r="E285" s="131"/>
      <c r="F285" s="132"/>
      <c r="G285" s="132"/>
      <c r="H285" s="133"/>
      <c r="I285" s="133"/>
      <c r="J285" s="127"/>
      <c r="K285" s="127"/>
      <c r="L285" s="113"/>
    </row>
    <row r="286">
      <c r="A286" s="128"/>
      <c r="B286" s="128"/>
      <c r="C286" s="129"/>
      <c r="D286" s="131"/>
      <c r="E286" s="131"/>
      <c r="F286" s="132"/>
      <c r="G286" s="132"/>
      <c r="H286" s="133"/>
      <c r="I286" s="133"/>
      <c r="J286" s="127"/>
      <c r="K286" s="127"/>
      <c r="L286" s="113"/>
    </row>
    <row r="287">
      <c r="A287" s="128"/>
      <c r="B287" s="128"/>
      <c r="C287" s="129"/>
      <c r="D287" s="131"/>
      <c r="E287" s="131"/>
      <c r="F287" s="132"/>
      <c r="G287" s="132"/>
      <c r="H287" s="133"/>
      <c r="I287" s="133"/>
      <c r="J287" s="127"/>
      <c r="K287" s="127"/>
      <c r="L287" s="113"/>
    </row>
    <row r="288">
      <c r="A288" s="128"/>
      <c r="B288" s="128"/>
      <c r="C288" s="129"/>
      <c r="D288" s="131"/>
      <c r="E288" s="131"/>
      <c r="F288" s="132"/>
      <c r="G288" s="132"/>
      <c r="H288" s="133"/>
      <c r="I288" s="133"/>
      <c r="J288" s="127"/>
      <c r="K288" s="127"/>
      <c r="L288" s="113"/>
    </row>
    <row r="289">
      <c r="A289" s="128"/>
      <c r="B289" s="128"/>
      <c r="C289" s="129"/>
      <c r="D289" s="131"/>
      <c r="E289" s="131"/>
      <c r="F289" s="132"/>
      <c r="G289" s="132"/>
      <c r="H289" s="133"/>
      <c r="I289" s="133"/>
      <c r="J289" s="127"/>
      <c r="K289" s="127"/>
      <c r="L289" s="113"/>
    </row>
    <row r="290">
      <c r="A290" s="128"/>
      <c r="B290" s="128"/>
      <c r="C290" s="129"/>
      <c r="D290" s="131"/>
      <c r="E290" s="131"/>
      <c r="F290" s="132"/>
      <c r="G290" s="132"/>
      <c r="H290" s="133"/>
      <c r="I290" s="133"/>
      <c r="J290" s="127"/>
      <c r="K290" s="127"/>
      <c r="L290" s="113"/>
    </row>
    <row r="291">
      <c r="A291" s="128"/>
      <c r="B291" s="128"/>
      <c r="C291" s="129"/>
      <c r="D291" s="131"/>
      <c r="E291" s="131"/>
      <c r="F291" s="132"/>
      <c r="G291" s="132"/>
      <c r="H291" s="133"/>
      <c r="I291" s="133"/>
      <c r="J291" s="127"/>
      <c r="K291" s="127"/>
      <c r="L291" s="113"/>
    </row>
    <row r="292">
      <c r="A292" s="128"/>
      <c r="B292" s="128"/>
      <c r="C292" s="129"/>
      <c r="D292" s="131"/>
      <c r="E292" s="131"/>
      <c r="F292" s="132"/>
      <c r="G292" s="132"/>
      <c r="H292" s="133"/>
      <c r="I292" s="133"/>
      <c r="J292" s="127"/>
      <c r="K292" s="127"/>
      <c r="L292" s="113"/>
    </row>
    <row r="293">
      <c r="A293" s="128"/>
      <c r="B293" s="128"/>
      <c r="C293" s="129"/>
      <c r="D293" s="131"/>
      <c r="E293" s="131"/>
      <c r="F293" s="132"/>
      <c r="G293" s="132"/>
      <c r="H293" s="133"/>
      <c r="I293" s="133"/>
      <c r="J293" s="127"/>
      <c r="K293" s="127"/>
      <c r="L293" s="113"/>
    </row>
    <row r="294">
      <c r="A294" s="128"/>
      <c r="B294" s="128"/>
      <c r="C294" s="129"/>
      <c r="D294" s="131"/>
      <c r="E294" s="131"/>
      <c r="F294" s="132"/>
      <c r="G294" s="132"/>
      <c r="H294" s="133"/>
      <c r="I294" s="133"/>
      <c r="J294" s="127"/>
      <c r="K294" s="127"/>
      <c r="L294" s="113"/>
    </row>
    <row r="295">
      <c r="A295" s="128"/>
      <c r="B295" s="128"/>
      <c r="C295" s="129"/>
      <c r="D295" s="131"/>
      <c r="E295" s="131"/>
      <c r="F295" s="132"/>
      <c r="G295" s="132"/>
      <c r="H295" s="133"/>
      <c r="I295" s="133"/>
      <c r="J295" s="127"/>
      <c r="K295" s="127"/>
      <c r="L295" s="113"/>
    </row>
    <row r="296">
      <c r="A296" s="128"/>
      <c r="B296" s="128"/>
      <c r="C296" s="129"/>
      <c r="D296" s="131"/>
      <c r="E296" s="131"/>
      <c r="F296" s="132"/>
      <c r="G296" s="132"/>
      <c r="H296" s="133"/>
      <c r="I296" s="133"/>
      <c r="J296" s="127"/>
      <c r="K296" s="127"/>
      <c r="L296" s="113"/>
    </row>
    <row r="297">
      <c r="A297" s="128"/>
      <c r="B297" s="128"/>
      <c r="C297" s="129"/>
      <c r="D297" s="131"/>
      <c r="E297" s="131"/>
      <c r="F297" s="132"/>
      <c r="G297" s="132"/>
      <c r="H297" s="133"/>
      <c r="I297" s="133"/>
      <c r="J297" s="127"/>
      <c r="K297" s="127"/>
      <c r="L297" s="113"/>
    </row>
    <row r="298">
      <c r="A298" s="128"/>
      <c r="B298" s="128"/>
      <c r="C298" s="129"/>
      <c r="D298" s="131"/>
      <c r="E298" s="131"/>
      <c r="F298" s="132"/>
      <c r="G298" s="132"/>
      <c r="H298" s="133"/>
      <c r="I298" s="133"/>
      <c r="J298" s="127"/>
      <c r="K298" s="127"/>
      <c r="L298" s="113"/>
    </row>
    <row r="299">
      <c r="A299" s="128"/>
      <c r="B299" s="128"/>
      <c r="C299" s="129"/>
      <c r="D299" s="131"/>
      <c r="E299" s="131"/>
      <c r="F299" s="132"/>
      <c r="G299" s="132"/>
      <c r="H299" s="133"/>
      <c r="I299" s="133"/>
      <c r="J299" s="127"/>
      <c r="K299" s="127"/>
      <c r="L299" s="113"/>
    </row>
    <row r="300">
      <c r="A300" s="128"/>
      <c r="B300" s="128"/>
      <c r="C300" s="129"/>
      <c r="D300" s="131"/>
      <c r="E300" s="131"/>
      <c r="F300" s="132"/>
      <c r="G300" s="132"/>
      <c r="H300" s="133"/>
      <c r="I300" s="133"/>
      <c r="J300" s="127"/>
      <c r="K300" s="127"/>
      <c r="L300" s="113"/>
    </row>
    <row r="301">
      <c r="A301" s="128"/>
      <c r="B301" s="128"/>
      <c r="C301" s="129"/>
      <c r="D301" s="131"/>
      <c r="E301" s="131"/>
      <c r="F301" s="132"/>
      <c r="G301" s="132"/>
      <c r="H301" s="133"/>
      <c r="I301" s="133"/>
      <c r="J301" s="127"/>
      <c r="K301" s="127"/>
      <c r="L301" s="113"/>
    </row>
    <row r="302">
      <c r="A302" s="128"/>
      <c r="B302" s="128"/>
      <c r="C302" s="129"/>
      <c r="D302" s="131"/>
      <c r="E302" s="131"/>
      <c r="F302" s="132"/>
      <c r="G302" s="132"/>
      <c r="H302" s="133"/>
      <c r="I302" s="133"/>
      <c r="J302" s="127"/>
      <c r="K302" s="127"/>
      <c r="L302" s="113"/>
    </row>
    <row r="303">
      <c r="A303" s="128"/>
      <c r="B303" s="128"/>
      <c r="C303" s="129"/>
      <c r="D303" s="131"/>
      <c r="E303" s="131"/>
      <c r="F303" s="132"/>
      <c r="G303" s="132"/>
      <c r="H303" s="133"/>
      <c r="I303" s="133"/>
      <c r="J303" s="127"/>
      <c r="K303" s="127"/>
      <c r="L303" s="113"/>
    </row>
    <row r="304">
      <c r="A304" s="128"/>
      <c r="B304" s="128"/>
      <c r="C304" s="129"/>
      <c r="D304" s="131"/>
      <c r="E304" s="131"/>
      <c r="F304" s="132"/>
      <c r="G304" s="132"/>
      <c r="H304" s="133"/>
      <c r="I304" s="133"/>
      <c r="J304" s="127"/>
      <c r="K304" s="127"/>
      <c r="L304" s="113"/>
    </row>
    <row r="305">
      <c r="A305" s="128"/>
      <c r="B305" s="128"/>
      <c r="C305" s="129"/>
      <c r="D305" s="131"/>
      <c r="E305" s="131"/>
      <c r="F305" s="132"/>
      <c r="G305" s="132"/>
      <c r="H305" s="133"/>
      <c r="I305" s="133"/>
      <c r="J305" s="127"/>
      <c r="K305" s="127"/>
      <c r="L305" s="113"/>
    </row>
    <row r="306">
      <c r="A306" s="128"/>
      <c r="B306" s="128"/>
      <c r="C306" s="129"/>
      <c r="D306" s="131"/>
      <c r="E306" s="131"/>
      <c r="F306" s="132"/>
      <c r="G306" s="132"/>
      <c r="H306" s="133"/>
      <c r="I306" s="133"/>
      <c r="J306" s="127"/>
      <c r="K306" s="127"/>
      <c r="L306" s="113"/>
    </row>
    <row r="307">
      <c r="A307" s="128"/>
      <c r="B307" s="128"/>
      <c r="C307" s="129"/>
      <c r="D307" s="131"/>
      <c r="E307" s="131"/>
      <c r="F307" s="132"/>
      <c r="G307" s="132"/>
      <c r="H307" s="133"/>
      <c r="I307" s="133"/>
      <c r="J307" s="127"/>
      <c r="K307" s="127"/>
      <c r="L307" s="113"/>
    </row>
    <row r="308">
      <c r="A308" s="128"/>
      <c r="B308" s="128"/>
      <c r="C308" s="129"/>
      <c r="D308" s="131"/>
      <c r="E308" s="131"/>
      <c r="F308" s="132"/>
      <c r="G308" s="132"/>
      <c r="H308" s="133"/>
      <c r="I308" s="133"/>
      <c r="J308" s="127"/>
      <c r="K308" s="127"/>
      <c r="L308" s="113"/>
    </row>
    <row r="309">
      <c r="A309" s="128"/>
      <c r="B309" s="128"/>
      <c r="C309" s="129"/>
      <c r="D309" s="131"/>
      <c r="E309" s="131"/>
      <c r="F309" s="132"/>
      <c r="G309" s="132"/>
      <c r="H309" s="133"/>
      <c r="I309" s="133"/>
      <c r="J309" s="127"/>
      <c r="K309" s="127"/>
      <c r="L309" s="113"/>
    </row>
    <row r="310">
      <c r="A310" s="128"/>
      <c r="B310" s="128"/>
      <c r="C310" s="129"/>
      <c r="D310" s="131"/>
      <c r="E310" s="131"/>
      <c r="F310" s="132"/>
      <c r="G310" s="132"/>
      <c r="H310" s="133"/>
      <c r="I310" s="133"/>
      <c r="J310" s="127"/>
      <c r="K310" s="127"/>
      <c r="L310" s="113"/>
    </row>
    <row r="311">
      <c r="A311" s="128"/>
      <c r="B311" s="128"/>
      <c r="C311" s="129"/>
      <c r="D311" s="131"/>
      <c r="E311" s="131"/>
      <c r="F311" s="132"/>
      <c r="G311" s="132"/>
      <c r="H311" s="133"/>
      <c r="I311" s="133"/>
      <c r="J311" s="127"/>
      <c r="K311" s="127"/>
      <c r="L311" s="113"/>
    </row>
    <row r="312">
      <c r="A312" s="128"/>
      <c r="B312" s="128"/>
      <c r="C312" s="129"/>
      <c r="D312" s="131"/>
      <c r="E312" s="131"/>
      <c r="F312" s="132"/>
      <c r="G312" s="132"/>
      <c r="H312" s="133"/>
      <c r="I312" s="133"/>
      <c r="J312" s="127"/>
      <c r="K312" s="127"/>
      <c r="L312" s="113"/>
    </row>
    <row r="313">
      <c r="A313" s="128"/>
      <c r="B313" s="128"/>
      <c r="C313" s="129"/>
      <c r="D313" s="131"/>
      <c r="E313" s="131"/>
      <c r="F313" s="132"/>
      <c r="G313" s="132"/>
      <c r="H313" s="133"/>
      <c r="I313" s="133"/>
      <c r="J313" s="127"/>
      <c r="K313" s="127"/>
      <c r="L313" s="113"/>
    </row>
    <row r="314">
      <c r="A314" s="128"/>
      <c r="B314" s="128"/>
      <c r="C314" s="129"/>
      <c r="D314" s="131"/>
      <c r="E314" s="131"/>
      <c r="F314" s="132"/>
      <c r="G314" s="132"/>
      <c r="H314" s="133"/>
      <c r="I314" s="133"/>
      <c r="J314" s="127"/>
      <c r="K314" s="127"/>
      <c r="L314" s="113"/>
    </row>
    <row r="315">
      <c r="A315" s="128"/>
      <c r="B315" s="128"/>
      <c r="C315" s="129"/>
      <c r="D315" s="131"/>
      <c r="E315" s="131"/>
      <c r="F315" s="132"/>
      <c r="G315" s="132"/>
      <c r="H315" s="133"/>
      <c r="I315" s="133"/>
      <c r="J315" s="127"/>
      <c r="K315" s="127"/>
      <c r="L315" s="113"/>
    </row>
    <row r="316">
      <c r="A316" s="128"/>
      <c r="B316" s="128"/>
      <c r="C316" s="129"/>
      <c r="D316" s="131"/>
      <c r="E316" s="131"/>
      <c r="F316" s="132"/>
      <c r="G316" s="132"/>
      <c r="H316" s="133"/>
      <c r="I316" s="133"/>
      <c r="J316" s="127"/>
      <c r="K316" s="127"/>
      <c r="L316" s="113"/>
    </row>
    <row r="317">
      <c r="A317" s="128"/>
      <c r="B317" s="128"/>
      <c r="C317" s="129"/>
      <c r="D317" s="131"/>
      <c r="E317" s="131"/>
      <c r="F317" s="132"/>
      <c r="G317" s="132"/>
      <c r="H317" s="133"/>
      <c r="I317" s="133"/>
      <c r="J317" s="127"/>
      <c r="K317" s="127"/>
      <c r="L317" s="113"/>
    </row>
    <row r="318">
      <c r="A318" s="128"/>
      <c r="B318" s="128"/>
      <c r="C318" s="129"/>
      <c r="D318" s="131"/>
      <c r="E318" s="131"/>
      <c r="F318" s="132"/>
      <c r="G318" s="132"/>
      <c r="H318" s="133"/>
      <c r="I318" s="133"/>
      <c r="J318" s="127"/>
      <c r="K318" s="127"/>
      <c r="L318" s="113"/>
    </row>
    <row r="319">
      <c r="A319" s="128"/>
      <c r="B319" s="128"/>
      <c r="C319" s="129"/>
      <c r="D319" s="131"/>
      <c r="E319" s="131"/>
      <c r="F319" s="132"/>
      <c r="G319" s="132"/>
      <c r="H319" s="133"/>
      <c r="I319" s="133"/>
      <c r="J319" s="127"/>
      <c r="K319" s="127"/>
      <c r="L319" s="113"/>
    </row>
    <row r="320">
      <c r="A320" s="128"/>
      <c r="B320" s="128"/>
      <c r="C320" s="129"/>
      <c r="D320" s="131"/>
      <c r="E320" s="131"/>
      <c r="F320" s="132"/>
      <c r="G320" s="132"/>
      <c r="H320" s="133"/>
      <c r="I320" s="133"/>
      <c r="J320" s="127"/>
      <c r="K320" s="127"/>
      <c r="L320" s="113"/>
    </row>
    <row r="321">
      <c r="A321" s="128"/>
      <c r="B321" s="128"/>
      <c r="C321" s="129"/>
      <c r="D321" s="131"/>
      <c r="E321" s="131"/>
      <c r="F321" s="132"/>
      <c r="G321" s="132"/>
      <c r="H321" s="133"/>
      <c r="I321" s="133"/>
      <c r="J321" s="127"/>
      <c r="K321" s="127"/>
      <c r="L321" s="113"/>
    </row>
    <row r="322">
      <c r="A322" s="128"/>
      <c r="B322" s="128"/>
      <c r="C322" s="129"/>
      <c r="D322" s="131"/>
      <c r="E322" s="131"/>
      <c r="F322" s="132"/>
      <c r="G322" s="132"/>
      <c r="H322" s="133"/>
      <c r="I322" s="133"/>
      <c r="J322" s="127"/>
      <c r="K322" s="127"/>
      <c r="L322" s="113"/>
    </row>
    <row r="323">
      <c r="A323" s="128"/>
      <c r="B323" s="128"/>
      <c r="C323" s="129"/>
      <c r="D323" s="131"/>
      <c r="E323" s="131"/>
      <c r="F323" s="132"/>
      <c r="G323" s="132"/>
      <c r="H323" s="133"/>
      <c r="I323" s="133"/>
      <c r="J323" s="127"/>
      <c r="K323" s="127"/>
      <c r="L323" s="113"/>
    </row>
    <row r="324">
      <c r="A324" s="128"/>
      <c r="B324" s="128"/>
      <c r="C324" s="129"/>
      <c r="D324" s="131"/>
      <c r="E324" s="131"/>
      <c r="F324" s="132"/>
      <c r="G324" s="132"/>
      <c r="H324" s="133"/>
      <c r="I324" s="133"/>
      <c r="J324" s="127"/>
      <c r="K324" s="127"/>
      <c r="L324" s="113"/>
    </row>
    <row r="325">
      <c r="A325" s="128"/>
      <c r="B325" s="128"/>
      <c r="C325" s="129"/>
      <c r="D325" s="131"/>
      <c r="E325" s="131"/>
      <c r="F325" s="132"/>
      <c r="G325" s="132"/>
      <c r="H325" s="133"/>
      <c r="I325" s="133"/>
      <c r="J325" s="127"/>
      <c r="K325" s="127"/>
      <c r="L325" s="113"/>
    </row>
    <row r="326">
      <c r="A326" s="128"/>
      <c r="B326" s="128"/>
      <c r="C326" s="129"/>
      <c r="D326" s="131"/>
      <c r="E326" s="131"/>
      <c r="F326" s="132"/>
      <c r="G326" s="132"/>
      <c r="H326" s="133"/>
      <c r="I326" s="133"/>
      <c r="J326" s="127"/>
      <c r="K326" s="127"/>
      <c r="L326" s="113"/>
    </row>
    <row r="327">
      <c r="A327" s="128"/>
      <c r="B327" s="128"/>
      <c r="C327" s="129"/>
      <c r="D327" s="131"/>
      <c r="E327" s="131"/>
      <c r="F327" s="132"/>
      <c r="G327" s="132"/>
      <c r="H327" s="133"/>
      <c r="I327" s="133"/>
      <c r="J327" s="127"/>
      <c r="K327" s="127"/>
      <c r="L327" s="113"/>
    </row>
    <row r="328">
      <c r="A328" s="128"/>
      <c r="B328" s="128"/>
      <c r="C328" s="129"/>
      <c r="D328" s="131"/>
      <c r="E328" s="131"/>
      <c r="F328" s="132"/>
      <c r="G328" s="132"/>
      <c r="H328" s="133"/>
      <c r="I328" s="133"/>
      <c r="J328" s="127"/>
      <c r="K328" s="127"/>
      <c r="L328" s="113"/>
    </row>
    <row r="329">
      <c r="A329" s="128"/>
      <c r="B329" s="128"/>
      <c r="C329" s="129"/>
      <c r="D329" s="131"/>
      <c r="E329" s="131"/>
      <c r="F329" s="132"/>
      <c r="G329" s="132"/>
      <c r="H329" s="133"/>
      <c r="I329" s="133"/>
      <c r="J329" s="127"/>
      <c r="K329" s="127"/>
      <c r="L329" s="113"/>
    </row>
    <row r="330">
      <c r="A330" s="128"/>
      <c r="B330" s="128"/>
      <c r="C330" s="129"/>
      <c r="D330" s="131"/>
      <c r="E330" s="131"/>
      <c r="F330" s="132"/>
      <c r="G330" s="132"/>
      <c r="H330" s="133"/>
      <c r="I330" s="133"/>
      <c r="J330" s="127"/>
      <c r="K330" s="127"/>
      <c r="L330" s="113"/>
    </row>
    <row r="331">
      <c r="A331" s="128"/>
      <c r="B331" s="128"/>
      <c r="C331" s="129"/>
      <c r="D331" s="131"/>
      <c r="E331" s="131"/>
      <c r="F331" s="132"/>
      <c r="G331" s="132"/>
      <c r="H331" s="133"/>
      <c r="I331" s="133"/>
      <c r="J331" s="127"/>
      <c r="K331" s="127"/>
      <c r="L331" s="113"/>
    </row>
    <row r="332">
      <c r="A332" s="128"/>
      <c r="B332" s="128"/>
      <c r="C332" s="129"/>
      <c r="D332" s="131"/>
      <c r="E332" s="131"/>
      <c r="F332" s="132"/>
      <c r="G332" s="132"/>
      <c r="H332" s="133"/>
      <c r="I332" s="133"/>
      <c r="J332" s="127"/>
      <c r="K332" s="127"/>
      <c r="L332" s="113"/>
    </row>
    <row r="333">
      <c r="A333" s="128"/>
      <c r="B333" s="128"/>
      <c r="C333" s="129"/>
      <c r="D333" s="131"/>
      <c r="E333" s="131"/>
      <c r="F333" s="132"/>
      <c r="G333" s="132"/>
      <c r="H333" s="133"/>
      <c r="I333" s="133"/>
      <c r="J333" s="127"/>
      <c r="K333" s="127"/>
      <c r="L333" s="113"/>
    </row>
    <row r="334">
      <c r="A334" s="128"/>
      <c r="B334" s="128"/>
      <c r="C334" s="129"/>
      <c r="D334" s="131"/>
      <c r="E334" s="131"/>
      <c r="F334" s="132"/>
      <c r="G334" s="132"/>
      <c r="H334" s="133"/>
      <c r="I334" s="133"/>
      <c r="J334" s="127"/>
      <c r="K334" s="127"/>
      <c r="L334" s="113"/>
    </row>
    <row r="335">
      <c r="A335" s="128"/>
      <c r="B335" s="128"/>
      <c r="C335" s="129"/>
      <c r="D335" s="131"/>
      <c r="E335" s="131"/>
      <c r="F335" s="132"/>
      <c r="G335" s="132"/>
      <c r="H335" s="133"/>
      <c r="I335" s="133"/>
      <c r="J335" s="127"/>
      <c r="K335" s="127"/>
      <c r="L335" s="113"/>
    </row>
    <row r="336">
      <c r="A336" s="128"/>
      <c r="B336" s="128"/>
      <c r="C336" s="129"/>
      <c r="D336" s="131"/>
      <c r="E336" s="131"/>
      <c r="F336" s="132"/>
      <c r="G336" s="132"/>
      <c r="H336" s="133"/>
      <c r="I336" s="133"/>
      <c r="J336" s="127"/>
      <c r="K336" s="127"/>
      <c r="L336" s="113"/>
    </row>
    <row r="337">
      <c r="A337" s="128"/>
      <c r="B337" s="128"/>
      <c r="C337" s="129"/>
      <c r="D337" s="131"/>
      <c r="E337" s="131"/>
      <c r="F337" s="132"/>
      <c r="G337" s="132"/>
      <c r="H337" s="133"/>
      <c r="I337" s="133"/>
      <c r="J337" s="127"/>
      <c r="K337" s="127"/>
      <c r="L337" s="113"/>
    </row>
    <row r="338">
      <c r="A338" s="128"/>
      <c r="B338" s="128"/>
      <c r="C338" s="129"/>
      <c r="D338" s="131"/>
      <c r="E338" s="131"/>
      <c r="F338" s="132"/>
      <c r="G338" s="132"/>
      <c r="H338" s="133"/>
      <c r="I338" s="133"/>
      <c r="J338" s="127"/>
      <c r="K338" s="127"/>
      <c r="L338" s="113"/>
    </row>
    <row r="339">
      <c r="A339" s="128"/>
      <c r="B339" s="128"/>
      <c r="C339" s="129"/>
      <c r="D339" s="131"/>
      <c r="E339" s="131"/>
      <c r="F339" s="132"/>
      <c r="G339" s="132"/>
      <c r="H339" s="133"/>
      <c r="I339" s="133"/>
      <c r="J339" s="127"/>
      <c r="K339" s="127"/>
      <c r="L339" s="113"/>
    </row>
    <row r="340">
      <c r="A340" s="128"/>
      <c r="B340" s="128"/>
      <c r="C340" s="129"/>
      <c r="D340" s="131"/>
      <c r="E340" s="131"/>
      <c r="F340" s="132"/>
      <c r="G340" s="132"/>
      <c r="H340" s="133"/>
      <c r="I340" s="133"/>
      <c r="J340" s="127"/>
      <c r="K340" s="127"/>
      <c r="L340" s="113"/>
    </row>
    <row r="341">
      <c r="A341" s="128"/>
      <c r="B341" s="128"/>
      <c r="C341" s="129"/>
      <c r="D341" s="131"/>
      <c r="E341" s="131"/>
      <c r="F341" s="132"/>
      <c r="G341" s="132"/>
      <c r="H341" s="133"/>
      <c r="I341" s="133"/>
      <c r="J341" s="127"/>
      <c r="K341" s="127"/>
      <c r="L341" s="113"/>
    </row>
    <row r="342">
      <c r="A342" s="128"/>
      <c r="B342" s="128"/>
      <c r="C342" s="129"/>
      <c r="D342" s="131"/>
      <c r="E342" s="131"/>
      <c r="F342" s="132"/>
      <c r="G342" s="132"/>
      <c r="H342" s="133"/>
      <c r="I342" s="133"/>
      <c r="J342" s="127"/>
      <c r="K342" s="127"/>
      <c r="L342" s="113"/>
    </row>
    <row r="343">
      <c r="A343" s="128"/>
      <c r="B343" s="128"/>
      <c r="C343" s="129"/>
      <c r="D343" s="131"/>
      <c r="E343" s="131"/>
      <c r="F343" s="132"/>
      <c r="G343" s="132"/>
      <c r="H343" s="133"/>
      <c r="I343" s="133"/>
      <c r="J343" s="127"/>
      <c r="K343" s="127"/>
      <c r="L343" s="113"/>
    </row>
    <row r="344">
      <c r="A344" s="128"/>
      <c r="B344" s="128"/>
      <c r="C344" s="129"/>
      <c r="D344" s="131"/>
      <c r="E344" s="131"/>
      <c r="F344" s="132"/>
      <c r="G344" s="132"/>
      <c r="H344" s="133"/>
      <c r="I344" s="133"/>
      <c r="J344" s="127"/>
      <c r="K344" s="127"/>
      <c r="L344" s="113"/>
    </row>
    <row r="345">
      <c r="A345" s="128"/>
      <c r="B345" s="128"/>
      <c r="C345" s="129"/>
      <c r="D345" s="131"/>
      <c r="E345" s="131"/>
      <c r="F345" s="132"/>
      <c r="G345" s="132"/>
      <c r="H345" s="133"/>
      <c r="I345" s="133"/>
      <c r="J345" s="127"/>
      <c r="K345" s="127"/>
      <c r="L345" s="113"/>
    </row>
    <row r="346">
      <c r="A346" s="128"/>
      <c r="B346" s="128"/>
      <c r="C346" s="129"/>
      <c r="D346" s="131"/>
      <c r="E346" s="131"/>
      <c r="F346" s="132"/>
      <c r="G346" s="132"/>
      <c r="H346" s="133"/>
      <c r="I346" s="133"/>
      <c r="J346" s="127"/>
      <c r="K346" s="127"/>
      <c r="L346" s="113"/>
    </row>
    <row r="347">
      <c r="A347" s="128"/>
      <c r="B347" s="128"/>
      <c r="C347" s="129"/>
      <c r="D347" s="131"/>
      <c r="E347" s="131"/>
      <c r="F347" s="132"/>
      <c r="G347" s="132"/>
      <c r="H347" s="133"/>
      <c r="I347" s="133"/>
      <c r="J347" s="127"/>
      <c r="K347" s="127"/>
      <c r="L347" s="113"/>
    </row>
    <row r="348">
      <c r="A348" s="128"/>
      <c r="B348" s="128"/>
      <c r="C348" s="129"/>
      <c r="D348" s="131"/>
      <c r="E348" s="131"/>
      <c r="F348" s="132"/>
      <c r="G348" s="132"/>
      <c r="H348" s="133"/>
      <c r="I348" s="133"/>
      <c r="J348" s="127"/>
      <c r="K348" s="127"/>
      <c r="L348" s="113"/>
    </row>
    <row r="349">
      <c r="A349" s="128"/>
      <c r="B349" s="128"/>
      <c r="C349" s="129"/>
      <c r="D349" s="131"/>
      <c r="E349" s="131"/>
      <c r="F349" s="132"/>
      <c r="G349" s="132"/>
      <c r="H349" s="133"/>
      <c r="I349" s="133"/>
      <c r="J349" s="127"/>
      <c r="K349" s="127"/>
      <c r="L349" s="113"/>
    </row>
    <row r="350">
      <c r="A350" s="128"/>
      <c r="B350" s="128"/>
      <c r="C350" s="129"/>
      <c r="D350" s="131"/>
      <c r="E350" s="131"/>
      <c r="F350" s="132"/>
      <c r="G350" s="132"/>
      <c r="H350" s="133"/>
      <c r="I350" s="133"/>
      <c r="J350" s="127"/>
      <c r="K350" s="127"/>
      <c r="L350" s="113"/>
    </row>
    <row r="351">
      <c r="A351" s="128"/>
      <c r="B351" s="128"/>
      <c r="C351" s="129"/>
      <c r="D351" s="131"/>
      <c r="E351" s="131"/>
      <c r="F351" s="132"/>
      <c r="G351" s="132"/>
      <c r="H351" s="133"/>
      <c r="I351" s="133"/>
      <c r="J351" s="127"/>
      <c r="K351" s="127"/>
      <c r="L351" s="113"/>
    </row>
    <row r="352">
      <c r="A352" s="128"/>
      <c r="B352" s="128"/>
      <c r="C352" s="129"/>
      <c r="D352" s="131"/>
      <c r="E352" s="131"/>
      <c r="F352" s="132"/>
      <c r="G352" s="132"/>
      <c r="H352" s="133"/>
      <c r="I352" s="133"/>
      <c r="J352" s="127"/>
      <c r="K352" s="127"/>
      <c r="L352" s="113"/>
    </row>
    <row r="353">
      <c r="A353" s="128"/>
      <c r="B353" s="128"/>
      <c r="C353" s="129"/>
      <c r="D353" s="131"/>
      <c r="E353" s="131"/>
      <c r="F353" s="132"/>
      <c r="G353" s="132"/>
      <c r="H353" s="133"/>
      <c r="I353" s="133"/>
      <c r="J353" s="127"/>
      <c r="K353" s="127"/>
      <c r="L353" s="113"/>
    </row>
    <row r="354">
      <c r="A354" s="128"/>
      <c r="B354" s="128"/>
      <c r="C354" s="129"/>
      <c r="D354" s="131"/>
      <c r="E354" s="131"/>
      <c r="F354" s="132"/>
      <c r="G354" s="132"/>
      <c r="H354" s="133"/>
      <c r="I354" s="133"/>
      <c r="J354" s="127"/>
      <c r="K354" s="127"/>
      <c r="L354" s="113"/>
    </row>
    <row r="355">
      <c r="A355" s="128"/>
      <c r="B355" s="128"/>
      <c r="C355" s="129"/>
      <c r="D355" s="131"/>
      <c r="E355" s="131"/>
      <c r="F355" s="132"/>
      <c r="G355" s="132"/>
      <c r="H355" s="133"/>
      <c r="I355" s="133"/>
      <c r="J355" s="127"/>
      <c r="K355" s="127"/>
      <c r="L355" s="113"/>
    </row>
    <row r="356">
      <c r="A356" s="128"/>
      <c r="B356" s="128"/>
      <c r="C356" s="129"/>
      <c r="D356" s="131"/>
      <c r="E356" s="131"/>
      <c r="F356" s="132"/>
      <c r="G356" s="132"/>
      <c r="H356" s="133"/>
      <c r="I356" s="133"/>
      <c r="J356" s="127"/>
      <c r="K356" s="127"/>
      <c r="L356" s="113"/>
    </row>
    <row r="357">
      <c r="A357" s="128"/>
      <c r="B357" s="128"/>
      <c r="C357" s="129"/>
      <c r="D357" s="131"/>
      <c r="E357" s="131"/>
      <c r="F357" s="132"/>
      <c r="G357" s="132"/>
      <c r="H357" s="133"/>
      <c r="I357" s="133"/>
      <c r="J357" s="127"/>
      <c r="K357" s="127"/>
      <c r="L357" s="113"/>
    </row>
    <row r="358">
      <c r="A358" s="128"/>
      <c r="B358" s="128"/>
      <c r="C358" s="129"/>
      <c r="D358" s="131"/>
      <c r="E358" s="131"/>
      <c r="F358" s="132"/>
      <c r="G358" s="132"/>
      <c r="H358" s="133"/>
      <c r="I358" s="133"/>
      <c r="J358" s="127"/>
      <c r="K358" s="127"/>
      <c r="L358" s="113"/>
    </row>
    <row r="359">
      <c r="A359" s="128"/>
      <c r="B359" s="128"/>
      <c r="C359" s="129"/>
      <c r="D359" s="131"/>
      <c r="E359" s="131"/>
      <c r="F359" s="132"/>
      <c r="G359" s="132"/>
      <c r="H359" s="133"/>
      <c r="I359" s="133"/>
      <c r="J359" s="127"/>
      <c r="K359" s="127"/>
      <c r="L359" s="113"/>
    </row>
    <row r="360">
      <c r="A360" s="128"/>
      <c r="B360" s="128"/>
      <c r="C360" s="129"/>
      <c r="D360" s="131"/>
      <c r="E360" s="131"/>
      <c r="F360" s="132"/>
      <c r="G360" s="132"/>
      <c r="H360" s="133"/>
      <c r="I360" s="133"/>
      <c r="J360" s="127"/>
      <c r="K360" s="127"/>
      <c r="L360" s="113"/>
    </row>
    <row r="361">
      <c r="A361" s="128"/>
      <c r="B361" s="128"/>
      <c r="C361" s="129"/>
      <c r="D361" s="131"/>
      <c r="E361" s="131"/>
      <c r="F361" s="132"/>
      <c r="G361" s="132"/>
      <c r="H361" s="133"/>
      <c r="I361" s="133"/>
      <c r="J361" s="127"/>
      <c r="K361" s="127"/>
      <c r="L361" s="113"/>
    </row>
    <row r="362">
      <c r="A362" s="128"/>
      <c r="B362" s="128"/>
      <c r="C362" s="129"/>
      <c r="D362" s="131"/>
      <c r="E362" s="131"/>
      <c r="F362" s="132"/>
      <c r="G362" s="132"/>
      <c r="H362" s="133"/>
      <c r="I362" s="133"/>
      <c r="J362" s="127"/>
      <c r="K362" s="127"/>
      <c r="L362" s="113"/>
    </row>
    <row r="363">
      <c r="A363" s="128"/>
      <c r="B363" s="128"/>
      <c r="C363" s="129"/>
      <c r="D363" s="131"/>
      <c r="E363" s="131"/>
      <c r="F363" s="132"/>
      <c r="G363" s="132"/>
      <c r="H363" s="133"/>
      <c r="I363" s="133"/>
      <c r="J363" s="127"/>
      <c r="K363" s="127"/>
      <c r="L363" s="113"/>
    </row>
    <row r="364">
      <c r="A364" s="128"/>
      <c r="B364" s="128"/>
      <c r="C364" s="129"/>
      <c r="D364" s="131"/>
      <c r="E364" s="131"/>
      <c r="F364" s="132"/>
      <c r="G364" s="132"/>
      <c r="H364" s="133"/>
      <c r="I364" s="133"/>
      <c r="J364" s="127"/>
      <c r="K364" s="127"/>
      <c r="L364" s="113"/>
    </row>
    <row r="365">
      <c r="A365" s="128"/>
      <c r="B365" s="128"/>
      <c r="C365" s="129"/>
      <c r="D365" s="131"/>
      <c r="E365" s="131"/>
      <c r="F365" s="132"/>
      <c r="G365" s="132"/>
      <c r="H365" s="133"/>
      <c r="I365" s="133"/>
      <c r="J365" s="127"/>
      <c r="K365" s="127"/>
      <c r="L365" s="113"/>
    </row>
    <row r="366">
      <c r="A366" s="128"/>
      <c r="B366" s="128"/>
      <c r="C366" s="129"/>
      <c r="D366" s="131"/>
      <c r="E366" s="131"/>
      <c r="F366" s="132"/>
      <c r="G366" s="132"/>
      <c r="H366" s="133"/>
      <c r="I366" s="133"/>
      <c r="J366" s="127"/>
      <c r="K366" s="127"/>
      <c r="L366" s="113"/>
    </row>
    <row r="367">
      <c r="A367" s="128"/>
      <c r="B367" s="128"/>
      <c r="C367" s="129"/>
      <c r="D367" s="131"/>
      <c r="E367" s="131"/>
      <c r="F367" s="132"/>
      <c r="G367" s="132"/>
      <c r="H367" s="133"/>
      <c r="I367" s="133"/>
      <c r="J367" s="127"/>
      <c r="K367" s="127"/>
      <c r="L367" s="113"/>
    </row>
    <row r="368">
      <c r="A368" s="128"/>
      <c r="B368" s="128"/>
      <c r="C368" s="129"/>
      <c r="D368" s="131"/>
      <c r="E368" s="131"/>
      <c r="F368" s="132"/>
      <c r="G368" s="132"/>
      <c r="H368" s="133"/>
      <c r="I368" s="133"/>
      <c r="J368" s="127"/>
      <c r="K368" s="127"/>
      <c r="L368" s="113"/>
    </row>
    <row r="369">
      <c r="A369" s="128"/>
      <c r="B369" s="128"/>
      <c r="C369" s="129"/>
      <c r="D369" s="131"/>
      <c r="E369" s="131"/>
      <c r="F369" s="132"/>
      <c r="G369" s="132"/>
      <c r="H369" s="133"/>
      <c r="I369" s="133"/>
      <c r="J369" s="127"/>
      <c r="K369" s="127"/>
      <c r="L369" s="113"/>
    </row>
    <row r="370">
      <c r="A370" s="128"/>
      <c r="B370" s="128"/>
      <c r="C370" s="129"/>
      <c r="D370" s="131"/>
      <c r="E370" s="131"/>
      <c r="F370" s="132"/>
      <c r="G370" s="132"/>
      <c r="H370" s="133"/>
      <c r="I370" s="133"/>
      <c r="J370" s="127"/>
      <c r="K370" s="127"/>
      <c r="L370" s="113"/>
    </row>
    <row r="371">
      <c r="A371" s="128"/>
      <c r="B371" s="128"/>
      <c r="C371" s="129"/>
      <c r="D371" s="131"/>
      <c r="E371" s="131"/>
      <c r="F371" s="132"/>
      <c r="G371" s="132"/>
      <c r="H371" s="133"/>
      <c r="I371" s="133"/>
      <c r="J371" s="127"/>
      <c r="K371" s="127"/>
      <c r="L371" s="113"/>
    </row>
    <row r="372">
      <c r="A372" s="128"/>
      <c r="B372" s="128"/>
      <c r="C372" s="129"/>
      <c r="D372" s="131"/>
      <c r="E372" s="131"/>
      <c r="F372" s="132"/>
      <c r="G372" s="132"/>
      <c r="H372" s="133"/>
      <c r="I372" s="133"/>
      <c r="J372" s="127"/>
      <c r="K372" s="127"/>
      <c r="L372" s="113"/>
    </row>
    <row r="373">
      <c r="A373" s="128"/>
      <c r="B373" s="128"/>
      <c r="C373" s="129"/>
      <c r="D373" s="131"/>
      <c r="E373" s="131"/>
      <c r="F373" s="132"/>
      <c r="G373" s="132"/>
      <c r="H373" s="133"/>
      <c r="I373" s="133"/>
      <c r="J373" s="127"/>
      <c r="K373" s="127"/>
      <c r="L373" s="113"/>
    </row>
    <row r="374">
      <c r="A374" s="128"/>
      <c r="B374" s="128"/>
      <c r="C374" s="129"/>
      <c r="D374" s="131"/>
      <c r="E374" s="131"/>
      <c r="F374" s="132"/>
      <c r="G374" s="132"/>
      <c r="H374" s="133"/>
      <c r="I374" s="133"/>
      <c r="J374" s="127"/>
      <c r="K374" s="127"/>
      <c r="L374" s="113"/>
    </row>
    <row r="375">
      <c r="A375" s="128"/>
      <c r="B375" s="128"/>
      <c r="C375" s="129"/>
      <c r="D375" s="131"/>
      <c r="E375" s="131"/>
      <c r="F375" s="132"/>
      <c r="G375" s="132"/>
      <c r="H375" s="133"/>
      <c r="I375" s="133"/>
      <c r="J375" s="127"/>
      <c r="K375" s="127"/>
      <c r="L375" s="113"/>
    </row>
    <row r="376">
      <c r="A376" s="128"/>
      <c r="B376" s="128"/>
      <c r="C376" s="129"/>
      <c r="D376" s="131"/>
      <c r="E376" s="131"/>
      <c r="F376" s="132"/>
      <c r="G376" s="132"/>
      <c r="H376" s="133"/>
      <c r="I376" s="133"/>
      <c r="J376" s="127"/>
      <c r="K376" s="127"/>
      <c r="L376" s="113"/>
    </row>
    <row r="377">
      <c r="A377" s="128"/>
      <c r="B377" s="128"/>
      <c r="C377" s="129"/>
      <c r="D377" s="131"/>
      <c r="E377" s="131"/>
      <c r="F377" s="132"/>
      <c r="G377" s="132"/>
      <c r="H377" s="133"/>
      <c r="I377" s="133"/>
      <c r="J377" s="127"/>
      <c r="K377" s="127"/>
      <c r="L377" s="113"/>
    </row>
    <row r="378">
      <c r="A378" s="128"/>
      <c r="B378" s="128"/>
      <c r="C378" s="129"/>
      <c r="D378" s="131"/>
      <c r="E378" s="131"/>
      <c r="F378" s="132"/>
      <c r="G378" s="132"/>
      <c r="H378" s="133"/>
      <c r="I378" s="133"/>
      <c r="J378" s="127"/>
      <c r="K378" s="127"/>
      <c r="L378" s="113"/>
    </row>
    <row r="379">
      <c r="A379" s="128"/>
      <c r="B379" s="128"/>
      <c r="C379" s="129"/>
      <c r="D379" s="131"/>
      <c r="E379" s="131"/>
      <c r="F379" s="132"/>
      <c r="G379" s="132"/>
      <c r="H379" s="133"/>
      <c r="I379" s="133"/>
      <c r="J379" s="127"/>
      <c r="K379" s="127"/>
      <c r="L379" s="113"/>
    </row>
    <row r="380">
      <c r="A380" s="128"/>
      <c r="B380" s="128"/>
      <c r="C380" s="129"/>
      <c r="D380" s="131"/>
      <c r="E380" s="131"/>
      <c r="F380" s="132"/>
      <c r="G380" s="132"/>
      <c r="H380" s="133"/>
      <c r="I380" s="133"/>
      <c r="J380" s="127"/>
      <c r="K380" s="127"/>
      <c r="L380" s="113"/>
    </row>
    <row r="381">
      <c r="A381" s="128"/>
      <c r="B381" s="128"/>
      <c r="C381" s="129"/>
      <c r="D381" s="131"/>
      <c r="E381" s="131"/>
      <c r="F381" s="132"/>
      <c r="G381" s="132"/>
      <c r="H381" s="133"/>
      <c r="I381" s="133"/>
      <c r="J381" s="127"/>
      <c r="K381" s="127"/>
      <c r="L381" s="113"/>
    </row>
    <row r="382">
      <c r="A382" s="128"/>
      <c r="B382" s="128"/>
      <c r="C382" s="129"/>
      <c r="D382" s="131"/>
      <c r="E382" s="131"/>
      <c r="F382" s="132"/>
      <c r="G382" s="132"/>
      <c r="H382" s="133"/>
      <c r="I382" s="133"/>
      <c r="J382" s="127"/>
      <c r="K382" s="127"/>
      <c r="L382" s="113"/>
    </row>
    <row r="383">
      <c r="A383" s="128"/>
      <c r="B383" s="128"/>
      <c r="C383" s="129"/>
      <c r="D383" s="131"/>
      <c r="E383" s="131"/>
      <c r="F383" s="132"/>
      <c r="G383" s="132"/>
      <c r="H383" s="133"/>
      <c r="I383" s="133"/>
      <c r="J383" s="127"/>
      <c r="K383" s="127"/>
      <c r="L383" s="113"/>
    </row>
    <row r="384">
      <c r="A384" s="128"/>
      <c r="B384" s="128"/>
      <c r="C384" s="129"/>
      <c r="D384" s="131"/>
      <c r="E384" s="131"/>
      <c r="F384" s="132"/>
      <c r="G384" s="132"/>
      <c r="H384" s="133"/>
      <c r="I384" s="133"/>
      <c r="J384" s="127"/>
      <c r="K384" s="127"/>
      <c r="L384" s="113"/>
    </row>
    <row r="385">
      <c r="A385" s="128"/>
      <c r="B385" s="128"/>
      <c r="C385" s="129"/>
      <c r="D385" s="131"/>
      <c r="E385" s="131"/>
      <c r="F385" s="132"/>
      <c r="G385" s="132"/>
      <c r="H385" s="133"/>
      <c r="I385" s="133"/>
      <c r="J385" s="127"/>
      <c r="K385" s="127"/>
      <c r="L385" s="113"/>
    </row>
    <row r="386">
      <c r="A386" s="128"/>
      <c r="B386" s="128"/>
      <c r="C386" s="129"/>
      <c r="D386" s="131"/>
      <c r="E386" s="131"/>
      <c r="F386" s="132"/>
      <c r="G386" s="132"/>
      <c r="H386" s="133"/>
      <c r="I386" s="133"/>
      <c r="J386" s="127"/>
      <c r="K386" s="127"/>
      <c r="L386" s="113"/>
    </row>
    <row r="387">
      <c r="A387" s="128"/>
      <c r="B387" s="128"/>
      <c r="C387" s="129"/>
      <c r="D387" s="131"/>
      <c r="E387" s="131"/>
      <c r="F387" s="132"/>
      <c r="G387" s="132"/>
      <c r="H387" s="133"/>
      <c r="I387" s="133"/>
      <c r="J387" s="127"/>
      <c r="K387" s="127"/>
      <c r="L387" s="113"/>
    </row>
    <row r="388">
      <c r="A388" s="128"/>
      <c r="B388" s="128"/>
      <c r="C388" s="129"/>
      <c r="D388" s="131"/>
      <c r="E388" s="131"/>
      <c r="F388" s="132"/>
      <c r="G388" s="132"/>
      <c r="H388" s="133"/>
      <c r="I388" s="133"/>
      <c r="J388" s="127"/>
      <c r="K388" s="127"/>
      <c r="L388" s="113"/>
    </row>
    <row r="389">
      <c r="A389" s="128"/>
      <c r="B389" s="128"/>
      <c r="C389" s="129"/>
      <c r="D389" s="131"/>
      <c r="E389" s="131"/>
      <c r="F389" s="132"/>
      <c r="G389" s="132"/>
      <c r="H389" s="133"/>
      <c r="I389" s="133"/>
      <c r="J389" s="127"/>
      <c r="K389" s="127"/>
      <c r="L389" s="113"/>
    </row>
    <row r="390">
      <c r="A390" s="128"/>
      <c r="B390" s="128"/>
      <c r="C390" s="129"/>
      <c r="D390" s="131"/>
      <c r="E390" s="131"/>
      <c r="F390" s="132"/>
      <c r="G390" s="132"/>
      <c r="H390" s="133"/>
      <c r="I390" s="133"/>
      <c r="J390" s="127"/>
      <c r="K390" s="127"/>
      <c r="L390" s="113"/>
    </row>
    <row r="391">
      <c r="A391" s="128"/>
      <c r="B391" s="128"/>
      <c r="C391" s="129"/>
      <c r="D391" s="131"/>
      <c r="E391" s="131"/>
      <c r="F391" s="132"/>
      <c r="G391" s="132"/>
      <c r="H391" s="133"/>
      <c r="I391" s="133"/>
      <c r="J391" s="127"/>
      <c r="K391" s="127"/>
      <c r="L391" s="113"/>
    </row>
    <row r="392">
      <c r="A392" s="128"/>
      <c r="B392" s="128"/>
      <c r="C392" s="129"/>
      <c r="D392" s="131"/>
      <c r="E392" s="131"/>
      <c r="F392" s="132"/>
      <c r="G392" s="132"/>
      <c r="H392" s="133"/>
      <c r="I392" s="133"/>
      <c r="J392" s="127"/>
      <c r="K392" s="127"/>
      <c r="L392" s="113"/>
    </row>
    <row r="393">
      <c r="A393" s="128"/>
      <c r="B393" s="128"/>
      <c r="C393" s="129"/>
      <c r="D393" s="131"/>
      <c r="E393" s="131"/>
      <c r="F393" s="132"/>
      <c r="G393" s="132"/>
      <c r="H393" s="133"/>
      <c r="I393" s="133"/>
      <c r="J393" s="127"/>
      <c r="K393" s="127"/>
      <c r="L393" s="113"/>
    </row>
    <row r="394">
      <c r="A394" s="128"/>
      <c r="B394" s="128"/>
      <c r="C394" s="129"/>
      <c r="D394" s="131"/>
      <c r="E394" s="131"/>
      <c r="F394" s="132"/>
      <c r="G394" s="132"/>
      <c r="H394" s="133"/>
      <c r="I394" s="133"/>
      <c r="J394" s="127"/>
      <c r="K394" s="127"/>
      <c r="L394" s="113"/>
    </row>
    <row r="395">
      <c r="A395" s="128"/>
      <c r="B395" s="128"/>
      <c r="C395" s="129"/>
      <c r="D395" s="131"/>
      <c r="E395" s="131"/>
      <c r="F395" s="132"/>
      <c r="G395" s="132"/>
      <c r="H395" s="133"/>
      <c r="I395" s="133"/>
      <c r="J395" s="127"/>
      <c r="K395" s="127"/>
      <c r="L395" s="113"/>
    </row>
    <row r="396">
      <c r="A396" s="128"/>
      <c r="B396" s="128"/>
      <c r="C396" s="129"/>
      <c r="D396" s="131"/>
      <c r="E396" s="131"/>
      <c r="F396" s="132"/>
      <c r="G396" s="132"/>
      <c r="H396" s="133"/>
      <c r="I396" s="133"/>
      <c r="J396" s="127"/>
      <c r="K396" s="127"/>
      <c r="L396" s="113"/>
    </row>
    <row r="397">
      <c r="A397" s="128"/>
      <c r="B397" s="128"/>
      <c r="C397" s="129"/>
      <c r="D397" s="131"/>
      <c r="E397" s="131"/>
      <c r="F397" s="132"/>
      <c r="G397" s="132"/>
      <c r="H397" s="133"/>
      <c r="I397" s="133"/>
      <c r="J397" s="127"/>
      <c r="K397" s="127"/>
      <c r="L397" s="113"/>
    </row>
    <row r="398">
      <c r="A398" s="128"/>
      <c r="B398" s="128"/>
      <c r="C398" s="129"/>
      <c r="D398" s="131"/>
      <c r="E398" s="131"/>
      <c r="F398" s="132"/>
      <c r="G398" s="132"/>
      <c r="H398" s="133"/>
      <c r="I398" s="133"/>
      <c r="J398" s="127"/>
      <c r="K398" s="127"/>
      <c r="L398" s="113"/>
    </row>
    <row r="399">
      <c r="A399" s="128"/>
      <c r="B399" s="128"/>
      <c r="C399" s="129"/>
      <c r="D399" s="131"/>
      <c r="E399" s="131"/>
      <c r="F399" s="132"/>
      <c r="G399" s="132"/>
      <c r="H399" s="133"/>
      <c r="I399" s="133"/>
      <c r="J399" s="127"/>
      <c r="K399" s="127"/>
      <c r="L399" s="113"/>
    </row>
    <row r="400">
      <c r="A400" s="128"/>
      <c r="B400" s="128"/>
      <c r="C400" s="129"/>
      <c r="D400" s="131"/>
      <c r="E400" s="131"/>
      <c r="F400" s="132"/>
      <c r="G400" s="132"/>
      <c r="H400" s="133"/>
      <c r="I400" s="133"/>
      <c r="J400" s="127"/>
      <c r="K400" s="127"/>
      <c r="L400" s="113"/>
    </row>
    <row r="401">
      <c r="A401" s="128"/>
      <c r="B401" s="128"/>
      <c r="C401" s="129"/>
      <c r="D401" s="131"/>
      <c r="E401" s="131"/>
      <c r="F401" s="132"/>
      <c r="G401" s="132"/>
      <c r="H401" s="133"/>
      <c r="I401" s="133"/>
      <c r="J401" s="127"/>
      <c r="K401" s="127"/>
      <c r="L401" s="113"/>
    </row>
    <row r="402">
      <c r="A402" s="128"/>
      <c r="B402" s="128"/>
      <c r="C402" s="129"/>
      <c r="D402" s="131"/>
      <c r="E402" s="131"/>
      <c r="F402" s="132"/>
      <c r="G402" s="132"/>
      <c r="H402" s="133"/>
      <c r="I402" s="133"/>
      <c r="J402" s="127"/>
      <c r="K402" s="127"/>
      <c r="L402" s="113"/>
    </row>
    <row r="403">
      <c r="A403" s="128"/>
      <c r="B403" s="128"/>
      <c r="C403" s="129"/>
      <c r="D403" s="131"/>
      <c r="E403" s="131"/>
      <c r="F403" s="132"/>
      <c r="G403" s="132"/>
      <c r="H403" s="133"/>
      <c r="I403" s="133"/>
      <c r="J403" s="127"/>
      <c r="K403" s="127"/>
      <c r="L403" s="113"/>
    </row>
    <row r="404">
      <c r="A404" s="128"/>
      <c r="B404" s="128"/>
      <c r="C404" s="129"/>
      <c r="D404" s="131"/>
      <c r="E404" s="131"/>
      <c r="F404" s="132"/>
      <c r="G404" s="132"/>
      <c r="H404" s="133"/>
      <c r="I404" s="133"/>
      <c r="J404" s="127"/>
      <c r="K404" s="127"/>
      <c r="L404" s="113"/>
    </row>
    <row r="405">
      <c r="A405" s="128"/>
      <c r="B405" s="128"/>
      <c r="C405" s="129"/>
      <c r="D405" s="131"/>
      <c r="E405" s="131"/>
      <c r="F405" s="132"/>
      <c r="G405" s="132"/>
      <c r="H405" s="133"/>
      <c r="I405" s="133"/>
      <c r="J405" s="127"/>
      <c r="K405" s="127"/>
      <c r="L405" s="113"/>
    </row>
    <row r="406">
      <c r="A406" s="128"/>
      <c r="B406" s="128"/>
      <c r="C406" s="129"/>
      <c r="D406" s="131"/>
      <c r="E406" s="131"/>
      <c r="F406" s="132"/>
      <c r="G406" s="132"/>
      <c r="H406" s="133"/>
      <c r="I406" s="133"/>
      <c r="J406" s="127"/>
      <c r="K406" s="127"/>
      <c r="L406" s="113"/>
    </row>
    <row r="407">
      <c r="A407" s="128"/>
      <c r="B407" s="128"/>
      <c r="C407" s="129"/>
      <c r="D407" s="131"/>
      <c r="E407" s="131"/>
      <c r="F407" s="132"/>
      <c r="G407" s="132"/>
      <c r="H407" s="133"/>
      <c r="I407" s="133"/>
      <c r="J407" s="127"/>
      <c r="K407" s="127"/>
      <c r="L407" s="113"/>
    </row>
    <row r="408">
      <c r="A408" s="128"/>
      <c r="B408" s="128"/>
      <c r="C408" s="129"/>
      <c r="D408" s="131"/>
      <c r="E408" s="131"/>
      <c r="F408" s="132"/>
      <c r="G408" s="132"/>
      <c r="H408" s="133"/>
      <c r="I408" s="133"/>
      <c r="J408" s="127"/>
      <c r="K408" s="127"/>
      <c r="L408" s="113"/>
    </row>
    <row r="409">
      <c r="A409" s="128"/>
      <c r="B409" s="128"/>
      <c r="C409" s="129"/>
      <c r="D409" s="131"/>
      <c r="E409" s="131"/>
      <c r="F409" s="132"/>
      <c r="G409" s="132"/>
      <c r="H409" s="133"/>
      <c r="I409" s="133"/>
      <c r="J409" s="127"/>
      <c r="K409" s="127"/>
      <c r="L409" s="113"/>
    </row>
    <row r="410">
      <c r="A410" s="128"/>
      <c r="B410" s="128"/>
      <c r="C410" s="129"/>
      <c r="D410" s="131"/>
      <c r="E410" s="131"/>
      <c r="F410" s="132"/>
      <c r="G410" s="132"/>
      <c r="H410" s="133"/>
      <c r="I410" s="133"/>
      <c r="J410" s="127"/>
      <c r="K410" s="127"/>
      <c r="L410" s="113"/>
    </row>
    <row r="411">
      <c r="A411" s="128"/>
      <c r="B411" s="128"/>
      <c r="C411" s="129"/>
      <c r="D411" s="131"/>
      <c r="E411" s="131"/>
      <c r="F411" s="132"/>
      <c r="G411" s="132"/>
      <c r="H411" s="133"/>
      <c r="I411" s="133"/>
      <c r="J411" s="127"/>
      <c r="K411" s="127"/>
      <c r="L411" s="113"/>
    </row>
    <row r="412">
      <c r="A412" s="128"/>
      <c r="B412" s="128"/>
      <c r="C412" s="129"/>
      <c r="D412" s="131"/>
      <c r="E412" s="131"/>
      <c r="F412" s="132"/>
      <c r="G412" s="132"/>
      <c r="H412" s="133"/>
      <c r="I412" s="133"/>
      <c r="J412" s="127"/>
      <c r="K412" s="127"/>
      <c r="L412" s="113"/>
    </row>
    <row r="413">
      <c r="A413" s="128"/>
      <c r="B413" s="128"/>
      <c r="C413" s="129"/>
      <c r="D413" s="131"/>
      <c r="E413" s="131"/>
      <c r="F413" s="132"/>
      <c r="G413" s="132"/>
      <c r="H413" s="133"/>
      <c r="I413" s="133"/>
      <c r="J413" s="127"/>
      <c r="K413" s="127"/>
      <c r="L413" s="113"/>
    </row>
    <row r="414">
      <c r="A414" s="128"/>
      <c r="B414" s="128"/>
      <c r="C414" s="129"/>
      <c r="D414" s="131"/>
      <c r="E414" s="131"/>
      <c r="F414" s="132"/>
      <c r="G414" s="132"/>
      <c r="H414" s="133"/>
      <c r="I414" s="133"/>
      <c r="J414" s="127"/>
      <c r="K414" s="127"/>
      <c r="L414" s="113"/>
    </row>
    <row r="415">
      <c r="A415" s="128"/>
      <c r="B415" s="128"/>
      <c r="C415" s="129"/>
      <c r="D415" s="131"/>
      <c r="E415" s="131"/>
      <c r="F415" s="132"/>
      <c r="G415" s="132"/>
      <c r="H415" s="133"/>
      <c r="I415" s="133"/>
      <c r="J415" s="127"/>
      <c r="K415" s="127"/>
      <c r="L415" s="113"/>
    </row>
    <row r="416">
      <c r="A416" s="128"/>
      <c r="B416" s="128"/>
      <c r="C416" s="129"/>
      <c r="D416" s="131"/>
      <c r="E416" s="131"/>
      <c r="F416" s="132"/>
      <c r="G416" s="132"/>
      <c r="H416" s="133"/>
      <c r="I416" s="133"/>
      <c r="J416" s="127"/>
      <c r="K416" s="127"/>
      <c r="L416" s="113"/>
    </row>
    <row r="417">
      <c r="A417" s="128"/>
      <c r="B417" s="128"/>
      <c r="C417" s="129"/>
      <c r="D417" s="131"/>
      <c r="E417" s="131"/>
      <c r="F417" s="132"/>
      <c r="G417" s="132"/>
      <c r="H417" s="133"/>
      <c r="I417" s="133"/>
      <c r="J417" s="127"/>
      <c r="K417" s="127"/>
      <c r="L417" s="113"/>
    </row>
    <row r="418">
      <c r="A418" s="128"/>
      <c r="B418" s="128"/>
      <c r="C418" s="129"/>
      <c r="D418" s="131"/>
      <c r="E418" s="131"/>
      <c r="F418" s="132"/>
      <c r="G418" s="132"/>
      <c r="H418" s="133"/>
      <c r="I418" s="133"/>
      <c r="J418" s="127"/>
      <c r="K418" s="127"/>
      <c r="L418" s="113"/>
    </row>
    <row r="419">
      <c r="A419" s="128"/>
      <c r="B419" s="128"/>
      <c r="C419" s="129"/>
      <c r="D419" s="131"/>
      <c r="E419" s="131"/>
      <c r="F419" s="132"/>
      <c r="G419" s="132"/>
      <c r="H419" s="133"/>
      <c r="I419" s="133"/>
      <c r="J419" s="127"/>
      <c r="K419" s="127"/>
      <c r="L419" s="113"/>
    </row>
    <row r="420">
      <c r="A420" s="128"/>
      <c r="B420" s="128"/>
      <c r="C420" s="129"/>
      <c r="D420" s="131"/>
      <c r="E420" s="131"/>
      <c r="F420" s="132"/>
      <c r="G420" s="132"/>
      <c r="H420" s="133"/>
      <c r="I420" s="133"/>
      <c r="J420" s="127"/>
      <c r="K420" s="127"/>
      <c r="L420" s="113"/>
    </row>
    <row r="421">
      <c r="A421" s="128"/>
      <c r="B421" s="128"/>
      <c r="C421" s="129"/>
      <c r="D421" s="131"/>
      <c r="E421" s="131"/>
      <c r="F421" s="132"/>
      <c r="G421" s="132"/>
      <c r="H421" s="133"/>
      <c r="I421" s="133"/>
      <c r="J421" s="127"/>
      <c r="K421" s="127"/>
      <c r="L421" s="113"/>
    </row>
    <row r="422">
      <c r="A422" s="128"/>
      <c r="B422" s="128"/>
      <c r="C422" s="129"/>
      <c r="D422" s="131"/>
      <c r="E422" s="131"/>
      <c r="F422" s="132"/>
      <c r="G422" s="132"/>
      <c r="H422" s="133"/>
      <c r="I422" s="133"/>
      <c r="J422" s="127"/>
      <c r="K422" s="127"/>
      <c r="L422" s="113"/>
    </row>
    <row r="423">
      <c r="A423" s="128"/>
      <c r="B423" s="128"/>
      <c r="C423" s="129"/>
      <c r="D423" s="131"/>
      <c r="E423" s="131"/>
      <c r="F423" s="132"/>
      <c r="G423" s="132"/>
      <c r="H423" s="133"/>
      <c r="I423" s="133"/>
      <c r="J423" s="127"/>
      <c r="K423" s="127"/>
      <c r="L423" s="113"/>
    </row>
    <row r="424">
      <c r="A424" s="128"/>
      <c r="B424" s="128"/>
      <c r="C424" s="129"/>
      <c r="D424" s="131"/>
      <c r="E424" s="131"/>
      <c r="F424" s="132"/>
      <c r="G424" s="132"/>
      <c r="H424" s="133"/>
      <c r="I424" s="133"/>
      <c r="J424" s="127"/>
      <c r="K424" s="127"/>
      <c r="L424" s="113"/>
    </row>
    <row r="425">
      <c r="A425" s="128"/>
      <c r="B425" s="128"/>
      <c r="C425" s="129"/>
      <c r="D425" s="131"/>
      <c r="E425" s="131"/>
      <c r="F425" s="132"/>
      <c r="G425" s="132"/>
      <c r="H425" s="133"/>
      <c r="I425" s="133"/>
      <c r="J425" s="127"/>
      <c r="K425" s="127"/>
      <c r="L425" s="113"/>
    </row>
    <row r="426">
      <c r="A426" s="128"/>
      <c r="B426" s="128"/>
      <c r="C426" s="129"/>
      <c r="D426" s="131"/>
      <c r="E426" s="131"/>
      <c r="F426" s="132"/>
      <c r="G426" s="132"/>
      <c r="H426" s="133"/>
      <c r="I426" s="133"/>
      <c r="J426" s="127"/>
      <c r="K426" s="127"/>
      <c r="L426" s="113"/>
    </row>
    <row r="427">
      <c r="A427" s="128"/>
      <c r="B427" s="128"/>
      <c r="C427" s="129"/>
      <c r="D427" s="131"/>
      <c r="E427" s="131"/>
      <c r="F427" s="132"/>
      <c r="G427" s="132"/>
      <c r="H427" s="133"/>
      <c r="I427" s="133"/>
      <c r="J427" s="127"/>
      <c r="K427" s="127"/>
      <c r="L427" s="113"/>
    </row>
    <row r="428">
      <c r="A428" s="128"/>
      <c r="B428" s="128"/>
      <c r="C428" s="129"/>
      <c r="D428" s="131"/>
      <c r="E428" s="131"/>
      <c r="F428" s="132"/>
      <c r="G428" s="132"/>
      <c r="H428" s="133"/>
      <c r="I428" s="133"/>
      <c r="J428" s="127"/>
      <c r="K428" s="127"/>
      <c r="L428" s="113"/>
    </row>
    <row r="429">
      <c r="A429" s="128"/>
      <c r="B429" s="128"/>
      <c r="C429" s="129"/>
      <c r="D429" s="131"/>
      <c r="E429" s="131"/>
      <c r="F429" s="132"/>
      <c r="G429" s="132"/>
      <c r="H429" s="133"/>
      <c r="I429" s="133"/>
      <c r="J429" s="127"/>
      <c r="K429" s="127"/>
      <c r="L429" s="113"/>
    </row>
    <row r="430">
      <c r="A430" s="128"/>
      <c r="B430" s="128"/>
      <c r="C430" s="129"/>
      <c r="D430" s="131"/>
      <c r="E430" s="131"/>
      <c r="F430" s="132"/>
      <c r="G430" s="132"/>
      <c r="H430" s="133"/>
      <c r="I430" s="133"/>
      <c r="J430" s="127"/>
      <c r="K430" s="127"/>
      <c r="L430" s="113"/>
    </row>
    <row r="431">
      <c r="A431" s="128"/>
      <c r="B431" s="128"/>
      <c r="C431" s="129"/>
      <c r="D431" s="131"/>
      <c r="E431" s="131"/>
      <c r="F431" s="132"/>
      <c r="G431" s="132"/>
      <c r="H431" s="133"/>
      <c r="I431" s="133"/>
      <c r="J431" s="127"/>
      <c r="K431" s="127"/>
      <c r="L431" s="113"/>
    </row>
    <row r="432">
      <c r="A432" s="128"/>
      <c r="B432" s="128"/>
      <c r="C432" s="129"/>
      <c r="D432" s="131"/>
      <c r="E432" s="131"/>
      <c r="F432" s="132"/>
      <c r="G432" s="132"/>
      <c r="H432" s="133"/>
      <c r="I432" s="133"/>
      <c r="J432" s="127"/>
      <c r="K432" s="127"/>
      <c r="L432" s="113"/>
    </row>
    <row r="433">
      <c r="A433" s="128"/>
      <c r="B433" s="128"/>
      <c r="C433" s="129"/>
      <c r="D433" s="131"/>
      <c r="E433" s="131"/>
      <c r="F433" s="132"/>
      <c r="G433" s="132"/>
      <c r="H433" s="133"/>
      <c r="I433" s="133"/>
      <c r="J433" s="127"/>
      <c r="K433" s="127"/>
      <c r="L433" s="113"/>
    </row>
    <row r="434">
      <c r="A434" s="128"/>
      <c r="B434" s="128"/>
      <c r="C434" s="129"/>
      <c r="D434" s="131"/>
      <c r="E434" s="131"/>
      <c r="F434" s="132"/>
      <c r="G434" s="132"/>
      <c r="H434" s="133"/>
      <c r="I434" s="133"/>
      <c r="J434" s="127"/>
      <c r="K434" s="127"/>
      <c r="L434" s="113"/>
    </row>
    <row r="435">
      <c r="A435" s="128"/>
      <c r="B435" s="128"/>
      <c r="C435" s="129"/>
      <c r="D435" s="131"/>
      <c r="E435" s="131"/>
      <c r="F435" s="132"/>
      <c r="G435" s="132"/>
      <c r="H435" s="133"/>
      <c r="I435" s="133"/>
      <c r="J435" s="127"/>
      <c r="K435" s="127"/>
      <c r="L435" s="113"/>
    </row>
    <row r="436">
      <c r="A436" s="128"/>
      <c r="B436" s="128"/>
      <c r="C436" s="129"/>
      <c r="D436" s="131"/>
      <c r="E436" s="131"/>
      <c r="F436" s="132"/>
      <c r="G436" s="132"/>
      <c r="H436" s="133"/>
      <c r="I436" s="133"/>
      <c r="J436" s="127"/>
      <c r="K436" s="127"/>
      <c r="L436" s="113"/>
    </row>
    <row r="437">
      <c r="A437" s="128"/>
      <c r="B437" s="128"/>
      <c r="C437" s="129"/>
      <c r="D437" s="131"/>
      <c r="E437" s="131"/>
      <c r="F437" s="132"/>
      <c r="G437" s="132"/>
      <c r="H437" s="133"/>
      <c r="I437" s="133"/>
      <c r="J437" s="127"/>
      <c r="K437" s="127"/>
      <c r="L437" s="113"/>
    </row>
    <row r="438">
      <c r="A438" s="128"/>
      <c r="B438" s="128"/>
      <c r="C438" s="129"/>
      <c r="D438" s="131"/>
      <c r="E438" s="131"/>
      <c r="F438" s="132"/>
      <c r="G438" s="132"/>
      <c r="H438" s="133"/>
      <c r="I438" s="133"/>
      <c r="J438" s="127"/>
      <c r="K438" s="127"/>
      <c r="L438" s="113"/>
    </row>
    <row r="439">
      <c r="A439" s="128"/>
      <c r="B439" s="128"/>
      <c r="C439" s="129"/>
      <c r="D439" s="131"/>
      <c r="E439" s="131"/>
      <c r="F439" s="132"/>
      <c r="G439" s="132"/>
      <c r="H439" s="133"/>
      <c r="I439" s="133"/>
      <c r="J439" s="127"/>
      <c r="K439" s="127"/>
      <c r="L439" s="113"/>
    </row>
    <row r="440">
      <c r="A440" s="128"/>
      <c r="B440" s="128"/>
      <c r="C440" s="129"/>
      <c r="D440" s="131"/>
      <c r="E440" s="131"/>
      <c r="F440" s="132"/>
      <c r="G440" s="132"/>
      <c r="H440" s="133"/>
      <c r="I440" s="133"/>
      <c r="J440" s="127"/>
      <c r="K440" s="127"/>
      <c r="L440" s="113"/>
    </row>
    <row r="441">
      <c r="A441" s="128"/>
      <c r="B441" s="128"/>
      <c r="C441" s="129"/>
      <c r="D441" s="131"/>
      <c r="E441" s="131"/>
      <c r="F441" s="132"/>
      <c r="G441" s="132"/>
      <c r="H441" s="133"/>
      <c r="I441" s="133"/>
      <c r="J441" s="127"/>
      <c r="K441" s="127"/>
      <c r="L441" s="113"/>
    </row>
    <row r="442">
      <c r="A442" s="128"/>
      <c r="B442" s="128"/>
      <c r="C442" s="129"/>
      <c r="D442" s="131"/>
      <c r="E442" s="131"/>
      <c r="F442" s="132"/>
      <c r="G442" s="132"/>
      <c r="H442" s="133"/>
      <c r="I442" s="133"/>
      <c r="J442" s="127"/>
      <c r="K442" s="127"/>
      <c r="L442" s="113"/>
    </row>
    <row r="443">
      <c r="A443" s="128"/>
      <c r="B443" s="128"/>
      <c r="C443" s="129"/>
      <c r="D443" s="131"/>
      <c r="E443" s="131"/>
      <c r="F443" s="132"/>
      <c r="G443" s="132"/>
      <c r="H443" s="133"/>
      <c r="I443" s="133"/>
      <c r="J443" s="127"/>
      <c r="K443" s="127"/>
      <c r="L443" s="113"/>
    </row>
    <row r="444">
      <c r="A444" s="128"/>
      <c r="B444" s="128"/>
      <c r="C444" s="129"/>
      <c r="D444" s="131"/>
      <c r="E444" s="131"/>
      <c r="F444" s="132"/>
      <c r="G444" s="132"/>
      <c r="H444" s="133"/>
      <c r="I444" s="133"/>
      <c r="J444" s="127"/>
      <c r="K444" s="127"/>
      <c r="L444" s="113"/>
    </row>
    <row r="445">
      <c r="A445" s="128"/>
      <c r="B445" s="128"/>
      <c r="C445" s="129"/>
      <c r="D445" s="131"/>
      <c r="E445" s="131"/>
      <c r="F445" s="132"/>
      <c r="G445" s="132"/>
      <c r="H445" s="133"/>
      <c r="I445" s="133"/>
      <c r="J445" s="127"/>
      <c r="K445" s="127"/>
      <c r="L445" s="113"/>
    </row>
    <row r="446">
      <c r="A446" s="128"/>
      <c r="B446" s="128"/>
      <c r="C446" s="129"/>
      <c r="D446" s="131"/>
      <c r="E446" s="131"/>
      <c r="F446" s="132"/>
      <c r="G446" s="132"/>
      <c r="H446" s="133"/>
      <c r="I446" s="133"/>
      <c r="J446" s="127"/>
      <c r="K446" s="127"/>
      <c r="L446" s="113"/>
    </row>
    <row r="447">
      <c r="A447" s="128"/>
      <c r="B447" s="128"/>
      <c r="C447" s="129"/>
      <c r="D447" s="131"/>
      <c r="E447" s="131"/>
      <c r="F447" s="132"/>
      <c r="G447" s="132"/>
      <c r="H447" s="133"/>
      <c r="I447" s="133"/>
      <c r="J447" s="127"/>
      <c r="K447" s="127"/>
      <c r="L447" s="113"/>
    </row>
    <row r="448">
      <c r="A448" s="128"/>
      <c r="B448" s="128"/>
      <c r="C448" s="129"/>
      <c r="D448" s="131"/>
      <c r="E448" s="131"/>
      <c r="F448" s="132"/>
      <c r="G448" s="132"/>
      <c r="H448" s="133"/>
      <c r="I448" s="133"/>
      <c r="J448" s="127"/>
      <c r="K448" s="127"/>
      <c r="L448" s="113"/>
    </row>
    <row r="449">
      <c r="A449" s="128"/>
      <c r="B449" s="128"/>
      <c r="C449" s="129"/>
      <c r="D449" s="131"/>
      <c r="E449" s="131"/>
      <c r="F449" s="132"/>
      <c r="G449" s="132"/>
      <c r="H449" s="133"/>
      <c r="I449" s="133"/>
      <c r="J449" s="127"/>
      <c r="K449" s="127"/>
      <c r="L449" s="113"/>
    </row>
    <row r="450">
      <c r="A450" s="128"/>
      <c r="B450" s="128"/>
      <c r="C450" s="129"/>
      <c r="D450" s="131"/>
      <c r="E450" s="131"/>
      <c r="F450" s="132"/>
      <c r="G450" s="132"/>
      <c r="H450" s="133"/>
      <c r="I450" s="133"/>
      <c r="J450" s="127"/>
      <c r="K450" s="127"/>
      <c r="L450" s="113"/>
    </row>
    <row r="451">
      <c r="A451" s="128"/>
      <c r="B451" s="128"/>
      <c r="C451" s="129"/>
      <c r="D451" s="131"/>
      <c r="E451" s="131"/>
      <c r="F451" s="132"/>
      <c r="G451" s="132"/>
      <c r="H451" s="133"/>
      <c r="I451" s="133"/>
      <c r="J451" s="127"/>
      <c r="K451" s="127"/>
      <c r="L451" s="113"/>
    </row>
    <row r="452">
      <c r="A452" s="128"/>
      <c r="B452" s="128"/>
      <c r="C452" s="129"/>
      <c r="D452" s="131"/>
      <c r="E452" s="131"/>
      <c r="F452" s="132"/>
      <c r="G452" s="132"/>
      <c r="H452" s="133"/>
      <c r="I452" s="133"/>
      <c r="J452" s="127"/>
      <c r="K452" s="127"/>
      <c r="L452" s="113"/>
    </row>
    <row r="453">
      <c r="A453" s="128"/>
      <c r="B453" s="128"/>
      <c r="C453" s="129"/>
      <c r="D453" s="131"/>
      <c r="E453" s="131"/>
      <c r="F453" s="132"/>
      <c r="G453" s="132"/>
      <c r="H453" s="133"/>
      <c r="I453" s="133"/>
      <c r="J453" s="127"/>
      <c r="K453" s="127"/>
      <c r="L453" s="113"/>
    </row>
    <row r="454">
      <c r="A454" s="128"/>
      <c r="B454" s="128"/>
      <c r="C454" s="129"/>
      <c r="D454" s="131"/>
      <c r="E454" s="131"/>
      <c r="F454" s="132"/>
      <c r="G454" s="132"/>
      <c r="H454" s="133"/>
      <c r="I454" s="133"/>
      <c r="J454" s="127"/>
      <c r="K454" s="127"/>
      <c r="L454" s="113"/>
    </row>
    <row r="455">
      <c r="A455" s="128"/>
      <c r="B455" s="128"/>
      <c r="C455" s="129"/>
      <c r="D455" s="131"/>
      <c r="E455" s="131"/>
      <c r="F455" s="132"/>
      <c r="G455" s="132"/>
      <c r="H455" s="133"/>
      <c r="I455" s="133"/>
      <c r="J455" s="127"/>
      <c r="K455" s="127"/>
      <c r="L455" s="113"/>
    </row>
    <row r="456">
      <c r="A456" s="128"/>
      <c r="B456" s="128"/>
      <c r="C456" s="129"/>
      <c r="D456" s="131"/>
      <c r="E456" s="131"/>
      <c r="F456" s="132"/>
      <c r="G456" s="132"/>
      <c r="H456" s="133"/>
      <c r="I456" s="133"/>
      <c r="J456" s="127"/>
      <c r="K456" s="127"/>
      <c r="L456" s="113"/>
    </row>
    <row r="457">
      <c r="A457" s="128"/>
      <c r="B457" s="128"/>
      <c r="C457" s="129"/>
      <c r="D457" s="131"/>
      <c r="E457" s="131"/>
      <c r="F457" s="132"/>
      <c r="G457" s="132"/>
      <c r="H457" s="133"/>
      <c r="I457" s="133"/>
      <c r="J457" s="127"/>
      <c r="K457" s="127"/>
      <c r="L457" s="113"/>
    </row>
    <row r="458">
      <c r="A458" s="128"/>
      <c r="B458" s="128"/>
      <c r="C458" s="129"/>
      <c r="D458" s="131"/>
      <c r="E458" s="131"/>
      <c r="F458" s="132"/>
      <c r="G458" s="132"/>
      <c r="H458" s="133"/>
      <c r="I458" s="133"/>
      <c r="J458" s="127"/>
      <c r="K458" s="127"/>
      <c r="L458" s="113"/>
    </row>
    <row r="459">
      <c r="A459" s="128"/>
      <c r="B459" s="128"/>
      <c r="C459" s="129"/>
      <c r="D459" s="131"/>
      <c r="E459" s="131"/>
      <c r="F459" s="132"/>
      <c r="G459" s="132"/>
      <c r="H459" s="133"/>
      <c r="I459" s="133"/>
      <c r="J459" s="127"/>
      <c r="K459" s="127"/>
      <c r="L459" s="113"/>
    </row>
    <row r="460">
      <c r="A460" s="128"/>
      <c r="B460" s="128"/>
      <c r="C460" s="129"/>
      <c r="D460" s="131"/>
      <c r="E460" s="131"/>
      <c r="F460" s="132"/>
      <c r="G460" s="132"/>
      <c r="H460" s="133"/>
      <c r="I460" s="133"/>
      <c r="J460" s="127"/>
      <c r="K460" s="127"/>
      <c r="L460" s="113"/>
    </row>
    <row r="461">
      <c r="A461" s="128"/>
      <c r="B461" s="128"/>
      <c r="C461" s="129"/>
      <c r="D461" s="131"/>
      <c r="E461" s="131"/>
      <c r="F461" s="132"/>
      <c r="G461" s="132"/>
      <c r="H461" s="133"/>
      <c r="I461" s="133"/>
      <c r="J461" s="127"/>
      <c r="K461" s="127"/>
      <c r="L461" s="113"/>
    </row>
    <row r="462">
      <c r="A462" s="128"/>
      <c r="B462" s="128"/>
      <c r="C462" s="129"/>
      <c r="D462" s="131"/>
      <c r="E462" s="131"/>
      <c r="F462" s="132"/>
      <c r="G462" s="132"/>
      <c r="H462" s="133"/>
      <c r="I462" s="133"/>
      <c r="J462" s="127"/>
      <c r="K462" s="127"/>
      <c r="L462" s="113"/>
    </row>
    <row r="463">
      <c r="A463" s="128"/>
      <c r="B463" s="128"/>
      <c r="C463" s="129"/>
      <c r="D463" s="131"/>
      <c r="E463" s="131"/>
      <c r="F463" s="132"/>
      <c r="G463" s="132"/>
      <c r="H463" s="133"/>
      <c r="I463" s="133"/>
      <c r="J463" s="127"/>
      <c r="K463" s="127"/>
      <c r="L463" s="113"/>
    </row>
    <row r="464">
      <c r="A464" s="128"/>
      <c r="B464" s="128"/>
      <c r="C464" s="129"/>
      <c r="D464" s="131"/>
      <c r="E464" s="131"/>
      <c r="F464" s="132"/>
      <c r="G464" s="132"/>
      <c r="H464" s="133"/>
      <c r="I464" s="133"/>
      <c r="J464" s="127"/>
      <c r="K464" s="127"/>
      <c r="L464" s="113"/>
    </row>
    <row r="465">
      <c r="A465" s="128"/>
      <c r="B465" s="128"/>
      <c r="C465" s="129"/>
      <c r="D465" s="131"/>
      <c r="E465" s="131"/>
      <c r="F465" s="132"/>
      <c r="G465" s="132"/>
      <c r="H465" s="133"/>
      <c r="I465" s="133"/>
      <c r="J465" s="127"/>
      <c r="K465" s="127"/>
      <c r="L465" s="113"/>
    </row>
    <row r="466">
      <c r="A466" s="128"/>
      <c r="B466" s="128"/>
      <c r="C466" s="129"/>
      <c r="D466" s="131"/>
      <c r="E466" s="131"/>
      <c r="F466" s="132"/>
      <c r="G466" s="132"/>
      <c r="H466" s="133"/>
      <c r="I466" s="133"/>
      <c r="J466" s="127"/>
      <c r="K466" s="127"/>
      <c r="L466" s="113"/>
    </row>
    <row r="467">
      <c r="A467" s="128"/>
      <c r="B467" s="128"/>
      <c r="C467" s="129"/>
      <c r="D467" s="131"/>
      <c r="E467" s="131"/>
      <c r="F467" s="132"/>
      <c r="G467" s="132"/>
      <c r="H467" s="133"/>
      <c r="I467" s="133"/>
      <c r="J467" s="127"/>
      <c r="K467" s="127"/>
      <c r="L467" s="113"/>
    </row>
    <row r="468">
      <c r="A468" s="128"/>
      <c r="B468" s="128"/>
      <c r="C468" s="129"/>
      <c r="D468" s="131"/>
      <c r="E468" s="131"/>
      <c r="F468" s="132"/>
      <c r="G468" s="132"/>
      <c r="H468" s="133"/>
      <c r="I468" s="133"/>
      <c r="J468" s="127"/>
      <c r="K468" s="127"/>
      <c r="L468" s="113"/>
    </row>
    <row r="469">
      <c r="A469" s="128"/>
      <c r="B469" s="128"/>
      <c r="C469" s="129"/>
      <c r="D469" s="131"/>
      <c r="E469" s="131"/>
      <c r="F469" s="132"/>
      <c r="G469" s="132"/>
      <c r="H469" s="133"/>
      <c r="I469" s="133"/>
      <c r="J469" s="127"/>
      <c r="K469" s="127"/>
      <c r="L469" s="113"/>
    </row>
    <row r="470">
      <c r="A470" s="128"/>
      <c r="B470" s="128"/>
      <c r="C470" s="129"/>
      <c r="D470" s="131"/>
      <c r="E470" s="131"/>
      <c r="F470" s="132"/>
      <c r="G470" s="132"/>
      <c r="H470" s="133"/>
      <c r="I470" s="133"/>
      <c r="J470" s="127"/>
      <c r="K470" s="127"/>
      <c r="L470" s="113"/>
    </row>
    <row r="471">
      <c r="A471" s="128"/>
      <c r="B471" s="128"/>
      <c r="C471" s="129"/>
      <c r="D471" s="131"/>
      <c r="E471" s="131"/>
      <c r="F471" s="132"/>
      <c r="G471" s="132"/>
      <c r="H471" s="133"/>
      <c r="I471" s="133"/>
      <c r="J471" s="127"/>
      <c r="K471" s="127"/>
      <c r="L471" s="113"/>
    </row>
    <row r="472">
      <c r="A472" s="128"/>
      <c r="B472" s="128"/>
      <c r="C472" s="129"/>
      <c r="D472" s="131"/>
      <c r="E472" s="131"/>
      <c r="F472" s="132"/>
      <c r="G472" s="132"/>
      <c r="H472" s="133"/>
      <c r="I472" s="133"/>
      <c r="J472" s="127"/>
      <c r="K472" s="127"/>
      <c r="L472" s="113"/>
    </row>
    <row r="473">
      <c r="A473" s="128"/>
      <c r="B473" s="128"/>
      <c r="C473" s="129"/>
      <c r="D473" s="131"/>
      <c r="E473" s="131"/>
      <c r="F473" s="132"/>
      <c r="G473" s="132"/>
      <c r="H473" s="133"/>
      <c r="I473" s="133"/>
      <c r="J473" s="127"/>
      <c r="K473" s="127"/>
      <c r="L473" s="113"/>
    </row>
    <row r="474">
      <c r="A474" s="128"/>
      <c r="B474" s="128"/>
      <c r="C474" s="129"/>
      <c r="D474" s="131"/>
      <c r="E474" s="131"/>
      <c r="F474" s="132"/>
      <c r="G474" s="132"/>
      <c r="H474" s="133"/>
      <c r="I474" s="133"/>
      <c r="J474" s="127"/>
      <c r="K474" s="127"/>
      <c r="L474" s="113"/>
    </row>
    <row r="475">
      <c r="A475" s="128"/>
      <c r="B475" s="128"/>
      <c r="C475" s="129"/>
      <c r="D475" s="131"/>
      <c r="E475" s="131"/>
      <c r="F475" s="132"/>
      <c r="G475" s="132"/>
      <c r="H475" s="133"/>
      <c r="I475" s="133"/>
      <c r="J475" s="127"/>
      <c r="K475" s="127"/>
      <c r="L475" s="113"/>
    </row>
    <row r="476">
      <c r="A476" s="128"/>
      <c r="B476" s="128"/>
      <c r="C476" s="129"/>
      <c r="D476" s="131"/>
      <c r="E476" s="131"/>
      <c r="F476" s="132"/>
      <c r="G476" s="132"/>
      <c r="H476" s="133"/>
      <c r="I476" s="133"/>
      <c r="J476" s="127"/>
      <c r="K476" s="127"/>
      <c r="L476" s="113"/>
    </row>
    <row r="477">
      <c r="A477" s="128"/>
      <c r="B477" s="128"/>
      <c r="C477" s="129"/>
      <c r="D477" s="131"/>
      <c r="E477" s="131"/>
      <c r="F477" s="132"/>
      <c r="G477" s="132"/>
      <c r="H477" s="133"/>
      <c r="I477" s="133"/>
      <c r="J477" s="127"/>
      <c r="K477" s="127"/>
      <c r="L477" s="113"/>
    </row>
    <row r="478">
      <c r="A478" s="128"/>
      <c r="B478" s="128"/>
      <c r="C478" s="129"/>
      <c r="D478" s="131"/>
      <c r="E478" s="131"/>
      <c r="F478" s="132"/>
      <c r="G478" s="132"/>
      <c r="H478" s="133"/>
      <c r="I478" s="133"/>
      <c r="J478" s="127"/>
      <c r="K478" s="127"/>
      <c r="L478" s="113"/>
    </row>
    <row r="479">
      <c r="A479" s="128"/>
      <c r="B479" s="128"/>
      <c r="C479" s="129"/>
      <c r="D479" s="131"/>
      <c r="E479" s="131"/>
      <c r="F479" s="132"/>
      <c r="G479" s="132"/>
      <c r="H479" s="133"/>
      <c r="I479" s="133"/>
      <c r="J479" s="127"/>
      <c r="K479" s="127"/>
      <c r="L479" s="113"/>
    </row>
    <row r="480">
      <c r="A480" s="128"/>
      <c r="B480" s="128"/>
      <c r="C480" s="129"/>
      <c r="D480" s="131"/>
      <c r="E480" s="131"/>
      <c r="F480" s="132"/>
      <c r="G480" s="132"/>
      <c r="H480" s="133"/>
      <c r="I480" s="133"/>
      <c r="J480" s="127"/>
      <c r="K480" s="127"/>
      <c r="L480" s="113"/>
    </row>
    <row r="481">
      <c r="A481" s="128"/>
      <c r="B481" s="128"/>
      <c r="C481" s="129"/>
      <c r="D481" s="131"/>
      <c r="E481" s="131"/>
      <c r="F481" s="132"/>
      <c r="G481" s="132"/>
      <c r="H481" s="133"/>
      <c r="I481" s="133"/>
      <c r="J481" s="127"/>
      <c r="K481" s="127"/>
      <c r="L481" s="113"/>
    </row>
    <row r="482">
      <c r="A482" s="128"/>
      <c r="B482" s="128"/>
      <c r="C482" s="129"/>
      <c r="D482" s="131"/>
      <c r="E482" s="131"/>
      <c r="F482" s="132"/>
      <c r="G482" s="132"/>
      <c r="H482" s="133"/>
      <c r="I482" s="133"/>
      <c r="J482" s="127"/>
      <c r="K482" s="127"/>
      <c r="L482" s="113"/>
    </row>
    <row r="483">
      <c r="A483" s="128"/>
      <c r="B483" s="128"/>
      <c r="C483" s="129"/>
      <c r="D483" s="131"/>
      <c r="E483" s="131"/>
      <c r="F483" s="132"/>
      <c r="G483" s="132"/>
      <c r="H483" s="133"/>
      <c r="I483" s="133"/>
      <c r="J483" s="127"/>
      <c r="K483" s="127"/>
      <c r="L483" s="113"/>
    </row>
    <row r="484">
      <c r="A484" s="128"/>
      <c r="B484" s="128"/>
      <c r="C484" s="129"/>
      <c r="D484" s="131"/>
      <c r="E484" s="131"/>
      <c r="F484" s="132"/>
      <c r="G484" s="132"/>
      <c r="H484" s="133"/>
      <c r="I484" s="133"/>
      <c r="J484" s="127"/>
      <c r="K484" s="127"/>
      <c r="L484" s="113"/>
    </row>
    <row r="485">
      <c r="A485" s="128"/>
      <c r="B485" s="128"/>
      <c r="C485" s="129"/>
      <c r="D485" s="131"/>
      <c r="E485" s="131"/>
      <c r="F485" s="132"/>
      <c r="G485" s="132"/>
      <c r="H485" s="133"/>
      <c r="I485" s="133"/>
      <c r="J485" s="127"/>
      <c r="K485" s="127"/>
      <c r="L485" s="113"/>
    </row>
    <row r="486">
      <c r="A486" s="128"/>
      <c r="B486" s="128"/>
      <c r="C486" s="129"/>
      <c r="D486" s="131"/>
      <c r="E486" s="131"/>
      <c r="F486" s="132"/>
      <c r="G486" s="132"/>
      <c r="H486" s="133"/>
      <c r="I486" s="133"/>
      <c r="J486" s="127"/>
      <c r="K486" s="127"/>
      <c r="L486" s="113"/>
    </row>
    <row r="487">
      <c r="A487" s="128"/>
      <c r="B487" s="128"/>
      <c r="C487" s="129"/>
      <c r="D487" s="131"/>
      <c r="E487" s="131"/>
      <c r="F487" s="132"/>
      <c r="G487" s="132"/>
      <c r="H487" s="133"/>
      <c r="I487" s="133"/>
      <c r="J487" s="127"/>
      <c r="K487" s="127"/>
      <c r="L487" s="113"/>
    </row>
    <row r="488">
      <c r="A488" s="128"/>
      <c r="B488" s="128"/>
      <c r="C488" s="129"/>
      <c r="D488" s="131"/>
      <c r="E488" s="131"/>
      <c r="F488" s="132"/>
      <c r="G488" s="132"/>
      <c r="H488" s="133"/>
      <c r="I488" s="133"/>
      <c r="J488" s="127"/>
      <c r="K488" s="127"/>
      <c r="L488" s="113"/>
    </row>
    <row r="489">
      <c r="A489" s="128"/>
      <c r="B489" s="128"/>
      <c r="C489" s="129"/>
      <c r="D489" s="131"/>
      <c r="E489" s="131"/>
      <c r="F489" s="132"/>
      <c r="G489" s="132"/>
      <c r="H489" s="133"/>
      <c r="I489" s="133"/>
      <c r="J489" s="127"/>
      <c r="K489" s="127"/>
      <c r="L489" s="113"/>
    </row>
    <row r="490">
      <c r="A490" s="128"/>
      <c r="B490" s="128"/>
      <c r="C490" s="129"/>
      <c r="D490" s="131"/>
      <c r="E490" s="131"/>
      <c r="F490" s="132"/>
      <c r="G490" s="132"/>
      <c r="H490" s="133"/>
      <c r="I490" s="133"/>
      <c r="J490" s="127"/>
      <c r="K490" s="127"/>
      <c r="L490" s="113"/>
    </row>
    <row r="491">
      <c r="A491" s="128"/>
      <c r="B491" s="128"/>
      <c r="C491" s="129"/>
      <c r="D491" s="131"/>
      <c r="E491" s="131"/>
      <c r="F491" s="132"/>
      <c r="G491" s="132"/>
      <c r="H491" s="133"/>
      <c r="I491" s="133"/>
      <c r="J491" s="127"/>
      <c r="K491" s="127"/>
      <c r="L491" s="113"/>
    </row>
    <row r="492">
      <c r="A492" s="128"/>
      <c r="B492" s="128"/>
      <c r="C492" s="129"/>
      <c r="D492" s="131"/>
      <c r="E492" s="131"/>
      <c r="F492" s="132"/>
      <c r="G492" s="132"/>
      <c r="H492" s="133"/>
      <c r="I492" s="133"/>
      <c r="J492" s="127"/>
      <c r="K492" s="127"/>
      <c r="L492" s="113"/>
    </row>
    <row r="493">
      <c r="A493" s="128"/>
      <c r="B493" s="128"/>
      <c r="C493" s="129"/>
      <c r="D493" s="131"/>
      <c r="E493" s="131"/>
      <c r="F493" s="132"/>
      <c r="G493" s="132"/>
      <c r="H493" s="133"/>
      <c r="I493" s="133"/>
      <c r="J493" s="127"/>
      <c r="K493" s="127"/>
      <c r="L493" s="113"/>
    </row>
    <row r="494">
      <c r="A494" s="128"/>
      <c r="B494" s="128"/>
      <c r="C494" s="129"/>
      <c r="D494" s="131"/>
      <c r="E494" s="131"/>
      <c r="F494" s="132"/>
      <c r="G494" s="132"/>
      <c r="H494" s="133"/>
      <c r="I494" s="133"/>
      <c r="J494" s="127"/>
      <c r="K494" s="127"/>
      <c r="L494" s="113"/>
    </row>
    <row r="495">
      <c r="A495" s="128"/>
      <c r="B495" s="128"/>
      <c r="C495" s="129"/>
      <c r="D495" s="131"/>
      <c r="E495" s="131"/>
      <c r="F495" s="132"/>
      <c r="G495" s="132"/>
      <c r="H495" s="133"/>
      <c r="I495" s="133"/>
      <c r="J495" s="127"/>
      <c r="K495" s="127"/>
      <c r="L495" s="113"/>
    </row>
    <row r="496">
      <c r="A496" s="128"/>
      <c r="B496" s="128"/>
      <c r="C496" s="129"/>
      <c r="D496" s="131"/>
      <c r="E496" s="131"/>
      <c r="F496" s="132"/>
      <c r="G496" s="132"/>
      <c r="H496" s="133"/>
      <c r="I496" s="133"/>
      <c r="J496" s="127"/>
      <c r="K496" s="127"/>
      <c r="L496" s="113"/>
    </row>
    <row r="497">
      <c r="A497" s="128"/>
      <c r="B497" s="128"/>
      <c r="C497" s="129"/>
      <c r="D497" s="131"/>
      <c r="E497" s="131"/>
      <c r="F497" s="132"/>
      <c r="G497" s="132"/>
      <c r="H497" s="133"/>
      <c r="I497" s="133"/>
      <c r="J497" s="127"/>
      <c r="K497" s="127"/>
      <c r="L497" s="113"/>
    </row>
    <row r="498">
      <c r="A498" s="128"/>
      <c r="B498" s="128"/>
      <c r="C498" s="129"/>
      <c r="D498" s="131"/>
      <c r="E498" s="131"/>
      <c r="F498" s="132"/>
      <c r="G498" s="132"/>
      <c r="H498" s="133"/>
      <c r="I498" s="133"/>
      <c r="J498" s="127"/>
      <c r="K498" s="127"/>
      <c r="L498" s="113"/>
    </row>
    <row r="499">
      <c r="A499" s="128"/>
      <c r="B499" s="128"/>
      <c r="C499" s="129"/>
      <c r="D499" s="131"/>
      <c r="E499" s="131"/>
      <c r="F499" s="132"/>
      <c r="G499" s="132"/>
      <c r="H499" s="133"/>
      <c r="I499" s="133"/>
      <c r="J499" s="127"/>
      <c r="K499" s="127"/>
      <c r="L499" s="113"/>
    </row>
    <row r="500">
      <c r="A500" s="128"/>
      <c r="B500" s="128"/>
      <c r="C500" s="129"/>
      <c r="D500" s="131"/>
      <c r="E500" s="131"/>
      <c r="F500" s="132"/>
      <c r="G500" s="132"/>
      <c r="H500" s="133"/>
      <c r="I500" s="133"/>
      <c r="J500" s="127"/>
      <c r="K500" s="127"/>
      <c r="L500" s="113"/>
    </row>
    <row r="501">
      <c r="A501" s="128"/>
      <c r="B501" s="128"/>
      <c r="C501" s="129"/>
      <c r="D501" s="131"/>
      <c r="E501" s="131"/>
      <c r="F501" s="132"/>
      <c r="G501" s="132"/>
      <c r="H501" s="133"/>
      <c r="I501" s="133"/>
      <c r="J501" s="127"/>
      <c r="K501" s="127"/>
      <c r="L501" s="113"/>
    </row>
    <row r="502">
      <c r="A502" s="128"/>
      <c r="B502" s="128"/>
      <c r="C502" s="129"/>
      <c r="D502" s="131"/>
      <c r="E502" s="131"/>
      <c r="F502" s="132"/>
      <c r="G502" s="132"/>
      <c r="H502" s="133"/>
      <c r="I502" s="133"/>
      <c r="J502" s="127"/>
      <c r="K502" s="127"/>
      <c r="L502" s="113"/>
    </row>
    <row r="503">
      <c r="A503" s="128"/>
      <c r="B503" s="128"/>
      <c r="C503" s="129"/>
      <c r="D503" s="131"/>
      <c r="E503" s="131"/>
      <c r="F503" s="132"/>
      <c r="G503" s="132"/>
      <c r="H503" s="133"/>
      <c r="I503" s="133"/>
      <c r="J503" s="127"/>
      <c r="K503" s="127"/>
      <c r="L503" s="113"/>
    </row>
    <row r="504">
      <c r="A504" s="128"/>
      <c r="B504" s="128"/>
      <c r="C504" s="129"/>
      <c r="D504" s="131"/>
      <c r="E504" s="131"/>
      <c r="F504" s="132"/>
      <c r="G504" s="132"/>
      <c r="H504" s="133"/>
      <c r="I504" s="133"/>
      <c r="J504" s="127"/>
      <c r="K504" s="127"/>
      <c r="L504" s="113"/>
    </row>
    <row r="505">
      <c r="A505" s="128"/>
      <c r="B505" s="128"/>
      <c r="C505" s="129"/>
      <c r="D505" s="131"/>
      <c r="E505" s="131"/>
      <c r="F505" s="132"/>
      <c r="G505" s="132"/>
      <c r="H505" s="133"/>
      <c r="I505" s="133"/>
      <c r="J505" s="127"/>
      <c r="K505" s="127"/>
      <c r="L505" s="113"/>
    </row>
    <row r="506">
      <c r="A506" s="128"/>
      <c r="B506" s="128"/>
      <c r="C506" s="129"/>
      <c r="D506" s="131"/>
      <c r="E506" s="131"/>
      <c r="F506" s="132"/>
      <c r="G506" s="132"/>
      <c r="H506" s="133"/>
      <c r="I506" s="133"/>
      <c r="J506" s="127"/>
      <c r="K506" s="127"/>
      <c r="L506" s="113"/>
    </row>
    <row r="507">
      <c r="A507" s="128"/>
      <c r="B507" s="128"/>
      <c r="C507" s="129"/>
      <c r="D507" s="131"/>
      <c r="E507" s="131"/>
      <c r="F507" s="132"/>
      <c r="G507" s="132"/>
      <c r="H507" s="133"/>
      <c r="I507" s="133"/>
      <c r="J507" s="127"/>
      <c r="K507" s="127"/>
      <c r="L507" s="113"/>
    </row>
    <row r="508">
      <c r="A508" s="128"/>
      <c r="B508" s="128"/>
      <c r="C508" s="129"/>
      <c r="D508" s="131"/>
      <c r="E508" s="131"/>
      <c r="F508" s="132"/>
      <c r="G508" s="132"/>
      <c r="H508" s="133"/>
      <c r="I508" s="133"/>
      <c r="J508" s="127"/>
      <c r="K508" s="127"/>
      <c r="L508" s="113"/>
    </row>
    <row r="509">
      <c r="A509" s="128"/>
      <c r="B509" s="128"/>
      <c r="C509" s="129"/>
      <c r="D509" s="131"/>
      <c r="E509" s="131"/>
      <c r="F509" s="132"/>
      <c r="G509" s="132"/>
      <c r="H509" s="133"/>
      <c r="I509" s="133"/>
      <c r="J509" s="127"/>
      <c r="K509" s="127"/>
      <c r="L509" s="113"/>
    </row>
    <row r="510">
      <c r="A510" s="128"/>
      <c r="B510" s="128"/>
      <c r="C510" s="129"/>
      <c r="D510" s="131"/>
      <c r="E510" s="131"/>
      <c r="F510" s="132"/>
      <c r="G510" s="132"/>
      <c r="H510" s="133"/>
      <c r="I510" s="133"/>
      <c r="J510" s="127"/>
      <c r="K510" s="127"/>
      <c r="L510" s="113"/>
    </row>
    <row r="511">
      <c r="A511" s="128"/>
      <c r="B511" s="128"/>
      <c r="C511" s="129"/>
      <c r="D511" s="131"/>
      <c r="E511" s="131"/>
      <c r="F511" s="132"/>
      <c r="G511" s="132"/>
      <c r="H511" s="133"/>
      <c r="I511" s="133"/>
      <c r="J511" s="127"/>
      <c r="K511" s="127"/>
      <c r="L511" s="113"/>
    </row>
    <row r="512">
      <c r="A512" s="128"/>
      <c r="B512" s="128"/>
      <c r="C512" s="129"/>
      <c r="D512" s="131"/>
      <c r="E512" s="131"/>
      <c r="F512" s="132"/>
      <c r="G512" s="132"/>
      <c r="H512" s="133"/>
      <c r="I512" s="133"/>
      <c r="J512" s="127"/>
      <c r="K512" s="127"/>
      <c r="L512" s="113"/>
    </row>
    <row r="513">
      <c r="A513" s="128"/>
      <c r="B513" s="128"/>
      <c r="C513" s="129"/>
      <c r="D513" s="131"/>
      <c r="E513" s="131"/>
      <c r="F513" s="132"/>
      <c r="G513" s="132"/>
      <c r="H513" s="133"/>
      <c r="I513" s="133"/>
      <c r="J513" s="127"/>
      <c r="K513" s="127"/>
      <c r="L513" s="113"/>
    </row>
    <row r="514">
      <c r="A514" s="128"/>
      <c r="B514" s="128"/>
      <c r="C514" s="129"/>
      <c r="D514" s="131"/>
      <c r="E514" s="131"/>
      <c r="F514" s="132"/>
      <c r="G514" s="132"/>
      <c r="H514" s="133"/>
      <c r="I514" s="133"/>
      <c r="J514" s="127"/>
      <c r="K514" s="127"/>
      <c r="L514" s="113"/>
    </row>
    <row r="515">
      <c r="A515" s="128"/>
      <c r="B515" s="128"/>
      <c r="C515" s="129"/>
      <c r="D515" s="131"/>
      <c r="E515" s="131"/>
      <c r="F515" s="132"/>
      <c r="G515" s="132"/>
      <c r="H515" s="133"/>
      <c r="I515" s="133"/>
      <c r="J515" s="127"/>
      <c r="K515" s="127"/>
      <c r="L515" s="113"/>
    </row>
    <row r="516">
      <c r="A516" s="128"/>
      <c r="B516" s="128"/>
      <c r="C516" s="129"/>
      <c r="D516" s="131"/>
      <c r="E516" s="131"/>
      <c r="F516" s="132"/>
      <c r="G516" s="132"/>
      <c r="H516" s="133"/>
      <c r="I516" s="133"/>
      <c r="J516" s="127"/>
      <c r="K516" s="127"/>
      <c r="L516" s="113"/>
    </row>
    <row r="517">
      <c r="A517" s="128"/>
      <c r="B517" s="128"/>
      <c r="C517" s="129"/>
      <c r="D517" s="131"/>
      <c r="E517" s="131"/>
      <c r="F517" s="132"/>
      <c r="G517" s="132"/>
      <c r="H517" s="133"/>
      <c r="I517" s="133"/>
      <c r="J517" s="127"/>
      <c r="K517" s="127"/>
      <c r="L517" s="113"/>
    </row>
    <row r="518">
      <c r="A518" s="128"/>
      <c r="B518" s="128"/>
      <c r="C518" s="129"/>
      <c r="D518" s="131"/>
      <c r="E518" s="131"/>
      <c r="F518" s="132"/>
      <c r="G518" s="132"/>
      <c r="H518" s="133"/>
      <c r="I518" s="133"/>
      <c r="J518" s="127"/>
      <c r="K518" s="127"/>
      <c r="L518" s="113"/>
    </row>
    <row r="519">
      <c r="A519" s="128"/>
      <c r="B519" s="128"/>
      <c r="C519" s="129"/>
      <c r="D519" s="131"/>
      <c r="E519" s="131"/>
      <c r="F519" s="132"/>
      <c r="G519" s="132"/>
      <c r="H519" s="133"/>
      <c r="I519" s="133"/>
      <c r="J519" s="127"/>
      <c r="K519" s="127"/>
      <c r="L519" s="113"/>
    </row>
    <row r="520">
      <c r="A520" s="128"/>
      <c r="B520" s="128"/>
      <c r="C520" s="129"/>
      <c r="D520" s="131"/>
      <c r="E520" s="131"/>
      <c r="F520" s="132"/>
      <c r="G520" s="132"/>
      <c r="H520" s="133"/>
      <c r="I520" s="133"/>
      <c r="J520" s="127"/>
      <c r="K520" s="127"/>
      <c r="L520" s="113"/>
    </row>
    <row r="521">
      <c r="A521" s="128"/>
      <c r="B521" s="128"/>
      <c r="C521" s="129"/>
      <c r="D521" s="131"/>
      <c r="E521" s="131"/>
      <c r="F521" s="132"/>
      <c r="G521" s="132"/>
      <c r="H521" s="133"/>
      <c r="I521" s="133"/>
      <c r="J521" s="127"/>
      <c r="K521" s="127"/>
      <c r="L521" s="113"/>
    </row>
    <row r="522">
      <c r="A522" s="128"/>
      <c r="B522" s="128"/>
      <c r="C522" s="129"/>
      <c r="D522" s="131"/>
      <c r="E522" s="131"/>
      <c r="F522" s="132"/>
      <c r="G522" s="132"/>
      <c r="H522" s="133"/>
      <c r="I522" s="133"/>
      <c r="J522" s="127"/>
      <c r="K522" s="127"/>
      <c r="L522" s="113"/>
    </row>
    <row r="523">
      <c r="A523" s="128"/>
      <c r="B523" s="128"/>
      <c r="C523" s="129"/>
      <c r="D523" s="131"/>
      <c r="E523" s="131"/>
      <c r="F523" s="132"/>
      <c r="G523" s="132"/>
      <c r="H523" s="133"/>
      <c r="I523" s="133"/>
      <c r="J523" s="127"/>
      <c r="K523" s="127"/>
      <c r="L523" s="113"/>
    </row>
    <row r="524">
      <c r="A524" s="128"/>
      <c r="B524" s="128"/>
      <c r="C524" s="129"/>
      <c r="D524" s="131"/>
      <c r="E524" s="131"/>
      <c r="F524" s="132"/>
      <c r="G524" s="132"/>
      <c r="H524" s="133"/>
      <c r="I524" s="133"/>
      <c r="J524" s="127"/>
      <c r="K524" s="127"/>
      <c r="L524" s="113"/>
    </row>
    <row r="525">
      <c r="A525" s="128"/>
      <c r="B525" s="128"/>
      <c r="C525" s="129"/>
      <c r="D525" s="131"/>
      <c r="E525" s="131"/>
      <c r="F525" s="132"/>
      <c r="G525" s="132"/>
      <c r="H525" s="133"/>
      <c r="I525" s="133"/>
      <c r="J525" s="127"/>
      <c r="K525" s="127"/>
      <c r="L525" s="113"/>
    </row>
    <row r="526">
      <c r="A526" s="128"/>
      <c r="B526" s="128"/>
      <c r="C526" s="129"/>
      <c r="D526" s="131"/>
      <c r="E526" s="131"/>
      <c r="F526" s="132"/>
      <c r="G526" s="132"/>
      <c r="H526" s="133"/>
      <c r="I526" s="133"/>
      <c r="J526" s="127"/>
      <c r="K526" s="127"/>
      <c r="L526" s="113"/>
    </row>
    <row r="527">
      <c r="A527" s="128"/>
      <c r="B527" s="128"/>
      <c r="C527" s="129"/>
      <c r="D527" s="131"/>
      <c r="E527" s="131"/>
      <c r="F527" s="132"/>
      <c r="G527" s="132"/>
      <c r="H527" s="133"/>
      <c r="I527" s="133"/>
      <c r="J527" s="127"/>
      <c r="K527" s="127"/>
      <c r="L527" s="113"/>
    </row>
    <row r="528">
      <c r="A528" s="128"/>
      <c r="B528" s="128"/>
      <c r="C528" s="129"/>
      <c r="D528" s="131"/>
      <c r="E528" s="131"/>
      <c r="F528" s="132"/>
      <c r="G528" s="132"/>
      <c r="H528" s="133"/>
      <c r="I528" s="133"/>
      <c r="J528" s="127"/>
      <c r="K528" s="127"/>
      <c r="L528" s="113"/>
    </row>
    <row r="529">
      <c r="A529" s="128"/>
      <c r="B529" s="128"/>
      <c r="C529" s="129"/>
      <c r="D529" s="131"/>
      <c r="E529" s="131"/>
      <c r="F529" s="132"/>
      <c r="G529" s="132"/>
      <c r="H529" s="133"/>
      <c r="I529" s="133"/>
      <c r="J529" s="127"/>
      <c r="K529" s="127"/>
      <c r="L529" s="113"/>
    </row>
    <row r="530">
      <c r="A530" s="128"/>
      <c r="B530" s="128"/>
      <c r="C530" s="129"/>
      <c r="D530" s="131"/>
      <c r="E530" s="131"/>
      <c r="F530" s="132"/>
      <c r="G530" s="132"/>
      <c r="H530" s="133"/>
      <c r="I530" s="133"/>
      <c r="J530" s="127"/>
      <c r="K530" s="127"/>
      <c r="L530" s="113"/>
    </row>
    <row r="531">
      <c r="A531" s="128"/>
      <c r="B531" s="128"/>
      <c r="C531" s="129"/>
      <c r="D531" s="131"/>
      <c r="E531" s="131"/>
      <c r="F531" s="132"/>
      <c r="G531" s="132"/>
      <c r="H531" s="133"/>
      <c r="I531" s="133"/>
      <c r="J531" s="127"/>
      <c r="K531" s="127"/>
      <c r="L531" s="113"/>
    </row>
    <row r="532">
      <c r="A532" s="128"/>
      <c r="B532" s="128"/>
      <c r="C532" s="129"/>
      <c r="D532" s="131"/>
      <c r="E532" s="131"/>
      <c r="F532" s="132"/>
      <c r="G532" s="132"/>
      <c r="H532" s="133"/>
      <c r="I532" s="133"/>
      <c r="J532" s="127"/>
      <c r="K532" s="127"/>
      <c r="L532" s="113"/>
    </row>
    <row r="533">
      <c r="A533" s="128"/>
      <c r="B533" s="128"/>
      <c r="C533" s="129"/>
      <c r="D533" s="131"/>
      <c r="E533" s="131"/>
      <c r="F533" s="132"/>
      <c r="G533" s="132"/>
      <c r="H533" s="133"/>
      <c r="I533" s="133"/>
      <c r="J533" s="127"/>
      <c r="K533" s="127"/>
      <c r="L533" s="113"/>
    </row>
    <row r="534">
      <c r="A534" s="128"/>
      <c r="B534" s="128"/>
      <c r="C534" s="129"/>
      <c r="D534" s="131"/>
      <c r="E534" s="131"/>
      <c r="F534" s="132"/>
      <c r="G534" s="132"/>
      <c r="H534" s="133"/>
      <c r="I534" s="133"/>
      <c r="J534" s="127"/>
      <c r="K534" s="127"/>
      <c r="L534" s="113"/>
    </row>
    <row r="535">
      <c r="A535" s="128"/>
      <c r="B535" s="128"/>
      <c r="C535" s="129"/>
      <c r="D535" s="131"/>
      <c r="E535" s="131"/>
      <c r="F535" s="132"/>
      <c r="G535" s="132"/>
      <c r="H535" s="133"/>
      <c r="I535" s="133"/>
      <c r="J535" s="127"/>
      <c r="K535" s="127"/>
      <c r="L535" s="113"/>
    </row>
    <row r="536">
      <c r="A536" s="128"/>
      <c r="B536" s="128"/>
      <c r="C536" s="129"/>
      <c r="D536" s="131"/>
      <c r="E536" s="131"/>
      <c r="F536" s="132"/>
      <c r="G536" s="132"/>
      <c r="H536" s="133"/>
      <c r="I536" s="133"/>
      <c r="J536" s="127"/>
      <c r="K536" s="127"/>
      <c r="L536" s="113"/>
    </row>
    <row r="537">
      <c r="A537" s="128"/>
      <c r="B537" s="128"/>
      <c r="C537" s="129"/>
      <c r="D537" s="131"/>
      <c r="E537" s="131"/>
      <c r="F537" s="132"/>
      <c r="G537" s="132"/>
      <c r="H537" s="133"/>
      <c r="I537" s="133"/>
      <c r="J537" s="127"/>
      <c r="K537" s="127"/>
      <c r="L537" s="113"/>
    </row>
    <row r="538">
      <c r="A538" s="128"/>
      <c r="B538" s="128"/>
      <c r="C538" s="129"/>
      <c r="D538" s="131"/>
      <c r="E538" s="131"/>
      <c r="F538" s="132"/>
      <c r="G538" s="132"/>
      <c r="H538" s="133"/>
      <c r="I538" s="133"/>
      <c r="J538" s="127"/>
      <c r="K538" s="127"/>
      <c r="L538" s="113"/>
    </row>
    <row r="539">
      <c r="A539" s="128"/>
      <c r="B539" s="128"/>
      <c r="C539" s="129"/>
      <c r="D539" s="131"/>
      <c r="E539" s="131"/>
      <c r="F539" s="132"/>
      <c r="G539" s="132"/>
      <c r="H539" s="133"/>
      <c r="I539" s="133"/>
      <c r="J539" s="127"/>
      <c r="K539" s="127"/>
      <c r="L539" s="113"/>
    </row>
    <row r="540">
      <c r="A540" s="128"/>
      <c r="B540" s="128"/>
      <c r="C540" s="129"/>
      <c r="D540" s="131"/>
      <c r="E540" s="131"/>
      <c r="F540" s="132"/>
      <c r="G540" s="132"/>
      <c r="H540" s="133"/>
      <c r="I540" s="133"/>
      <c r="J540" s="127"/>
      <c r="K540" s="127"/>
      <c r="L540" s="113"/>
    </row>
    <row r="541">
      <c r="A541" s="128"/>
      <c r="B541" s="128"/>
      <c r="C541" s="129"/>
      <c r="D541" s="131"/>
      <c r="E541" s="131"/>
      <c r="F541" s="132"/>
      <c r="G541" s="132"/>
      <c r="H541" s="133"/>
      <c r="I541" s="133"/>
      <c r="J541" s="127"/>
      <c r="K541" s="127"/>
      <c r="L541" s="113"/>
    </row>
    <row r="542">
      <c r="A542" s="128"/>
      <c r="B542" s="128"/>
      <c r="C542" s="129"/>
      <c r="D542" s="131"/>
      <c r="E542" s="131"/>
      <c r="F542" s="132"/>
      <c r="G542" s="132"/>
      <c r="H542" s="133"/>
      <c r="I542" s="133"/>
      <c r="J542" s="127"/>
      <c r="K542" s="127"/>
      <c r="L542" s="113"/>
    </row>
    <row r="543">
      <c r="A543" s="128"/>
      <c r="B543" s="128"/>
      <c r="C543" s="129"/>
      <c r="D543" s="131"/>
      <c r="E543" s="131"/>
      <c r="F543" s="132"/>
      <c r="G543" s="132"/>
      <c r="H543" s="133"/>
      <c r="I543" s="133"/>
      <c r="J543" s="127"/>
      <c r="K543" s="127"/>
      <c r="L543" s="113"/>
    </row>
    <row r="544">
      <c r="A544" s="128"/>
      <c r="B544" s="128"/>
      <c r="C544" s="129"/>
      <c r="D544" s="131"/>
      <c r="E544" s="131"/>
      <c r="F544" s="132"/>
      <c r="G544" s="132"/>
      <c r="H544" s="133"/>
      <c r="I544" s="133"/>
      <c r="J544" s="127"/>
      <c r="K544" s="127"/>
      <c r="L544" s="113"/>
    </row>
    <row r="545">
      <c r="A545" s="128"/>
      <c r="B545" s="128"/>
      <c r="C545" s="129"/>
      <c r="D545" s="131"/>
      <c r="E545" s="131"/>
      <c r="F545" s="132"/>
      <c r="G545" s="132"/>
      <c r="H545" s="133"/>
      <c r="I545" s="133"/>
      <c r="J545" s="127"/>
      <c r="K545" s="127"/>
      <c r="L545" s="113"/>
    </row>
    <row r="546">
      <c r="A546" s="128"/>
      <c r="B546" s="128"/>
      <c r="C546" s="129"/>
      <c r="D546" s="131"/>
      <c r="E546" s="131"/>
      <c r="F546" s="132"/>
      <c r="G546" s="132"/>
      <c r="H546" s="133"/>
      <c r="I546" s="133"/>
      <c r="J546" s="127"/>
      <c r="K546" s="127"/>
      <c r="L546" s="113"/>
    </row>
    <row r="547">
      <c r="A547" s="128"/>
      <c r="B547" s="128"/>
      <c r="C547" s="129"/>
      <c r="D547" s="131"/>
      <c r="E547" s="131"/>
      <c r="F547" s="132"/>
      <c r="G547" s="132"/>
      <c r="H547" s="133"/>
      <c r="I547" s="133"/>
      <c r="J547" s="127"/>
      <c r="K547" s="127"/>
      <c r="L547" s="113"/>
    </row>
    <row r="548">
      <c r="A548" s="128"/>
      <c r="B548" s="128"/>
      <c r="C548" s="129"/>
      <c r="D548" s="131"/>
      <c r="E548" s="131"/>
      <c r="F548" s="132"/>
      <c r="G548" s="132"/>
      <c r="H548" s="133"/>
      <c r="I548" s="133"/>
      <c r="J548" s="127"/>
      <c r="K548" s="127"/>
      <c r="L548" s="113"/>
    </row>
    <row r="549">
      <c r="A549" s="128"/>
      <c r="B549" s="128"/>
      <c r="C549" s="129"/>
      <c r="D549" s="131"/>
      <c r="E549" s="131"/>
      <c r="F549" s="132"/>
      <c r="G549" s="132"/>
      <c r="H549" s="133"/>
      <c r="I549" s="133"/>
      <c r="J549" s="127"/>
      <c r="K549" s="127"/>
      <c r="L549" s="113"/>
    </row>
    <row r="550">
      <c r="A550" s="128"/>
      <c r="B550" s="128"/>
      <c r="C550" s="129"/>
      <c r="D550" s="131"/>
      <c r="E550" s="131"/>
      <c r="F550" s="132"/>
      <c r="G550" s="132"/>
      <c r="H550" s="133"/>
      <c r="I550" s="133"/>
      <c r="J550" s="127"/>
      <c r="K550" s="127"/>
      <c r="L550" s="113"/>
    </row>
    <row r="551">
      <c r="A551" s="128"/>
      <c r="B551" s="128"/>
      <c r="C551" s="129"/>
      <c r="D551" s="131"/>
      <c r="E551" s="131"/>
      <c r="F551" s="132"/>
      <c r="G551" s="132"/>
      <c r="H551" s="133"/>
      <c r="I551" s="133"/>
      <c r="J551" s="127"/>
      <c r="K551" s="127"/>
      <c r="L551" s="113"/>
    </row>
    <row r="552">
      <c r="A552" s="128"/>
      <c r="B552" s="128"/>
      <c r="C552" s="129"/>
      <c r="D552" s="131"/>
      <c r="E552" s="131"/>
      <c r="F552" s="132"/>
      <c r="G552" s="132"/>
      <c r="H552" s="133"/>
      <c r="I552" s="133"/>
      <c r="J552" s="127"/>
      <c r="K552" s="127"/>
      <c r="L552" s="113"/>
    </row>
    <row r="553">
      <c r="A553" s="128"/>
      <c r="B553" s="128"/>
      <c r="C553" s="129"/>
      <c r="D553" s="131"/>
      <c r="E553" s="131"/>
      <c r="F553" s="132"/>
      <c r="G553" s="132"/>
      <c r="H553" s="133"/>
      <c r="I553" s="133"/>
      <c r="J553" s="127"/>
      <c r="K553" s="127"/>
      <c r="L553" s="113"/>
    </row>
    <row r="554">
      <c r="A554" s="128"/>
      <c r="B554" s="128"/>
      <c r="C554" s="129"/>
      <c r="D554" s="131"/>
      <c r="E554" s="131"/>
      <c r="F554" s="132"/>
      <c r="G554" s="132"/>
      <c r="H554" s="133"/>
      <c r="I554" s="133"/>
      <c r="J554" s="127"/>
      <c r="K554" s="127"/>
      <c r="L554" s="113"/>
    </row>
    <row r="555">
      <c r="A555" s="128"/>
      <c r="B555" s="128"/>
      <c r="C555" s="129"/>
      <c r="D555" s="131"/>
      <c r="E555" s="131"/>
      <c r="F555" s="132"/>
      <c r="G555" s="132"/>
      <c r="H555" s="133"/>
      <c r="I555" s="133"/>
      <c r="J555" s="127"/>
      <c r="K555" s="127"/>
      <c r="L555" s="113"/>
    </row>
    <row r="556">
      <c r="A556" s="128"/>
      <c r="B556" s="128"/>
      <c r="C556" s="129"/>
      <c r="D556" s="131"/>
      <c r="E556" s="131"/>
      <c r="F556" s="132"/>
      <c r="G556" s="132"/>
      <c r="H556" s="133"/>
      <c r="I556" s="133"/>
      <c r="J556" s="127"/>
      <c r="K556" s="127"/>
      <c r="L556" s="113"/>
    </row>
    <row r="557">
      <c r="A557" s="128"/>
      <c r="B557" s="128"/>
      <c r="C557" s="129"/>
      <c r="D557" s="131"/>
      <c r="E557" s="131"/>
      <c r="F557" s="132"/>
      <c r="G557" s="132"/>
      <c r="H557" s="133"/>
      <c r="I557" s="133"/>
      <c r="J557" s="127"/>
      <c r="K557" s="127"/>
      <c r="L557" s="113"/>
    </row>
    <row r="558">
      <c r="A558" s="128"/>
      <c r="B558" s="128"/>
      <c r="C558" s="129"/>
      <c r="D558" s="131"/>
      <c r="E558" s="131"/>
      <c r="F558" s="132"/>
      <c r="G558" s="132"/>
      <c r="H558" s="133"/>
      <c r="I558" s="133"/>
      <c r="J558" s="127"/>
      <c r="K558" s="127"/>
      <c r="L558" s="113"/>
    </row>
    <row r="559">
      <c r="A559" s="128"/>
      <c r="B559" s="128"/>
      <c r="C559" s="129"/>
      <c r="D559" s="131"/>
      <c r="E559" s="131"/>
      <c r="F559" s="132"/>
      <c r="G559" s="132"/>
      <c r="H559" s="133"/>
      <c r="I559" s="133"/>
      <c r="J559" s="127"/>
      <c r="K559" s="127"/>
      <c r="L559" s="113"/>
    </row>
    <row r="560">
      <c r="A560" s="128"/>
      <c r="B560" s="128"/>
      <c r="C560" s="129"/>
      <c r="D560" s="131"/>
      <c r="E560" s="131"/>
      <c r="F560" s="132"/>
      <c r="G560" s="132"/>
      <c r="H560" s="133"/>
      <c r="I560" s="133"/>
      <c r="J560" s="127"/>
      <c r="K560" s="127"/>
      <c r="L560" s="113"/>
    </row>
    <row r="561">
      <c r="A561" s="128"/>
      <c r="B561" s="128"/>
      <c r="C561" s="129"/>
      <c r="D561" s="131"/>
      <c r="E561" s="131"/>
      <c r="F561" s="132"/>
      <c r="G561" s="132"/>
      <c r="H561" s="133"/>
      <c r="I561" s="133"/>
      <c r="J561" s="127"/>
      <c r="K561" s="127"/>
      <c r="L561" s="113"/>
    </row>
    <row r="562">
      <c r="A562" s="128"/>
      <c r="B562" s="128"/>
      <c r="C562" s="129"/>
      <c r="D562" s="131"/>
      <c r="E562" s="131"/>
      <c r="F562" s="132"/>
      <c r="G562" s="132"/>
      <c r="H562" s="133"/>
      <c r="I562" s="133"/>
      <c r="J562" s="127"/>
      <c r="K562" s="127"/>
      <c r="L562" s="113"/>
    </row>
    <row r="563">
      <c r="A563" s="128"/>
      <c r="B563" s="128"/>
      <c r="C563" s="129"/>
      <c r="D563" s="131"/>
      <c r="E563" s="131"/>
      <c r="F563" s="132"/>
      <c r="G563" s="132"/>
      <c r="H563" s="133"/>
      <c r="I563" s="133"/>
      <c r="J563" s="127"/>
      <c r="K563" s="127"/>
      <c r="L563" s="113"/>
    </row>
    <row r="564">
      <c r="A564" s="128"/>
      <c r="B564" s="128"/>
      <c r="C564" s="129"/>
      <c r="D564" s="131"/>
      <c r="E564" s="131"/>
      <c r="F564" s="132"/>
      <c r="G564" s="132"/>
      <c r="H564" s="133"/>
      <c r="I564" s="133"/>
      <c r="J564" s="127"/>
      <c r="K564" s="127"/>
      <c r="L564" s="113"/>
    </row>
    <row r="565">
      <c r="A565" s="128"/>
      <c r="B565" s="128"/>
      <c r="C565" s="129"/>
      <c r="D565" s="131"/>
      <c r="E565" s="131"/>
      <c r="F565" s="132"/>
      <c r="G565" s="132"/>
      <c r="H565" s="133"/>
      <c r="I565" s="133"/>
      <c r="J565" s="127"/>
      <c r="K565" s="127"/>
      <c r="L565" s="113"/>
    </row>
    <row r="566">
      <c r="A566" s="128"/>
      <c r="B566" s="128"/>
      <c r="C566" s="129"/>
      <c r="D566" s="131"/>
      <c r="E566" s="131"/>
      <c r="F566" s="132"/>
      <c r="G566" s="132"/>
      <c r="H566" s="133"/>
      <c r="I566" s="133"/>
      <c r="J566" s="127"/>
      <c r="K566" s="127"/>
      <c r="L566" s="113"/>
    </row>
    <row r="567">
      <c r="A567" s="128"/>
      <c r="B567" s="128"/>
      <c r="C567" s="129"/>
      <c r="D567" s="131"/>
      <c r="E567" s="131"/>
      <c r="F567" s="132"/>
      <c r="G567" s="132"/>
      <c r="H567" s="133"/>
      <c r="I567" s="133"/>
      <c r="J567" s="127"/>
      <c r="K567" s="127"/>
      <c r="L567" s="113"/>
    </row>
    <row r="568">
      <c r="A568" s="128"/>
      <c r="B568" s="128"/>
      <c r="C568" s="129"/>
      <c r="D568" s="131"/>
      <c r="E568" s="131"/>
      <c r="F568" s="132"/>
      <c r="G568" s="132"/>
      <c r="H568" s="133"/>
      <c r="I568" s="133"/>
      <c r="J568" s="127"/>
      <c r="K568" s="127"/>
      <c r="L568" s="113"/>
    </row>
    <row r="569">
      <c r="A569" s="128"/>
      <c r="B569" s="128"/>
      <c r="C569" s="129"/>
      <c r="D569" s="131"/>
      <c r="E569" s="131"/>
      <c r="F569" s="132"/>
      <c r="G569" s="132"/>
      <c r="H569" s="133"/>
      <c r="I569" s="133"/>
      <c r="J569" s="127"/>
      <c r="K569" s="127"/>
      <c r="L569" s="113"/>
    </row>
    <row r="570">
      <c r="A570" s="128"/>
      <c r="B570" s="128"/>
      <c r="C570" s="129"/>
      <c r="D570" s="131"/>
      <c r="E570" s="131"/>
      <c r="F570" s="132"/>
      <c r="G570" s="132"/>
      <c r="H570" s="133"/>
      <c r="I570" s="133"/>
      <c r="J570" s="127"/>
      <c r="K570" s="127"/>
      <c r="L570" s="113"/>
    </row>
    <row r="571">
      <c r="A571" s="128"/>
      <c r="B571" s="128"/>
      <c r="C571" s="129"/>
      <c r="D571" s="131"/>
      <c r="E571" s="131"/>
      <c r="F571" s="132"/>
      <c r="G571" s="132"/>
      <c r="H571" s="133"/>
      <c r="I571" s="133"/>
      <c r="J571" s="127"/>
      <c r="K571" s="127"/>
      <c r="L571" s="113"/>
    </row>
    <row r="572">
      <c r="A572" s="128"/>
      <c r="B572" s="128"/>
      <c r="C572" s="129"/>
      <c r="D572" s="131"/>
      <c r="E572" s="131"/>
      <c r="F572" s="132"/>
      <c r="G572" s="132"/>
      <c r="H572" s="133"/>
      <c r="I572" s="133"/>
      <c r="J572" s="127"/>
      <c r="K572" s="127"/>
      <c r="L572" s="113"/>
    </row>
    <row r="573">
      <c r="A573" s="128"/>
      <c r="B573" s="128"/>
      <c r="C573" s="129"/>
      <c r="D573" s="131"/>
      <c r="E573" s="131"/>
      <c r="F573" s="132"/>
      <c r="G573" s="132"/>
      <c r="H573" s="133"/>
      <c r="I573" s="133"/>
      <c r="J573" s="127"/>
      <c r="K573" s="127"/>
      <c r="L573" s="113"/>
    </row>
    <row r="574">
      <c r="A574" s="128"/>
      <c r="B574" s="128"/>
      <c r="C574" s="129"/>
      <c r="D574" s="131"/>
      <c r="E574" s="131"/>
      <c r="F574" s="132"/>
      <c r="G574" s="132"/>
      <c r="H574" s="133"/>
      <c r="I574" s="133"/>
      <c r="J574" s="127"/>
      <c r="K574" s="127"/>
      <c r="L574" s="113"/>
    </row>
    <row r="575">
      <c r="A575" s="128"/>
      <c r="B575" s="128"/>
      <c r="C575" s="129"/>
      <c r="D575" s="131"/>
      <c r="E575" s="131"/>
      <c r="F575" s="132"/>
      <c r="G575" s="132"/>
      <c r="H575" s="133"/>
      <c r="I575" s="133"/>
      <c r="J575" s="127"/>
      <c r="K575" s="127"/>
      <c r="L575" s="113"/>
    </row>
    <row r="576">
      <c r="A576" s="128"/>
      <c r="B576" s="128"/>
      <c r="C576" s="129"/>
      <c r="D576" s="131"/>
      <c r="E576" s="131"/>
      <c r="F576" s="132"/>
      <c r="G576" s="132"/>
      <c r="H576" s="133"/>
      <c r="I576" s="133"/>
      <c r="J576" s="127"/>
      <c r="K576" s="127"/>
      <c r="L576" s="113"/>
    </row>
    <row r="577">
      <c r="A577" s="128"/>
      <c r="B577" s="128"/>
      <c r="C577" s="129"/>
      <c r="D577" s="131"/>
      <c r="E577" s="131"/>
      <c r="F577" s="132"/>
      <c r="G577" s="132"/>
      <c r="H577" s="133"/>
      <c r="I577" s="133"/>
      <c r="J577" s="127"/>
      <c r="K577" s="127"/>
      <c r="L577" s="113"/>
    </row>
    <row r="578">
      <c r="A578" s="128"/>
      <c r="B578" s="128"/>
      <c r="C578" s="129"/>
      <c r="D578" s="131"/>
      <c r="E578" s="131"/>
      <c r="F578" s="132"/>
      <c r="G578" s="132"/>
      <c r="H578" s="133"/>
      <c r="I578" s="133"/>
      <c r="J578" s="127"/>
      <c r="K578" s="127"/>
      <c r="L578" s="113"/>
    </row>
    <row r="579">
      <c r="A579" s="128"/>
      <c r="B579" s="128"/>
      <c r="C579" s="129"/>
      <c r="D579" s="131"/>
      <c r="E579" s="131"/>
      <c r="F579" s="132"/>
      <c r="G579" s="132"/>
      <c r="H579" s="133"/>
      <c r="I579" s="133"/>
      <c r="J579" s="127"/>
      <c r="K579" s="127"/>
      <c r="L579" s="113"/>
    </row>
    <row r="580">
      <c r="A580" s="128"/>
      <c r="B580" s="128"/>
      <c r="C580" s="129"/>
      <c r="D580" s="131"/>
      <c r="E580" s="131"/>
      <c r="F580" s="132"/>
      <c r="G580" s="132"/>
      <c r="H580" s="133"/>
      <c r="I580" s="133"/>
      <c r="J580" s="127"/>
      <c r="K580" s="127"/>
      <c r="L580" s="113"/>
    </row>
    <row r="581">
      <c r="A581" s="128"/>
      <c r="B581" s="128"/>
      <c r="C581" s="129"/>
      <c r="D581" s="131"/>
      <c r="E581" s="131"/>
      <c r="F581" s="132"/>
      <c r="G581" s="132"/>
      <c r="H581" s="133"/>
      <c r="I581" s="133"/>
      <c r="J581" s="127"/>
      <c r="K581" s="127"/>
      <c r="L581" s="113"/>
    </row>
    <row r="582">
      <c r="A582" s="128"/>
      <c r="B582" s="128"/>
      <c r="C582" s="129"/>
      <c r="D582" s="131"/>
      <c r="E582" s="131"/>
      <c r="F582" s="132"/>
      <c r="G582" s="132"/>
      <c r="H582" s="133"/>
      <c r="I582" s="133"/>
      <c r="J582" s="127"/>
      <c r="K582" s="127"/>
      <c r="L582" s="113"/>
    </row>
    <row r="583">
      <c r="A583" s="128"/>
      <c r="B583" s="128"/>
      <c r="C583" s="129"/>
      <c r="D583" s="131"/>
      <c r="E583" s="131"/>
      <c r="F583" s="132"/>
      <c r="G583" s="132"/>
      <c r="H583" s="133"/>
      <c r="I583" s="133"/>
      <c r="J583" s="127"/>
      <c r="K583" s="127"/>
      <c r="L583" s="113"/>
    </row>
    <row r="584">
      <c r="A584" s="128"/>
      <c r="B584" s="128"/>
      <c r="C584" s="129"/>
      <c r="D584" s="131"/>
      <c r="E584" s="131"/>
      <c r="F584" s="132"/>
      <c r="G584" s="132"/>
      <c r="H584" s="133"/>
      <c r="I584" s="133"/>
      <c r="J584" s="127"/>
      <c r="K584" s="127"/>
      <c r="L584" s="113"/>
    </row>
    <row r="585">
      <c r="A585" s="128"/>
      <c r="B585" s="128"/>
      <c r="C585" s="129"/>
      <c r="D585" s="131"/>
      <c r="E585" s="131"/>
      <c r="F585" s="132"/>
      <c r="G585" s="132"/>
      <c r="H585" s="133"/>
      <c r="I585" s="133"/>
      <c r="J585" s="127"/>
      <c r="K585" s="127"/>
      <c r="L585" s="113"/>
    </row>
    <row r="586">
      <c r="A586" s="128"/>
      <c r="B586" s="128"/>
      <c r="C586" s="129"/>
      <c r="D586" s="131"/>
      <c r="E586" s="131"/>
      <c r="F586" s="132"/>
      <c r="G586" s="132"/>
      <c r="H586" s="133"/>
      <c r="I586" s="133"/>
      <c r="J586" s="127"/>
      <c r="K586" s="127"/>
      <c r="L586" s="113"/>
    </row>
    <row r="587">
      <c r="A587" s="128"/>
      <c r="B587" s="128"/>
      <c r="C587" s="129"/>
      <c r="D587" s="131"/>
      <c r="E587" s="131"/>
      <c r="F587" s="132"/>
      <c r="G587" s="132"/>
      <c r="H587" s="133"/>
      <c r="I587" s="133"/>
      <c r="J587" s="127"/>
      <c r="K587" s="127"/>
      <c r="L587" s="113"/>
    </row>
    <row r="588">
      <c r="A588" s="128"/>
      <c r="B588" s="128"/>
      <c r="C588" s="129"/>
      <c r="D588" s="131"/>
      <c r="E588" s="131"/>
      <c r="F588" s="132"/>
      <c r="G588" s="132"/>
      <c r="H588" s="133"/>
      <c r="I588" s="133"/>
      <c r="J588" s="127"/>
      <c r="K588" s="127"/>
      <c r="L588" s="113"/>
    </row>
    <row r="589">
      <c r="A589" s="128"/>
      <c r="B589" s="128"/>
      <c r="C589" s="129"/>
      <c r="D589" s="131"/>
      <c r="E589" s="131"/>
      <c r="F589" s="132"/>
      <c r="G589" s="132"/>
      <c r="H589" s="133"/>
      <c r="I589" s="133"/>
      <c r="J589" s="127"/>
      <c r="K589" s="127"/>
      <c r="L589" s="113"/>
    </row>
    <row r="590">
      <c r="A590" s="128"/>
      <c r="B590" s="128"/>
      <c r="C590" s="129"/>
      <c r="D590" s="131"/>
      <c r="E590" s="131"/>
      <c r="F590" s="132"/>
      <c r="G590" s="132"/>
      <c r="H590" s="133"/>
      <c r="I590" s="133"/>
      <c r="J590" s="127"/>
      <c r="K590" s="127"/>
      <c r="L590" s="113"/>
    </row>
    <row r="591">
      <c r="A591" s="128"/>
      <c r="B591" s="128"/>
      <c r="C591" s="129"/>
      <c r="D591" s="131"/>
      <c r="E591" s="131"/>
      <c r="F591" s="132"/>
      <c r="G591" s="132"/>
      <c r="H591" s="133"/>
      <c r="I591" s="133"/>
      <c r="J591" s="127"/>
      <c r="K591" s="127"/>
      <c r="L591" s="113"/>
    </row>
    <row r="592">
      <c r="A592" s="128"/>
      <c r="B592" s="128"/>
      <c r="C592" s="129"/>
      <c r="D592" s="131"/>
      <c r="E592" s="131"/>
      <c r="F592" s="132"/>
      <c r="G592" s="132"/>
      <c r="H592" s="133"/>
      <c r="I592" s="133"/>
      <c r="J592" s="127"/>
      <c r="K592" s="127"/>
      <c r="L592" s="113"/>
    </row>
    <row r="593">
      <c r="A593" s="128"/>
      <c r="B593" s="128"/>
      <c r="C593" s="129"/>
      <c r="D593" s="131"/>
      <c r="E593" s="131"/>
      <c r="F593" s="132"/>
      <c r="G593" s="132"/>
      <c r="H593" s="133"/>
      <c r="I593" s="133"/>
      <c r="J593" s="127"/>
      <c r="K593" s="127"/>
      <c r="L593" s="113"/>
    </row>
    <row r="594">
      <c r="A594" s="128"/>
      <c r="B594" s="128"/>
      <c r="C594" s="129"/>
      <c r="D594" s="131"/>
      <c r="E594" s="131"/>
      <c r="F594" s="132"/>
      <c r="G594" s="132"/>
      <c r="H594" s="133"/>
      <c r="I594" s="133"/>
      <c r="J594" s="127"/>
      <c r="K594" s="127"/>
      <c r="L594" s="113"/>
    </row>
    <row r="595">
      <c r="A595" s="128"/>
      <c r="B595" s="128"/>
      <c r="C595" s="129"/>
      <c r="D595" s="131"/>
      <c r="E595" s="131"/>
      <c r="F595" s="132"/>
      <c r="G595" s="132"/>
      <c r="H595" s="133"/>
      <c r="I595" s="133"/>
      <c r="J595" s="127"/>
      <c r="K595" s="127"/>
      <c r="L595" s="113"/>
    </row>
    <row r="596">
      <c r="A596" s="128"/>
      <c r="B596" s="128"/>
      <c r="C596" s="129"/>
      <c r="D596" s="131"/>
      <c r="E596" s="131"/>
      <c r="F596" s="132"/>
      <c r="G596" s="132"/>
      <c r="H596" s="133"/>
      <c r="I596" s="133"/>
      <c r="J596" s="127"/>
      <c r="K596" s="127"/>
      <c r="L596" s="113"/>
    </row>
    <row r="597">
      <c r="A597" s="128"/>
      <c r="B597" s="128"/>
      <c r="C597" s="129"/>
      <c r="D597" s="131"/>
      <c r="E597" s="131"/>
      <c r="F597" s="132"/>
      <c r="G597" s="132"/>
      <c r="H597" s="133"/>
      <c r="I597" s="133"/>
      <c r="J597" s="127"/>
      <c r="K597" s="127"/>
      <c r="L597" s="113"/>
    </row>
    <row r="598">
      <c r="A598" s="128"/>
      <c r="B598" s="128"/>
      <c r="C598" s="129"/>
      <c r="D598" s="131"/>
      <c r="E598" s="131"/>
      <c r="F598" s="132"/>
      <c r="G598" s="132"/>
      <c r="H598" s="133"/>
      <c r="I598" s="133"/>
      <c r="J598" s="127"/>
      <c r="K598" s="127"/>
      <c r="L598" s="113"/>
    </row>
    <row r="599">
      <c r="A599" s="128"/>
      <c r="B599" s="128"/>
      <c r="C599" s="129"/>
      <c r="D599" s="131"/>
      <c r="E599" s="131"/>
      <c r="F599" s="132"/>
      <c r="G599" s="132"/>
      <c r="H599" s="133"/>
      <c r="I599" s="133"/>
      <c r="J599" s="127"/>
      <c r="K599" s="127"/>
      <c r="L599" s="113"/>
    </row>
    <row r="600">
      <c r="A600" s="128"/>
      <c r="B600" s="128"/>
      <c r="C600" s="129"/>
      <c r="D600" s="131"/>
      <c r="E600" s="131"/>
      <c r="F600" s="132"/>
      <c r="G600" s="132"/>
      <c r="H600" s="133"/>
      <c r="I600" s="133"/>
      <c r="J600" s="127"/>
      <c r="K600" s="127"/>
      <c r="L600" s="113"/>
    </row>
    <row r="601">
      <c r="A601" s="128"/>
      <c r="B601" s="128"/>
      <c r="C601" s="129"/>
      <c r="D601" s="131"/>
      <c r="E601" s="131"/>
      <c r="F601" s="132"/>
      <c r="G601" s="132"/>
      <c r="H601" s="133"/>
      <c r="I601" s="133"/>
      <c r="J601" s="127"/>
      <c r="K601" s="127"/>
      <c r="L601" s="113"/>
    </row>
    <row r="602">
      <c r="A602" s="128"/>
      <c r="B602" s="128"/>
      <c r="C602" s="129"/>
      <c r="D602" s="131"/>
      <c r="E602" s="131"/>
      <c r="F602" s="132"/>
      <c r="G602" s="132"/>
      <c r="H602" s="133"/>
      <c r="I602" s="133"/>
      <c r="J602" s="127"/>
      <c r="K602" s="127"/>
      <c r="L602" s="113"/>
    </row>
    <row r="603">
      <c r="A603" s="128"/>
      <c r="B603" s="128"/>
      <c r="C603" s="129"/>
      <c r="D603" s="131"/>
      <c r="E603" s="131"/>
      <c r="F603" s="132"/>
      <c r="G603" s="132"/>
      <c r="H603" s="133"/>
      <c r="I603" s="133"/>
      <c r="J603" s="127"/>
      <c r="K603" s="127"/>
      <c r="L603" s="113"/>
    </row>
    <row r="604">
      <c r="A604" s="128"/>
      <c r="B604" s="128"/>
      <c r="C604" s="129"/>
      <c r="D604" s="131"/>
      <c r="E604" s="131"/>
      <c r="F604" s="132"/>
      <c r="G604" s="132"/>
      <c r="H604" s="133"/>
      <c r="I604" s="133"/>
      <c r="J604" s="127"/>
      <c r="K604" s="127"/>
      <c r="L604" s="113"/>
    </row>
    <row r="605">
      <c r="A605" s="128"/>
      <c r="B605" s="128"/>
      <c r="C605" s="129"/>
      <c r="D605" s="131"/>
      <c r="E605" s="131"/>
      <c r="F605" s="132"/>
      <c r="G605" s="132"/>
      <c r="H605" s="133"/>
      <c r="I605" s="133"/>
      <c r="J605" s="127"/>
      <c r="K605" s="127"/>
      <c r="L605" s="113"/>
    </row>
    <row r="606">
      <c r="A606" s="128"/>
      <c r="B606" s="128"/>
      <c r="C606" s="129"/>
      <c r="D606" s="131"/>
      <c r="E606" s="131"/>
      <c r="F606" s="132"/>
      <c r="G606" s="132"/>
      <c r="H606" s="133"/>
      <c r="I606" s="133"/>
      <c r="J606" s="127"/>
      <c r="K606" s="127"/>
      <c r="L606" s="113"/>
    </row>
    <row r="607">
      <c r="A607" s="128"/>
      <c r="B607" s="128"/>
      <c r="C607" s="129"/>
      <c r="D607" s="131"/>
      <c r="E607" s="131"/>
      <c r="F607" s="132"/>
      <c r="G607" s="132"/>
      <c r="H607" s="133"/>
      <c r="I607" s="133"/>
      <c r="J607" s="127"/>
      <c r="K607" s="127"/>
      <c r="L607" s="113"/>
    </row>
    <row r="608">
      <c r="A608" s="128"/>
      <c r="B608" s="128"/>
      <c r="C608" s="129"/>
      <c r="D608" s="131"/>
      <c r="E608" s="131"/>
      <c r="F608" s="132"/>
      <c r="G608" s="132"/>
      <c r="H608" s="133"/>
      <c r="I608" s="133"/>
      <c r="J608" s="127"/>
      <c r="K608" s="127"/>
      <c r="L608" s="113"/>
    </row>
    <row r="609">
      <c r="A609" s="128"/>
      <c r="B609" s="128"/>
      <c r="C609" s="129"/>
      <c r="D609" s="131"/>
      <c r="E609" s="131"/>
      <c r="F609" s="132"/>
      <c r="G609" s="132"/>
      <c r="H609" s="133"/>
      <c r="I609" s="133"/>
      <c r="J609" s="127"/>
      <c r="K609" s="127"/>
      <c r="L609" s="113"/>
    </row>
    <row r="610">
      <c r="A610" s="128"/>
      <c r="B610" s="128"/>
      <c r="C610" s="129"/>
      <c r="D610" s="131"/>
      <c r="E610" s="131"/>
      <c r="F610" s="132"/>
      <c r="G610" s="132"/>
      <c r="H610" s="133"/>
      <c r="I610" s="133"/>
      <c r="J610" s="127"/>
      <c r="K610" s="127"/>
      <c r="L610" s="113"/>
    </row>
    <row r="611">
      <c r="A611" s="128"/>
      <c r="B611" s="128"/>
      <c r="C611" s="129"/>
      <c r="D611" s="131"/>
      <c r="E611" s="131"/>
      <c r="F611" s="132"/>
      <c r="G611" s="132"/>
      <c r="H611" s="133"/>
      <c r="I611" s="133"/>
      <c r="J611" s="127"/>
      <c r="K611" s="127"/>
      <c r="L611" s="113"/>
    </row>
    <row r="612">
      <c r="A612" s="128"/>
      <c r="B612" s="128"/>
      <c r="C612" s="129"/>
      <c r="D612" s="131"/>
      <c r="E612" s="131"/>
      <c r="F612" s="132"/>
      <c r="G612" s="132"/>
      <c r="H612" s="133"/>
      <c r="I612" s="133"/>
      <c r="J612" s="127"/>
      <c r="K612" s="127"/>
      <c r="L612" s="113"/>
    </row>
    <row r="613">
      <c r="A613" s="128"/>
      <c r="B613" s="128"/>
      <c r="C613" s="129"/>
      <c r="D613" s="131"/>
      <c r="E613" s="131"/>
      <c r="F613" s="132"/>
      <c r="G613" s="132"/>
      <c r="H613" s="133"/>
      <c r="I613" s="133"/>
      <c r="J613" s="127"/>
      <c r="K613" s="127"/>
      <c r="L613" s="113"/>
    </row>
    <row r="614">
      <c r="A614" s="128"/>
      <c r="B614" s="128"/>
      <c r="C614" s="129"/>
      <c r="D614" s="131"/>
      <c r="E614" s="131"/>
      <c r="F614" s="132"/>
      <c r="G614" s="132"/>
      <c r="H614" s="133"/>
      <c r="I614" s="133"/>
      <c r="J614" s="127"/>
      <c r="K614" s="127"/>
      <c r="L614" s="113"/>
    </row>
    <row r="615">
      <c r="A615" s="128"/>
      <c r="B615" s="128"/>
      <c r="C615" s="129"/>
      <c r="D615" s="131"/>
      <c r="E615" s="131"/>
      <c r="F615" s="132"/>
      <c r="G615" s="132"/>
      <c r="H615" s="133"/>
      <c r="I615" s="133"/>
      <c r="J615" s="127"/>
      <c r="K615" s="127"/>
      <c r="L615" s="113"/>
    </row>
    <row r="616">
      <c r="A616" s="128"/>
      <c r="B616" s="128"/>
      <c r="C616" s="129"/>
      <c r="D616" s="131"/>
      <c r="E616" s="131"/>
      <c r="F616" s="132"/>
      <c r="G616" s="132"/>
      <c r="H616" s="133"/>
      <c r="I616" s="133"/>
      <c r="J616" s="127"/>
      <c r="K616" s="127"/>
      <c r="L616" s="113"/>
    </row>
    <row r="617">
      <c r="A617" s="128"/>
      <c r="B617" s="128"/>
      <c r="C617" s="129"/>
      <c r="D617" s="131"/>
      <c r="E617" s="131"/>
      <c r="F617" s="132"/>
      <c r="G617" s="132"/>
      <c r="H617" s="133"/>
      <c r="I617" s="133"/>
      <c r="J617" s="127"/>
      <c r="K617" s="127"/>
      <c r="L617" s="113"/>
    </row>
    <row r="618">
      <c r="A618" s="128"/>
      <c r="B618" s="128"/>
      <c r="C618" s="129"/>
      <c r="D618" s="131"/>
      <c r="E618" s="131"/>
      <c r="F618" s="132"/>
      <c r="G618" s="132"/>
      <c r="H618" s="133"/>
      <c r="I618" s="133"/>
      <c r="J618" s="127"/>
      <c r="K618" s="127"/>
      <c r="L618" s="113"/>
    </row>
    <row r="619">
      <c r="A619" s="128"/>
      <c r="B619" s="128"/>
      <c r="C619" s="129"/>
      <c r="D619" s="131"/>
      <c r="E619" s="131"/>
      <c r="F619" s="132"/>
      <c r="G619" s="132"/>
      <c r="H619" s="133"/>
      <c r="I619" s="133"/>
      <c r="J619" s="127"/>
      <c r="K619" s="127"/>
      <c r="L619" s="113"/>
    </row>
    <row r="620">
      <c r="A620" s="128"/>
      <c r="B620" s="128"/>
      <c r="C620" s="129"/>
      <c r="D620" s="131"/>
      <c r="E620" s="131"/>
      <c r="F620" s="132"/>
      <c r="G620" s="132"/>
      <c r="H620" s="133"/>
      <c r="I620" s="133"/>
      <c r="J620" s="127"/>
      <c r="K620" s="127"/>
      <c r="L620" s="113"/>
    </row>
    <row r="621">
      <c r="A621" s="128"/>
      <c r="B621" s="128"/>
      <c r="C621" s="129"/>
      <c r="D621" s="131"/>
      <c r="E621" s="131"/>
      <c r="F621" s="132"/>
      <c r="G621" s="132"/>
      <c r="H621" s="133"/>
      <c r="I621" s="133"/>
      <c r="J621" s="127"/>
      <c r="K621" s="127"/>
      <c r="L621" s="113"/>
    </row>
    <row r="622">
      <c r="A622" s="128"/>
      <c r="B622" s="128"/>
      <c r="C622" s="129"/>
      <c r="D622" s="131"/>
      <c r="E622" s="131"/>
      <c r="F622" s="132"/>
      <c r="G622" s="132"/>
      <c r="H622" s="133"/>
      <c r="I622" s="133"/>
      <c r="J622" s="127"/>
      <c r="K622" s="127"/>
      <c r="L622" s="113"/>
    </row>
    <row r="623">
      <c r="A623" s="128"/>
      <c r="B623" s="128"/>
      <c r="C623" s="129"/>
      <c r="D623" s="131"/>
      <c r="E623" s="131"/>
      <c r="F623" s="132"/>
      <c r="G623" s="132"/>
      <c r="H623" s="133"/>
      <c r="I623" s="133"/>
      <c r="J623" s="127"/>
      <c r="K623" s="127"/>
      <c r="L623" s="113"/>
    </row>
    <row r="624">
      <c r="A624" s="128"/>
      <c r="B624" s="128"/>
      <c r="C624" s="129"/>
      <c r="D624" s="131"/>
      <c r="E624" s="131"/>
      <c r="F624" s="132"/>
      <c r="G624" s="132"/>
      <c r="H624" s="133"/>
      <c r="I624" s="133"/>
      <c r="J624" s="127"/>
      <c r="K624" s="127"/>
      <c r="L624" s="113"/>
    </row>
    <row r="625">
      <c r="A625" s="128"/>
      <c r="B625" s="128"/>
      <c r="C625" s="129"/>
      <c r="D625" s="131"/>
      <c r="E625" s="131"/>
      <c r="F625" s="132"/>
      <c r="G625" s="132"/>
      <c r="H625" s="133"/>
      <c r="I625" s="133"/>
      <c r="J625" s="127"/>
      <c r="K625" s="127"/>
      <c r="L625" s="113"/>
    </row>
    <row r="626">
      <c r="A626" s="128"/>
      <c r="B626" s="128"/>
      <c r="C626" s="129"/>
      <c r="D626" s="131"/>
      <c r="E626" s="131"/>
      <c r="F626" s="132"/>
      <c r="G626" s="132"/>
      <c r="H626" s="133"/>
      <c r="I626" s="133"/>
      <c r="J626" s="127"/>
      <c r="K626" s="127"/>
      <c r="L626" s="113"/>
    </row>
    <row r="627">
      <c r="A627" s="128"/>
      <c r="B627" s="128"/>
      <c r="C627" s="129"/>
      <c r="D627" s="131"/>
      <c r="E627" s="131"/>
      <c r="F627" s="132"/>
      <c r="G627" s="132"/>
      <c r="H627" s="133"/>
      <c r="I627" s="133"/>
      <c r="J627" s="127"/>
      <c r="K627" s="127"/>
      <c r="L627" s="113"/>
    </row>
    <row r="628">
      <c r="A628" s="128"/>
      <c r="B628" s="128"/>
      <c r="C628" s="129"/>
      <c r="D628" s="131"/>
      <c r="E628" s="131"/>
      <c r="F628" s="132"/>
      <c r="G628" s="132"/>
      <c r="H628" s="133"/>
      <c r="I628" s="133"/>
      <c r="J628" s="127"/>
      <c r="K628" s="127"/>
      <c r="L628" s="113"/>
    </row>
    <row r="629">
      <c r="A629" s="128"/>
      <c r="B629" s="128"/>
      <c r="C629" s="129"/>
      <c r="D629" s="131"/>
      <c r="E629" s="131"/>
      <c r="F629" s="132"/>
      <c r="G629" s="132"/>
      <c r="H629" s="133"/>
      <c r="I629" s="133"/>
      <c r="J629" s="127"/>
      <c r="K629" s="127"/>
      <c r="L629" s="113"/>
    </row>
    <row r="630">
      <c r="A630" s="128"/>
      <c r="B630" s="128"/>
      <c r="C630" s="129"/>
      <c r="D630" s="131"/>
      <c r="E630" s="131"/>
      <c r="F630" s="132"/>
      <c r="G630" s="132"/>
      <c r="H630" s="133"/>
      <c r="I630" s="133"/>
      <c r="J630" s="127"/>
      <c r="K630" s="127"/>
      <c r="L630" s="113"/>
    </row>
    <row r="631">
      <c r="A631" s="128"/>
      <c r="B631" s="128"/>
      <c r="C631" s="129"/>
      <c r="D631" s="131"/>
      <c r="E631" s="131"/>
      <c r="F631" s="132"/>
      <c r="G631" s="132"/>
      <c r="H631" s="133"/>
      <c r="I631" s="133"/>
      <c r="J631" s="127"/>
      <c r="K631" s="127"/>
      <c r="L631" s="113"/>
    </row>
    <row r="632">
      <c r="A632" s="128"/>
      <c r="B632" s="128"/>
      <c r="C632" s="129"/>
      <c r="D632" s="131"/>
      <c r="E632" s="131"/>
      <c r="F632" s="132"/>
      <c r="G632" s="132"/>
      <c r="H632" s="133"/>
      <c r="I632" s="133"/>
      <c r="J632" s="127"/>
      <c r="K632" s="127"/>
      <c r="L632" s="113"/>
    </row>
    <row r="633">
      <c r="A633" s="128"/>
      <c r="B633" s="128"/>
      <c r="C633" s="129"/>
      <c r="D633" s="131"/>
      <c r="E633" s="131"/>
      <c r="F633" s="132"/>
      <c r="G633" s="132"/>
      <c r="H633" s="133"/>
      <c r="I633" s="133"/>
      <c r="J633" s="127"/>
      <c r="K633" s="127"/>
      <c r="L633" s="113"/>
    </row>
    <row r="634">
      <c r="A634" s="128"/>
      <c r="B634" s="128"/>
      <c r="C634" s="129"/>
      <c r="D634" s="131"/>
      <c r="E634" s="131"/>
      <c r="F634" s="132"/>
      <c r="G634" s="132"/>
      <c r="H634" s="133"/>
      <c r="I634" s="133"/>
      <c r="J634" s="127"/>
      <c r="K634" s="127"/>
      <c r="L634" s="113"/>
    </row>
    <row r="635">
      <c r="A635" s="128"/>
      <c r="B635" s="128"/>
      <c r="C635" s="129"/>
      <c r="D635" s="131"/>
      <c r="E635" s="131"/>
      <c r="F635" s="132"/>
      <c r="G635" s="132"/>
      <c r="H635" s="133"/>
      <c r="I635" s="133"/>
      <c r="J635" s="127"/>
      <c r="K635" s="127"/>
      <c r="L635" s="113"/>
    </row>
    <row r="636">
      <c r="A636" s="128"/>
      <c r="B636" s="128"/>
      <c r="C636" s="129"/>
      <c r="D636" s="131"/>
      <c r="E636" s="131"/>
      <c r="F636" s="132"/>
      <c r="G636" s="132"/>
      <c r="H636" s="133"/>
      <c r="I636" s="133"/>
      <c r="J636" s="127"/>
      <c r="K636" s="127"/>
      <c r="L636" s="113"/>
    </row>
    <row r="637">
      <c r="A637" s="128"/>
      <c r="B637" s="128"/>
      <c r="C637" s="129"/>
      <c r="D637" s="131"/>
      <c r="E637" s="131"/>
      <c r="F637" s="132"/>
      <c r="G637" s="132"/>
      <c r="H637" s="133"/>
      <c r="I637" s="133"/>
      <c r="J637" s="127"/>
      <c r="K637" s="127"/>
      <c r="L637" s="113"/>
    </row>
    <row r="638">
      <c r="A638" s="128"/>
      <c r="B638" s="128"/>
      <c r="C638" s="129"/>
      <c r="D638" s="131"/>
      <c r="E638" s="131"/>
      <c r="F638" s="132"/>
      <c r="G638" s="132"/>
      <c r="H638" s="133"/>
      <c r="I638" s="133"/>
      <c r="J638" s="127"/>
      <c r="K638" s="127"/>
      <c r="L638" s="113"/>
    </row>
    <row r="639">
      <c r="A639" s="128"/>
      <c r="B639" s="128"/>
      <c r="C639" s="129"/>
      <c r="D639" s="131"/>
      <c r="E639" s="131"/>
      <c r="F639" s="132"/>
      <c r="G639" s="132"/>
      <c r="H639" s="133"/>
      <c r="I639" s="133"/>
      <c r="J639" s="127"/>
      <c r="K639" s="127"/>
      <c r="L639" s="113"/>
    </row>
    <row r="640">
      <c r="A640" s="128"/>
      <c r="B640" s="128"/>
      <c r="C640" s="129"/>
      <c r="D640" s="131"/>
      <c r="E640" s="131"/>
      <c r="F640" s="132"/>
      <c r="G640" s="132"/>
      <c r="H640" s="133"/>
      <c r="I640" s="133"/>
      <c r="J640" s="127"/>
      <c r="K640" s="127"/>
      <c r="L640" s="113"/>
    </row>
    <row r="641">
      <c r="A641" s="128"/>
      <c r="B641" s="128"/>
      <c r="C641" s="129"/>
      <c r="D641" s="131"/>
      <c r="E641" s="131"/>
      <c r="F641" s="132"/>
      <c r="G641" s="132"/>
      <c r="H641" s="133"/>
      <c r="I641" s="133"/>
      <c r="J641" s="127"/>
      <c r="K641" s="127"/>
      <c r="L641" s="113"/>
    </row>
    <row r="642">
      <c r="A642" s="128"/>
      <c r="B642" s="128"/>
      <c r="C642" s="129"/>
      <c r="D642" s="131"/>
      <c r="E642" s="131"/>
      <c r="F642" s="132"/>
      <c r="G642" s="132"/>
      <c r="H642" s="133"/>
      <c r="I642" s="133"/>
      <c r="J642" s="127"/>
      <c r="K642" s="127"/>
      <c r="L642" s="113"/>
    </row>
    <row r="643">
      <c r="A643" s="128"/>
      <c r="B643" s="128"/>
      <c r="C643" s="129"/>
      <c r="D643" s="131"/>
      <c r="E643" s="131"/>
      <c r="F643" s="132"/>
      <c r="G643" s="132"/>
      <c r="H643" s="133"/>
      <c r="I643" s="133"/>
      <c r="J643" s="127"/>
      <c r="K643" s="127"/>
      <c r="L643" s="113"/>
    </row>
    <row r="644">
      <c r="A644" s="128"/>
      <c r="B644" s="128"/>
      <c r="C644" s="129"/>
      <c r="D644" s="131"/>
      <c r="E644" s="131"/>
      <c r="F644" s="132"/>
      <c r="G644" s="132"/>
      <c r="H644" s="133"/>
      <c r="I644" s="133"/>
      <c r="J644" s="127"/>
      <c r="K644" s="127"/>
      <c r="L644" s="113"/>
    </row>
    <row r="645">
      <c r="A645" s="128"/>
      <c r="B645" s="128"/>
      <c r="C645" s="129"/>
      <c r="D645" s="131"/>
      <c r="E645" s="131"/>
      <c r="F645" s="132"/>
      <c r="G645" s="132"/>
      <c r="H645" s="133"/>
      <c r="I645" s="133"/>
      <c r="J645" s="127"/>
      <c r="K645" s="127"/>
      <c r="L645" s="113"/>
    </row>
    <row r="646">
      <c r="A646" s="128"/>
      <c r="B646" s="128"/>
      <c r="C646" s="129"/>
      <c r="D646" s="131"/>
      <c r="E646" s="131"/>
      <c r="F646" s="132"/>
      <c r="G646" s="132"/>
      <c r="H646" s="133"/>
      <c r="I646" s="133"/>
      <c r="J646" s="127"/>
      <c r="K646" s="127"/>
      <c r="L646" s="113"/>
    </row>
    <row r="647">
      <c r="A647" s="128"/>
      <c r="B647" s="128"/>
      <c r="C647" s="129"/>
      <c r="D647" s="131"/>
      <c r="E647" s="131"/>
      <c r="F647" s="132"/>
      <c r="G647" s="132"/>
      <c r="H647" s="133"/>
      <c r="I647" s="133"/>
      <c r="J647" s="127"/>
      <c r="K647" s="127"/>
      <c r="L647" s="113"/>
    </row>
    <row r="648">
      <c r="A648" s="128"/>
      <c r="B648" s="128"/>
      <c r="C648" s="129"/>
      <c r="D648" s="131"/>
      <c r="E648" s="131"/>
      <c r="F648" s="132"/>
      <c r="G648" s="132"/>
      <c r="H648" s="133"/>
      <c r="I648" s="133"/>
      <c r="J648" s="127"/>
      <c r="K648" s="127"/>
      <c r="L648" s="113"/>
    </row>
    <row r="649">
      <c r="A649" s="128"/>
      <c r="B649" s="128"/>
      <c r="C649" s="129"/>
      <c r="D649" s="131"/>
      <c r="E649" s="131"/>
      <c r="F649" s="132"/>
      <c r="G649" s="132"/>
      <c r="H649" s="133"/>
      <c r="I649" s="133"/>
      <c r="J649" s="127"/>
      <c r="K649" s="127"/>
      <c r="L649" s="113"/>
    </row>
    <row r="650">
      <c r="A650" s="128"/>
      <c r="B650" s="128"/>
      <c r="C650" s="129"/>
      <c r="D650" s="131"/>
      <c r="E650" s="131"/>
      <c r="F650" s="132"/>
      <c r="G650" s="132"/>
      <c r="H650" s="133"/>
      <c r="I650" s="133"/>
      <c r="J650" s="127"/>
      <c r="K650" s="127"/>
      <c r="L650" s="113"/>
    </row>
    <row r="651">
      <c r="A651" s="128"/>
      <c r="B651" s="128"/>
      <c r="C651" s="129"/>
      <c r="D651" s="131"/>
      <c r="E651" s="131"/>
      <c r="F651" s="132"/>
      <c r="G651" s="132"/>
      <c r="H651" s="133"/>
      <c r="I651" s="133"/>
      <c r="J651" s="127"/>
      <c r="K651" s="127"/>
      <c r="L651" s="113"/>
    </row>
    <row r="652">
      <c r="A652" s="128"/>
      <c r="B652" s="128"/>
      <c r="C652" s="129"/>
      <c r="D652" s="131"/>
      <c r="E652" s="131"/>
      <c r="F652" s="132"/>
      <c r="G652" s="132"/>
      <c r="H652" s="133"/>
      <c r="I652" s="133"/>
      <c r="J652" s="127"/>
      <c r="K652" s="127"/>
      <c r="L652" s="113"/>
    </row>
    <row r="653">
      <c r="A653" s="128"/>
      <c r="B653" s="128"/>
      <c r="C653" s="129"/>
      <c r="D653" s="131"/>
      <c r="E653" s="131"/>
      <c r="F653" s="132"/>
      <c r="G653" s="132"/>
      <c r="H653" s="133"/>
      <c r="I653" s="133"/>
      <c r="J653" s="127"/>
      <c r="K653" s="127"/>
      <c r="L653" s="113"/>
    </row>
    <row r="654">
      <c r="A654" s="128"/>
      <c r="B654" s="128"/>
      <c r="C654" s="129"/>
      <c r="D654" s="131"/>
      <c r="E654" s="131"/>
      <c r="F654" s="132"/>
      <c r="G654" s="132"/>
      <c r="H654" s="133"/>
      <c r="I654" s="133"/>
      <c r="J654" s="127"/>
      <c r="K654" s="127"/>
      <c r="L654" s="113"/>
    </row>
    <row r="655">
      <c r="A655" s="128"/>
      <c r="B655" s="128"/>
      <c r="C655" s="129"/>
      <c r="D655" s="131"/>
      <c r="E655" s="131"/>
      <c r="F655" s="132"/>
      <c r="G655" s="132"/>
      <c r="H655" s="133"/>
      <c r="I655" s="133"/>
      <c r="J655" s="127"/>
      <c r="K655" s="127"/>
      <c r="L655" s="113"/>
    </row>
    <row r="656">
      <c r="A656" s="128"/>
      <c r="B656" s="128"/>
      <c r="C656" s="129"/>
      <c r="D656" s="131"/>
      <c r="E656" s="131"/>
      <c r="F656" s="132"/>
      <c r="G656" s="132"/>
      <c r="H656" s="133"/>
      <c r="I656" s="133"/>
      <c r="J656" s="127"/>
      <c r="K656" s="127"/>
      <c r="L656" s="113"/>
    </row>
    <row r="657">
      <c r="A657" s="128"/>
      <c r="B657" s="128"/>
      <c r="C657" s="129"/>
      <c r="D657" s="131"/>
      <c r="E657" s="131"/>
      <c r="F657" s="132"/>
      <c r="G657" s="132"/>
      <c r="H657" s="133"/>
      <c r="I657" s="133"/>
      <c r="J657" s="127"/>
      <c r="K657" s="127"/>
      <c r="L657" s="113"/>
    </row>
    <row r="658">
      <c r="A658" s="128"/>
      <c r="B658" s="128"/>
      <c r="C658" s="129"/>
      <c r="D658" s="131"/>
      <c r="E658" s="131"/>
      <c r="F658" s="132"/>
      <c r="G658" s="132"/>
      <c r="H658" s="133"/>
      <c r="I658" s="133"/>
      <c r="J658" s="127"/>
      <c r="K658" s="127"/>
      <c r="L658" s="113"/>
    </row>
    <row r="659">
      <c r="A659" s="128"/>
      <c r="B659" s="128"/>
      <c r="C659" s="129"/>
      <c r="D659" s="131"/>
      <c r="E659" s="131"/>
      <c r="F659" s="132"/>
      <c r="G659" s="132"/>
      <c r="H659" s="133"/>
      <c r="I659" s="133"/>
      <c r="J659" s="127"/>
      <c r="K659" s="127"/>
      <c r="L659" s="113"/>
    </row>
    <row r="660">
      <c r="A660" s="128"/>
      <c r="B660" s="128"/>
      <c r="C660" s="129"/>
      <c r="D660" s="131"/>
      <c r="E660" s="131"/>
      <c r="F660" s="132"/>
      <c r="G660" s="132"/>
      <c r="H660" s="133"/>
      <c r="I660" s="133"/>
      <c r="J660" s="127"/>
      <c r="K660" s="127"/>
      <c r="L660" s="113"/>
    </row>
    <row r="661">
      <c r="A661" s="128"/>
      <c r="B661" s="128"/>
      <c r="C661" s="129"/>
      <c r="D661" s="131"/>
      <c r="E661" s="131"/>
      <c r="F661" s="132"/>
      <c r="G661" s="132"/>
      <c r="H661" s="133"/>
      <c r="I661" s="133"/>
      <c r="J661" s="127"/>
      <c r="K661" s="127"/>
      <c r="L661" s="113"/>
    </row>
    <row r="662">
      <c r="A662" s="128"/>
      <c r="B662" s="128"/>
      <c r="C662" s="129"/>
      <c r="D662" s="131"/>
      <c r="E662" s="131"/>
      <c r="F662" s="132"/>
      <c r="G662" s="132"/>
      <c r="H662" s="133"/>
      <c r="I662" s="133"/>
      <c r="J662" s="127"/>
      <c r="K662" s="127"/>
      <c r="L662" s="113"/>
    </row>
    <row r="663">
      <c r="A663" s="128"/>
      <c r="B663" s="128"/>
      <c r="C663" s="129"/>
      <c r="D663" s="131"/>
      <c r="E663" s="131"/>
      <c r="F663" s="132"/>
      <c r="G663" s="132"/>
      <c r="H663" s="133"/>
      <c r="I663" s="133"/>
      <c r="J663" s="127"/>
      <c r="K663" s="127"/>
      <c r="L663" s="113"/>
    </row>
    <row r="664">
      <c r="A664" s="128"/>
      <c r="B664" s="128"/>
      <c r="C664" s="129"/>
      <c r="D664" s="131"/>
      <c r="E664" s="131"/>
      <c r="F664" s="132"/>
      <c r="G664" s="132"/>
      <c r="H664" s="133"/>
      <c r="I664" s="133"/>
      <c r="J664" s="127"/>
      <c r="K664" s="127"/>
      <c r="L664" s="113"/>
    </row>
    <row r="665">
      <c r="A665" s="128"/>
      <c r="B665" s="128"/>
      <c r="C665" s="129"/>
      <c r="D665" s="131"/>
      <c r="E665" s="131"/>
      <c r="F665" s="132"/>
      <c r="G665" s="132"/>
      <c r="H665" s="133"/>
      <c r="I665" s="133"/>
      <c r="J665" s="127"/>
      <c r="K665" s="127"/>
      <c r="L665" s="113"/>
    </row>
    <row r="666">
      <c r="A666" s="128"/>
      <c r="B666" s="128"/>
      <c r="C666" s="129"/>
      <c r="D666" s="131"/>
      <c r="E666" s="131"/>
      <c r="F666" s="132"/>
      <c r="G666" s="132"/>
      <c r="H666" s="133"/>
      <c r="I666" s="133"/>
      <c r="J666" s="127"/>
      <c r="K666" s="127"/>
      <c r="L666" s="113"/>
    </row>
    <row r="667">
      <c r="A667" s="128"/>
      <c r="B667" s="128"/>
      <c r="C667" s="129"/>
      <c r="D667" s="131"/>
      <c r="E667" s="131"/>
      <c r="F667" s="132"/>
      <c r="G667" s="132"/>
      <c r="H667" s="133"/>
      <c r="I667" s="133"/>
      <c r="J667" s="127"/>
      <c r="K667" s="127"/>
      <c r="L667" s="113"/>
    </row>
    <row r="668">
      <c r="A668" s="128"/>
      <c r="B668" s="128"/>
      <c r="C668" s="129"/>
      <c r="D668" s="131"/>
      <c r="E668" s="131"/>
      <c r="F668" s="132"/>
      <c r="G668" s="132"/>
      <c r="H668" s="133"/>
      <c r="I668" s="133"/>
      <c r="J668" s="127"/>
      <c r="K668" s="127"/>
      <c r="L668" s="113"/>
    </row>
    <row r="669">
      <c r="A669" s="128"/>
      <c r="B669" s="128"/>
      <c r="C669" s="129"/>
      <c r="D669" s="131"/>
      <c r="E669" s="131"/>
      <c r="F669" s="132"/>
      <c r="G669" s="132"/>
      <c r="H669" s="133"/>
      <c r="I669" s="133"/>
      <c r="J669" s="127"/>
      <c r="K669" s="127"/>
      <c r="L669" s="113"/>
    </row>
    <row r="670">
      <c r="A670" s="128"/>
      <c r="B670" s="128"/>
      <c r="C670" s="129"/>
      <c r="D670" s="131"/>
      <c r="E670" s="131"/>
      <c r="F670" s="132"/>
      <c r="G670" s="132"/>
      <c r="H670" s="133"/>
      <c r="I670" s="133"/>
      <c r="J670" s="127"/>
      <c r="K670" s="127"/>
      <c r="L670" s="113"/>
    </row>
    <row r="671">
      <c r="A671" s="128"/>
      <c r="B671" s="128"/>
      <c r="C671" s="129"/>
      <c r="D671" s="131"/>
      <c r="E671" s="131"/>
      <c r="F671" s="132"/>
      <c r="G671" s="132"/>
      <c r="H671" s="133"/>
      <c r="I671" s="133"/>
      <c r="J671" s="127"/>
      <c r="K671" s="127"/>
      <c r="L671" s="113"/>
    </row>
    <row r="672">
      <c r="A672" s="128"/>
      <c r="B672" s="128"/>
      <c r="C672" s="129"/>
      <c r="D672" s="131"/>
      <c r="E672" s="131"/>
      <c r="F672" s="132"/>
      <c r="G672" s="132"/>
      <c r="H672" s="133"/>
      <c r="I672" s="133"/>
      <c r="J672" s="127"/>
      <c r="K672" s="127"/>
      <c r="L672" s="113"/>
    </row>
    <row r="673">
      <c r="A673" s="128"/>
      <c r="B673" s="128"/>
      <c r="C673" s="129"/>
      <c r="D673" s="131"/>
      <c r="E673" s="131"/>
      <c r="F673" s="132"/>
      <c r="G673" s="132"/>
      <c r="H673" s="133"/>
      <c r="I673" s="133"/>
      <c r="J673" s="127"/>
      <c r="K673" s="127"/>
      <c r="L673" s="113"/>
    </row>
    <row r="674">
      <c r="A674" s="128"/>
      <c r="B674" s="128"/>
      <c r="C674" s="129"/>
      <c r="D674" s="131"/>
      <c r="E674" s="131"/>
      <c r="F674" s="132"/>
      <c r="G674" s="132"/>
      <c r="H674" s="133"/>
      <c r="I674" s="133"/>
      <c r="J674" s="127"/>
      <c r="K674" s="127"/>
      <c r="L674" s="113"/>
    </row>
    <row r="675">
      <c r="A675" s="128"/>
      <c r="B675" s="128"/>
      <c r="C675" s="129"/>
      <c r="D675" s="131"/>
      <c r="E675" s="131"/>
      <c r="F675" s="132"/>
      <c r="G675" s="132"/>
      <c r="H675" s="133"/>
      <c r="I675" s="133"/>
      <c r="J675" s="127"/>
      <c r="K675" s="127"/>
      <c r="L675" s="113"/>
    </row>
    <row r="676">
      <c r="A676" s="128"/>
      <c r="B676" s="128"/>
      <c r="C676" s="129"/>
      <c r="D676" s="131"/>
      <c r="E676" s="131"/>
      <c r="F676" s="132"/>
      <c r="G676" s="132"/>
      <c r="H676" s="133"/>
      <c r="I676" s="133"/>
      <c r="J676" s="127"/>
      <c r="K676" s="127"/>
      <c r="L676" s="113"/>
    </row>
    <row r="677">
      <c r="A677" s="128"/>
      <c r="B677" s="128"/>
      <c r="C677" s="129"/>
      <c r="D677" s="131"/>
      <c r="E677" s="131"/>
      <c r="F677" s="132"/>
      <c r="G677" s="132"/>
      <c r="H677" s="133"/>
      <c r="I677" s="133"/>
      <c r="J677" s="127"/>
      <c r="K677" s="127"/>
      <c r="L677" s="113"/>
    </row>
    <row r="678">
      <c r="A678" s="128"/>
      <c r="B678" s="128"/>
      <c r="C678" s="129"/>
      <c r="D678" s="131"/>
      <c r="E678" s="131"/>
      <c r="F678" s="132"/>
      <c r="G678" s="132"/>
      <c r="H678" s="133"/>
      <c r="I678" s="133"/>
      <c r="J678" s="127"/>
      <c r="K678" s="127"/>
      <c r="L678" s="113"/>
    </row>
    <row r="679">
      <c r="A679" s="128"/>
      <c r="B679" s="128"/>
      <c r="C679" s="129"/>
      <c r="D679" s="131"/>
      <c r="E679" s="131"/>
      <c r="F679" s="132"/>
      <c r="G679" s="132"/>
      <c r="H679" s="133"/>
      <c r="I679" s="133"/>
      <c r="J679" s="127"/>
      <c r="K679" s="127"/>
      <c r="L679" s="113"/>
    </row>
    <row r="680">
      <c r="A680" s="128"/>
      <c r="B680" s="128"/>
      <c r="C680" s="129"/>
      <c r="D680" s="131"/>
      <c r="E680" s="131"/>
      <c r="F680" s="132"/>
      <c r="G680" s="132"/>
      <c r="H680" s="133"/>
      <c r="I680" s="133"/>
      <c r="J680" s="127"/>
      <c r="K680" s="127"/>
      <c r="L680" s="113"/>
    </row>
    <row r="681">
      <c r="A681" s="128"/>
      <c r="B681" s="128"/>
      <c r="C681" s="129"/>
      <c r="D681" s="131"/>
      <c r="E681" s="131"/>
      <c r="F681" s="132"/>
      <c r="G681" s="132"/>
      <c r="H681" s="133"/>
      <c r="I681" s="133"/>
      <c r="J681" s="127"/>
      <c r="K681" s="127"/>
      <c r="L681" s="113"/>
    </row>
    <row r="682">
      <c r="A682" s="128"/>
      <c r="B682" s="128"/>
      <c r="C682" s="129"/>
      <c r="D682" s="131"/>
      <c r="E682" s="131"/>
      <c r="F682" s="132"/>
      <c r="G682" s="132"/>
      <c r="H682" s="133"/>
      <c r="I682" s="133"/>
      <c r="J682" s="127"/>
      <c r="K682" s="127"/>
      <c r="L682" s="113"/>
    </row>
    <row r="683">
      <c r="A683" s="128"/>
      <c r="B683" s="128"/>
      <c r="C683" s="129"/>
      <c r="D683" s="131"/>
      <c r="E683" s="131"/>
      <c r="F683" s="132"/>
      <c r="G683" s="132"/>
      <c r="H683" s="133"/>
      <c r="I683" s="133"/>
      <c r="J683" s="127"/>
      <c r="K683" s="127"/>
      <c r="L683" s="113"/>
    </row>
    <row r="684">
      <c r="A684" s="128"/>
      <c r="B684" s="128"/>
      <c r="C684" s="129"/>
      <c r="D684" s="131"/>
      <c r="E684" s="131"/>
      <c r="F684" s="132"/>
      <c r="G684" s="132"/>
      <c r="H684" s="133"/>
      <c r="I684" s="133"/>
      <c r="J684" s="127"/>
      <c r="K684" s="127"/>
      <c r="L684" s="113"/>
    </row>
    <row r="685">
      <c r="A685" s="128"/>
      <c r="B685" s="128"/>
      <c r="C685" s="129"/>
      <c r="D685" s="131"/>
      <c r="E685" s="131"/>
      <c r="F685" s="132"/>
      <c r="G685" s="132"/>
      <c r="H685" s="133"/>
      <c r="I685" s="133"/>
      <c r="J685" s="127"/>
      <c r="K685" s="127"/>
      <c r="L685" s="113"/>
    </row>
    <row r="686">
      <c r="A686" s="128"/>
      <c r="B686" s="128"/>
      <c r="C686" s="129"/>
      <c r="D686" s="131"/>
      <c r="E686" s="131"/>
      <c r="F686" s="132"/>
      <c r="G686" s="132"/>
      <c r="H686" s="133"/>
      <c r="I686" s="133"/>
      <c r="J686" s="127"/>
      <c r="K686" s="127"/>
      <c r="L686" s="113"/>
    </row>
    <row r="687">
      <c r="A687" s="128"/>
      <c r="B687" s="128"/>
      <c r="C687" s="129"/>
      <c r="D687" s="131"/>
      <c r="E687" s="131"/>
      <c r="F687" s="132"/>
      <c r="G687" s="132"/>
      <c r="H687" s="133"/>
      <c r="I687" s="133"/>
      <c r="J687" s="127"/>
      <c r="K687" s="127"/>
      <c r="L687" s="113"/>
    </row>
    <row r="688">
      <c r="A688" s="128"/>
      <c r="B688" s="128"/>
      <c r="C688" s="129"/>
      <c r="D688" s="131"/>
      <c r="E688" s="131"/>
      <c r="F688" s="132"/>
      <c r="G688" s="132"/>
      <c r="H688" s="133"/>
      <c r="I688" s="133"/>
      <c r="J688" s="127"/>
      <c r="K688" s="127"/>
      <c r="L688" s="113"/>
    </row>
    <row r="689">
      <c r="A689" s="128"/>
      <c r="B689" s="128"/>
      <c r="C689" s="129"/>
      <c r="D689" s="131"/>
      <c r="E689" s="131"/>
      <c r="F689" s="132"/>
      <c r="G689" s="132"/>
      <c r="H689" s="133"/>
      <c r="I689" s="133"/>
      <c r="J689" s="127"/>
      <c r="K689" s="127"/>
      <c r="L689" s="113"/>
    </row>
    <row r="690">
      <c r="A690" s="128"/>
      <c r="B690" s="128"/>
      <c r="C690" s="129"/>
      <c r="D690" s="131"/>
      <c r="E690" s="131"/>
      <c r="F690" s="132"/>
      <c r="G690" s="132"/>
      <c r="H690" s="133"/>
      <c r="I690" s="133"/>
      <c r="J690" s="127"/>
      <c r="K690" s="127"/>
      <c r="L690" s="113"/>
    </row>
    <row r="691">
      <c r="A691" s="128"/>
      <c r="B691" s="128"/>
      <c r="C691" s="129"/>
      <c r="D691" s="131"/>
      <c r="E691" s="131"/>
      <c r="F691" s="132"/>
      <c r="G691" s="132"/>
      <c r="H691" s="133"/>
      <c r="I691" s="133"/>
      <c r="J691" s="127"/>
      <c r="K691" s="127"/>
      <c r="L691" s="113"/>
    </row>
    <row r="692">
      <c r="A692" s="128"/>
      <c r="B692" s="128"/>
      <c r="C692" s="129"/>
      <c r="D692" s="131"/>
      <c r="E692" s="131"/>
      <c r="F692" s="132"/>
      <c r="G692" s="132"/>
      <c r="H692" s="133"/>
      <c r="I692" s="133"/>
      <c r="J692" s="127"/>
      <c r="K692" s="127"/>
      <c r="L692" s="113"/>
    </row>
    <row r="693">
      <c r="A693" s="128"/>
      <c r="B693" s="128"/>
      <c r="C693" s="129"/>
      <c r="D693" s="131"/>
      <c r="E693" s="131"/>
      <c r="F693" s="132"/>
      <c r="G693" s="132"/>
      <c r="H693" s="133"/>
      <c r="I693" s="133"/>
      <c r="J693" s="127"/>
      <c r="K693" s="127"/>
      <c r="L693" s="113"/>
    </row>
    <row r="694">
      <c r="A694" s="128"/>
      <c r="B694" s="128"/>
      <c r="C694" s="129"/>
      <c r="D694" s="131"/>
      <c r="E694" s="131"/>
      <c r="F694" s="132"/>
      <c r="G694" s="132"/>
      <c r="H694" s="133"/>
      <c r="I694" s="133"/>
      <c r="J694" s="127"/>
      <c r="K694" s="127"/>
      <c r="L694" s="113"/>
    </row>
    <row r="695">
      <c r="A695" s="128"/>
      <c r="B695" s="128"/>
      <c r="C695" s="129"/>
      <c r="D695" s="131"/>
      <c r="E695" s="131"/>
      <c r="F695" s="132"/>
      <c r="G695" s="132"/>
      <c r="H695" s="133"/>
      <c r="I695" s="133"/>
      <c r="J695" s="127"/>
      <c r="K695" s="127"/>
      <c r="L695" s="113"/>
    </row>
    <row r="696">
      <c r="A696" s="128"/>
      <c r="B696" s="128"/>
      <c r="C696" s="129"/>
      <c r="D696" s="131"/>
      <c r="E696" s="131"/>
      <c r="F696" s="132"/>
      <c r="G696" s="132"/>
      <c r="H696" s="133"/>
      <c r="I696" s="133"/>
      <c r="J696" s="127"/>
      <c r="K696" s="127"/>
      <c r="L696" s="113"/>
    </row>
    <row r="697">
      <c r="A697" s="128"/>
      <c r="B697" s="128"/>
      <c r="C697" s="129"/>
      <c r="D697" s="131"/>
      <c r="E697" s="131"/>
      <c r="F697" s="132"/>
      <c r="G697" s="132"/>
      <c r="H697" s="133"/>
      <c r="I697" s="133"/>
      <c r="J697" s="127"/>
      <c r="K697" s="127"/>
      <c r="L697" s="113"/>
    </row>
    <row r="698">
      <c r="A698" s="128"/>
      <c r="B698" s="128"/>
      <c r="C698" s="129"/>
      <c r="D698" s="131"/>
      <c r="E698" s="131"/>
      <c r="F698" s="132"/>
      <c r="G698" s="132"/>
      <c r="H698" s="133"/>
      <c r="I698" s="133"/>
      <c r="J698" s="127"/>
      <c r="K698" s="127"/>
      <c r="L698" s="113"/>
    </row>
    <row r="699">
      <c r="A699" s="128"/>
      <c r="B699" s="128"/>
      <c r="C699" s="129"/>
      <c r="D699" s="131"/>
      <c r="E699" s="131"/>
      <c r="F699" s="132"/>
      <c r="G699" s="132"/>
      <c r="H699" s="133"/>
      <c r="I699" s="133"/>
      <c r="J699" s="127"/>
      <c r="K699" s="127"/>
      <c r="L699" s="113"/>
    </row>
    <row r="700">
      <c r="A700" s="128"/>
      <c r="B700" s="128"/>
      <c r="C700" s="129"/>
      <c r="D700" s="131"/>
      <c r="E700" s="131"/>
      <c r="F700" s="132"/>
      <c r="G700" s="132"/>
      <c r="H700" s="133"/>
      <c r="I700" s="133"/>
      <c r="J700" s="127"/>
      <c r="K700" s="127"/>
      <c r="L700" s="113"/>
    </row>
    <row r="701">
      <c r="A701" s="128"/>
      <c r="B701" s="128"/>
      <c r="C701" s="129"/>
      <c r="D701" s="131"/>
      <c r="E701" s="131"/>
      <c r="F701" s="132"/>
      <c r="G701" s="132"/>
      <c r="H701" s="133"/>
      <c r="I701" s="133"/>
      <c r="J701" s="127"/>
      <c r="K701" s="127"/>
      <c r="L701" s="113"/>
    </row>
    <row r="702">
      <c r="A702" s="128"/>
      <c r="B702" s="128"/>
      <c r="C702" s="129"/>
      <c r="D702" s="131"/>
      <c r="E702" s="131"/>
      <c r="F702" s="132"/>
      <c r="G702" s="132"/>
      <c r="H702" s="133"/>
      <c r="I702" s="133"/>
      <c r="J702" s="127"/>
      <c r="K702" s="127"/>
      <c r="L702" s="113"/>
    </row>
    <row r="703">
      <c r="A703" s="128"/>
      <c r="B703" s="128"/>
      <c r="C703" s="129"/>
      <c r="D703" s="131"/>
      <c r="E703" s="131"/>
      <c r="F703" s="132"/>
      <c r="G703" s="132"/>
      <c r="H703" s="133"/>
      <c r="I703" s="133"/>
      <c r="J703" s="127"/>
      <c r="K703" s="127"/>
      <c r="L703" s="113"/>
    </row>
    <row r="704">
      <c r="A704" s="128"/>
      <c r="B704" s="128"/>
      <c r="C704" s="129"/>
      <c r="D704" s="131"/>
      <c r="E704" s="131"/>
      <c r="F704" s="132"/>
      <c r="G704" s="132"/>
      <c r="H704" s="133"/>
      <c r="I704" s="133"/>
      <c r="J704" s="127"/>
      <c r="K704" s="127"/>
      <c r="L704" s="113"/>
    </row>
    <row r="705">
      <c r="A705" s="128"/>
      <c r="B705" s="128"/>
      <c r="C705" s="129"/>
      <c r="D705" s="131"/>
      <c r="E705" s="131"/>
      <c r="F705" s="132"/>
      <c r="G705" s="132"/>
      <c r="H705" s="133"/>
      <c r="I705" s="133"/>
      <c r="J705" s="127"/>
      <c r="K705" s="127"/>
      <c r="L705" s="113"/>
    </row>
    <row r="706">
      <c r="A706" s="128"/>
      <c r="B706" s="128"/>
      <c r="C706" s="129"/>
      <c r="D706" s="131"/>
      <c r="E706" s="131"/>
      <c r="F706" s="132"/>
      <c r="G706" s="132"/>
      <c r="H706" s="133"/>
      <c r="I706" s="133"/>
      <c r="J706" s="127"/>
      <c r="K706" s="127"/>
      <c r="L706" s="113"/>
    </row>
    <row r="707">
      <c r="A707" s="128"/>
      <c r="B707" s="128"/>
      <c r="C707" s="129"/>
      <c r="D707" s="131"/>
      <c r="E707" s="131"/>
      <c r="F707" s="132"/>
      <c r="G707" s="132"/>
      <c r="H707" s="133"/>
      <c r="I707" s="133"/>
      <c r="J707" s="127"/>
      <c r="K707" s="127"/>
      <c r="L707" s="113"/>
    </row>
    <row r="708">
      <c r="A708" s="128"/>
      <c r="B708" s="128"/>
      <c r="C708" s="129"/>
      <c r="D708" s="131"/>
      <c r="E708" s="131"/>
      <c r="F708" s="132"/>
      <c r="G708" s="132"/>
      <c r="H708" s="133"/>
      <c r="I708" s="133"/>
      <c r="J708" s="127"/>
      <c r="K708" s="127"/>
      <c r="L708" s="113"/>
    </row>
    <row r="709">
      <c r="A709" s="128"/>
      <c r="B709" s="128"/>
      <c r="C709" s="129"/>
      <c r="D709" s="131"/>
      <c r="E709" s="131"/>
      <c r="F709" s="132"/>
      <c r="G709" s="132"/>
      <c r="H709" s="133"/>
      <c r="I709" s="133"/>
      <c r="J709" s="127"/>
      <c r="K709" s="127"/>
      <c r="L709" s="113"/>
    </row>
    <row r="710">
      <c r="A710" s="128"/>
      <c r="B710" s="128"/>
      <c r="C710" s="129"/>
      <c r="D710" s="131"/>
      <c r="E710" s="131"/>
      <c r="F710" s="132"/>
      <c r="G710" s="132"/>
      <c r="H710" s="133"/>
      <c r="I710" s="133"/>
      <c r="J710" s="127"/>
      <c r="K710" s="127"/>
      <c r="L710" s="113"/>
    </row>
    <row r="711">
      <c r="A711" s="128"/>
      <c r="B711" s="128"/>
      <c r="C711" s="129"/>
      <c r="D711" s="131"/>
      <c r="E711" s="131"/>
      <c r="F711" s="132"/>
      <c r="G711" s="132"/>
      <c r="H711" s="133"/>
      <c r="I711" s="133"/>
      <c r="J711" s="127"/>
      <c r="K711" s="127"/>
      <c r="L711" s="113"/>
    </row>
    <row r="712">
      <c r="A712" s="128"/>
      <c r="B712" s="128"/>
      <c r="C712" s="129"/>
      <c r="D712" s="131"/>
      <c r="E712" s="131"/>
      <c r="F712" s="132"/>
      <c r="G712" s="132"/>
      <c r="H712" s="133"/>
      <c r="I712" s="133"/>
      <c r="J712" s="127"/>
      <c r="K712" s="127"/>
      <c r="L712" s="113"/>
    </row>
    <row r="713">
      <c r="A713" s="128"/>
      <c r="B713" s="128"/>
      <c r="C713" s="129"/>
      <c r="D713" s="131"/>
      <c r="E713" s="131"/>
      <c r="F713" s="132"/>
      <c r="G713" s="132"/>
      <c r="H713" s="133"/>
      <c r="I713" s="133"/>
      <c r="J713" s="127"/>
      <c r="K713" s="127"/>
      <c r="L713" s="113"/>
    </row>
    <row r="714">
      <c r="A714" s="128"/>
      <c r="B714" s="128"/>
      <c r="C714" s="129"/>
      <c r="D714" s="131"/>
      <c r="E714" s="131"/>
      <c r="F714" s="132"/>
      <c r="G714" s="132"/>
      <c r="H714" s="133"/>
      <c r="I714" s="133"/>
      <c r="J714" s="127"/>
      <c r="K714" s="127"/>
      <c r="L714" s="113"/>
    </row>
    <row r="715">
      <c r="A715" s="128"/>
      <c r="B715" s="128"/>
      <c r="C715" s="129"/>
      <c r="D715" s="131"/>
      <c r="E715" s="131"/>
      <c r="F715" s="132"/>
      <c r="G715" s="132"/>
      <c r="H715" s="133"/>
      <c r="I715" s="133"/>
      <c r="J715" s="127"/>
      <c r="K715" s="127"/>
      <c r="L715" s="113"/>
    </row>
    <row r="716">
      <c r="A716" s="128"/>
      <c r="B716" s="128"/>
      <c r="C716" s="129"/>
      <c r="D716" s="131"/>
      <c r="E716" s="131"/>
      <c r="F716" s="132"/>
      <c r="G716" s="132"/>
      <c r="H716" s="133"/>
      <c r="I716" s="133"/>
      <c r="J716" s="127"/>
      <c r="K716" s="127"/>
      <c r="L716" s="113"/>
    </row>
    <row r="717">
      <c r="A717" s="128"/>
      <c r="B717" s="128"/>
      <c r="C717" s="129"/>
      <c r="D717" s="131"/>
      <c r="E717" s="131"/>
      <c r="F717" s="132"/>
      <c r="G717" s="132"/>
      <c r="H717" s="133"/>
      <c r="I717" s="133"/>
      <c r="J717" s="127"/>
      <c r="K717" s="127"/>
      <c r="L717" s="113"/>
    </row>
    <row r="718">
      <c r="A718" s="128"/>
      <c r="B718" s="128"/>
      <c r="C718" s="129"/>
      <c r="D718" s="131"/>
      <c r="E718" s="131"/>
      <c r="F718" s="132"/>
      <c r="G718" s="132"/>
      <c r="H718" s="133"/>
      <c r="I718" s="133"/>
      <c r="J718" s="127"/>
      <c r="K718" s="127"/>
      <c r="L718" s="113"/>
    </row>
    <row r="719">
      <c r="A719" s="128"/>
      <c r="B719" s="128"/>
      <c r="C719" s="129"/>
      <c r="D719" s="131"/>
      <c r="E719" s="131"/>
      <c r="F719" s="132"/>
      <c r="G719" s="132"/>
      <c r="H719" s="133"/>
      <c r="I719" s="133"/>
      <c r="J719" s="127"/>
      <c r="K719" s="127"/>
      <c r="L719" s="113"/>
    </row>
    <row r="720">
      <c r="A720" s="128"/>
      <c r="B720" s="128"/>
      <c r="C720" s="129"/>
      <c r="D720" s="131"/>
      <c r="E720" s="131"/>
      <c r="F720" s="132"/>
      <c r="G720" s="132"/>
      <c r="H720" s="133"/>
      <c r="I720" s="133"/>
      <c r="J720" s="127"/>
      <c r="K720" s="127"/>
      <c r="L720" s="113"/>
    </row>
    <row r="721">
      <c r="A721" s="128"/>
      <c r="B721" s="128"/>
      <c r="C721" s="129"/>
      <c r="D721" s="131"/>
      <c r="E721" s="131"/>
      <c r="F721" s="132"/>
      <c r="G721" s="132"/>
      <c r="H721" s="133"/>
      <c r="I721" s="133"/>
      <c r="J721" s="127"/>
      <c r="K721" s="127"/>
      <c r="L721" s="113"/>
    </row>
    <row r="722">
      <c r="A722" s="128"/>
      <c r="B722" s="128"/>
      <c r="C722" s="129"/>
      <c r="D722" s="131"/>
      <c r="E722" s="131"/>
      <c r="F722" s="132"/>
      <c r="G722" s="132"/>
      <c r="H722" s="133"/>
      <c r="I722" s="133"/>
      <c r="J722" s="127"/>
      <c r="K722" s="127"/>
      <c r="L722" s="113"/>
    </row>
    <row r="723">
      <c r="A723" s="128"/>
      <c r="B723" s="128"/>
      <c r="C723" s="129"/>
      <c r="D723" s="131"/>
      <c r="E723" s="131"/>
      <c r="F723" s="132"/>
      <c r="G723" s="132"/>
      <c r="H723" s="133"/>
      <c r="I723" s="133"/>
      <c r="J723" s="127"/>
      <c r="K723" s="127"/>
      <c r="L723" s="113"/>
    </row>
    <row r="724">
      <c r="A724" s="128"/>
      <c r="B724" s="128"/>
      <c r="C724" s="129"/>
      <c r="D724" s="131"/>
      <c r="E724" s="131"/>
      <c r="F724" s="132"/>
      <c r="G724" s="132"/>
      <c r="H724" s="133"/>
      <c r="I724" s="133"/>
      <c r="J724" s="127"/>
      <c r="K724" s="127"/>
      <c r="L724" s="113"/>
    </row>
    <row r="725">
      <c r="A725" s="128"/>
      <c r="B725" s="128"/>
      <c r="C725" s="129"/>
      <c r="D725" s="131"/>
      <c r="E725" s="131"/>
      <c r="F725" s="132"/>
      <c r="G725" s="132"/>
      <c r="H725" s="133"/>
      <c r="I725" s="133"/>
      <c r="J725" s="127"/>
      <c r="K725" s="127"/>
      <c r="L725" s="113"/>
    </row>
    <row r="726">
      <c r="A726" s="128"/>
      <c r="B726" s="128"/>
      <c r="C726" s="129"/>
      <c r="D726" s="131"/>
      <c r="E726" s="131"/>
      <c r="F726" s="132"/>
      <c r="G726" s="132"/>
      <c r="H726" s="133"/>
      <c r="I726" s="133"/>
      <c r="J726" s="127"/>
      <c r="K726" s="127"/>
      <c r="L726" s="113"/>
    </row>
    <row r="727">
      <c r="A727" s="128"/>
      <c r="B727" s="128"/>
      <c r="C727" s="129"/>
      <c r="D727" s="131"/>
      <c r="E727" s="131"/>
      <c r="F727" s="132"/>
      <c r="G727" s="132"/>
      <c r="H727" s="133"/>
      <c r="I727" s="133"/>
      <c r="J727" s="127"/>
      <c r="K727" s="127"/>
      <c r="L727" s="113"/>
    </row>
    <row r="728">
      <c r="A728" s="128"/>
      <c r="B728" s="128"/>
      <c r="C728" s="129"/>
      <c r="D728" s="131"/>
      <c r="E728" s="131"/>
      <c r="F728" s="132"/>
      <c r="G728" s="132"/>
      <c r="H728" s="133"/>
      <c r="I728" s="133"/>
      <c r="J728" s="127"/>
      <c r="K728" s="127"/>
      <c r="L728" s="113"/>
    </row>
    <row r="729">
      <c r="A729" s="128"/>
      <c r="B729" s="128"/>
      <c r="C729" s="129"/>
      <c r="D729" s="131"/>
      <c r="E729" s="131"/>
      <c r="F729" s="132"/>
      <c r="G729" s="132"/>
      <c r="H729" s="133"/>
      <c r="I729" s="133"/>
      <c r="J729" s="127"/>
      <c r="K729" s="127"/>
      <c r="L729" s="113"/>
    </row>
    <row r="730">
      <c r="A730" s="128"/>
      <c r="B730" s="128"/>
      <c r="C730" s="129"/>
      <c r="D730" s="131"/>
      <c r="E730" s="131"/>
      <c r="F730" s="132"/>
      <c r="G730" s="132"/>
      <c r="H730" s="133"/>
      <c r="I730" s="133"/>
      <c r="J730" s="127"/>
      <c r="K730" s="127"/>
      <c r="L730" s="113"/>
    </row>
    <row r="731">
      <c r="A731" s="128"/>
      <c r="B731" s="128"/>
      <c r="C731" s="129"/>
      <c r="D731" s="131"/>
      <c r="E731" s="131"/>
      <c r="F731" s="132"/>
      <c r="G731" s="132"/>
      <c r="H731" s="133"/>
      <c r="I731" s="133"/>
      <c r="J731" s="127"/>
      <c r="K731" s="127"/>
      <c r="L731" s="113"/>
    </row>
    <row r="732">
      <c r="A732" s="128"/>
      <c r="B732" s="128"/>
      <c r="C732" s="129"/>
      <c r="D732" s="131"/>
      <c r="E732" s="131"/>
      <c r="F732" s="132"/>
      <c r="G732" s="132"/>
      <c r="H732" s="133"/>
      <c r="I732" s="133"/>
      <c r="J732" s="127"/>
      <c r="K732" s="127"/>
      <c r="L732" s="113"/>
    </row>
    <row r="733">
      <c r="A733" s="128"/>
      <c r="B733" s="128"/>
      <c r="C733" s="129"/>
      <c r="D733" s="131"/>
      <c r="E733" s="131"/>
      <c r="F733" s="132"/>
      <c r="G733" s="132"/>
      <c r="H733" s="133"/>
      <c r="I733" s="133"/>
      <c r="J733" s="127"/>
      <c r="K733" s="127"/>
      <c r="L733" s="113"/>
    </row>
    <row r="734">
      <c r="A734" s="128"/>
      <c r="B734" s="128"/>
      <c r="C734" s="129"/>
      <c r="D734" s="131"/>
      <c r="E734" s="131"/>
      <c r="F734" s="132"/>
      <c r="G734" s="132"/>
      <c r="H734" s="133"/>
      <c r="I734" s="133"/>
      <c r="J734" s="127"/>
      <c r="K734" s="127"/>
      <c r="L734" s="113"/>
    </row>
    <row r="735">
      <c r="A735" s="128"/>
      <c r="B735" s="128"/>
      <c r="C735" s="129"/>
      <c r="D735" s="131"/>
      <c r="E735" s="131"/>
      <c r="F735" s="132"/>
      <c r="G735" s="132"/>
      <c r="H735" s="133"/>
      <c r="I735" s="133"/>
      <c r="J735" s="127"/>
      <c r="K735" s="127"/>
      <c r="L735" s="113"/>
    </row>
    <row r="736">
      <c r="A736" s="128"/>
      <c r="B736" s="128"/>
      <c r="C736" s="129"/>
      <c r="D736" s="131"/>
      <c r="E736" s="131"/>
      <c r="F736" s="132"/>
      <c r="G736" s="132"/>
      <c r="H736" s="133"/>
      <c r="I736" s="133"/>
      <c r="J736" s="127"/>
      <c r="K736" s="127"/>
      <c r="L736" s="113"/>
    </row>
    <row r="737">
      <c r="A737" s="128"/>
      <c r="B737" s="128"/>
      <c r="C737" s="129"/>
      <c r="D737" s="131"/>
      <c r="E737" s="131"/>
      <c r="F737" s="132"/>
      <c r="G737" s="132"/>
      <c r="H737" s="133"/>
      <c r="I737" s="133"/>
      <c r="J737" s="127"/>
      <c r="K737" s="127"/>
      <c r="L737" s="113"/>
    </row>
    <row r="738">
      <c r="A738" s="128"/>
      <c r="B738" s="128"/>
      <c r="C738" s="129"/>
      <c r="D738" s="131"/>
      <c r="E738" s="131"/>
      <c r="F738" s="132"/>
      <c r="G738" s="132"/>
      <c r="H738" s="133"/>
      <c r="I738" s="133"/>
      <c r="J738" s="127"/>
      <c r="K738" s="127"/>
      <c r="L738" s="113"/>
    </row>
    <row r="739">
      <c r="A739" s="128"/>
      <c r="B739" s="128"/>
      <c r="C739" s="129"/>
      <c r="D739" s="131"/>
      <c r="E739" s="131"/>
      <c r="F739" s="132"/>
      <c r="G739" s="132"/>
      <c r="H739" s="133"/>
      <c r="I739" s="133"/>
      <c r="J739" s="127"/>
      <c r="K739" s="127"/>
      <c r="L739" s="113"/>
    </row>
    <row r="740">
      <c r="A740" s="128"/>
      <c r="B740" s="128"/>
      <c r="C740" s="129"/>
      <c r="D740" s="131"/>
      <c r="E740" s="131"/>
      <c r="F740" s="132"/>
      <c r="G740" s="132"/>
      <c r="H740" s="133"/>
      <c r="I740" s="133"/>
      <c r="J740" s="127"/>
      <c r="K740" s="127"/>
      <c r="L740" s="113"/>
    </row>
    <row r="741">
      <c r="A741" s="128"/>
      <c r="B741" s="128"/>
      <c r="C741" s="129"/>
      <c r="D741" s="131"/>
      <c r="E741" s="131"/>
      <c r="F741" s="132"/>
      <c r="G741" s="132"/>
      <c r="H741" s="133"/>
      <c r="I741" s="133"/>
      <c r="J741" s="127"/>
      <c r="K741" s="127"/>
      <c r="L741" s="113"/>
    </row>
    <row r="742">
      <c r="A742" s="128"/>
      <c r="B742" s="128"/>
      <c r="C742" s="129"/>
      <c r="D742" s="131"/>
      <c r="E742" s="131"/>
      <c r="F742" s="132"/>
      <c r="G742" s="132"/>
      <c r="H742" s="133"/>
      <c r="I742" s="133"/>
      <c r="J742" s="127"/>
      <c r="K742" s="127"/>
      <c r="L742" s="113"/>
    </row>
    <row r="743">
      <c r="A743" s="128"/>
      <c r="B743" s="128"/>
      <c r="C743" s="129"/>
      <c r="D743" s="131"/>
      <c r="E743" s="131"/>
      <c r="F743" s="132"/>
      <c r="G743" s="132"/>
      <c r="H743" s="133"/>
      <c r="I743" s="133"/>
      <c r="J743" s="127"/>
      <c r="K743" s="127"/>
      <c r="L743" s="113"/>
    </row>
    <row r="744">
      <c r="A744" s="128"/>
      <c r="B744" s="128"/>
      <c r="C744" s="129"/>
      <c r="D744" s="131"/>
      <c r="E744" s="131"/>
      <c r="F744" s="132"/>
      <c r="G744" s="132"/>
      <c r="H744" s="133"/>
      <c r="I744" s="133"/>
      <c r="J744" s="127"/>
      <c r="K744" s="127"/>
      <c r="L744" s="113"/>
    </row>
    <row r="745">
      <c r="A745" s="128"/>
      <c r="B745" s="128"/>
      <c r="C745" s="129"/>
      <c r="D745" s="131"/>
      <c r="E745" s="131"/>
      <c r="F745" s="132"/>
      <c r="G745" s="132"/>
      <c r="H745" s="133"/>
      <c r="I745" s="133"/>
      <c r="J745" s="127"/>
      <c r="K745" s="127"/>
      <c r="L745" s="113"/>
    </row>
    <row r="746">
      <c r="A746" s="128"/>
      <c r="B746" s="128"/>
      <c r="C746" s="129"/>
      <c r="D746" s="131"/>
      <c r="E746" s="131"/>
      <c r="F746" s="132"/>
      <c r="G746" s="132"/>
      <c r="H746" s="133"/>
      <c r="I746" s="133"/>
      <c r="J746" s="127"/>
      <c r="K746" s="127"/>
      <c r="L746" s="113"/>
    </row>
    <row r="747">
      <c r="A747" s="128"/>
      <c r="B747" s="128"/>
      <c r="C747" s="129"/>
      <c r="D747" s="131"/>
      <c r="E747" s="131"/>
      <c r="F747" s="132"/>
      <c r="G747" s="132"/>
      <c r="H747" s="133"/>
      <c r="I747" s="133"/>
      <c r="J747" s="127"/>
      <c r="K747" s="127"/>
      <c r="L747" s="113"/>
    </row>
    <row r="748">
      <c r="A748" s="128"/>
      <c r="B748" s="128"/>
      <c r="C748" s="129"/>
      <c r="D748" s="131"/>
      <c r="E748" s="131"/>
      <c r="F748" s="132"/>
      <c r="G748" s="132"/>
      <c r="H748" s="133"/>
      <c r="I748" s="133"/>
      <c r="J748" s="127"/>
      <c r="K748" s="127"/>
      <c r="L748" s="113"/>
    </row>
    <row r="749">
      <c r="A749" s="128"/>
      <c r="B749" s="128"/>
      <c r="C749" s="129"/>
      <c r="D749" s="131"/>
      <c r="E749" s="131"/>
      <c r="F749" s="132"/>
      <c r="G749" s="132"/>
      <c r="H749" s="133"/>
      <c r="I749" s="133"/>
      <c r="J749" s="127"/>
      <c r="K749" s="127"/>
      <c r="L749" s="113"/>
    </row>
    <row r="750">
      <c r="A750" s="128"/>
      <c r="B750" s="128"/>
      <c r="C750" s="129"/>
      <c r="D750" s="131"/>
      <c r="E750" s="131"/>
      <c r="F750" s="132"/>
      <c r="G750" s="132"/>
      <c r="H750" s="133"/>
      <c r="I750" s="133"/>
      <c r="J750" s="127"/>
      <c r="K750" s="127"/>
      <c r="L750" s="113"/>
    </row>
    <row r="751">
      <c r="A751" s="128"/>
      <c r="B751" s="128"/>
      <c r="C751" s="129"/>
      <c r="D751" s="131"/>
      <c r="E751" s="131"/>
      <c r="F751" s="132"/>
      <c r="G751" s="132"/>
      <c r="H751" s="133"/>
      <c r="I751" s="133"/>
      <c r="J751" s="127"/>
      <c r="K751" s="127"/>
      <c r="L751" s="113"/>
    </row>
    <row r="752">
      <c r="A752" s="128"/>
      <c r="B752" s="128"/>
      <c r="C752" s="129"/>
      <c r="D752" s="131"/>
      <c r="E752" s="131"/>
      <c r="F752" s="132"/>
      <c r="G752" s="132"/>
      <c r="H752" s="133"/>
      <c r="I752" s="133"/>
      <c r="J752" s="127"/>
      <c r="K752" s="127"/>
      <c r="L752" s="113"/>
    </row>
    <row r="753">
      <c r="A753" s="128"/>
      <c r="B753" s="128"/>
      <c r="C753" s="129"/>
      <c r="D753" s="131"/>
      <c r="E753" s="131"/>
      <c r="F753" s="132"/>
      <c r="G753" s="132"/>
      <c r="H753" s="133"/>
      <c r="I753" s="133"/>
      <c r="J753" s="127"/>
      <c r="K753" s="127"/>
      <c r="L753" s="113"/>
    </row>
    <row r="754">
      <c r="A754" s="128"/>
      <c r="B754" s="128"/>
      <c r="C754" s="129"/>
      <c r="D754" s="131"/>
      <c r="E754" s="131"/>
      <c r="F754" s="132"/>
      <c r="G754" s="132"/>
      <c r="H754" s="133"/>
      <c r="I754" s="133"/>
      <c r="J754" s="127"/>
      <c r="K754" s="127"/>
      <c r="L754" s="113"/>
    </row>
    <row r="755">
      <c r="A755" s="128"/>
      <c r="B755" s="128"/>
      <c r="C755" s="129"/>
      <c r="D755" s="131"/>
      <c r="E755" s="131"/>
      <c r="F755" s="132"/>
      <c r="G755" s="132"/>
      <c r="H755" s="133"/>
      <c r="I755" s="133"/>
      <c r="J755" s="127"/>
      <c r="K755" s="127"/>
      <c r="L755" s="113"/>
    </row>
    <row r="756">
      <c r="A756" s="128"/>
      <c r="B756" s="128"/>
      <c r="C756" s="129"/>
      <c r="D756" s="131"/>
      <c r="E756" s="131"/>
      <c r="F756" s="132"/>
      <c r="G756" s="132"/>
      <c r="H756" s="133"/>
      <c r="I756" s="133"/>
      <c r="J756" s="127"/>
      <c r="K756" s="127"/>
      <c r="L756" s="113"/>
    </row>
    <row r="757">
      <c r="A757" s="128"/>
      <c r="B757" s="128"/>
      <c r="C757" s="129"/>
      <c r="D757" s="131"/>
      <c r="E757" s="131"/>
      <c r="F757" s="132"/>
      <c r="G757" s="132"/>
      <c r="H757" s="133"/>
      <c r="I757" s="133"/>
      <c r="J757" s="127"/>
      <c r="K757" s="127"/>
      <c r="L757" s="113"/>
    </row>
    <row r="758">
      <c r="A758" s="128"/>
      <c r="B758" s="128"/>
      <c r="C758" s="129"/>
      <c r="D758" s="131"/>
      <c r="E758" s="131"/>
      <c r="F758" s="132"/>
      <c r="G758" s="132"/>
      <c r="H758" s="133"/>
      <c r="I758" s="133"/>
      <c r="J758" s="127"/>
      <c r="K758" s="127"/>
      <c r="L758" s="113"/>
    </row>
    <row r="759">
      <c r="A759" s="128"/>
      <c r="B759" s="128"/>
      <c r="C759" s="129"/>
      <c r="D759" s="131"/>
      <c r="E759" s="131"/>
      <c r="F759" s="132"/>
      <c r="G759" s="132"/>
      <c r="H759" s="133"/>
      <c r="I759" s="133"/>
      <c r="J759" s="127"/>
      <c r="K759" s="127"/>
      <c r="L759" s="113"/>
    </row>
    <row r="760">
      <c r="A760" s="128"/>
      <c r="B760" s="128"/>
      <c r="C760" s="129"/>
      <c r="D760" s="131"/>
      <c r="E760" s="131"/>
      <c r="F760" s="132"/>
      <c r="G760" s="132"/>
      <c r="H760" s="133"/>
      <c r="I760" s="133"/>
      <c r="J760" s="127"/>
      <c r="K760" s="127"/>
      <c r="L760" s="113"/>
    </row>
    <row r="761">
      <c r="A761" s="128"/>
      <c r="B761" s="128"/>
      <c r="C761" s="129"/>
      <c r="D761" s="131"/>
      <c r="E761" s="131"/>
      <c r="F761" s="132"/>
      <c r="G761" s="132"/>
      <c r="H761" s="133"/>
      <c r="I761" s="133"/>
      <c r="J761" s="127"/>
      <c r="K761" s="127"/>
      <c r="L761" s="113"/>
    </row>
    <row r="762">
      <c r="A762" s="128"/>
      <c r="B762" s="128"/>
      <c r="C762" s="129"/>
      <c r="D762" s="131"/>
      <c r="E762" s="131"/>
      <c r="F762" s="132"/>
      <c r="G762" s="132"/>
      <c r="H762" s="133"/>
      <c r="I762" s="133"/>
      <c r="J762" s="127"/>
      <c r="K762" s="127"/>
      <c r="L762" s="113"/>
    </row>
    <row r="763">
      <c r="A763" s="128"/>
      <c r="B763" s="128"/>
      <c r="C763" s="129"/>
      <c r="D763" s="131"/>
      <c r="E763" s="131"/>
      <c r="F763" s="132"/>
      <c r="G763" s="132"/>
      <c r="H763" s="133"/>
      <c r="I763" s="133"/>
      <c r="J763" s="127"/>
      <c r="K763" s="127"/>
      <c r="L763" s="113"/>
    </row>
    <row r="764">
      <c r="A764" s="128"/>
      <c r="B764" s="128"/>
      <c r="C764" s="129"/>
      <c r="D764" s="131"/>
      <c r="E764" s="131"/>
      <c r="F764" s="132"/>
      <c r="G764" s="132"/>
      <c r="H764" s="133"/>
      <c r="I764" s="133"/>
      <c r="J764" s="127"/>
      <c r="K764" s="127"/>
      <c r="L764" s="113"/>
    </row>
    <row r="765">
      <c r="A765" s="128"/>
      <c r="B765" s="128"/>
      <c r="C765" s="129"/>
      <c r="D765" s="131"/>
      <c r="E765" s="131"/>
      <c r="F765" s="132"/>
      <c r="G765" s="132"/>
      <c r="H765" s="133"/>
      <c r="I765" s="133"/>
      <c r="J765" s="127"/>
      <c r="K765" s="127"/>
      <c r="L765" s="113"/>
    </row>
    <row r="766">
      <c r="A766" s="128"/>
      <c r="B766" s="128"/>
      <c r="C766" s="129"/>
      <c r="D766" s="131"/>
      <c r="E766" s="131"/>
      <c r="F766" s="132"/>
      <c r="G766" s="132"/>
      <c r="H766" s="133"/>
      <c r="I766" s="133"/>
      <c r="J766" s="127"/>
      <c r="K766" s="127"/>
      <c r="L766" s="113"/>
    </row>
    <row r="767">
      <c r="A767" s="128"/>
      <c r="B767" s="128"/>
      <c r="C767" s="129"/>
      <c r="D767" s="131"/>
      <c r="E767" s="131"/>
      <c r="F767" s="132"/>
      <c r="G767" s="132"/>
      <c r="H767" s="133"/>
      <c r="I767" s="133"/>
      <c r="J767" s="127"/>
      <c r="K767" s="127"/>
      <c r="L767" s="113"/>
    </row>
    <row r="768">
      <c r="A768" s="128"/>
      <c r="B768" s="128"/>
      <c r="C768" s="129"/>
      <c r="D768" s="131"/>
      <c r="E768" s="131"/>
      <c r="F768" s="132"/>
      <c r="G768" s="132"/>
      <c r="H768" s="133"/>
      <c r="I768" s="133"/>
      <c r="J768" s="127"/>
      <c r="K768" s="127"/>
      <c r="L768" s="113"/>
    </row>
    <row r="769">
      <c r="A769" s="128"/>
      <c r="B769" s="128"/>
      <c r="C769" s="129"/>
      <c r="D769" s="131"/>
      <c r="E769" s="131"/>
      <c r="F769" s="132"/>
      <c r="G769" s="132"/>
      <c r="H769" s="133"/>
      <c r="I769" s="133"/>
      <c r="J769" s="127"/>
      <c r="K769" s="127"/>
      <c r="L769" s="113"/>
    </row>
    <row r="770">
      <c r="A770" s="128"/>
      <c r="B770" s="128"/>
      <c r="C770" s="129"/>
      <c r="D770" s="131"/>
      <c r="E770" s="131"/>
      <c r="F770" s="132"/>
      <c r="G770" s="132"/>
      <c r="H770" s="133"/>
      <c r="I770" s="133"/>
      <c r="J770" s="127"/>
      <c r="K770" s="127"/>
      <c r="L770" s="113"/>
    </row>
    <row r="771">
      <c r="A771" s="128"/>
      <c r="B771" s="128"/>
      <c r="C771" s="129"/>
      <c r="D771" s="131"/>
      <c r="E771" s="131"/>
      <c r="F771" s="132"/>
      <c r="G771" s="132"/>
      <c r="H771" s="133"/>
      <c r="I771" s="133"/>
      <c r="J771" s="127"/>
      <c r="K771" s="127"/>
      <c r="L771" s="113"/>
    </row>
    <row r="772">
      <c r="A772" s="128"/>
      <c r="B772" s="128"/>
      <c r="C772" s="129"/>
      <c r="D772" s="131"/>
      <c r="E772" s="131"/>
      <c r="F772" s="132"/>
      <c r="G772" s="132"/>
      <c r="H772" s="133"/>
      <c r="I772" s="133"/>
      <c r="J772" s="127"/>
      <c r="K772" s="127"/>
      <c r="L772" s="113"/>
    </row>
    <row r="773">
      <c r="A773" s="128"/>
      <c r="B773" s="128"/>
      <c r="C773" s="129"/>
      <c r="D773" s="131"/>
      <c r="E773" s="131"/>
      <c r="F773" s="132"/>
      <c r="G773" s="132"/>
      <c r="H773" s="133"/>
      <c r="I773" s="133"/>
      <c r="J773" s="127"/>
      <c r="K773" s="127"/>
      <c r="L773" s="113"/>
    </row>
    <row r="774">
      <c r="A774" s="128"/>
      <c r="B774" s="128"/>
      <c r="C774" s="129"/>
      <c r="D774" s="131"/>
      <c r="E774" s="131"/>
      <c r="F774" s="132"/>
      <c r="G774" s="132"/>
      <c r="H774" s="133"/>
      <c r="I774" s="133"/>
      <c r="J774" s="127"/>
      <c r="K774" s="127"/>
      <c r="L774" s="113"/>
    </row>
    <row r="775">
      <c r="A775" s="128"/>
      <c r="B775" s="128"/>
      <c r="C775" s="129"/>
      <c r="D775" s="131"/>
      <c r="E775" s="131"/>
      <c r="F775" s="132"/>
      <c r="G775" s="132"/>
      <c r="H775" s="133"/>
      <c r="I775" s="133"/>
      <c r="J775" s="127"/>
      <c r="K775" s="127"/>
      <c r="L775" s="113"/>
    </row>
    <row r="776">
      <c r="A776" s="128"/>
      <c r="B776" s="128"/>
      <c r="C776" s="129"/>
      <c r="D776" s="131"/>
      <c r="E776" s="131"/>
      <c r="F776" s="132"/>
      <c r="G776" s="132"/>
      <c r="H776" s="133"/>
      <c r="I776" s="133"/>
      <c r="J776" s="127"/>
      <c r="K776" s="127"/>
      <c r="L776" s="113"/>
    </row>
    <row r="777">
      <c r="A777" s="128"/>
      <c r="B777" s="128"/>
      <c r="C777" s="129"/>
      <c r="D777" s="131"/>
      <c r="E777" s="131"/>
      <c r="F777" s="132"/>
      <c r="G777" s="132"/>
      <c r="H777" s="133"/>
      <c r="I777" s="133"/>
      <c r="J777" s="127"/>
      <c r="K777" s="127"/>
      <c r="L777" s="113"/>
    </row>
    <row r="778">
      <c r="A778" s="128"/>
      <c r="B778" s="128"/>
      <c r="C778" s="129"/>
      <c r="D778" s="131"/>
      <c r="E778" s="131"/>
      <c r="F778" s="132"/>
      <c r="G778" s="132"/>
      <c r="H778" s="133"/>
      <c r="I778" s="133"/>
      <c r="J778" s="127"/>
      <c r="K778" s="127"/>
      <c r="L778" s="113"/>
    </row>
    <row r="779">
      <c r="A779" s="128"/>
      <c r="B779" s="128"/>
      <c r="C779" s="129"/>
      <c r="D779" s="131"/>
      <c r="E779" s="131"/>
      <c r="F779" s="132"/>
      <c r="G779" s="132"/>
      <c r="H779" s="133"/>
      <c r="I779" s="133"/>
      <c r="J779" s="127"/>
      <c r="K779" s="127"/>
      <c r="L779" s="113"/>
    </row>
    <row r="780">
      <c r="A780" s="128"/>
      <c r="B780" s="128"/>
      <c r="C780" s="129"/>
      <c r="D780" s="131"/>
      <c r="E780" s="131"/>
      <c r="F780" s="132"/>
      <c r="G780" s="132"/>
      <c r="H780" s="133"/>
      <c r="I780" s="133"/>
      <c r="J780" s="127"/>
      <c r="K780" s="127"/>
      <c r="L780" s="113"/>
    </row>
    <row r="781">
      <c r="A781" s="128"/>
      <c r="B781" s="128"/>
      <c r="C781" s="129"/>
      <c r="D781" s="131"/>
      <c r="E781" s="131"/>
      <c r="F781" s="132"/>
      <c r="G781" s="132"/>
      <c r="H781" s="133"/>
      <c r="I781" s="133"/>
      <c r="J781" s="127"/>
      <c r="K781" s="127"/>
      <c r="L781" s="113"/>
    </row>
    <row r="782">
      <c r="A782" s="128"/>
      <c r="B782" s="128"/>
      <c r="C782" s="129"/>
      <c r="D782" s="131"/>
      <c r="E782" s="131"/>
      <c r="F782" s="132"/>
      <c r="G782" s="132"/>
      <c r="H782" s="133"/>
      <c r="I782" s="133"/>
      <c r="J782" s="127"/>
      <c r="K782" s="127"/>
      <c r="L782" s="113"/>
    </row>
    <row r="783">
      <c r="A783" s="128"/>
      <c r="B783" s="128"/>
      <c r="C783" s="129"/>
      <c r="D783" s="131"/>
      <c r="E783" s="131"/>
      <c r="F783" s="132"/>
      <c r="G783" s="132"/>
      <c r="H783" s="133"/>
      <c r="I783" s="133"/>
      <c r="J783" s="127"/>
      <c r="K783" s="127"/>
      <c r="L783" s="113"/>
    </row>
    <row r="784">
      <c r="A784" s="128"/>
      <c r="B784" s="128"/>
      <c r="C784" s="129"/>
      <c r="D784" s="131"/>
      <c r="E784" s="131"/>
      <c r="F784" s="132"/>
      <c r="G784" s="132"/>
      <c r="H784" s="133"/>
      <c r="I784" s="133"/>
      <c r="J784" s="127"/>
      <c r="K784" s="127"/>
      <c r="L784" s="113"/>
    </row>
    <row r="785">
      <c r="A785" s="128"/>
      <c r="B785" s="128"/>
      <c r="C785" s="129"/>
      <c r="D785" s="131"/>
      <c r="E785" s="131"/>
      <c r="F785" s="132"/>
      <c r="G785" s="132"/>
      <c r="H785" s="133"/>
      <c r="I785" s="133"/>
      <c r="J785" s="127"/>
      <c r="K785" s="127"/>
      <c r="L785" s="113"/>
    </row>
    <row r="786">
      <c r="A786" s="128"/>
      <c r="B786" s="128"/>
      <c r="C786" s="129"/>
      <c r="D786" s="131"/>
      <c r="E786" s="131"/>
      <c r="F786" s="132"/>
      <c r="G786" s="132"/>
      <c r="H786" s="133"/>
      <c r="I786" s="133"/>
      <c r="J786" s="127"/>
      <c r="K786" s="127"/>
      <c r="L786" s="113"/>
    </row>
    <row r="787">
      <c r="A787" s="128"/>
      <c r="B787" s="128"/>
      <c r="C787" s="129"/>
      <c r="D787" s="131"/>
      <c r="E787" s="131"/>
      <c r="F787" s="132"/>
      <c r="G787" s="132"/>
      <c r="H787" s="133"/>
      <c r="I787" s="133"/>
      <c r="J787" s="127"/>
      <c r="K787" s="127"/>
      <c r="L787" s="113"/>
    </row>
    <row r="788">
      <c r="A788" s="128"/>
      <c r="B788" s="128"/>
      <c r="C788" s="129"/>
      <c r="D788" s="131"/>
      <c r="E788" s="131"/>
      <c r="F788" s="132"/>
      <c r="G788" s="132"/>
      <c r="H788" s="133"/>
      <c r="I788" s="133"/>
      <c r="J788" s="127"/>
      <c r="K788" s="127"/>
      <c r="L788" s="113"/>
    </row>
    <row r="789">
      <c r="A789" s="128"/>
      <c r="B789" s="128"/>
      <c r="C789" s="129"/>
      <c r="D789" s="131"/>
      <c r="E789" s="131"/>
      <c r="F789" s="132"/>
      <c r="G789" s="132"/>
      <c r="H789" s="133"/>
      <c r="I789" s="133"/>
      <c r="J789" s="127"/>
      <c r="K789" s="127"/>
      <c r="L789" s="113"/>
    </row>
    <row r="790">
      <c r="A790" s="128"/>
      <c r="B790" s="128"/>
      <c r="C790" s="129"/>
      <c r="D790" s="131"/>
      <c r="E790" s="131"/>
      <c r="F790" s="132"/>
      <c r="G790" s="132"/>
      <c r="H790" s="133"/>
      <c r="I790" s="133"/>
      <c r="J790" s="127"/>
      <c r="K790" s="127"/>
      <c r="L790" s="113"/>
    </row>
    <row r="791">
      <c r="A791" s="128"/>
      <c r="B791" s="128"/>
      <c r="C791" s="129"/>
      <c r="D791" s="131"/>
      <c r="E791" s="131"/>
      <c r="F791" s="132"/>
      <c r="G791" s="132"/>
      <c r="H791" s="133"/>
      <c r="I791" s="133"/>
      <c r="J791" s="127"/>
      <c r="K791" s="127"/>
      <c r="L791" s="113"/>
    </row>
    <row r="792">
      <c r="A792" s="128"/>
      <c r="B792" s="128"/>
      <c r="C792" s="129"/>
      <c r="D792" s="131"/>
      <c r="E792" s="131"/>
      <c r="F792" s="132"/>
      <c r="G792" s="132"/>
      <c r="H792" s="133"/>
      <c r="I792" s="133"/>
      <c r="J792" s="127"/>
      <c r="K792" s="127"/>
      <c r="L792" s="113"/>
    </row>
    <row r="793">
      <c r="A793" s="128"/>
      <c r="B793" s="128"/>
      <c r="C793" s="129"/>
      <c r="D793" s="131"/>
      <c r="E793" s="131"/>
      <c r="F793" s="132"/>
      <c r="G793" s="132"/>
      <c r="H793" s="133"/>
      <c r="I793" s="133"/>
      <c r="J793" s="127"/>
      <c r="K793" s="127"/>
      <c r="L793" s="113"/>
    </row>
    <row r="794">
      <c r="A794" s="128"/>
      <c r="B794" s="128"/>
      <c r="C794" s="129"/>
      <c r="D794" s="131"/>
      <c r="E794" s="131"/>
      <c r="F794" s="132"/>
      <c r="G794" s="132"/>
      <c r="H794" s="133"/>
      <c r="I794" s="133"/>
      <c r="J794" s="127"/>
      <c r="K794" s="127"/>
      <c r="L794" s="113"/>
    </row>
    <row r="795">
      <c r="A795" s="128"/>
      <c r="B795" s="128"/>
      <c r="C795" s="129"/>
      <c r="D795" s="131"/>
      <c r="E795" s="131"/>
      <c r="F795" s="132"/>
      <c r="G795" s="132"/>
      <c r="H795" s="133"/>
      <c r="I795" s="133"/>
      <c r="J795" s="127"/>
      <c r="K795" s="127"/>
      <c r="L795" s="113"/>
    </row>
    <row r="796">
      <c r="A796" s="128"/>
      <c r="B796" s="128"/>
      <c r="C796" s="129"/>
      <c r="D796" s="131"/>
      <c r="E796" s="131"/>
      <c r="F796" s="132"/>
      <c r="G796" s="132"/>
      <c r="H796" s="133"/>
      <c r="I796" s="133"/>
      <c r="J796" s="127"/>
      <c r="K796" s="127"/>
      <c r="L796" s="113"/>
    </row>
    <row r="797">
      <c r="A797" s="128"/>
      <c r="B797" s="128"/>
      <c r="C797" s="129"/>
      <c r="D797" s="131"/>
      <c r="E797" s="131"/>
      <c r="F797" s="132"/>
      <c r="G797" s="132"/>
      <c r="H797" s="133"/>
      <c r="I797" s="133"/>
      <c r="J797" s="127"/>
      <c r="K797" s="127"/>
      <c r="L797" s="113"/>
    </row>
    <row r="798">
      <c r="A798" s="128"/>
      <c r="B798" s="128"/>
      <c r="C798" s="129"/>
      <c r="D798" s="131"/>
      <c r="E798" s="131"/>
      <c r="F798" s="132"/>
      <c r="G798" s="132"/>
      <c r="H798" s="133"/>
      <c r="I798" s="133"/>
      <c r="J798" s="127"/>
      <c r="K798" s="127"/>
      <c r="L798" s="113"/>
    </row>
    <row r="799">
      <c r="A799" s="128"/>
      <c r="B799" s="128"/>
      <c r="C799" s="129"/>
      <c r="D799" s="131"/>
      <c r="E799" s="131"/>
      <c r="F799" s="132"/>
      <c r="G799" s="132"/>
      <c r="H799" s="133"/>
      <c r="I799" s="133"/>
      <c r="J799" s="127"/>
      <c r="K799" s="127"/>
      <c r="L799" s="113"/>
    </row>
    <row r="800">
      <c r="A800" s="128"/>
      <c r="B800" s="128"/>
      <c r="C800" s="129"/>
      <c r="D800" s="131"/>
      <c r="E800" s="131"/>
      <c r="F800" s="132"/>
      <c r="G800" s="132"/>
      <c r="H800" s="133"/>
      <c r="I800" s="133"/>
      <c r="J800" s="127"/>
      <c r="K800" s="127"/>
      <c r="L800" s="113"/>
    </row>
    <row r="801">
      <c r="A801" s="128"/>
      <c r="B801" s="128"/>
      <c r="C801" s="129"/>
      <c r="D801" s="131"/>
      <c r="E801" s="131"/>
      <c r="F801" s="132"/>
      <c r="G801" s="132"/>
      <c r="H801" s="133"/>
      <c r="I801" s="133"/>
      <c r="J801" s="127"/>
      <c r="K801" s="127"/>
      <c r="L801" s="113"/>
    </row>
    <row r="802">
      <c r="A802" s="128"/>
      <c r="B802" s="128"/>
      <c r="C802" s="129"/>
      <c r="D802" s="131"/>
      <c r="E802" s="131"/>
      <c r="F802" s="132"/>
      <c r="G802" s="132"/>
      <c r="H802" s="133"/>
      <c r="I802" s="133"/>
      <c r="J802" s="127"/>
      <c r="K802" s="127"/>
      <c r="L802" s="113"/>
    </row>
    <row r="803">
      <c r="A803" s="128"/>
      <c r="B803" s="128"/>
      <c r="C803" s="129"/>
      <c r="D803" s="131"/>
      <c r="E803" s="131"/>
      <c r="F803" s="132"/>
      <c r="G803" s="132"/>
      <c r="H803" s="133"/>
      <c r="I803" s="133"/>
      <c r="J803" s="127"/>
      <c r="K803" s="127"/>
      <c r="L803" s="113"/>
    </row>
    <row r="804">
      <c r="A804" s="128"/>
      <c r="B804" s="128"/>
      <c r="C804" s="129"/>
      <c r="D804" s="131"/>
      <c r="E804" s="131"/>
      <c r="F804" s="132"/>
      <c r="G804" s="132"/>
      <c r="H804" s="133"/>
      <c r="I804" s="133"/>
      <c r="J804" s="127"/>
      <c r="K804" s="127"/>
      <c r="L804" s="113"/>
    </row>
    <row r="805">
      <c r="A805" s="128"/>
      <c r="B805" s="128"/>
      <c r="C805" s="129"/>
      <c r="D805" s="131"/>
      <c r="E805" s="131"/>
      <c r="F805" s="132"/>
      <c r="G805" s="132"/>
      <c r="H805" s="133"/>
      <c r="I805" s="133"/>
      <c r="J805" s="127"/>
      <c r="K805" s="127"/>
      <c r="L805" s="113"/>
    </row>
    <row r="806">
      <c r="A806" s="128"/>
      <c r="B806" s="128"/>
      <c r="C806" s="129"/>
      <c r="D806" s="131"/>
      <c r="E806" s="131"/>
      <c r="F806" s="132"/>
      <c r="G806" s="132"/>
      <c r="H806" s="133"/>
      <c r="I806" s="133"/>
      <c r="J806" s="127"/>
      <c r="K806" s="127"/>
      <c r="L806" s="113"/>
    </row>
    <row r="807">
      <c r="A807" s="128"/>
      <c r="B807" s="128"/>
      <c r="C807" s="129"/>
      <c r="D807" s="131"/>
      <c r="E807" s="131"/>
      <c r="F807" s="132"/>
      <c r="G807" s="132"/>
      <c r="H807" s="133"/>
      <c r="I807" s="133"/>
      <c r="J807" s="127"/>
      <c r="K807" s="127"/>
      <c r="L807" s="113"/>
    </row>
    <row r="808">
      <c r="A808" s="128"/>
      <c r="B808" s="128"/>
      <c r="C808" s="129"/>
      <c r="D808" s="131"/>
      <c r="E808" s="131"/>
      <c r="F808" s="132"/>
      <c r="G808" s="132"/>
      <c r="H808" s="133"/>
      <c r="I808" s="133"/>
      <c r="J808" s="127"/>
      <c r="K808" s="127"/>
      <c r="L808" s="113"/>
    </row>
    <row r="809">
      <c r="A809" s="128"/>
      <c r="B809" s="128"/>
      <c r="C809" s="129"/>
      <c r="D809" s="131"/>
      <c r="E809" s="131"/>
      <c r="F809" s="132"/>
      <c r="G809" s="132"/>
      <c r="H809" s="133"/>
      <c r="I809" s="133"/>
      <c r="J809" s="127"/>
      <c r="K809" s="127"/>
      <c r="L809" s="113"/>
    </row>
    <row r="810">
      <c r="A810" s="128"/>
      <c r="B810" s="128"/>
      <c r="C810" s="129"/>
      <c r="D810" s="131"/>
      <c r="E810" s="131"/>
      <c r="F810" s="132"/>
      <c r="G810" s="132"/>
      <c r="H810" s="133"/>
      <c r="I810" s="133"/>
      <c r="J810" s="127"/>
      <c r="K810" s="127"/>
      <c r="L810" s="113"/>
    </row>
    <row r="811">
      <c r="A811" s="128"/>
      <c r="B811" s="128"/>
      <c r="C811" s="129"/>
      <c r="D811" s="131"/>
      <c r="E811" s="131"/>
      <c r="F811" s="132"/>
      <c r="G811" s="132"/>
      <c r="H811" s="133"/>
      <c r="I811" s="133"/>
      <c r="J811" s="127"/>
      <c r="K811" s="127"/>
      <c r="L811" s="113"/>
    </row>
    <row r="812">
      <c r="A812" s="128"/>
      <c r="B812" s="128"/>
      <c r="C812" s="129"/>
      <c r="D812" s="131"/>
      <c r="E812" s="131"/>
      <c r="F812" s="132"/>
      <c r="G812" s="132"/>
      <c r="H812" s="133"/>
      <c r="I812" s="133"/>
      <c r="J812" s="127"/>
      <c r="K812" s="127"/>
      <c r="L812" s="113"/>
    </row>
    <row r="813">
      <c r="A813" s="128"/>
      <c r="B813" s="128"/>
      <c r="C813" s="129"/>
      <c r="D813" s="131"/>
      <c r="E813" s="131"/>
      <c r="F813" s="132"/>
      <c r="G813" s="132"/>
      <c r="H813" s="133"/>
      <c r="I813" s="133"/>
      <c r="J813" s="127"/>
      <c r="K813" s="127"/>
      <c r="L813" s="113"/>
    </row>
    <row r="814">
      <c r="A814" s="128"/>
      <c r="B814" s="128"/>
      <c r="C814" s="129"/>
      <c r="D814" s="131"/>
      <c r="E814" s="131"/>
      <c r="F814" s="132"/>
      <c r="G814" s="132"/>
      <c r="H814" s="133"/>
      <c r="I814" s="133"/>
      <c r="J814" s="127"/>
      <c r="K814" s="127"/>
      <c r="L814" s="113"/>
    </row>
    <row r="815">
      <c r="A815" s="128"/>
      <c r="B815" s="128"/>
      <c r="C815" s="129"/>
      <c r="D815" s="131"/>
      <c r="E815" s="131"/>
      <c r="F815" s="132"/>
      <c r="G815" s="132"/>
      <c r="H815" s="133"/>
      <c r="I815" s="133"/>
      <c r="J815" s="127"/>
      <c r="K815" s="127"/>
      <c r="L815" s="113"/>
    </row>
    <row r="816">
      <c r="A816" s="128"/>
      <c r="B816" s="128"/>
      <c r="C816" s="129"/>
      <c r="D816" s="131"/>
      <c r="E816" s="131"/>
      <c r="F816" s="132"/>
      <c r="G816" s="132"/>
      <c r="H816" s="133"/>
      <c r="I816" s="133"/>
      <c r="J816" s="127"/>
      <c r="K816" s="127"/>
      <c r="L816" s="113"/>
    </row>
    <row r="817">
      <c r="A817" s="128"/>
      <c r="B817" s="128"/>
      <c r="C817" s="129"/>
      <c r="D817" s="131"/>
      <c r="E817" s="131"/>
      <c r="F817" s="132"/>
      <c r="G817" s="132"/>
      <c r="H817" s="133"/>
      <c r="I817" s="133"/>
      <c r="J817" s="127"/>
      <c r="K817" s="127"/>
      <c r="L817" s="113"/>
    </row>
    <row r="818">
      <c r="A818" s="128"/>
      <c r="B818" s="128"/>
      <c r="C818" s="129"/>
      <c r="D818" s="131"/>
      <c r="E818" s="131"/>
      <c r="F818" s="132"/>
      <c r="G818" s="132"/>
      <c r="H818" s="133"/>
      <c r="I818" s="133"/>
      <c r="J818" s="127"/>
      <c r="K818" s="127"/>
      <c r="L818" s="113"/>
    </row>
    <row r="819">
      <c r="A819" s="128"/>
      <c r="B819" s="128"/>
      <c r="C819" s="129"/>
      <c r="D819" s="131"/>
      <c r="E819" s="131"/>
      <c r="F819" s="132"/>
      <c r="G819" s="132"/>
      <c r="H819" s="133"/>
      <c r="I819" s="133"/>
      <c r="J819" s="127"/>
      <c r="K819" s="127"/>
      <c r="L819" s="113"/>
    </row>
    <row r="820">
      <c r="A820" s="128"/>
      <c r="B820" s="128"/>
      <c r="C820" s="129"/>
      <c r="D820" s="131"/>
      <c r="E820" s="131"/>
      <c r="F820" s="132"/>
      <c r="G820" s="132"/>
      <c r="H820" s="133"/>
      <c r="I820" s="133"/>
      <c r="J820" s="127"/>
      <c r="K820" s="127"/>
      <c r="L820" s="113"/>
    </row>
    <row r="821">
      <c r="A821" s="128"/>
      <c r="B821" s="128"/>
      <c r="C821" s="129"/>
      <c r="D821" s="131"/>
      <c r="E821" s="131"/>
      <c r="F821" s="132"/>
      <c r="G821" s="132"/>
      <c r="H821" s="133"/>
      <c r="I821" s="133"/>
      <c r="J821" s="127"/>
      <c r="K821" s="127"/>
      <c r="L821" s="113"/>
    </row>
    <row r="822">
      <c r="A822" s="128"/>
      <c r="B822" s="128"/>
      <c r="C822" s="129"/>
      <c r="D822" s="131"/>
      <c r="E822" s="131"/>
      <c r="F822" s="132"/>
      <c r="G822" s="132"/>
      <c r="H822" s="133"/>
      <c r="I822" s="133"/>
      <c r="J822" s="127"/>
      <c r="K822" s="127"/>
      <c r="L822" s="113"/>
    </row>
    <row r="823">
      <c r="A823" s="128"/>
      <c r="B823" s="128"/>
      <c r="C823" s="129"/>
      <c r="D823" s="131"/>
      <c r="E823" s="131"/>
      <c r="F823" s="132"/>
      <c r="G823" s="132"/>
      <c r="H823" s="133"/>
      <c r="I823" s="133"/>
      <c r="J823" s="127"/>
      <c r="K823" s="127"/>
      <c r="L823" s="113"/>
    </row>
    <row r="824">
      <c r="A824" s="128"/>
      <c r="B824" s="128"/>
      <c r="C824" s="129"/>
      <c r="D824" s="131"/>
      <c r="E824" s="131"/>
      <c r="F824" s="132"/>
      <c r="G824" s="132"/>
      <c r="H824" s="133"/>
      <c r="I824" s="133"/>
      <c r="J824" s="127"/>
      <c r="K824" s="127"/>
      <c r="L824" s="113"/>
    </row>
    <row r="825">
      <c r="A825" s="128"/>
      <c r="B825" s="128"/>
      <c r="C825" s="129"/>
      <c r="D825" s="131"/>
      <c r="E825" s="131"/>
      <c r="F825" s="132"/>
      <c r="G825" s="132"/>
      <c r="H825" s="133"/>
      <c r="I825" s="133"/>
      <c r="J825" s="127"/>
      <c r="K825" s="127"/>
      <c r="L825" s="113"/>
    </row>
    <row r="826">
      <c r="A826" s="128"/>
      <c r="B826" s="128"/>
      <c r="C826" s="129"/>
      <c r="D826" s="131"/>
      <c r="E826" s="131"/>
      <c r="F826" s="132"/>
      <c r="G826" s="132"/>
      <c r="H826" s="133"/>
      <c r="I826" s="133"/>
      <c r="J826" s="127"/>
      <c r="K826" s="127"/>
      <c r="L826" s="113"/>
    </row>
    <row r="827">
      <c r="A827" s="128"/>
      <c r="B827" s="128"/>
      <c r="C827" s="129"/>
      <c r="D827" s="131"/>
      <c r="E827" s="131"/>
      <c r="F827" s="132"/>
      <c r="G827" s="132"/>
      <c r="H827" s="133"/>
      <c r="I827" s="133"/>
      <c r="J827" s="127"/>
      <c r="K827" s="127"/>
      <c r="L827" s="113"/>
    </row>
    <row r="828">
      <c r="A828" s="128"/>
      <c r="B828" s="128"/>
      <c r="C828" s="129"/>
      <c r="D828" s="131"/>
      <c r="E828" s="131"/>
      <c r="F828" s="132"/>
      <c r="G828" s="132"/>
      <c r="H828" s="133"/>
      <c r="I828" s="133"/>
      <c r="J828" s="127"/>
      <c r="K828" s="127"/>
      <c r="L828" s="113"/>
    </row>
    <row r="829">
      <c r="A829" s="128"/>
      <c r="B829" s="128"/>
      <c r="C829" s="129"/>
      <c r="D829" s="131"/>
      <c r="E829" s="131"/>
      <c r="F829" s="132"/>
      <c r="G829" s="132"/>
      <c r="H829" s="133"/>
      <c r="I829" s="133"/>
      <c r="J829" s="127"/>
      <c r="K829" s="127"/>
      <c r="L829" s="113"/>
    </row>
    <row r="830">
      <c r="A830" s="128"/>
      <c r="B830" s="128"/>
      <c r="C830" s="129"/>
      <c r="D830" s="131"/>
      <c r="E830" s="131"/>
      <c r="F830" s="132"/>
      <c r="G830" s="132"/>
      <c r="H830" s="133"/>
      <c r="I830" s="133"/>
      <c r="J830" s="127"/>
      <c r="K830" s="127"/>
      <c r="L830" s="113"/>
    </row>
    <row r="831">
      <c r="A831" s="128"/>
      <c r="B831" s="128"/>
      <c r="C831" s="129"/>
      <c r="D831" s="131"/>
      <c r="E831" s="131"/>
      <c r="F831" s="132"/>
      <c r="G831" s="132"/>
      <c r="H831" s="133"/>
      <c r="I831" s="133"/>
      <c r="J831" s="127"/>
      <c r="K831" s="127"/>
      <c r="L831" s="113"/>
    </row>
    <row r="832">
      <c r="A832" s="128"/>
      <c r="B832" s="128"/>
      <c r="C832" s="129"/>
      <c r="D832" s="131"/>
      <c r="E832" s="131"/>
      <c r="F832" s="132"/>
      <c r="G832" s="132"/>
      <c r="H832" s="133"/>
      <c r="I832" s="133"/>
      <c r="J832" s="127"/>
      <c r="K832" s="127"/>
      <c r="L832" s="113"/>
    </row>
    <row r="833">
      <c r="A833" s="128"/>
      <c r="B833" s="128"/>
      <c r="C833" s="129"/>
      <c r="D833" s="131"/>
      <c r="E833" s="131"/>
      <c r="F833" s="132"/>
      <c r="G833" s="132"/>
      <c r="H833" s="133"/>
      <c r="I833" s="133"/>
      <c r="J833" s="127"/>
      <c r="K833" s="127"/>
      <c r="L833" s="113"/>
    </row>
    <row r="834">
      <c r="A834" s="128"/>
      <c r="B834" s="128"/>
      <c r="C834" s="129"/>
      <c r="D834" s="131"/>
      <c r="E834" s="131"/>
      <c r="F834" s="132"/>
      <c r="G834" s="132"/>
      <c r="H834" s="133"/>
      <c r="I834" s="133"/>
      <c r="J834" s="127"/>
      <c r="K834" s="127"/>
      <c r="L834" s="113"/>
    </row>
    <row r="835">
      <c r="A835" s="128"/>
      <c r="B835" s="128"/>
      <c r="C835" s="129"/>
      <c r="D835" s="131"/>
      <c r="E835" s="131"/>
      <c r="F835" s="132"/>
      <c r="G835" s="132"/>
      <c r="H835" s="133"/>
      <c r="I835" s="133"/>
      <c r="J835" s="127"/>
      <c r="K835" s="127"/>
      <c r="L835" s="113"/>
    </row>
    <row r="836">
      <c r="A836" s="128"/>
      <c r="B836" s="128"/>
      <c r="C836" s="129"/>
      <c r="D836" s="131"/>
      <c r="E836" s="131"/>
      <c r="F836" s="132"/>
      <c r="G836" s="132"/>
      <c r="H836" s="133"/>
      <c r="I836" s="133"/>
      <c r="J836" s="127"/>
      <c r="K836" s="127"/>
      <c r="L836" s="113"/>
    </row>
    <row r="837">
      <c r="A837" s="128"/>
      <c r="B837" s="128"/>
      <c r="C837" s="129"/>
      <c r="D837" s="131"/>
      <c r="E837" s="131"/>
      <c r="F837" s="132"/>
      <c r="G837" s="132"/>
      <c r="H837" s="133"/>
      <c r="I837" s="133"/>
      <c r="J837" s="127"/>
      <c r="K837" s="127"/>
      <c r="L837" s="113"/>
    </row>
    <row r="838">
      <c r="A838" s="128"/>
      <c r="B838" s="128"/>
      <c r="C838" s="129"/>
      <c r="D838" s="131"/>
      <c r="E838" s="131"/>
      <c r="F838" s="132"/>
      <c r="G838" s="132"/>
      <c r="H838" s="133"/>
      <c r="I838" s="133"/>
      <c r="J838" s="127"/>
      <c r="K838" s="127"/>
      <c r="L838" s="113"/>
    </row>
    <row r="839">
      <c r="A839" s="128"/>
      <c r="B839" s="128"/>
      <c r="C839" s="129"/>
      <c r="D839" s="131"/>
      <c r="E839" s="131"/>
      <c r="F839" s="132"/>
      <c r="G839" s="132"/>
      <c r="H839" s="133"/>
      <c r="I839" s="133"/>
      <c r="J839" s="127"/>
      <c r="K839" s="127"/>
      <c r="L839" s="113"/>
    </row>
    <row r="840">
      <c r="A840" s="128"/>
      <c r="B840" s="128"/>
      <c r="C840" s="129"/>
      <c r="D840" s="131"/>
      <c r="E840" s="131"/>
      <c r="F840" s="132"/>
      <c r="G840" s="132"/>
      <c r="H840" s="133"/>
      <c r="I840" s="133"/>
      <c r="J840" s="127"/>
      <c r="K840" s="127"/>
      <c r="L840" s="113"/>
    </row>
    <row r="841">
      <c r="A841" s="128"/>
      <c r="B841" s="128"/>
      <c r="C841" s="129"/>
      <c r="D841" s="131"/>
      <c r="E841" s="131"/>
      <c r="F841" s="132"/>
      <c r="G841" s="132"/>
      <c r="H841" s="133"/>
      <c r="I841" s="133"/>
      <c r="J841" s="127"/>
      <c r="K841" s="127"/>
      <c r="L841" s="113"/>
    </row>
    <row r="842">
      <c r="A842" s="128"/>
      <c r="B842" s="128"/>
      <c r="C842" s="129"/>
      <c r="D842" s="131"/>
      <c r="E842" s="131"/>
      <c r="F842" s="132"/>
      <c r="G842" s="132"/>
      <c r="H842" s="133"/>
      <c r="I842" s="133"/>
      <c r="J842" s="127"/>
      <c r="K842" s="127"/>
      <c r="L842" s="113"/>
    </row>
    <row r="843">
      <c r="A843" s="128"/>
      <c r="B843" s="128"/>
      <c r="C843" s="129"/>
      <c r="D843" s="131"/>
      <c r="E843" s="131"/>
      <c r="F843" s="132"/>
      <c r="G843" s="132"/>
      <c r="H843" s="133"/>
      <c r="I843" s="133"/>
      <c r="J843" s="127"/>
      <c r="K843" s="127"/>
      <c r="L843" s="113"/>
    </row>
    <row r="844">
      <c r="A844" s="128"/>
      <c r="B844" s="128"/>
      <c r="C844" s="129"/>
      <c r="D844" s="131"/>
      <c r="E844" s="131"/>
      <c r="F844" s="132"/>
      <c r="G844" s="132"/>
      <c r="H844" s="133"/>
      <c r="I844" s="133"/>
      <c r="J844" s="127"/>
      <c r="K844" s="127"/>
      <c r="L844" s="113"/>
    </row>
    <row r="845">
      <c r="A845" s="128"/>
      <c r="B845" s="128"/>
      <c r="C845" s="129"/>
      <c r="D845" s="131"/>
      <c r="E845" s="131"/>
      <c r="F845" s="132"/>
      <c r="G845" s="132"/>
      <c r="H845" s="133"/>
      <c r="I845" s="133"/>
      <c r="J845" s="127"/>
      <c r="K845" s="127"/>
      <c r="L845" s="113"/>
    </row>
    <row r="846">
      <c r="A846" s="128"/>
      <c r="B846" s="128"/>
      <c r="C846" s="129"/>
      <c r="D846" s="131"/>
      <c r="E846" s="131"/>
      <c r="F846" s="132"/>
      <c r="G846" s="132"/>
      <c r="H846" s="133"/>
      <c r="I846" s="133"/>
      <c r="J846" s="127"/>
      <c r="K846" s="127"/>
      <c r="L846" s="113"/>
    </row>
    <row r="847">
      <c r="A847" s="128"/>
      <c r="B847" s="128"/>
      <c r="C847" s="129"/>
      <c r="D847" s="131"/>
      <c r="E847" s="131"/>
      <c r="F847" s="132"/>
      <c r="G847" s="132"/>
      <c r="H847" s="133"/>
      <c r="I847" s="133"/>
      <c r="J847" s="127"/>
      <c r="K847" s="127"/>
      <c r="L847" s="113"/>
    </row>
    <row r="848">
      <c r="A848" s="128"/>
      <c r="B848" s="128"/>
      <c r="C848" s="129"/>
      <c r="D848" s="131"/>
      <c r="E848" s="131"/>
      <c r="F848" s="132"/>
      <c r="G848" s="132"/>
      <c r="H848" s="133"/>
      <c r="I848" s="133"/>
      <c r="J848" s="127"/>
      <c r="K848" s="127"/>
      <c r="L848" s="113"/>
    </row>
    <row r="849">
      <c r="A849" s="128"/>
      <c r="B849" s="128"/>
      <c r="C849" s="129"/>
      <c r="D849" s="131"/>
      <c r="E849" s="131"/>
      <c r="F849" s="132"/>
      <c r="G849" s="132"/>
      <c r="H849" s="133"/>
      <c r="I849" s="133"/>
      <c r="J849" s="127"/>
      <c r="K849" s="127"/>
      <c r="L849" s="113"/>
    </row>
    <row r="850">
      <c r="A850" s="128"/>
      <c r="B850" s="128"/>
      <c r="C850" s="129"/>
      <c r="D850" s="131"/>
      <c r="E850" s="131"/>
      <c r="F850" s="132"/>
      <c r="G850" s="132"/>
      <c r="H850" s="133"/>
      <c r="I850" s="133"/>
      <c r="J850" s="127"/>
      <c r="K850" s="127"/>
      <c r="L850" s="113"/>
    </row>
    <row r="851">
      <c r="A851" s="128"/>
      <c r="B851" s="128"/>
      <c r="C851" s="129"/>
      <c r="D851" s="131"/>
      <c r="E851" s="131"/>
      <c r="F851" s="132"/>
      <c r="G851" s="132"/>
      <c r="H851" s="133"/>
      <c r="I851" s="133"/>
      <c r="J851" s="127"/>
      <c r="K851" s="127"/>
      <c r="L851" s="113"/>
    </row>
    <row r="852">
      <c r="A852" s="128"/>
      <c r="B852" s="128"/>
      <c r="C852" s="129"/>
      <c r="D852" s="131"/>
      <c r="E852" s="131"/>
      <c r="F852" s="132"/>
      <c r="G852" s="132"/>
      <c r="H852" s="133"/>
      <c r="I852" s="133"/>
      <c r="J852" s="127"/>
      <c r="K852" s="127"/>
      <c r="L852" s="113"/>
    </row>
    <row r="853">
      <c r="A853" s="128"/>
      <c r="B853" s="128"/>
      <c r="C853" s="129"/>
      <c r="D853" s="131"/>
      <c r="E853" s="131"/>
      <c r="F853" s="132"/>
      <c r="G853" s="132"/>
      <c r="H853" s="133"/>
      <c r="I853" s="133"/>
      <c r="J853" s="127"/>
      <c r="K853" s="127"/>
      <c r="L853" s="113"/>
    </row>
    <row r="854">
      <c r="A854" s="128"/>
      <c r="B854" s="128"/>
      <c r="C854" s="129"/>
      <c r="D854" s="131"/>
      <c r="E854" s="131"/>
      <c r="F854" s="132"/>
      <c r="G854" s="132"/>
      <c r="H854" s="133"/>
      <c r="I854" s="133"/>
      <c r="J854" s="127"/>
      <c r="K854" s="127"/>
      <c r="L854" s="113"/>
    </row>
    <row r="855">
      <c r="A855" s="128"/>
      <c r="B855" s="128"/>
      <c r="C855" s="129"/>
      <c r="D855" s="131"/>
      <c r="E855" s="131"/>
      <c r="F855" s="132"/>
      <c r="G855" s="132"/>
      <c r="H855" s="133"/>
      <c r="I855" s="133"/>
      <c r="J855" s="127"/>
      <c r="K855" s="127"/>
      <c r="L855" s="113"/>
    </row>
    <row r="856">
      <c r="A856" s="128"/>
      <c r="B856" s="128"/>
      <c r="C856" s="129"/>
      <c r="D856" s="131"/>
      <c r="E856" s="131"/>
      <c r="F856" s="132"/>
      <c r="G856" s="132"/>
      <c r="H856" s="133"/>
      <c r="I856" s="133"/>
      <c r="J856" s="127"/>
      <c r="K856" s="127"/>
      <c r="L856" s="113"/>
    </row>
    <row r="857">
      <c r="A857" s="128"/>
      <c r="B857" s="128"/>
      <c r="C857" s="129"/>
      <c r="D857" s="131"/>
      <c r="E857" s="131"/>
      <c r="F857" s="132"/>
      <c r="G857" s="132"/>
      <c r="H857" s="133"/>
      <c r="I857" s="133"/>
      <c r="J857" s="127"/>
      <c r="K857" s="127"/>
      <c r="L857" s="113"/>
    </row>
    <row r="858">
      <c r="A858" s="128"/>
      <c r="B858" s="128"/>
      <c r="C858" s="129"/>
      <c r="D858" s="131"/>
      <c r="E858" s="131"/>
      <c r="F858" s="132"/>
      <c r="G858" s="132"/>
      <c r="H858" s="133"/>
      <c r="I858" s="133"/>
      <c r="J858" s="127"/>
      <c r="K858" s="127"/>
      <c r="L858" s="113"/>
    </row>
    <row r="859">
      <c r="A859" s="128"/>
      <c r="B859" s="128"/>
      <c r="C859" s="129"/>
      <c r="D859" s="131"/>
      <c r="E859" s="131"/>
      <c r="F859" s="132"/>
      <c r="G859" s="132"/>
      <c r="H859" s="133"/>
      <c r="I859" s="133"/>
      <c r="J859" s="127"/>
      <c r="K859" s="127"/>
      <c r="L859" s="113"/>
    </row>
    <row r="860">
      <c r="A860" s="128"/>
      <c r="B860" s="128"/>
      <c r="C860" s="129"/>
      <c r="D860" s="131"/>
      <c r="E860" s="131"/>
      <c r="F860" s="132"/>
      <c r="G860" s="132"/>
      <c r="H860" s="133"/>
      <c r="I860" s="133"/>
      <c r="J860" s="127"/>
      <c r="K860" s="127"/>
      <c r="L860" s="113"/>
    </row>
    <row r="861">
      <c r="A861" s="128"/>
      <c r="B861" s="128"/>
      <c r="C861" s="129"/>
      <c r="D861" s="131"/>
      <c r="E861" s="131"/>
      <c r="F861" s="132"/>
      <c r="G861" s="132"/>
      <c r="H861" s="133"/>
      <c r="I861" s="133"/>
      <c r="J861" s="127"/>
      <c r="K861" s="127"/>
      <c r="L861" s="113"/>
    </row>
    <row r="862">
      <c r="A862" s="128"/>
      <c r="B862" s="128"/>
      <c r="C862" s="129"/>
      <c r="D862" s="131"/>
      <c r="E862" s="131"/>
      <c r="F862" s="132"/>
      <c r="G862" s="132"/>
      <c r="H862" s="133"/>
      <c r="I862" s="133"/>
      <c r="J862" s="127"/>
      <c r="K862" s="127"/>
      <c r="L862" s="113"/>
    </row>
    <row r="863">
      <c r="A863" s="128"/>
      <c r="B863" s="128"/>
      <c r="C863" s="129"/>
      <c r="D863" s="131"/>
      <c r="E863" s="131"/>
      <c r="F863" s="132"/>
      <c r="G863" s="132"/>
      <c r="H863" s="133"/>
      <c r="I863" s="133"/>
      <c r="J863" s="127"/>
      <c r="K863" s="127"/>
      <c r="L863" s="113"/>
    </row>
    <row r="864">
      <c r="A864" s="128"/>
      <c r="B864" s="128"/>
      <c r="C864" s="129"/>
      <c r="D864" s="131"/>
      <c r="E864" s="131"/>
      <c r="F864" s="132"/>
      <c r="G864" s="132"/>
      <c r="H864" s="133"/>
      <c r="I864" s="133"/>
      <c r="J864" s="127"/>
      <c r="K864" s="127"/>
      <c r="L864" s="113"/>
    </row>
    <row r="865">
      <c r="A865" s="128"/>
      <c r="B865" s="128"/>
      <c r="C865" s="129"/>
      <c r="D865" s="131"/>
      <c r="E865" s="131"/>
      <c r="F865" s="132"/>
      <c r="G865" s="132"/>
      <c r="H865" s="133"/>
      <c r="I865" s="133"/>
      <c r="J865" s="127"/>
      <c r="K865" s="127"/>
      <c r="L865" s="113"/>
    </row>
    <row r="866">
      <c r="A866" s="128"/>
      <c r="B866" s="128"/>
      <c r="C866" s="129"/>
      <c r="D866" s="131"/>
      <c r="E866" s="131"/>
      <c r="F866" s="132"/>
      <c r="G866" s="132"/>
      <c r="H866" s="133"/>
      <c r="I866" s="133"/>
      <c r="J866" s="127"/>
      <c r="K866" s="127"/>
      <c r="L866" s="113"/>
    </row>
    <row r="867">
      <c r="A867" s="128"/>
      <c r="B867" s="128"/>
      <c r="C867" s="129"/>
      <c r="D867" s="131"/>
      <c r="E867" s="131"/>
      <c r="F867" s="132"/>
      <c r="G867" s="132"/>
      <c r="H867" s="133"/>
      <c r="I867" s="133"/>
      <c r="J867" s="127"/>
      <c r="K867" s="127"/>
      <c r="L867" s="113"/>
    </row>
    <row r="868">
      <c r="A868" s="128"/>
      <c r="B868" s="128"/>
      <c r="C868" s="129"/>
      <c r="D868" s="131"/>
      <c r="E868" s="131"/>
      <c r="F868" s="132"/>
      <c r="G868" s="132"/>
      <c r="H868" s="133"/>
      <c r="I868" s="133"/>
      <c r="J868" s="127"/>
      <c r="K868" s="127"/>
      <c r="L868" s="113"/>
    </row>
    <row r="869">
      <c r="A869" s="128"/>
      <c r="B869" s="128"/>
      <c r="C869" s="129"/>
      <c r="D869" s="131"/>
      <c r="E869" s="131"/>
      <c r="F869" s="132"/>
      <c r="G869" s="132"/>
      <c r="H869" s="133"/>
      <c r="I869" s="133"/>
      <c r="J869" s="127"/>
      <c r="K869" s="127"/>
      <c r="L869" s="113"/>
    </row>
    <row r="870">
      <c r="A870" s="128"/>
      <c r="B870" s="128"/>
      <c r="C870" s="129"/>
      <c r="D870" s="131"/>
      <c r="E870" s="131"/>
      <c r="F870" s="132"/>
      <c r="G870" s="132"/>
      <c r="H870" s="133"/>
      <c r="I870" s="133"/>
      <c r="J870" s="127"/>
      <c r="K870" s="127"/>
      <c r="L870" s="113"/>
    </row>
    <row r="871">
      <c r="A871" s="128"/>
      <c r="B871" s="128"/>
      <c r="C871" s="129"/>
      <c r="D871" s="131"/>
      <c r="E871" s="131"/>
      <c r="F871" s="132"/>
      <c r="G871" s="132"/>
      <c r="H871" s="133"/>
      <c r="I871" s="133"/>
      <c r="J871" s="127"/>
      <c r="K871" s="127"/>
      <c r="L871" s="113"/>
    </row>
    <row r="872">
      <c r="A872" s="128"/>
      <c r="B872" s="128"/>
      <c r="C872" s="129"/>
      <c r="D872" s="131"/>
      <c r="E872" s="131"/>
      <c r="F872" s="132"/>
      <c r="G872" s="132"/>
      <c r="H872" s="133"/>
      <c r="I872" s="133"/>
      <c r="J872" s="127"/>
      <c r="K872" s="127"/>
      <c r="L872" s="113"/>
    </row>
    <row r="873">
      <c r="A873" s="128"/>
      <c r="B873" s="128"/>
      <c r="C873" s="129"/>
      <c r="D873" s="131"/>
      <c r="E873" s="131"/>
      <c r="F873" s="132"/>
      <c r="G873" s="132"/>
      <c r="H873" s="133"/>
      <c r="I873" s="133"/>
      <c r="J873" s="127"/>
      <c r="K873" s="127"/>
      <c r="L873" s="113"/>
    </row>
    <row r="874">
      <c r="A874" s="128"/>
      <c r="B874" s="128"/>
      <c r="C874" s="129"/>
      <c r="D874" s="131"/>
      <c r="E874" s="131"/>
      <c r="F874" s="132"/>
      <c r="G874" s="132"/>
      <c r="H874" s="133"/>
      <c r="I874" s="133"/>
      <c r="J874" s="127"/>
      <c r="K874" s="127"/>
      <c r="L874" s="113"/>
    </row>
    <row r="875">
      <c r="A875" s="128"/>
      <c r="B875" s="128"/>
      <c r="C875" s="129"/>
      <c r="D875" s="131"/>
      <c r="E875" s="131"/>
      <c r="F875" s="132"/>
      <c r="G875" s="132"/>
      <c r="H875" s="133"/>
      <c r="I875" s="133"/>
      <c r="J875" s="127"/>
      <c r="K875" s="127"/>
      <c r="L875" s="113"/>
    </row>
    <row r="876">
      <c r="A876" s="128"/>
      <c r="B876" s="128"/>
      <c r="C876" s="129"/>
      <c r="D876" s="131"/>
      <c r="E876" s="131"/>
      <c r="F876" s="132"/>
      <c r="G876" s="132"/>
      <c r="H876" s="133"/>
      <c r="I876" s="133"/>
      <c r="J876" s="127"/>
      <c r="K876" s="127"/>
      <c r="L876" s="113"/>
    </row>
    <row r="877">
      <c r="A877" s="128"/>
      <c r="B877" s="128"/>
      <c r="C877" s="129"/>
      <c r="D877" s="131"/>
      <c r="E877" s="131"/>
      <c r="F877" s="132"/>
      <c r="G877" s="132"/>
      <c r="H877" s="133"/>
      <c r="I877" s="133"/>
      <c r="J877" s="127"/>
      <c r="K877" s="127"/>
      <c r="L877" s="113"/>
    </row>
    <row r="878">
      <c r="A878" s="128"/>
      <c r="B878" s="128"/>
      <c r="C878" s="129"/>
      <c r="D878" s="131"/>
      <c r="E878" s="131"/>
      <c r="F878" s="132"/>
      <c r="G878" s="132"/>
      <c r="H878" s="133"/>
      <c r="I878" s="133"/>
      <c r="J878" s="127"/>
      <c r="K878" s="127"/>
      <c r="L878" s="113"/>
    </row>
    <row r="879">
      <c r="A879" s="128"/>
      <c r="B879" s="128"/>
      <c r="C879" s="129"/>
      <c r="D879" s="131"/>
      <c r="E879" s="131"/>
      <c r="F879" s="132"/>
      <c r="G879" s="132"/>
      <c r="H879" s="133"/>
      <c r="I879" s="133"/>
      <c r="J879" s="127"/>
      <c r="K879" s="127"/>
      <c r="L879" s="113"/>
    </row>
    <row r="880">
      <c r="A880" s="128"/>
      <c r="B880" s="128"/>
      <c r="C880" s="129"/>
      <c r="D880" s="131"/>
      <c r="E880" s="131"/>
      <c r="F880" s="132"/>
      <c r="G880" s="132"/>
      <c r="H880" s="133"/>
      <c r="I880" s="133"/>
      <c r="J880" s="127"/>
      <c r="K880" s="127"/>
      <c r="L880" s="113"/>
    </row>
    <row r="881">
      <c r="A881" s="128"/>
      <c r="B881" s="128"/>
      <c r="C881" s="129"/>
      <c r="D881" s="131"/>
      <c r="E881" s="131"/>
      <c r="F881" s="132"/>
      <c r="G881" s="132"/>
      <c r="H881" s="133"/>
      <c r="I881" s="133"/>
      <c r="J881" s="127"/>
      <c r="K881" s="127"/>
      <c r="L881" s="113"/>
    </row>
    <row r="882">
      <c r="A882" s="128"/>
      <c r="B882" s="128"/>
      <c r="C882" s="129"/>
      <c r="D882" s="131"/>
      <c r="E882" s="131"/>
      <c r="F882" s="132"/>
      <c r="G882" s="132"/>
      <c r="H882" s="133"/>
      <c r="I882" s="133"/>
      <c r="J882" s="127"/>
      <c r="K882" s="127"/>
      <c r="L882" s="113"/>
    </row>
    <row r="883">
      <c r="A883" s="128"/>
      <c r="B883" s="128"/>
      <c r="C883" s="129"/>
      <c r="D883" s="131"/>
      <c r="E883" s="131"/>
      <c r="F883" s="132"/>
      <c r="G883" s="132"/>
      <c r="H883" s="133"/>
      <c r="I883" s="133"/>
      <c r="J883" s="127"/>
      <c r="K883" s="127"/>
      <c r="L883" s="113"/>
    </row>
    <row r="884">
      <c r="A884" s="128"/>
      <c r="B884" s="128"/>
      <c r="C884" s="129"/>
      <c r="D884" s="131"/>
      <c r="E884" s="131"/>
      <c r="F884" s="132"/>
      <c r="G884" s="132"/>
      <c r="H884" s="133"/>
      <c r="I884" s="133"/>
      <c r="J884" s="127"/>
      <c r="K884" s="127"/>
      <c r="L884" s="113"/>
    </row>
    <row r="885">
      <c r="A885" s="128"/>
      <c r="B885" s="128"/>
      <c r="C885" s="129"/>
      <c r="D885" s="131"/>
      <c r="E885" s="131"/>
      <c r="F885" s="132"/>
      <c r="G885" s="132"/>
      <c r="H885" s="133"/>
      <c r="I885" s="133"/>
      <c r="J885" s="127"/>
      <c r="K885" s="127"/>
      <c r="L885" s="113"/>
    </row>
    <row r="886">
      <c r="A886" s="128"/>
      <c r="B886" s="128"/>
      <c r="C886" s="129"/>
      <c r="D886" s="131"/>
      <c r="E886" s="131"/>
      <c r="F886" s="132"/>
      <c r="G886" s="132"/>
      <c r="H886" s="133"/>
      <c r="I886" s="133"/>
      <c r="J886" s="127"/>
      <c r="K886" s="127"/>
      <c r="L886" s="113"/>
    </row>
    <row r="887">
      <c r="A887" s="128"/>
      <c r="B887" s="128"/>
      <c r="C887" s="129"/>
      <c r="D887" s="131"/>
      <c r="E887" s="131"/>
      <c r="F887" s="132"/>
      <c r="G887" s="132"/>
      <c r="H887" s="133"/>
      <c r="I887" s="133"/>
      <c r="J887" s="127"/>
      <c r="K887" s="127"/>
      <c r="L887" s="113"/>
    </row>
    <row r="888">
      <c r="A888" s="128"/>
      <c r="B888" s="128"/>
      <c r="C888" s="129"/>
      <c r="D888" s="131"/>
      <c r="E888" s="131"/>
      <c r="F888" s="132"/>
      <c r="G888" s="132"/>
      <c r="H888" s="133"/>
      <c r="I888" s="133"/>
      <c r="J888" s="127"/>
      <c r="K888" s="127"/>
      <c r="L888" s="113"/>
    </row>
    <row r="889">
      <c r="A889" s="128"/>
      <c r="B889" s="128"/>
      <c r="C889" s="129"/>
      <c r="D889" s="131"/>
      <c r="E889" s="131"/>
      <c r="F889" s="132"/>
      <c r="G889" s="132"/>
      <c r="H889" s="133"/>
      <c r="I889" s="133"/>
      <c r="J889" s="127"/>
      <c r="K889" s="127"/>
      <c r="L889" s="113"/>
    </row>
    <row r="890">
      <c r="A890" s="128"/>
      <c r="B890" s="128"/>
      <c r="C890" s="129"/>
      <c r="D890" s="131"/>
      <c r="E890" s="131"/>
      <c r="F890" s="132"/>
      <c r="G890" s="132"/>
      <c r="H890" s="133"/>
      <c r="I890" s="133"/>
      <c r="J890" s="127"/>
      <c r="K890" s="127"/>
      <c r="L890" s="113"/>
    </row>
    <row r="891">
      <c r="A891" s="128"/>
      <c r="B891" s="128"/>
      <c r="C891" s="129"/>
      <c r="D891" s="131"/>
      <c r="E891" s="131"/>
      <c r="F891" s="132"/>
      <c r="G891" s="132"/>
      <c r="H891" s="133"/>
      <c r="I891" s="133"/>
      <c r="J891" s="127"/>
      <c r="K891" s="127"/>
      <c r="L891" s="113"/>
    </row>
    <row r="892">
      <c r="A892" s="128"/>
      <c r="B892" s="128"/>
      <c r="C892" s="129"/>
      <c r="D892" s="131"/>
      <c r="E892" s="131"/>
      <c r="F892" s="132"/>
      <c r="G892" s="132"/>
      <c r="H892" s="133"/>
      <c r="I892" s="133"/>
      <c r="J892" s="127"/>
      <c r="K892" s="127"/>
      <c r="L892" s="113"/>
    </row>
    <row r="893">
      <c r="A893" s="128"/>
      <c r="B893" s="128"/>
      <c r="C893" s="129"/>
      <c r="D893" s="131"/>
      <c r="E893" s="131"/>
      <c r="F893" s="132"/>
      <c r="G893" s="132"/>
      <c r="H893" s="133"/>
      <c r="I893" s="133"/>
      <c r="J893" s="127"/>
      <c r="K893" s="127"/>
      <c r="L893" s="113"/>
    </row>
    <row r="894">
      <c r="A894" s="128"/>
      <c r="B894" s="128"/>
      <c r="C894" s="129"/>
      <c r="D894" s="131"/>
      <c r="E894" s="131"/>
      <c r="F894" s="132"/>
      <c r="G894" s="132"/>
      <c r="H894" s="133"/>
      <c r="I894" s="133"/>
      <c r="J894" s="127"/>
      <c r="K894" s="127"/>
      <c r="L894" s="113"/>
    </row>
    <row r="895">
      <c r="A895" s="128"/>
      <c r="B895" s="128"/>
      <c r="C895" s="129"/>
      <c r="D895" s="131"/>
      <c r="E895" s="131"/>
      <c r="F895" s="132"/>
      <c r="G895" s="132"/>
      <c r="H895" s="133"/>
      <c r="I895" s="133"/>
      <c r="J895" s="127"/>
      <c r="K895" s="127"/>
      <c r="L895" s="113"/>
    </row>
    <row r="896">
      <c r="A896" s="128"/>
      <c r="B896" s="128"/>
      <c r="C896" s="129"/>
      <c r="D896" s="131"/>
      <c r="E896" s="131"/>
      <c r="F896" s="132"/>
      <c r="G896" s="132"/>
      <c r="H896" s="133"/>
      <c r="I896" s="133"/>
      <c r="J896" s="127"/>
      <c r="K896" s="127"/>
      <c r="L896" s="113"/>
    </row>
    <row r="897">
      <c r="A897" s="128"/>
      <c r="B897" s="128"/>
      <c r="C897" s="129"/>
      <c r="D897" s="131"/>
      <c r="E897" s="131"/>
      <c r="F897" s="132"/>
      <c r="G897" s="132"/>
      <c r="H897" s="133"/>
      <c r="I897" s="133"/>
      <c r="J897" s="127"/>
      <c r="K897" s="127"/>
      <c r="L897" s="113"/>
    </row>
    <row r="898">
      <c r="A898" s="128"/>
      <c r="B898" s="128"/>
      <c r="C898" s="129"/>
      <c r="D898" s="131"/>
      <c r="E898" s="131"/>
      <c r="F898" s="132"/>
      <c r="G898" s="132"/>
      <c r="H898" s="133"/>
      <c r="I898" s="133"/>
      <c r="J898" s="127"/>
      <c r="K898" s="127"/>
      <c r="L898" s="113"/>
    </row>
    <row r="899">
      <c r="A899" s="128"/>
      <c r="B899" s="128"/>
      <c r="C899" s="129"/>
      <c r="D899" s="131"/>
      <c r="E899" s="131"/>
      <c r="F899" s="132"/>
      <c r="G899" s="132"/>
      <c r="H899" s="133"/>
      <c r="I899" s="133"/>
      <c r="J899" s="127"/>
      <c r="K899" s="127"/>
      <c r="L899" s="113"/>
    </row>
    <row r="900">
      <c r="A900" s="128"/>
      <c r="B900" s="128"/>
      <c r="C900" s="129"/>
      <c r="D900" s="131"/>
      <c r="E900" s="131"/>
      <c r="F900" s="132"/>
      <c r="G900" s="132"/>
      <c r="H900" s="133"/>
      <c r="I900" s="133"/>
      <c r="J900" s="127"/>
      <c r="K900" s="127"/>
      <c r="L900" s="113"/>
    </row>
    <row r="901">
      <c r="A901" s="128"/>
      <c r="B901" s="128"/>
      <c r="C901" s="129"/>
      <c r="D901" s="131"/>
      <c r="E901" s="131"/>
      <c r="F901" s="132"/>
      <c r="G901" s="132"/>
      <c r="H901" s="133"/>
      <c r="I901" s="133"/>
      <c r="J901" s="127"/>
      <c r="K901" s="127"/>
      <c r="L901" s="113"/>
    </row>
    <row r="902">
      <c r="A902" s="128"/>
      <c r="B902" s="128"/>
      <c r="C902" s="129"/>
      <c r="D902" s="131"/>
      <c r="E902" s="131"/>
      <c r="F902" s="132"/>
      <c r="G902" s="132"/>
      <c r="H902" s="133"/>
      <c r="I902" s="133"/>
      <c r="J902" s="127"/>
      <c r="K902" s="127"/>
      <c r="L902" s="113"/>
    </row>
    <row r="903">
      <c r="A903" s="128"/>
      <c r="B903" s="128"/>
      <c r="C903" s="129"/>
      <c r="D903" s="131"/>
      <c r="E903" s="131"/>
      <c r="F903" s="132"/>
      <c r="G903" s="132"/>
      <c r="H903" s="133"/>
      <c r="I903" s="133"/>
      <c r="J903" s="127"/>
      <c r="K903" s="127"/>
      <c r="L903" s="113"/>
    </row>
    <row r="904">
      <c r="A904" s="128"/>
      <c r="B904" s="128"/>
      <c r="C904" s="129"/>
      <c r="D904" s="131"/>
      <c r="E904" s="131"/>
      <c r="F904" s="132"/>
      <c r="G904" s="132"/>
      <c r="H904" s="133"/>
      <c r="I904" s="133"/>
      <c r="J904" s="127"/>
      <c r="K904" s="127"/>
      <c r="L904" s="113"/>
    </row>
    <row r="905">
      <c r="A905" s="128"/>
      <c r="B905" s="128"/>
      <c r="C905" s="129"/>
      <c r="D905" s="131"/>
      <c r="E905" s="131"/>
      <c r="F905" s="132"/>
      <c r="G905" s="132"/>
      <c r="H905" s="133"/>
      <c r="I905" s="133"/>
      <c r="J905" s="127"/>
      <c r="K905" s="127"/>
      <c r="L905" s="113"/>
    </row>
    <row r="906">
      <c r="A906" s="128"/>
      <c r="B906" s="128"/>
      <c r="C906" s="129"/>
      <c r="D906" s="131"/>
      <c r="E906" s="131"/>
      <c r="F906" s="132"/>
      <c r="G906" s="132"/>
      <c r="H906" s="133"/>
      <c r="I906" s="133"/>
      <c r="J906" s="127"/>
      <c r="K906" s="127"/>
      <c r="L906" s="113"/>
    </row>
    <row r="907">
      <c r="A907" s="128"/>
      <c r="B907" s="128"/>
      <c r="C907" s="129"/>
      <c r="D907" s="131"/>
      <c r="E907" s="131"/>
      <c r="F907" s="132"/>
      <c r="G907" s="132"/>
      <c r="H907" s="133"/>
      <c r="I907" s="133"/>
      <c r="J907" s="127"/>
      <c r="K907" s="127"/>
      <c r="L907" s="113"/>
    </row>
    <row r="908">
      <c r="A908" s="128"/>
      <c r="B908" s="128"/>
      <c r="C908" s="129"/>
      <c r="D908" s="131"/>
      <c r="E908" s="131"/>
      <c r="F908" s="132"/>
      <c r="G908" s="132"/>
      <c r="H908" s="133"/>
      <c r="I908" s="133"/>
      <c r="J908" s="127"/>
      <c r="K908" s="127"/>
      <c r="L908" s="113"/>
    </row>
    <row r="909">
      <c r="A909" s="128"/>
      <c r="B909" s="128"/>
      <c r="C909" s="129"/>
      <c r="D909" s="131"/>
      <c r="E909" s="131"/>
      <c r="F909" s="132"/>
      <c r="G909" s="132"/>
      <c r="H909" s="133"/>
      <c r="I909" s="133"/>
      <c r="J909" s="127"/>
      <c r="K909" s="127"/>
      <c r="L909" s="113"/>
    </row>
    <row r="910">
      <c r="A910" s="128"/>
      <c r="B910" s="128"/>
      <c r="C910" s="129"/>
      <c r="D910" s="131"/>
      <c r="E910" s="131"/>
      <c r="F910" s="132"/>
      <c r="G910" s="132"/>
      <c r="H910" s="133"/>
      <c r="I910" s="133"/>
      <c r="J910" s="127"/>
      <c r="K910" s="127"/>
      <c r="L910" s="113"/>
    </row>
    <row r="911">
      <c r="A911" s="128"/>
      <c r="B911" s="128"/>
      <c r="C911" s="129"/>
      <c r="D911" s="131"/>
      <c r="E911" s="131"/>
      <c r="F911" s="132"/>
      <c r="G911" s="132"/>
      <c r="H911" s="133"/>
      <c r="I911" s="133"/>
      <c r="J911" s="127"/>
      <c r="K911" s="127"/>
      <c r="L911" s="113"/>
    </row>
    <row r="912">
      <c r="A912" s="128"/>
      <c r="B912" s="128"/>
      <c r="C912" s="129"/>
      <c r="D912" s="131"/>
      <c r="E912" s="131"/>
      <c r="F912" s="132"/>
      <c r="G912" s="132"/>
      <c r="H912" s="133"/>
      <c r="I912" s="133"/>
      <c r="J912" s="127"/>
      <c r="K912" s="127"/>
      <c r="L912" s="113"/>
    </row>
    <row r="913">
      <c r="A913" s="128"/>
      <c r="B913" s="128"/>
      <c r="C913" s="129"/>
      <c r="D913" s="131"/>
      <c r="E913" s="131"/>
      <c r="F913" s="132"/>
      <c r="G913" s="132"/>
      <c r="H913" s="133"/>
      <c r="I913" s="133"/>
      <c r="J913" s="127"/>
      <c r="K913" s="127"/>
      <c r="L913" s="113"/>
    </row>
    <row r="914">
      <c r="A914" s="128"/>
      <c r="B914" s="128"/>
      <c r="C914" s="129"/>
      <c r="D914" s="131"/>
      <c r="E914" s="131"/>
      <c r="F914" s="132"/>
      <c r="G914" s="132"/>
      <c r="H914" s="133"/>
      <c r="I914" s="133"/>
      <c r="J914" s="127"/>
      <c r="K914" s="127"/>
      <c r="L914" s="113"/>
    </row>
    <row r="915">
      <c r="A915" s="128"/>
      <c r="B915" s="128"/>
      <c r="C915" s="129"/>
      <c r="D915" s="131"/>
      <c r="E915" s="131"/>
      <c r="F915" s="132"/>
      <c r="G915" s="132"/>
      <c r="H915" s="133"/>
      <c r="I915" s="133"/>
      <c r="J915" s="127"/>
      <c r="K915" s="127"/>
      <c r="L915" s="113"/>
    </row>
    <row r="916">
      <c r="A916" s="128"/>
      <c r="B916" s="128"/>
      <c r="C916" s="129"/>
      <c r="D916" s="131"/>
      <c r="E916" s="131"/>
      <c r="F916" s="132"/>
      <c r="G916" s="132"/>
      <c r="H916" s="133"/>
      <c r="I916" s="133"/>
      <c r="J916" s="127"/>
      <c r="K916" s="127"/>
      <c r="L916" s="113"/>
    </row>
    <row r="917">
      <c r="A917" s="128"/>
      <c r="B917" s="128"/>
      <c r="C917" s="129"/>
      <c r="D917" s="131"/>
      <c r="E917" s="131"/>
      <c r="F917" s="132"/>
      <c r="G917" s="132"/>
      <c r="H917" s="133"/>
      <c r="I917" s="133"/>
      <c r="J917" s="127"/>
      <c r="K917" s="127"/>
      <c r="L917" s="113"/>
    </row>
    <row r="918">
      <c r="A918" s="128"/>
      <c r="B918" s="128"/>
      <c r="C918" s="129"/>
      <c r="D918" s="131"/>
      <c r="E918" s="131"/>
      <c r="F918" s="132"/>
      <c r="G918" s="132"/>
      <c r="H918" s="133"/>
      <c r="I918" s="133"/>
      <c r="J918" s="127"/>
      <c r="K918" s="127"/>
      <c r="L918" s="113"/>
    </row>
    <row r="919">
      <c r="A919" s="128"/>
      <c r="B919" s="128"/>
      <c r="C919" s="129"/>
      <c r="D919" s="131"/>
      <c r="E919" s="131"/>
      <c r="F919" s="132"/>
      <c r="G919" s="132"/>
      <c r="H919" s="133"/>
      <c r="I919" s="133"/>
      <c r="J919" s="127"/>
      <c r="K919" s="127"/>
      <c r="L919" s="113"/>
    </row>
    <row r="920">
      <c r="A920" s="128"/>
      <c r="B920" s="128"/>
      <c r="C920" s="129"/>
      <c r="D920" s="131"/>
      <c r="E920" s="131"/>
      <c r="F920" s="132"/>
      <c r="G920" s="132"/>
      <c r="H920" s="133"/>
      <c r="I920" s="133"/>
      <c r="J920" s="127"/>
      <c r="K920" s="127"/>
      <c r="L920" s="113"/>
    </row>
    <row r="921">
      <c r="A921" s="128"/>
      <c r="B921" s="128"/>
      <c r="C921" s="129"/>
      <c r="D921" s="131"/>
      <c r="E921" s="131"/>
      <c r="F921" s="132"/>
      <c r="G921" s="132"/>
      <c r="H921" s="133"/>
      <c r="I921" s="133"/>
      <c r="J921" s="127"/>
      <c r="K921" s="127"/>
      <c r="L921" s="113"/>
    </row>
    <row r="922">
      <c r="A922" s="128"/>
      <c r="B922" s="128"/>
      <c r="C922" s="129"/>
      <c r="D922" s="131"/>
      <c r="E922" s="131"/>
      <c r="F922" s="132"/>
      <c r="G922" s="132"/>
      <c r="H922" s="133"/>
      <c r="I922" s="133"/>
      <c r="J922" s="127"/>
      <c r="K922" s="127"/>
      <c r="L922" s="113"/>
    </row>
    <row r="923">
      <c r="A923" s="128"/>
      <c r="B923" s="128"/>
      <c r="C923" s="129"/>
      <c r="D923" s="131"/>
      <c r="E923" s="131"/>
      <c r="F923" s="132"/>
      <c r="G923" s="132"/>
      <c r="H923" s="133"/>
      <c r="I923" s="133"/>
      <c r="J923" s="127"/>
      <c r="K923" s="127"/>
      <c r="L923" s="113"/>
    </row>
    <row r="924">
      <c r="A924" s="128"/>
      <c r="B924" s="128"/>
      <c r="C924" s="129"/>
      <c r="D924" s="131"/>
      <c r="E924" s="131"/>
      <c r="F924" s="132"/>
      <c r="G924" s="132"/>
      <c r="H924" s="133"/>
      <c r="I924" s="133"/>
      <c r="J924" s="127"/>
      <c r="K924" s="127"/>
      <c r="L924" s="113"/>
    </row>
    <row r="925">
      <c r="A925" s="128"/>
      <c r="B925" s="128"/>
      <c r="C925" s="129"/>
      <c r="D925" s="131"/>
      <c r="E925" s="131"/>
      <c r="F925" s="132"/>
      <c r="G925" s="132"/>
      <c r="H925" s="133"/>
      <c r="I925" s="133"/>
      <c r="J925" s="127"/>
      <c r="K925" s="127"/>
      <c r="L925" s="113"/>
    </row>
    <row r="926">
      <c r="A926" s="128"/>
      <c r="B926" s="128"/>
      <c r="C926" s="129"/>
      <c r="D926" s="131"/>
      <c r="E926" s="131"/>
      <c r="F926" s="132"/>
      <c r="G926" s="132"/>
      <c r="H926" s="133"/>
      <c r="I926" s="133"/>
      <c r="J926" s="127"/>
      <c r="K926" s="127"/>
      <c r="L926" s="113"/>
    </row>
    <row r="927">
      <c r="A927" s="128"/>
      <c r="B927" s="128"/>
      <c r="C927" s="129"/>
      <c r="D927" s="131"/>
      <c r="E927" s="131"/>
      <c r="F927" s="132"/>
      <c r="G927" s="132"/>
      <c r="H927" s="133"/>
      <c r="I927" s="133"/>
      <c r="J927" s="127"/>
      <c r="K927" s="127"/>
      <c r="L927" s="113"/>
    </row>
    <row r="928">
      <c r="A928" s="128"/>
      <c r="B928" s="128"/>
      <c r="C928" s="129"/>
      <c r="D928" s="131"/>
      <c r="E928" s="131"/>
      <c r="F928" s="132"/>
      <c r="G928" s="132"/>
      <c r="H928" s="133"/>
      <c r="I928" s="133"/>
      <c r="J928" s="127"/>
      <c r="K928" s="127"/>
      <c r="L928" s="113"/>
    </row>
    <row r="929">
      <c r="A929" s="128"/>
      <c r="B929" s="128"/>
      <c r="C929" s="129"/>
      <c r="D929" s="131"/>
      <c r="E929" s="131"/>
      <c r="F929" s="132"/>
      <c r="G929" s="132"/>
      <c r="H929" s="133"/>
      <c r="I929" s="133"/>
      <c r="J929" s="127"/>
      <c r="K929" s="127"/>
      <c r="L929" s="113"/>
    </row>
    <row r="930">
      <c r="A930" s="128"/>
      <c r="B930" s="128"/>
      <c r="C930" s="129"/>
      <c r="D930" s="131"/>
      <c r="E930" s="131"/>
      <c r="F930" s="132"/>
      <c r="G930" s="132"/>
      <c r="H930" s="133"/>
      <c r="I930" s="133"/>
      <c r="J930" s="127"/>
      <c r="K930" s="127"/>
      <c r="L930" s="113"/>
    </row>
    <row r="931">
      <c r="A931" s="128"/>
      <c r="B931" s="128"/>
      <c r="C931" s="129"/>
      <c r="D931" s="131"/>
      <c r="E931" s="131"/>
      <c r="F931" s="132"/>
      <c r="G931" s="132"/>
      <c r="H931" s="133"/>
      <c r="I931" s="133"/>
      <c r="J931" s="127"/>
      <c r="K931" s="127"/>
      <c r="L931" s="113"/>
    </row>
    <row r="932">
      <c r="A932" s="128"/>
      <c r="B932" s="128"/>
      <c r="C932" s="129"/>
      <c r="D932" s="131"/>
      <c r="E932" s="131"/>
      <c r="F932" s="132"/>
      <c r="G932" s="132"/>
      <c r="H932" s="133"/>
      <c r="I932" s="133"/>
      <c r="J932" s="127"/>
      <c r="K932" s="127"/>
      <c r="L932" s="113"/>
    </row>
    <row r="933">
      <c r="A933" s="128"/>
      <c r="B933" s="128"/>
      <c r="C933" s="129"/>
      <c r="D933" s="131"/>
      <c r="E933" s="131"/>
      <c r="F933" s="132"/>
      <c r="G933" s="132"/>
      <c r="H933" s="133"/>
      <c r="I933" s="133"/>
      <c r="J933" s="127"/>
      <c r="K933" s="127"/>
      <c r="L933" s="113"/>
    </row>
    <row r="934">
      <c r="A934" s="128"/>
      <c r="B934" s="128"/>
      <c r="C934" s="129"/>
      <c r="D934" s="131"/>
      <c r="E934" s="131"/>
      <c r="F934" s="132"/>
      <c r="G934" s="132"/>
      <c r="H934" s="133"/>
      <c r="I934" s="133"/>
      <c r="J934" s="127"/>
      <c r="K934" s="127"/>
      <c r="L934" s="113"/>
    </row>
    <row r="935">
      <c r="A935" s="128"/>
      <c r="B935" s="128"/>
      <c r="C935" s="129"/>
      <c r="D935" s="131"/>
      <c r="E935" s="131"/>
      <c r="F935" s="132"/>
      <c r="G935" s="132"/>
      <c r="H935" s="133"/>
      <c r="I935" s="133"/>
      <c r="J935" s="127"/>
      <c r="K935" s="127"/>
      <c r="L935" s="113"/>
    </row>
    <row r="936">
      <c r="A936" s="128"/>
      <c r="B936" s="128"/>
      <c r="C936" s="129"/>
      <c r="D936" s="131"/>
      <c r="E936" s="131"/>
      <c r="F936" s="132"/>
      <c r="G936" s="132"/>
      <c r="H936" s="133"/>
      <c r="I936" s="133"/>
      <c r="J936" s="127"/>
      <c r="K936" s="127"/>
      <c r="L936" s="113"/>
    </row>
    <row r="937">
      <c r="A937" s="128"/>
      <c r="B937" s="128"/>
      <c r="C937" s="129"/>
      <c r="D937" s="131"/>
      <c r="E937" s="131"/>
      <c r="F937" s="132"/>
      <c r="G937" s="132"/>
      <c r="H937" s="133"/>
      <c r="I937" s="133"/>
      <c r="J937" s="127"/>
      <c r="K937" s="127"/>
      <c r="L937" s="113"/>
    </row>
    <row r="938">
      <c r="A938" s="128"/>
      <c r="B938" s="128"/>
      <c r="C938" s="129"/>
      <c r="D938" s="131"/>
      <c r="E938" s="131"/>
      <c r="F938" s="132"/>
      <c r="G938" s="132"/>
      <c r="H938" s="133"/>
      <c r="I938" s="133"/>
      <c r="J938" s="127"/>
      <c r="K938" s="127"/>
      <c r="L938" s="113"/>
    </row>
    <row r="939">
      <c r="A939" s="128"/>
      <c r="B939" s="128"/>
      <c r="C939" s="129"/>
      <c r="D939" s="131"/>
      <c r="E939" s="131"/>
      <c r="F939" s="132"/>
      <c r="G939" s="132"/>
      <c r="H939" s="133"/>
      <c r="I939" s="133"/>
      <c r="J939" s="127"/>
      <c r="K939" s="127"/>
      <c r="L939" s="113"/>
    </row>
    <row r="940">
      <c r="A940" s="128"/>
      <c r="B940" s="128"/>
      <c r="C940" s="129"/>
      <c r="D940" s="131"/>
      <c r="E940" s="131"/>
      <c r="F940" s="132"/>
      <c r="G940" s="132"/>
      <c r="H940" s="133"/>
      <c r="I940" s="133"/>
      <c r="J940" s="127"/>
      <c r="K940" s="127"/>
      <c r="L940" s="113"/>
    </row>
    <row r="941">
      <c r="A941" s="128"/>
      <c r="B941" s="128"/>
      <c r="C941" s="129"/>
      <c r="D941" s="131"/>
      <c r="E941" s="131"/>
      <c r="F941" s="132"/>
      <c r="G941" s="132"/>
      <c r="H941" s="133"/>
      <c r="I941" s="133"/>
      <c r="J941" s="127"/>
      <c r="K941" s="127"/>
      <c r="L941" s="113"/>
    </row>
    <row r="942">
      <c r="A942" s="128"/>
      <c r="B942" s="128"/>
      <c r="C942" s="129"/>
      <c r="D942" s="131"/>
      <c r="E942" s="131"/>
      <c r="F942" s="132"/>
      <c r="G942" s="132"/>
      <c r="H942" s="133"/>
      <c r="I942" s="133"/>
      <c r="J942" s="127"/>
      <c r="K942" s="127"/>
      <c r="L942" s="113"/>
    </row>
    <row r="943">
      <c r="A943" s="128"/>
      <c r="B943" s="128"/>
      <c r="C943" s="129"/>
      <c r="D943" s="131"/>
      <c r="E943" s="131"/>
      <c r="F943" s="132"/>
      <c r="G943" s="132"/>
      <c r="H943" s="133"/>
      <c r="I943" s="133"/>
      <c r="J943" s="127"/>
      <c r="K943" s="127"/>
      <c r="L943" s="113"/>
    </row>
    <row r="944">
      <c r="A944" s="128"/>
      <c r="B944" s="128"/>
      <c r="C944" s="129"/>
      <c r="D944" s="131"/>
      <c r="E944" s="131"/>
      <c r="F944" s="132"/>
      <c r="G944" s="132"/>
      <c r="H944" s="133"/>
      <c r="I944" s="133"/>
      <c r="J944" s="127"/>
      <c r="K944" s="127"/>
      <c r="L944" s="113"/>
    </row>
    <row r="945">
      <c r="A945" s="128"/>
      <c r="B945" s="128"/>
      <c r="C945" s="129"/>
      <c r="D945" s="131"/>
      <c r="E945" s="131"/>
      <c r="F945" s="132"/>
      <c r="G945" s="132"/>
      <c r="H945" s="133"/>
      <c r="I945" s="133"/>
      <c r="J945" s="127"/>
      <c r="K945" s="127"/>
      <c r="L945" s="113"/>
    </row>
    <row r="946">
      <c r="A946" s="128"/>
      <c r="B946" s="128"/>
      <c r="C946" s="129"/>
      <c r="D946" s="131"/>
      <c r="E946" s="131"/>
      <c r="F946" s="132"/>
      <c r="G946" s="132"/>
      <c r="H946" s="133"/>
      <c r="I946" s="133"/>
      <c r="J946" s="127"/>
      <c r="K946" s="127"/>
      <c r="L946" s="113"/>
    </row>
    <row r="947">
      <c r="A947" s="128"/>
      <c r="B947" s="128"/>
      <c r="C947" s="129"/>
      <c r="D947" s="131"/>
      <c r="E947" s="131"/>
      <c r="F947" s="132"/>
      <c r="G947" s="132"/>
      <c r="H947" s="133"/>
      <c r="I947" s="133"/>
      <c r="J947" s="127"/>
      <c r="K947" s="127"/>
      <c r="L947" s="113"/>
    </row>
    <row r="948">
      <c r="A948" s="128"/>
      <c r="B948" s="128"/>
      <c r="C948" s="129"/>
      <c r="D948" s="131"/>
      <c r="E948" s="131"/>
      <c r="F948" s="132"/>
      <c r="G948" s="132"/>
      <c r="H948" s="133"/>
      <c r="I948" s="133"/>
      <c r="J948" s="127"/>
      <c r="K948" s="127"/>
      <c r="L948" s="113"/>
    </row>
    <row r="949">
      <c r="A949" s="128"/>
      <c r="B949" s="128"/>
      <c r="C949" s="129"/>
      <c r="D949" s="131"/>
      <c r="E949" s="131"/>
      <c r="F949" s="132"/>
      <c r="G949" s="132"/>
      <c r="H949" s="133"/>
      <c r="I949" s="133"/>
      <c r="J949" s="127"/>
      <c r="K949" s="127"/>
      <c r="L949" s="113"/>
    </row>
    <row r="950">
      <c r="A950" s="128"/>
      <c r="B950" s="128"/>
      <c r="C950" s="129"/>
      <c r="D950" s="131"/>
      <c r="E950" s="131"/>
      <c r="F950" s="132"/>
      <c r="G950" s="132"/>
      <c r="H950" s="133"/>
      <c r="I950" s="133"/>
      <c r="J950" s="127"/>
      <c r="K950" s="127"/>
      <c r="L950" s="113"/>
    </row>
    <row r="951">
      <c r="A951" s="128"/>
      <c r="B951" s="128"/>
      <c r="C951" s="129"/>
      <c r="D951" s="131"/>
      <c r="E951" s="131"/>
      <c r="F951" s="132"/>
      <c r="G951" s="132"/>
      <c r="H951" s="133"/>
      <c r="I951" s="133"/>
      <c r="J951" s="127"/>
      <c r="K951" s="127"/>
      <c r="L951" s="113"/>
    </row>
    <row r="952">
      <c r="A952" s="128"/>
      <c r="B952" s="128"/>
      <c r="C952" s="129"/>
      <c r="D952" s="131"/>
      <c r="E952" s="131"/>
      <c r="F952" s="132"/>
      <c r="G952" s="132"/>
      <c r="H952" s="133"/>
      <c r="I952" s="133"/>
      <c r="J952" s="127"/>
      <c r="K952" s="127"/>
      <c r="L952" s="113"/>
    </row>
    <row r="953">
      <c r="A953" s="128"/>
      <c r="B953" s="128"/>
      <c r="C953" s="129"/>
      <c r="D953" s="131"/>
      <c r="E953" s="131"/>
      <c r="F953" s="132"/>
      <c r="G953" s="132"/>
      <c r="H953" s="133"/>
      <c r="I953" s="133"/>
      <c r="J953" s="127"/>
      <c r="K953" s="127"/>
      <c r="L953" s="113"/>
    </row>
    <row r="954">
      <c r="A954" s="128"/>
      <c r="B954" s="128"/>
      <c r="C954" s="129"/>
      <c r="D954" s="131"/>
      <c r="E954" s="131"/>
      <c r="F954" s="132"/>
      <c r="G954" s="132"/>
      <c r="H954" s="133"/>
      <c r="I954" s="133"/>
      <c r="J954" s="127"/>
      <c r="K954" s="127"/>
      <c r="L954" s="113"/>
    </row>
    <row r="955">
      <c r="A955" s="128"/>
      <c r="B955" s="128"/>
      <c r="C955" s="129"/>
      <c r="D955" s="131"/>
      <c r="E955" s="131"/>
      <c r="F955" s="132"/>
      <c r="G955" s="132"/>
      <c r="H955" s="133"/>
      <c r="I955" s="133"/>
      <c r="J955" s="127"/>
      <c r="K955" s="127"/>
      <c r="L955" s="113"/>
    </row>
    <row r="956">
      <c r="A956" s="128"/>
      <c r="B956" s="128"/>
      <c r="C956" s="129"/>
      <c r="D956" s="131"/>
      <c r="E956" s="131"/>
      <c r="F956" s="132"/>
      <c r="G956" s="132"/>
      <c r="H956" s="133"/>
      <c r="I956" s="133"/>
      <c r="J956" s="127"/>
      <c r="K956" s="127"/>
      <c r="L956" s="113"/>
    </row>
    <row r="957">
      <c r="A957" s="128"/>
      <c r="B957" s="128"/>
      <c r="C957" s="129"/>
      <c r="D957" s="131"/>
      <c r="E957" s="131"/>
      <c r="F957" s="132"/>
      <c r="G957" s="132"/>
      <c r="H957" s="133"/>
      <c r="I957" s="133"/>
      <c r="J957" s="127"/>
      <c r="K957" s="127"/>
      <c r="L957" s="113"/>
    </row>
    <row r="958">
      <c r="A958" s="128"/>
      <c r="B958" s="128"/>
      <c r="C958" s="129"/>
      <c r="D958" s="131"/>
      <c r="E958" s="131"/>
      <c r="F958" s="132"/>
      <c r="G958" s="132"/>
      <c r="H958" s="133"/>
      <c r="I958" s="133"/>
      <c r="J958" s="127"/>
      <c r="K958" s="127"/>
      <c r="L958" s="113"/>
    </row>
    <row r="959">
      <c r="A959" s="128"/>
      <c r="B959" s="128"/>
      <c r="C959" s="129"/>
      <c r="D959" s="131"/>
      <c r="E959" s="131"/>
      <c r="F959" s="132"/>
      <c r="G959" s="132"/>
      <c r="H959" s="133"/>
      <c r="I959" s="133"/>
      <c r="J959" s="127"/>
      <c r="K959" s="127"/>
      <c r="L959" s="113"/>
    </row>
    <row r="960">
      <c r="A960" s="128"/>
      <c r="B960" s="128"/>
      <c r="C960" s="129"/>
      <c r="D960" s="131"/>
      <c r="E960" s="131"/>
      <c r="F960" s="132"/>
      <c r="G960" s="132"/>
      <c r="H960" s="133"/>
      <c r="I960" s="133"/>
      <c r="J960" s="127"/>
      <c r="K960" s="127"/>
      <c r="L960" s="113"/>
    </row>
    <row r="961">
      <c r="A961" s="128"/>
      <c r="B961" s="128"/>
      <c r="C961" s="129"/>
      <c r="D961" s="131"/>
      <c r="E961" s="131"/>
      <c r="F961" s="132"/>
      <c r="G961" s="132"/>
      <c r="H961" s="133"/>
      <c r="I961" s="133"/>
      <c r="J961" s="127"/>
      <c r="K961" s="127"/>
      <c r="L961" s="113"/>
    </row>
    <row r="962">
      <c r="A962" s="128"/>
      <c r="B962" s="128"/>
      <c r="C962" s="129"/>
      <c r="D962" s="131"/>
      <c r="E962" s="131"/>
      <c r="F962" s="132"/>
      <c r="G962" s="132"/>
      <c r="H962" s="133"/>
      <c r="I962" s="133"/>
      <c r="J962" s="127"/>
      <c r="K962" s="127"/>
      <c r="L962" s="113"/>
    </row>
    <row r="963">
      <c r="A963" s="128"/>
      <c r="B963" s="128"/>
      <c r="C963" s="129"/>
      <c r="D963" s="131"/>
      <c r="E963" s="131"/>
      <c r="F963" s="132"/>
      <c r="G963" s="132"/>
      <c r="H963" s="133"/>
      <c r="I963" s="133"/>
      <c r="J963" s="127"/>
      <c r="K963" s="127"/>
      <c r="L963" s="113"/>
    </row>
    <row r="964">
      <c r="A964" s="128"/>
      <c r="B964" s="128"/>
      <c r="C964" s="129"/>
      <c r="D964" s="131"/>
      <c r="E964" s="131"/>
      <c r="F964" s="132"/>
      <c r="G964" s="132"/>
      <c r="H964" s="133"/>
      <c r="I964" s="133"/>
      <c r="J964" s="127"/>
      <c r="K964" s="127"/>
      <c r="L964" s="113"/>
    </row>
    <row r="965">
      <c r="A965" s="128"/>
      <c r="B965" s="128"/>
      <c r="C965" s="129"/>
      <c r="D965" s="131"/>
      <c r="E965" s="131"/>
      <c r="F965" s="132"/>
      <c r="G965" s="132"/>
      <c r="H965" s="133"/>
      <c r="I965" s="133"/>
      <c r="J965" s="127"/>
      <c r="K965" s="127"/>
      <c r="L965" s="113"/>
    </row>
    <row r="966">
      <c r="A966" s="128"/>
      <c r="B966" s="128"/>
      <c r="C966" s="129"/>
      <c r="D966" s="131"/>
      <c r="E966" s="131"/>
      <c r="F966" s="132"/>
      <c r="G966" s="132"/>
      <c r="H966" s="133"/>
      <c r="I966" s="133"/>
      <c r="J966" s="127"/>
      <c r="K966" s="127"/>
      <c r="L966" s="113"/>
    </row>
    <row r="967">
      <c r="A967" s="128"/>
      <c r="B967" s="128"/>
      <c r="C967" s="129"/>
      <c r="D967" s="131"/>
      <c r="E967" s="131"/>
      <c r="F967" s="132"/>
      <c r="G967" s="132"/>
      <c r="H967" s="133"/>
      <c r="I967" s="133"/>
      <c r="J967" s="127"/>
      <c r="K967" s="127"/>
      <c r="L967" s="113"/>
    </row>
    <row r="968">
      <c r="A968" s="128"/>
      <c r="B968" s="128"/>
      <c r="C968" s="129"/>
      <c r="D968" s="131"/>
      <c r="E968" s="131"/>
      <c r="F968" s="132"/>
      <c r="G968" s="132"/>
      <c r="H968" s="133"/>
      <c r="I968" s="133"/>
      <c r="J968" s="127"/>
      <c r="K968" s="127"/>
      <c r="L968" s="113"/>
    </row>
    <row r="969">
      <c r="A969" s="128"/>
      <c r="B969" s="128"/>
      <c r="C969" s="129"/>
      <c r="D969" s="131"/>
      <c r="E969" s="131"/>
      <c r="F969" s="132"/>
      <c r="G969" s="132"/>
      <c r="H969" s="133"/>
      <c r="I969" s="133"/>
      <c r="J969" s="127"/>
      <c r="K969" s="127"/>
      <c r="L969" s="113"/>
    </row>
    <row r="970">
      <c r="A970" s="128"/>
      <c r="B970" s="128"/>
      <c r="C970" s="129"/>
      <c r="D970" s="131"/>
      <c r="E970" s="131"/>
      <c r="F970" s="132"/>
      <c r="G970" s="132"/>
      <c r="H970" s="133"/>
      <c r="I970" s="133"/>
      <c r="J970" s="127"/>
      <c r="K970" s="127"/>
      <c r="L970" s="113"/>
    </row>
    <row r="971">
      <c r="A971" s="128"/>
      <c r="B971" s="128"/>
      <c r="C971" s="129"/>
      <c r="D971" s="131"/>
      <c r="E971" s="131"/>
      <c r="F971" s="132"/>
      <c r="G971" s="132"/>
      <c r="H971" s="133"/>
      <c r="I971" s="133"/>
      <c r="J971" s="127"/>
      <c r="K971" s="127"/>
      <c r="L971" s="113"/>
    </row>
    <row r="972">
      <c r="A972" s="128"/>
      <c r="B972" s="128"/>
      <c r="C972" s="129"/>
      <c r="D972" s="131"/>
      <c r="E972" s="131"/>
      <c r="F972" s="132"/>
      <c r="G972" s="132"/>
      <c r="H972" s="133"/>
      <c r="I972" s="133"/>
      <c r="J972" s="127"/>
      <c r="K972" s="127"/>
      <c r="L972" s="113"/>
    </row>
    <row r="973">
      <c r="A973" s="128"/>
      <c r="B973" s="128"/>
      <c r="C973" s="129"/>
      <c r="D973" s="131"/>
      <c r="E973" s="131"/>
      <c r="F973" s="132"/>
      <c r="G973" s="132"/>
      <c r="H973" s="133"/>
      <c r="I973" s="133"/>
      <c r="J973" s="127"/>
      <c r="K973" s="127"/>
      <c r="L973" s="113"/>
    </row>
    <row r="974">
      <c r="A974" s="128"/>
      <c r="B974" s="128"/>
      <c r="C974" s="129"/>
      <c r="D974" s="131"/>
      <c r="E974" s="131"/>
      <c r="F974" s="132"/>
      <c r="G974" s="132"/>
      <c r="H974" s="133"/>
      <c r="I974" s="133"/>
      <c r="J974" s="127"/>
      <c r="K974" s="127"/>
      <c r="L974" s="113"/>
    </row>
    <row r="975">
      <c r="A975" s="128"/>
      <c r="B975" s="128"/>
      <c r="C975" s="129"/>
      <c r="D975" s="131"/>
      <c r="E975" s="131"/>
      <c r="F975" s="132"/>
      <c r="G975" s="132"/>
      <c r="H975" s="133"/>
      <c r="I975" s="133"/>
      <c r="J975" s="127"/>
      <c r="K975" s="127"/>
      <c r="L975" s="113"/>
    </row>
    <row r="976">
      <c r="A976" s="128"/>
      <c r="B976" s="128"/>
      <c r="C976" s="129"/>
      <c r="D976" s="131"/>
      <c r="E976" s="131"/>
      <c r="F976" s="132"/>
      <c r="G976" s="132"/>
      <c r="H976" s="133"/>
      <c r="I976" s="133"/>
      <c r="J976" s="127"/>
      <c r="K976" s="127"/>
      <c r="L976" s="113"/>
    </row>
    <row r="977">
      <c r="A977" s="128"/>
      <c r="B977" s="128"/>
      <c r="C977" s="129"/>
      <c r="D977" s="131"/>
      <c r="E977" s="131"/>
      <c r="F977" s="132"/>
      <c r="G977" s="132"/>
      <c r="H977" s="133"/>
      <c r="I977" s="133"/>
      <c r="J977" s="127"/>
      <c r="K977" s="127"/>
      <c r="L977" s="113"/>
    </row>
    <row r="978">
      <c r="A978" s="128"/>
      <c r="B978" s="128"/>
      <c r="C978" s="129"/>
      <c r="D978" s="131"/>
      <c r="E978" s="131"/>
      <c r="F978" s="132"/>
      <c r="G978" s="132"/>
      <c r="H978" s="133"/>
      <c r="I978" s="133"/>
      <c r="J978" s="127"/>
      <c r="K978" s="127"/>
      <c r="L978" s="113"/>
    </row>
    <row r="979">
      <c r="A979" s="128"/>
      <c r="B979" s="128"/>
      <c r="C979" s="129"/>
      <c r="D979" s="131"/>
      <c r="E979" s="131"/>
      <c r="F979" s="132"/>
      <c r="G979" s="132"/>
      <c r="H979" s="133"/>
      <c r="I979" s="133"/>
      <c r="J979" s="127"/>
      <c r="K979" s="127"/>
      <c r="L979" s="113"/>
    </row>
    <row r="980">
      <c r="A980" s="128"/>
      <c r="B980" s="128"/>
      <c r="C980" s="129"/>
      <c r="D980" s="131"/>
      <c r="E980" s="131"/>
      <c r="F980" s="132"/>
      <c r="G980" s="132"/>
      <c r="H980" s="133"/>
      <c r="I980" s="133"/>
      <c r="J980" s="127"/>
      <c r="K980" s="127"/>
      <c r="L980" s="113"/>
    </row>
    <row r="981">
      <c r="A981" s="128"/>
      <c r="B981" s="128"/>
      <c r="C981" s="129"/>
      <c r="D981" s="131"/>
      <c r="E981" s="131"/>
      <c r="F981" s="132"/>
      <c r="G981" s="132"/>
      <c r="H981" s="133"/>
      <c r="I981" s="133"/>
      <c r="J981" s="127"/>
      <c r="K981" s="127"/>
      <c r="L981" s="113"/>
    </row>
    <row r="982">
      <c r="A982" s="128"/>
      <c r="B982" s="128"/>
      <c r="C982" s="129"/>
      <c r="D982" s="131"/>
      <c r="E982" s="131"/>
      <c r="F982" s="132"/>
      <c r="G982" s="132"/>
      <c r="H982" s="133"/>
      <c r="I982" s="133"/>
      <c r="J982" s="127"/>
      <c r="K982" s="127"/>
      <c r="L982" s="113"/>
    </row>
    <row r="983">
      <c r="A983" s="128"/>
      <c r="B983" s="128"/>
      <c r="C983" s="129"/>
      <c r="D983" s="131"/>
      <c r="E983" s="131"/>
      <c r="F983" s="132"/>
      <c r="G983" s="132"/>
      <c r="H983" s="133"/>
      <c r="I983" s="133"/>
      <c r="J983" s="127"/>
      <c r="K983" s="127"/>
      <c r="L983" s="113"/>
    </row>
    <row r="984">
      <c r="A984" s="128"/>
      <c r="B984" s="128"/>
      <c r="C984" s="129"/>
      <c r="D984" s="131"/>
      <c r="E984" s="131"/>
      <c r="F984" s="132"/>
      <c r="G984" s="132"/>
      <c r="H984" s="133"/>
      <c r="I984" s="133"/>
      <c r="J984" s="127"/>
      <c r="K984" s="127"/>
      <c r="L984" s="113"/>
    </row>
    <row r="985">
      <c r="A985" s="128"/>
      <c r="B985" s="128"/>
      <c r="C985" s="129"/>
      <c r="D985" s="131"/>
      <c r="E985" s="131"/>
      <c r="F985" s="132"/>
      <c r="G985" s="132"/>
      <c r="H985" s="133"/>
      <c r="I985" s="133"/>
      <c r="J985" s="127"/>
      <c r="K985" s="127"/>
      <c r="L985" s="113"/>
    </row>
    <row r="986">
      <c r="A986" s="128"/>
      <c r="B986" s="128"/>
      <c r="C986" s="129"/>
      <c r="D986" s="131"/>
      <c r="E986" s="131"/>
      <c r="F986" s="132"/>
      <c r="G986" s="132"/>
      <c r="H986" s="133"/>
      <c r="I986" s="133"/>
      <c r="J986" s="127"/>
      <c r="K986" s="127"/>
      <c r="L986" s="113"/>
    </row>
    <row r="987">
      <c r="A987" s="128"/>
      <c r="B987" s="128"/>
      <c r="C987" s="129"/>
      <c r="D987" s="131"/>
      <c r="E987" s="131"/>
      <c r="F987" s="132"/>
      <c r="G987" s="132"/>
      <c r="H987" s="133"/>
      <c r="I987" s="133"/>
      <c r="J987" s="127"/>
      <c r="K987" s="127"/>
      <c r="L987" s="113"/>
    </row>
    <row r="988">
      <c r="A988" s="128"/>
      <c r="B988" s="128"/>
      <c r="C988" s="129"/>
      <c r="D988" s="131"/>
      <c r="E988" s="131"/>
      <c r="F988" s="132"/>
      <c r="G988" s="132"/>
      <c r="H988" s="133"/>
      <c r="I988" s="133"/>
      <c r="J988" s="127"/>
      <c r="K988" s="127"/>
      <c r="L988" s="113"/>
    </row>
    <row r="989">
      <c r="A989" s="128"/>
      <c r="B989" s="128"/>
      <c r="C989" s="129"/>
      <c r="D989" s="131"/>
      <c r="E989" s="131"/>
      <c r="F989" s="132"/>
      <c r="G989" s="132"/>
      <c r="H989" s="133"/>
      <c r="I989" s="133"/>
      <c r="J989" s="127"/>
      <c r="K989" s="127"/>
      <c r="L989" s="113"/>
    </row>
    <row r="990">
      <c r="A990" s="128"/>
      <c r="B990" s="128"/>
      <c r="C990" s="129"/>
      <c r="D990" s="131"/>
      <c r="E990" s="131"/>
      <c r="F990" s="132"/>
      <c r="G990" s="132"/>
      <c r="H990" s="133"/>
      <c r="I990" s="133"/>
      <c r="J990" s="127"/>
      <c r="K990" s="127"/>
      <c r="L990" s="113"/>
    </row>
    <row r="991">
      <c r="A991" s="128"/>
      <c r="B991" s="128"/>
      <c r="C991" s="129"/>
      <c r="D991" s="131"/>
      <c r="E991" s="131"/>
      <c r="F991" s="132"/>
      <c r="G991" s="132"/>
      <c r="H991" s="133"/>
      <c r="I991" s="133"/>
      <c r="J991" s="127"/>
      <c r="K991" s="127"/>
      <c r="L991" s="113"/>
    </row>
    <row r="992">
      <c r="A992" s="128"/>
      <c r="B992" s="128"/>
      <c r="C992" s="129"/>
      <c r="D992" s="131"/>
      <c r="E992" s="131"/>
      <c r="F992" s="132"/>
      <c r="G992" s="132"/>
      <c r="H992" s="133"/>
      <c r="I992" s="133"/>
      <c r="J992" s="127"/>
      <c r="K992" s="127"/>
      <c r="L992" s="113"/>
    </row>
    <row r="993">
      <c r="A993" s="128"/>
      <c r="B993" s="128"/>
      <c r="C993" s="129"/>
      <c r="D993" s="131"/>
      <c r="E993" s="131"/>
      <c r="F993" s="132"/>
      <c r="G993" s="132"/>
      <c r="H993" s="133"/>
      <c r="I993" s="133"/>
      <c r="J993" s="127"/>
      <c r="K993" s="127"/>
      <c r="L993" s="113"/>
    </row>
    <row r="994">
      <c r="A994" s="128"/>
      <c r="B994" s="128"/>
      <c r="C994" s="129"/>
      <c r="D994" s="131"/>
      <c r="E994" s="131"/>
      <c r="F994" s="132"/>
      <c r="G994" s="132"/>
      <c r="H994" s="133"/>
      <c r="I994" s="133"/>
      <c r="J994" s="127"/>
      <c r="K994" s="127"/>
      <c r="L994" s="113"/>
    </row>
    <row r="995">
      <c r="A995" s="128"/>
      <c r="B995" s="128"/>
      <c r="C995" s="129"/>
      <c r="D995" s="131"/>
      <c r="E995" s="131"/>
      <c r="F995" s="132"/>
      <c r="G995" s="132"/>
      <c r="H995" s="133"/>
      <c r="I995" s="133"/>
      <c r="J995" s="127"/>
      <c r="K995" s="127"/>
      <c r="L995" s="113"/>
    </row>
    <row r="996">
      <c r="A996" s="128"/>
      <c r="B996" s="128"/>
      <c r="C996" s="129"/>
      <c r="D996" s="131"/>
      <c r="E996" s="131"/>
      <c r="F996" s="132"/>
      <c r="G996" s="132"/>
      <c r="H996" s="133"/>
      <c r="I996" s="133"/>
      <c r="J996" s="127"/>
      <c r="K996" s="127"/>
      <c r="L996" s="113"/>
    </row>
    <row r="997">
      <c r="A997" s="128"/>
      <c r="B997" s="128"/>
      <c r="C997" s="129"/>
      <c r="D997" s="131"/>
      <c r="E997" s="131"/>
      <c r="F997" s="132"/>
      <c r="G997" s="132"/>
      <c r="H997" s="133"/>
      <c r="I997" s="133"/>
      <c r="J997" s="127"/>
      <c r="K997" s="127"/>
      <c r="L997" s="113"/>
    </row>
    <row r="998">
      <c r="A998" s="128"/>
      <c r="B998" s="128"/>
      <c r="C998" s="129"/>
      <c r="D998" s="131"/>
      <c r="E998" s="131"/>
      <c r="F998" s="132"/>
      <c r="G998" s="132"/>
      <c r="H998" s="133"/>
      <c r="I998" s="133"/>
      <c r="J998" s="127"/>
      <c r="K998" s="127"/>
      <c r="L998" s="113"/>
    </row>
    <row r="999">
      <c r="A999" s="128"/>
      <c r="B999" s="128"/>
      <c r="C999" s="129"/>
      <c r="D999" s="131"/>
      <c r="E999" s="131"/>
      <c r="F999" s="132"/>
      <c r="G999" s="132"/>
      <c r="H999" s="133"/>
      <c r="I999" s="133"/>
      <c r="J999" s="127"/>
      <c r="K999" s="127"/>
      <c r="L999" s="113"/>
    </row>
    <row r="1000">
      <c r="A1000" s="128"/>
      <c r="B1000" s="128"/>
      <c r="C1000" s="129"/>
      <c r="D1000" s="131"/>
      <c r="E1000" s="131"/>
      <c r="F1000" s="132"/>
      <c r="G1000" s="132"/>
      <c r="H1000" s="133"/>
      <c r="I1000" s="133"/>
      <c r="J1000" s="127"/>
      <c r="K1000" s="127"/>
      <c r="L1000" s="11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6" max="6" width="15.38"/>
    <col customWidth="1" min="8" max="8" width="14.38"/>
    <col customWidth="1" min="18" max="18" width="14.75"/>
  </cols>
  <sheetData>
    <row r="1">
      <c r="A1" s="134" t="s">
        <v>165</v>
      </c>
      <c r="B1" s="134" t="s">
        <v>166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6"/>
      <c r="R1" s="136"/>
      <c r="S1" s="136"/>
      <c r="T1" s="136"/>
      <c r="U1" s="137" t="s">
        <v>167</v>
      </c>
      <c r="V1" s="137" t="s">
        <v>168</v>
      </c>
      <c r="W1" s="137" t="s">
        <v>169</v>
      </c>
    </row>
    <row r="2">
      <c r="A2" s="138" t="s">
        <v>170</v>
      </c>
      <c r="B2" s="138" t="s">
        <v>171</v>
      </c>
      <c r="C2" s="138" t="s">
        <v>172</v>
      </c>
      <c r="D2" s="138" t="s">
        <v>173</v>
      </c>
      <c r="E2" s="138" t="s">
        <v>174</v>
      </c>
      <c r="F2" s="138" t="s">
        <v>175</v>
      </c>
      <c r="G2" s="138" t="s">
        <v>176</v>
      </c>
      <c r="H2" s="138" t="s">
        <v>177</v>
      </c>
      <c r="I2" s="138" t="s">
        <v>178</v>
      </c>
      <c r="J2" s="138" t="s">
        <v>179</v>
      </c>
      <c r="K2" s="138" t="s">
        <v>180</v>
      </c>
      <c r="L2" s="138" t="s">
        <v>181</v>
      </c>
      <c r="M2" s="138" t="s">
        <v>182</v>
      </c>
      <c r="N2" s="138" t="s">
        <v>183</v>
      </c>
      <c r="O2" s="138" t="s">
        <v>184</v>
      </c>
      <c r="P2" s="138" t="s">
        <v>185</v>
      </c>
      <c r="Q2" s="136"/>
      <c r="R2" s="139" t="s">
        <v>186</v>
      </c>
      <c r="S2" s="137" t="s">
        <v>8</v>
      </c>
      <c r="T2" s="140" t="s">
        <v>187</v>
      </c>
      <c r="U2" s="137" t="s">
        <v>23</v>
      </c>
      <c r="V2" s="137" t="s">
        <v>24</v>
      </c>
      <c r="W2" s="137" t="s">
        <v>21</v>
      </c>
    </row>
    <row r="3">
      <c r="A3" s="68" t="s">
        <v>188</v>
      </c>
      <c r="B3" s="68" t="s">
        <v>189</v>
      </c>
      <c r="C3" s="68" t="s">
        <v>101</v>
      </c>
      <c r="D3" s="141" t="s">
        <v>190</v>
      </c>
      <c r="E3" s="68" t="s">
        <v>191</v>
      </c>
      <c r="F3" s="141" t="s">
        <v>192</v>
      </c>
      <c r="G3" s="68" t="s">
        <v>193</v>
      </c>
      <c r="H3" s="68" t="s">
        <v>194</v>
      </c>
      <c r="I3" s="68" t="s">
        <v>195</v>
      </c>
      <c r="J3" s="68" t="s">
        <v>196</v>
      </c>
      <c r="K3" s="68" t="s">
        <v>197</v>
      </c>
      <c r="L3" s="68" t="s">
        <v>198</v>
      </c>
      <c r="M3" s="68">
        <v>518.0</v>
      </c>
      <c r="N3" s="68" t="s">
        <v>199</v>
      </c>
      <c r="O3" s="68" t="s">
        <v>27</v>
      </c>
      <c r="P3" s="68"/>
      <c r="R3" s="142" t="s">
        <v>79</v>
      </c>
      <c r="T3" s="139" t="s">
        <v>28</v>
      </c>
      <c r="U3" s="139" t="s">
        <v>15</v>
      </c>
      <c r="V3" s="139" t="s">
        <v>113</v>
      </c>
      <c r="W3" s="139" t="s">
        <v>140</v>
      </c>
    </row>
    <row r="4">
      <c r="A4" s="68" t="s">
        <v>200</v>
      </c>
      <c r="B4" s="68" t="s">
        <v>125</v>
      </c>
      <c r="C4" s="68" t="s">
        <v>201</v>
      </c>
      <c r="D4" s="141" t="s">
        <v>85</v>
      </c>
      <c r="E4" s="68" t="s">
        <v>202</v>
      </c>
      <c r="F4" s="141" t="s">
        <v>35</v>
      </c>
      <c r="G4" s="143"/>
      <c r="H4" s="68" t="s">
        <v>194</v>
      </c>
      <c r="I4" s="143"/>
      <c r="J4" s="143"/>
      <c r="K4" s="144" t="s">
        <v>203</v>
      </c>
      <c r="L4" s="68" t="s">
        <v>204</v>
      </c>
      <c r="M4" s="68">
        <v>520.0</v>
      </c>
      <c r="N4" s="143"/>
      <c r="O4" s="143"/>
      <c r="P4" s="143"/>
      <c r="R4" s="142" t="s">
        <v>36</v>
      </c>
      <c r="T4" s="139" t="s">
        <v>205</v>
      </c>
      <c r="W4" s="139" t="s">
        <v>51</v>
      </c>
    </row>
    <row r="5">
      <c r="A5" s="68" t="s">
        <v>206</v>
      </c>
      <c r="B5" s="143"/>
      <c r="C5" s="68" t="s">
        <v>207</v>
      </c>
      <c r="D5" s="141" t="s">
        <v>208</v>
      </c>
      <c r="E5" s="68" t="s">
        <v>209</v>
      </c>
      <c r="F5" s="145" t="s">
        <v>210</v>
      </c>
      <c r="G5" s="143"/>
      <c r="H5" s="143"/>
      <c r="I5" s="143"/>
      <c r="J5" s="143"/>
      <c r="K5" s="68" t="s">
        <v>211</v>
      </c>
      <c r="L5" s="143"/>
      <c r="M5" s="143"/>
      <c r="N5" s="143"/>
      <c r="O5" s="143"/>
      <c r="P5" s="143"/>
      <c r="R5" s="142" t="s">
        <v>48</v>
      </c>
      <c r="T5" s="139" t="s">
        <v>97</v>
      </c>
      <c r="W5" s="139" t="s">
        <v>71</v>
      </c>
    </row>
    <row r="6">
      <c r="A6" s="143"/>
      <c r="B6" s="143"/>
      <c r="C6" s="68" t="s">
        <v>118</v>
      </c>
      <c r="D6" s="146" t="s">
        <v>212</v>
      </c>
      <c r="E6" s="143"/>
      <c r="F6" s="145" t="s">
        <v>213</v>
      </c>
      <c r="G6" s="143"/>
      <c r="H6" s="143"/>
      <c r="I6" s="143"/>
      <c r="J6" s="143"/>
      <c r="K6" s="143"/>
      <c r="L6" s="143"/>
      <c r="M6" s="143"/>
      <c r="N6" s="143"/>
      <c r="O6" s="143"/>
      <c r="P6" s="143"/>
      <c r="R6" s="142" t="s">
        <v>129</v>
      </c>
      <c r="T6" s="139" t="s">
        <v>214</v>
      </c>
      <c r="W6" s="139" t="s">
        <v>215</v>
      </c>
    </row>
    <row r="7">
      <c r="A7" s="143"/>
      <c r="B7" s="143"/>
      <c r="C7" s="143"/>
      <c r="D7" s="141" t="s">
        <v>216</v>
      </c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R7" s="142" t="s">
        <v>65</v>
      </c>
      <c r="T7" s="139" t="s">
        <v>217</v>
      </c>
      <c r="W7" s="139" t="s">
        <v>158</v>
      </c>
    </row>
    <row r="8">
      <c r="A8" s="143"/>
      <c r="B8" s="143"/>
      <c r="C8" s="143"/>
      <c r="D8" s="145" t="s">
        <v>218</v>
      </c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R8" s="147" t="s">
        <v>219</v>
      </c>
      <c r="T8" s="139" t="s">
        <v>48</v>
      </c>
      <c r="W8" s="139" t="s">
        <v>148</v>
      </c>
    </row>
    <row r="9">
      <c r="A9" s="143"/>
      <c r="B9" s="143"/>
      <c r="C9" s="143"/>
      <c r="D9" s="148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R9" s="147" t="s">
        <v>109</v>
      </c>
      <c r="T9" s="139" t="s">
        <v>69</v>
      </c>
      <c r="W9" s="139" t="s">
        <v>64</v>
      </c>
    </row>
    <row r="10">
      <c r="A10" s="143"/>
      <c r="B10" s="143"/>
      <c r="C10" s="143"/>
      <c r="D10" s="148">
        <v>3081.0</v>
      </c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R10" s="142" t="s">
        <v>53</v>
      </c>
      <c r="T10" s="139" t="s">
        <v>104</v>
      </c>
      <c r="W10" s="139" t="s">
        <v>131</v>
      </c>
    </row>
    <row r="11">
      <c r="A11" s="143"/>
      <c r="B11" s="143"/>
      <c r="C11" s="143"/>
      <c r="D11" s="148">
        <v>5351.0</v>
      </c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R11" s="142" t="s">
        <v>220</v>
      </c>
      <c r="T11" s="139" t="s">
        <v>29</v>
      </c>
      <c r="W11" s="139" t="s">
        <v>221</v>
      </c>
    </row>
    <row r="12">
      <c r="A12" s="143"/>
      <c r="B12" s="143"/>
      <c r="C12" s="143"/>
      <c r="D12" s="145" t="s">
        <v>222</v>
      </c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R12" s="142" t="s">
        <v>29</v>
      </c>
      <c r="T12" s="139" t="s">
        <v>223</v>
      </c>
      <c r="W12" s="139" t="s">
        <v>224</v>
      </c>
    </row>
    <row r="13">
      <c r="A13" s="143"/>
      <c r="B13" s="143"/>
      <c r="C13" s="143"/>
      <c r="D13" s="145" t="s">
        <v>225</v>
      </c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R13" s="142" t="s">
        <v>73</v>
      </c>
      <c r="W13" s="139" t="s">
        <v>226</v>
      </c>
    </row>
    <row r="14">
      <c r="A14" s="143"/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R14" s="142" t="s">
        <v>227</v>
      </c>
      <c r="W14" s="139" t="s">
        <v>31</v>
      </c>
    </row>
    <row r="15">
      <c r="A15" s="149"/>
      <c r="B15" s="149"/>
      <c r="C15" s="149"/>
      <c r="D15" s="149"/>
      <c r="E15" s="149"/>
      <c r="F15" s="143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36"/>
      <c r="R15" s="150" t="s">
        <v>127</v>
      </c>
      <c r="S15" s="136"/>
      <c r="T15" s="136"/>
      <c r="U15" s="136"/>
      <c r="V15" s="136"/>
      <c r="W15" s="136"/>
    </row>
    <row r="16">
      <c r="A16" s="143"/>
      <c r="B16" s="143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R16" s="142" t="s">
        <v>228</v>
      </c>
    </row>
    <row r="17">
      <c r="A17" s="143"/>
      <c r="B17" s="143"/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R17" s="142" t="s">
        <v>229</v>
      </c>
    </row>
    <row r="18">
      <c r="A18" s="143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R18" s="150" t="s">
        <v>82</v>
      </c>
    </row>
    <row r="19">
      <c r="A19" s="143"/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R19" s="142" t="s">
        <v>87</v>
      </c>
    </row>
    <row r="20">
      <c r="A20" s="143"/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R20" s="151" t="s">
        <v>230</v>
      </c>
    </row>
    <row r="21">
      <c r="A21" s="143"/>
      <c r="B21" s="143"/>
      <c r="C21" s="143"/>
      <c r="D21" s="143"/>
      <c r="E21" s="143"/>
      <c r="F21" s="143"/>
      <c r="G21" s="138"/>
      <c r="H21" s="138"/>
      <c r="I21" s="138"/>
      <c r="J21" s="143"/>
      <c r="K21" s="143"/>
      <c r="L21" s="143"/>
      <c r="M21" s="143"/>
      <c r="N21" s="143"/>
      <c r="O21" s="143"/>
      <c r="P21" s="143"/>
      <c r="R21" s="151" t="s">
        <v>231</v>
      </c>
    </row>
    <row r="22">
      <c r="A22" s="143"/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R22" s="152" t="s">
        <v>39</v>
      </c>
    </row>
    <row r="23">
      <c r="A23" s="14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R23" s="151" t="s">
        <v>232</v>
      </c>
    </row>
    <row r="24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R24" s="153" t="s">
        <v>56</v>
      </c>
    </row>
    <row r="25">
      <c r="A25" s="14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</row>
    <row r="26">
      <c r="A26" s="14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</row>
    <row r="27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</row>
    <row r="28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</row>
    <row r="29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</row>
    <row r="30">
      <c r="A30" s="143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</row>
    <row r="31">
      <c r="A31" s="143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</row>
    <row r="32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</row>
    <row r="33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</row>
    <row r="34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</row>
    <row r="35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</row>
    <row r="36">
      <c r="A36" s="154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</row>
    <row r="37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</row>
    <row r="38">
      <c r="A38" s="154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</row>
    <row r="39">
      <c r="A39" s="154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</row>
    <row r="40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</row>
    <row r="41">
      <c r="A41" s="154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</row>
    <row r="42">
      <c r="A42" s="154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</row>
    <row r="43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</row>
    <row r="44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</row>
    <row r="45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</row>
    <row r="46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</row>
    <row r="47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</row>
    <row r="48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</row>
    <row r="49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</row>
    <row r="50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</row>
    <row r="51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</row>
    <row r="52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</row>
    <row r="53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</row>
    <row r="54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</row>
    <row r="55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</row>
    <row r="56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</row>
    <row r="57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</row>
    <row r="58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</row>
    <row r="59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</row>
    <row r="60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</row>
    <row r="61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</row>
    <row r="62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</row>
    <row r="63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</row>
    <row r="64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</row>
    <row r="65">
      <c r="A65" s="154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</row>
    <row r="66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</row>
    <row r="67">
      <c r="A67" s="154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</row>
    <row r="68">
      <c r="A68" s="154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</row>
    <row r="69">
      <c r="A69" s="154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</row>
    <row r="70">
      <c r="A70" s="154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</row>
    <row r="71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</row>
    <row r="72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</row>
    <row r="73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</row>
    <row r="74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</row>
    <row r="75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</row>
    <row r="76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</row>
    <row r="77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</row>
    <row r="78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</row>
    <row r="79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</row>
    <row r="80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</row>
    <row r="8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</row>
    <row r="82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</row>
    <row r="83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</row>
    <row r="84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</row>
    <row r="85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</row>
    <row r="86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</row>
    <row r="87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</row>
    <row r="88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</row>
    <row r="89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</row>
    <row r="90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</row>
    <row r="91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</row>
    <row r="92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</row>
    <row r="93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</row>
    <row r="94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</row>
    <row r="95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</row>
    <row r="96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</row>
    <row r="97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</row>
    <row r="98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</row>
    <row r="99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</row>
    <row r="100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</row>
    <row r="10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</row>
    <row r="102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</row>
    <row r="103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</row>
    <row r="104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</row>
    <row r="105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</row>
    <row r="106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</row>
    <row r="107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</row>
    <row r="108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</row>
    <row r="109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</row>
    <row r="110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</row>
    <row r="11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</row>
    <row r="112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</row>
    <row r="113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</row>
    <row r="114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</row>
    <row r="115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</row>
    <row r="116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</row>
    <row r="117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</row>
    <row r="118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</row>
    <row r="119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</row>
    <row r="120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</row>
    <row r="12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</row>
    <row r="122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</row>
    <row r="123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</row>
    <row r="124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</row>
    <row r="125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</row>
    <row r="126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</row>
    <row r="127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</row>
    <row r="128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</row>
    <row r="129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</row>
    <row r="130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</row>
    <row r="13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</row>
    <row r="132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</row>
    <row r="133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</row>
    <row r="134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</row>
    <row r="135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</row>
    <row r="136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</row>
    <row r="137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</row>
    <row r="138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</row>
    <row r="139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</row>
    <row r="140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</row>
    <row r="14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</row>
    <row r="142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</row>
    <row r="143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</row>
    <row r="144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</row>
    <row r="145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</row>
    <row r="146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</row>
    <row r="147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</row>
    <row r="148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</row>
    <row r="149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</row>
    <row r="150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</row>
    <row r="15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</row>
    <row r="152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</row>
    <row r="153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</row>
    <row r="154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</row>
    <row r="155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</row>
    <row r="156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</row>
    <row r="157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</row>
    <row r="158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</row>
    <row r="159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</row>
    <row r="160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</row>
    <row r="16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</row>
    <row r="162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</row>
    <row r="163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</row>
    <row r="164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</row>
    <row r="165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</row>
    <row r="166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</row>
    <row r="167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</row>
    <row r="168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</row>
    <row r="169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</row>
    <row r="170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</row>
    <row r="17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</row>
    <row r="172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</row>
    <row r="173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</row>
    <row r="174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</row>
    <row r="175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</row>
    <row r="176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</row>
    <row r="177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</row>
    <row r="178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</row>
    <row r="179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</row>
    <row r="180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</row>
    <row r="18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</row>
    <row r="182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</row>
    <row r="183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</row>
    <row r="184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</row>
    <row r="185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</row>
    <row r="186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</row>
    <row r="187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</row>
    <row r="188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</row>
    <row r="189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</row>
    <row r="190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</row>
    <row r="19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</row>
    <row r="192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</row>
    <row r="193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</row>
    <row r="194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</row>
    <row r="195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</row>
    <row r="196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</row>
    <row r="197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</row>
    <row r="198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</row>
    <row r="199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</row>
    <row r="200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</row>
    <row r="201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</row>
    <row r="202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</row>
    <row r="203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</row>
    <row r="204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</row>
    <row r="205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</row>
    <row r="206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</row>
    <row r="207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</row>
    <row r="208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</row>
    <row r="209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</row>
    <row r="210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</row>
    <row r="211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</row>
    <row r="212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</row>
    <row r="213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</row>
    <row r="214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</row>
    <row r="215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</row>
    <row r="216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</row>
    <row r="217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</row>
    <row r="218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</row>
    <row r="219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</row>
    <row r="220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</row>
    <row r="221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</row>
    <row r="222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</row>
    <row r="223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</row>
    <row r="224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</row>
    <row r="225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</row>
    <row r="226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</row>
    <row r="227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</row>
    <row r="228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</row>
    <row r="229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</row>
    <row r="230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</row>
    <row r="231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</row>
    <row r="232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</row>
    <row r="233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</row>
    <row r="234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</row>
    <row r="235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</row>
    <row r="236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</row>
    <row r="237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</row>
    <row r="238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</row>
    <row r="239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</row>
    <row r="240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</row>
    <row r="241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</row>
    <row r="242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</row>
    <row r="243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</row>
    <row r="244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</row>
    <row r="245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</row>
    <row r="246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</row>
    <row r="247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</row>
    <row r="248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</row>
    <row r="249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</row>
    <row r="250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</row>
    <row r="251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</row>
    <row r="252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</row>
    <row r="253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</row>
    <row r="254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</row>
    <row r="255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</row>
    <row r="256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</row>
    <row r="257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</row>
    <row r="258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</row>
    <row r="259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</row>
    <row r="260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</row>
    <row r="261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</row>
    <row r="262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</row>
    <row r="263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</row>
    <row r="264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</row>
    <row r="265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</row>
    <row r="266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</row>
    <row r="267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</row>
    <row r="268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</row>
    <row r="269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</row>
    <row r="270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</row>
    <row r="271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</row>
    <row r="272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</row>
    <row r="273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</row>
    <row r="274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</row>
    <row r="275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</row>
    <row r="276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</row>
    <row r="277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</row>
    <row r="278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</row>
    <row r="279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</row>
    <row r="280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</row>
    <row r="281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</row>
    <row r="282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</row>
    <row r="283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</row>
    <row r="284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</row>
    <row r="285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</row>
    <row r="286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</row>
    <row r="287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</row>
    <row r="288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</row>
    <row r="289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</row>
    <row r="290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</row>
    <row r="291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</row>
    <row r="292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</row>
    <row r="293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</row>
    <row r="294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</row>
    <row r="295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</row>
    <row r="296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</row>
    <row r="297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</row>
    <row r="298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</row>
    <row r="299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</row>
    <row r="300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</row>
    <row r="301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</row>
    <row r="302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</row>
    <row r="303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</row>
    <row r="304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</row>
    <row r="305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</row>
    <row r="306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</row>
    <row r="307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</row>
    <row r="308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</row>
    <row r="309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</row>
    <row r="310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</row>
    <row r="311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</row>
    <row r="312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</row>
    <row r="313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</row>
    <row r="314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</row>
    <row r="315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</row>
    <row r="316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</row>
    <row r="317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</row>
    <row r="318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</row>
    <row r="319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</row>
    <row r="320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</row>
    <row r="321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</row>
    <row r="322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</row>
    <row r="323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</row>
    <row r="324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</row>
    <row r="325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</row>
    <row r="326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</row>
    <row r="327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</row>
    <row r="328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</row>
    <row r="329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</row>
    <row r="330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</row>
    <row r="331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</row>
    <row r="332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</row>
    <row r="333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</row>
    <row r="334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</row>
    <row r="335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</row>
    <row r="336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</row>
    <row r="337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</row>
    <row r="338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</row>
    <row r="339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</row>
    <row r="340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</row>
    <row r="341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</row>
    <row r="342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</row>
    <row r="343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</row>
    <row r="344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</row>
    <row r="345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</row>
    <row r="346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</row>
    <row r="347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</row>
    <row r="348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</row>
    <row r="349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</row>
    <row r="350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</row>
    <row r="351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</row>
    <row r="352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</row>
    <row r="353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</row>
    <row r="354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</row>
    <row r="355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</row>
    <row r="356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</row>
    <row r="357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</row>
    <row r="358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</row>
    <row r="359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</row>
    <row r="360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</row>
    <row r="361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</row>
    <row r="362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</row>
    <row r="363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</row>
    <row r="364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</row>
    <row r="365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</row>
    <row r="366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</row>
    <row r="367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</row>
    <row r="368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</row>
    <row r="369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</row>
    <row r="370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</row>
    <row r="371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</row>
    <row r="372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</row>
    <row r="373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</row>
    <row r="374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</row>
    <row r="375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</row>
    <row r="376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</row>
    <row r="377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</row>
    <row r="378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</row>
    <row r="379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</row>
    <row r="380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</row>
    <row r="381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</row>
    <row r="382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</row>
    <row r="383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</row>
    <row r="384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</row>
    <row r="385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</row>
    <row r="386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</row>
    <row r="387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</row>
    <row r="388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</row>
    <row r="389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</row>
    <row r="390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</row>
    <row r="391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</row>
    <row r="392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</row>
    <row r="393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</row>
    <row r="394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</row>
    <row r="395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</row>
    <row r="396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</row>
    <row r="397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</row>
    <row r="398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</row>
    <row r="399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</row>
    <row r="400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</row>
    <row r="401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</row>
    <row r="402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</row>
    <row r="403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</row>
    <row r="404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</row>
    <row r="405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</row>
    <row r="406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</row>
    <row r="407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</row>
    <row r="408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</row>
    <row r="409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</row>
    <row r="410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</row>
    <row r="411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</row>
    <row r="412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</row>
    <row r="413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</row>
    <row r="414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</row>
    <row r="415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</row>
    <row r="416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</row>
    <row r="417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</row>
    <row r="418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</row>
    <row r="419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</row>
    <row r="420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</row>
    <row r="421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</row>
    <row r="422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</row>
    <row r="423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</row>
    <row r="424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</row>
    <row r="425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</row>
    <row r="426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</row>
    <row r="427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</row>
    <row r="428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</row>
    <row r="429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</row>
    <row r="430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</row>
    <row r="431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</row>
    <row r="432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</row>
    <row r="433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</row>
    <row r="434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</row>
    <row r="435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</row>
    <row r="436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</row>
    <row r="437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</row>
    <row r="438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</row>
    <row r="439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</row>
    <row r="440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</row>
    <row r="44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</row>
    <row r="442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</row>
    <row r="443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</row>
    <row r="444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</row>
    <row r="445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</row>
    <row r="446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</row>
    <row r="447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</row>
    <row r="448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</row>
    <row r="449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</row>
    <row r="450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</row>
    <row r="45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</row>
    <row r="452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</row>
    <row r="453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</row>
    <row r="454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</row>
    <row r="455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</row>
    <row r="456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</row>
    <row r="457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</row>
    <row r="458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</row>
    <row r="459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</row>
    <row r="460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</row>
    <row r="46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</row>
    <row r="462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</row>
    <row r="463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</row>
    <row r="464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</row>
    <row r="465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</row>
    <row r="466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</row>
    <row r="467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</row>
    <row r="468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</row>
    <row r="469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</row>
    <row r="470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</row>
    <row r="47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</row>
    <row r="472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</row>
    <row r="473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</row>
    <row r="474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</row>
    <row r="475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</row>
    <row r="476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</row>
    <row r="477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</row>
    <row r="478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</row>
    <row r="479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</row>
    <row r="480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</row>
    <row r="48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</row>
    <row r="482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</row>
    <row r="483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</row>
    <row r="484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</row>
    <row r="485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</row>
    <row r="486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</row>
    <row r="487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</row>
    <row r="488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</row>
    <row r="489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</row>
    <row r="490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</row>
    <row r="49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</row>
    <row r="492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</row>
    <row r="493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</row>
    <row r="494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</row>
    <row r="495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</row>
    <row r="496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</row>
    <row r="497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</row>
    <row r="498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</row>
    <row r="499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</row>
    <row r="500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</row>
    <row r="50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</row>
    <row r="502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</row>
    <row r="503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</row>
    <row r="504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</row>
    <row r="505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</row>
    <row r="506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</row>
    <row r="507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</row>
    <row r="508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</row>
    <row r="509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</row>
    <row r="510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</row>
    <row r="51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</row>
    <row r="512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</row>
    <row r="513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</row>
    <row r="514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</row>
    <row r="515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</row>
    <row r="516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</row>
    <row r="517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</row>
    <row r="518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</row>
    <row r="519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</row>
    <row r="520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</row>
    <row r="52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</row>
    <row r="522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</row>
    <row r="523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</row>
    <row r="524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</row>
    <row r="525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</row>
    <row r="526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</row>
    <row r="527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</row>
    <row r="528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</row>
    <row r="529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</row>
    <row r="530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</row>
    <row r="53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</row>
    <row r="532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</row>
    <row r="533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</row>
    <row r="534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</row>
    <row r="535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</row>
    <row r="536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</row>
    <row r="537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</row>
    <row r="538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</row>
    <row r="539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</row>
    <row r="540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</row>
    <row r="54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</row>
    <row r="542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</row>
    <row r="543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</row>
    <row r="544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</row>
    <row r="545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</row>
    <row r="546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</row>
    <row r="547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</row>
    <row r="548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</row>
    <row r="549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</row>
    <row r="550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</row>
    <row r="55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</row>
    <row r="552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</row>
    <row r="553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</row>
    <row r="554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</row>
    <row r="555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</row>
    <row r="556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</row>
    <row r="557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</row>
    <row r="558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</row>
    <row r="559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</row>
    <row r="560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</row>
    <row r="56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</row>
    <row r="562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</row>
    <row r="563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</row>
    <row r="564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</row>
    <row r="565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</row>
    <row r="566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</row>
    <row r="567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</row>
    <row r="568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</row>
    <row r="569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</row>
    <row r="570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</row>
    <row r="57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</row>
    <row r="572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</row>
    <row r="573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</row>
    <row r="574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</row>
    <row r="575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</row>
    <row r="576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</row>
    <row r="577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</row>
    <row r="578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</row>
    <row r="579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</row>
    <row r="580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</row>
    <row r="58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</row>
    <row r="582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</row>
    <row r="583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</row>
    <row r="584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</row>
    <row r="585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</row>
    <row r="586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</row>
    <row r="587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</row>
    <row r="588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</row>
    <row r="589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</row>
    <row r="590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</row>
    <row r="59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</row>
    <row r="592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</row>
    <row r="593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</row>
    <row r="594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</row>
    <row r="595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</row>
    <row r="596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</row>
    <row r="597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</row>
    <row r="598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</row>
    <row r="599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</row>
    <row r="600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</row>
    <row r="60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</row>
    <row r="602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</row>
    <row r="603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</row>
    <row r="604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</row>
    <row r="605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</row>
    <row r="606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</row>
    <row r="607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</row>
    <row r="608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</row>
    <row r="609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</row>
    <row r="610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</row>
    <row r="61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</row>
    <row r="612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</row>
    <row r="613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</row>
    <row r="614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</row>
    <row r="615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</row>
    <row r="616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</row>
    <row r="617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</row>
    <row r="618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</row>
    <row r="619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</row>
    <row r="620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</row>
    <row r="62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</row>
    <row r="622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</row>
    <row r="623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</row>
    <row r="624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</row>
    <row r="625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</row>
    <row r="626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</row>
    <row r="627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</row>
    <row r="628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</row>
    <row r="629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</row>
    <row r="630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</row>
    <row r="63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</row>
    <row r="632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</row>
    <row r="633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</row>
    <row r="634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</row>
    <row r="635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</row>
    <row r="636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</row>
    <row r="637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</row>
    <row r="638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</row>
    <row r="639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</row>
    <row r="640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</row>
    <row r="64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</row>
    <row r="642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</row>
    <row r="643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</row>
    <row r="644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</row>
    <row r="645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</row>
    <row r="646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</row>
    <row r="647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</row>
    <row r="648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</row>
    <row r="649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</row>
    <row r="650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</row>
    <row r="65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</row>
    <row r="652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</row>
    <row r="653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</row>
    <row r="654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</row>
    <row r="655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</row>
    <row r="656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</row>
    <row r="657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</row>
    <row r="658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</row>
    <row r="659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</row>
    <row r="660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</row>
    <row r="66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</row>
    <row r="662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</row>
    <row r="663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</row>
    <row r="664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</row>
    <row r="665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</row>
    <row r="666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</row>
    <row r="667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</row>
    <row r="668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</row>
    <row r="669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</row>
    <row r="670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</row>
    <row r="67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</row>
    <row r="672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</row>
    <row r="673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</row>
    <row r="674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</row>
    <row r="675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</row>
    <row r="676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</row>
    <row r="677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</row>
    <row r="678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</row>
    <row r="679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</row>
    <row r="680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</row>
    <row r="68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</row>
    <row r="682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</row>
    <row r="683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</row>
    <row r="684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</row>
    <row r="685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</row>
    <row r="686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</row>
    <row r="687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</row>
    <row r="688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</row>
    <row r="689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</row>
    <row r="690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</row>
    <row r="69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</row>
    <row r="692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</row>
    <row r="693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</row>
    <row r="694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</row>
    <row r="695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</row>
    <row r="696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</row>
    <row r="697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</row>
    <row r="698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</row>
    <row r="699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</row>
    <row r="700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</row>
    <row r="70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</row>
    <row r="702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</row>
    <row r="703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</row>
    <row r="704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</row>
    <row r="705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</row>
    <row r="706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</row>
    <row r="707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</row>
    <row r="708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</row>
    <row r="709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</row>
    <row r="710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</row>
    <row r="71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</row>
    <row r="712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</row>
    <row r="713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</row>
    <row r="714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</row>
    <row r="715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</row>
    <row r="716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</row>
    <row r="717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</row>
    <row r="718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</row>
    <row r="719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</row>
    <row r="720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</row>
    <row r="72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</row>
    <row r="722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</row>
    <row r="723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</row>
    <row r="724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</row>
    <row r="725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</row>
    <row r="726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</row>
    <row r="727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</row>
    <row r="728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</row>
    <row r="729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</row>
    <row r="730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</row>
    <row r="73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</row>
    <row r="732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</row>
    <row r="733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</row>
    <row r="734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</row>
    <row r="735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</row>
    <row r="736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</row>
    <row r="737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</row>
    <row r="738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</row>
    <row r="739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</row>
    <row r="740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</row>
    <row r="74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</row>
    <row r="742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</row>
    <row r="743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</row>
    <row r="744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</row>
    <row r="745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</row>
    <row r="746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</row>
    <row r="747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</row>
    <row r="748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</row>
    <row r="749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</row>
    <row r="750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</row>
    <row r="75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</row>
    <row r="752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</row>
    <row r="753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</row>
    <row r="754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</row>
    <row r="755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</row>
    <row r="756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</row>
    <row r="757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</row>
    <row r="758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</row>
    <row r="759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</row>
    <row r="760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</row>
    <row r="76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</row>
    <row r="762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</row>
    <row r="763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</row>
    <row r="764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</row>
    <row r="765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</row>
    <row r="766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</row>
    <row r="767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</row>
    <row r="768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</row>
    <row r="769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</row>
    <row r="770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</row>
    <row r="77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</row>
    <row r="772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</row>
    <row r="773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</row>
    <row r="774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</row>
    <row r="775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</row>
    <row r="776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</row>
    <row r="777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</row>
    <row r="778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</row>
    <row r="779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</row>
    <row r="780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</row>
    <row r="78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</row>
    <row r="782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</row>
    <row r="783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</row>
    <row r="784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</row>
    <row r="785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</row>
    <row r="786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</row>
    <row r="787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</row>
    <row r="788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</row>
    <row r="789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</row>
    <row r="790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</row>
    <row r="79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</row>
    <row r="792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</row>
    <row r="793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</row>
    <row r="794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</row>
    <row r="795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</row>
    <row r="796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</row>
    <row r="797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</row>
    <row r="798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</row>
    <row r="799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</row>
    <row r="800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</row>
    <row r="80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</row>
    <row r="802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</row>
    <row r="803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</row>
    <row r="804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</row>
    <row r="805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</row>
    <row r="806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</row>
    <row r="807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</row>
    <row r="808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</row>
    <row r="809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</row>
    <row r="810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</row>
    <row r="81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</row>
    <row r="812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</row>
    <row r="813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</row>
    <row r="814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</row>
    <row r="815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</row>
    <row r="816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</row>
    <row r="817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</row>
    <row r="818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</row>
    <row r="819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</row>
    <row r="820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</row>
    <row r="82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</row>
    <row r="822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</row>
    <row r="823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</row>
    <row r="824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</row>
    <row r="825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</row>
    <row r="826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</row>
    <row r="827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</row>
    <row r="828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</row>
    <row r="829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</row>
    <row r="830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</row>
    <row r="83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</row>
    <row r="832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</row>
    <row r="833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</row>
    <row r="834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</row>
    <row r="835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</row>
    <row r="836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</row>
    <row r="837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</row>
    <row r="838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</row>
    <row r="839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</row>
    <row r="840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</row>
    <row r="84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</row>
    <row r="842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</row>
    <row r="843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</row>
    <row r="844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</row>
    <row r="845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</row>
    <row r="846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</row>
    <row r="847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</row>
    <row r="848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</row>
    <row r="849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</row>
    <row r="850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</row>
    <row r="85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</row>
    <row r="852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</row>
    <row r="853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</row>
    <row r="854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</row>
    <row r="855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</row>
    <row r="856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</row>
    <row r="857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</row>
    <row r="858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</row>
    <row r="859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</row>
    <row r="860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</row>
    <row r="86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</row>
    <row r="862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</row>
    <row r="863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</row>
    <row r="864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</row>
    <row r="865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</row>
    <row r="866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</row>
    <row r="867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</row>
    <row r="868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</row>
    <row r="869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</row>
    <row r="870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</row>
    <row r="87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</row>
    <row r="872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</row>
    <row r="873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</row>
    <row r="874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</row>
    <row r="875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</row>
    <row r="876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</row>
    <row r="877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</row>
    <row r="878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</row>
    <row r="879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</row>
    <row r="880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</row>
    <row r="88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</row>
    <row r="882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</row>
    <row r="883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</row>
    <row r="884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</row>
    <row r="885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</row>
    <row r="886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</row>
    <row r="887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</row>
    <row r="888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</row>
    <row r="889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</row>
    <row r="890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</row>
    <row r="89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</row>
    <row r="892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</row>
    <row r="893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</row>
    <row r="894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</row>
    <row r="895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</row>
    <row r="896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</row>
    <row r="897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</row>
    <row r="898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</row>
    <row r="899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</row>
    <row r="900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</row>
    <row r="90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</row>
    <row r="902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</row>
    <row r="903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</row>
    <row r="904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</row>
    <row r="905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</row>
    <row r="906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</row>
    <row r="907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</row>
    <row r="908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</row>
    <row r="909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</row>
    <row r="910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</row>
    <row r="91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</row>
    <row r="912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</row>
    <row r="913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</row>
    <row r="914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</row>
    <row r="915">
      <c r="A915" s="154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</row>
    <row r="916">
      <c r="A916" s="154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</row>
    <row r="917">
      <c r="A917" s="154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</row>
    <row r="918">
      <c r="A918" s="154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</row>
    <row r="919">
      <c r="A919" s="154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</row>
    <row r="920">
      <c r="A920" s="154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</row>
    <row r="921">
      <c r="A921" s="154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</row>
    <row r="922">
      <c r="A922" s="154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</row>
    <row r="923">
      <c r="A923" s="154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</row>
    <row r="924">
      <c r="A924" s="154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</row>
    <row r="925">
      <c r="A925" s="154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</row>
    <row r="926">
      <c r="A926" s="154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</row>
    <row r="927">
      <c r="A927" s="154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</row>
    <row r="928">
      <c r="A928" s="154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</row>
    <row r="929">
      <c r="A929" s="154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</row>
    <row r="930">
      <c r="A930" s="154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</row>
    <row r="931">
      <c r="A931" s="154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</row>
    <row r="932">
      <c r="A932" s="154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</row>
    <row r="933">
      <c r="A933" s="154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</row>
    <row r="934">
      <c r="A934" s="154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</row>
    <row r="935">
      <c r="A935" s="154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</row>
    <row r="936">
      <c r="A936" s="154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</row>
    <row r="937">
      <c r="A937" s="154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</row>
    <row r="938">
      <c r="A938" s="154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</row>
    <row r="939">
      <c r="A939" s="154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</row>
    <row r="940">
      <c r="A940" s="154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</row>
    <row r="941">
      <c r="A941" s="154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</row>
    <row r="942">
      <c r="A942" s="154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</row>
    <row r="943">
      <c r="A943" s="154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</row>
    <row r="944">
      <c r="A944" s="154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</row>
    <row r="945">
      <c r="A945" s="154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</row>
    <row r="946">
      <c r="A946" s="154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</row>
    <row r="947">
      <c r="A947" s="154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</row>
    <row r="948">
      <c r="A948" s="154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</row>
    <row r="949">
      <c r="A949" s="154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</row>
    <row r="950">
      <c r="A950" s="154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</row>
    <row r="951">
      <c r="A951" s="154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</row>
    <row r="952">
      <c r="A952" s="154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</row>
    <row r="953">
      <c r="A953" s="154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</row>
    <row r="954">
      <c r="A954" s="154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</row>
    <row r="955">
      <c r="A955" s="154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</row>
    <row r="956">
      <c r="A956" s="154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</row>
    <row r="957">
      <c r="A957" s="154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</row>
    <row r="958">
      <c r="A958" s="154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</row>
    <row r="959">
      <c r="A959" s="154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</row>
    <row r="960">
      <c r="A960" s="154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</row>
    <row r="961">
      <c r="A961" s="154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</row>
    <row r="962">
      <c r="A962" s="154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</row>
    <row r="963">
      <c r="A963" s="154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</row>
    <row r="964">
      <c r="A964" s="154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</row>
    <row r="965">
      <c r="A965" s="154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</row>
    <row r="966">
      <c r="A966" s="154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</row>
    <row r="967">
      <c r="A967" s="154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</row>
    <row r="968">
      <c r="A968" s="154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</row>
    <row r="969">
      <c r="A969" s="154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</row>
    <row r="970">
      <c r="A970" s="154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</row>
    <row r="971">
      <c r="A971" s="154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</row>
    <row r="972">
      <c r="A972" s="154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</row>
    <row r="973">
      <c r="A973" s="154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</row>
    <row r="974">
      <c r="A974" s="154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</row>
    <row r="975">
      <c r="A975" s="154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</row>
    <row r="976">
      <c r="A976" s="154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</row>
    <row r="977">
      <c r="A977" s="154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</row>
    <row r="978">
      <c r="A978" s="154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</row>
    <row r="979">
      <c r="A979" s="154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</row>
    <row r="980">
      <c r="A980" s="154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</row>
    <row r="981">
      <c r="A981" s="154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</row>
    <row r="982">
      <c r="A982" s="154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</row>
    <row r="983">
      <c r="A983" s="154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</row>
    <row r="984">
      <c r="A984" s="154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</row>
    <row r="985">
      <c r="A985" s="154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</row>
    <row r="986">
      <c r="A986" s="154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</row>
    <row r="987">
      <c r="A987" s="154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</row>
    <row r="988">
      <c r="A988" s="154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</row>
    <row r="989">
      <c r="A989" s="154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</row>
    <row r="990">
      <c r="A990" s="154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</row>
    <row r="991">
      <c r="A991" s="154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</row>
    <row r="992">
      <c r="A992" s="154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</row>
    <row r="993">
      <c r="A993" s="154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</row>
    <row r="994">
      <c r="A994" s="154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</row>
    <row r="995">
      <c r="A995" s="154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</row>
    <row r="996">
      <c r="A996" s="154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</row>
    <row r="997">
      <c r="A997" s="154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</row>
    <row r="998">
      <c r="A998" s="154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</row>
    <row r="999">
      <c r="A999" s="154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</row>
    <row r="1000">
      <c r="A1000" s="154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</row>
    <row r="1001">
      <c r="A1001" s="154"/>
      <c r="B1001" s="154"/>
      <c r="C1001" s="154"/>
      <c r="D1001" s="154"/>
      <c r="E1001" s="154"/>
      <c r="F1001" s="154"/>
      <c r="G1001" s="154"/>
      <c r="H1001" s="154"/>
      <c r="I1001" s="154"/>
      <c r="J1001" s="154"/>
      <c r="K1001" s="154"/>
      <c r="L1001" s="154"/>
      <c r="M1001" s="154"/>
      <c r="N1001" s="154"/>
      <c r="O1001" s="154"/>
      <c r="P1001" s="154"/>
      <c r="Q1001" s="154"/>
      <c r="R1001" s="154"/>
      <c r="S1001" s="154"/>
    </row>
    <row r="1002">
      <c r="A1002" s="154"/>
      <c r="B1002" s="154"/>
      <c r="C1002" s="154"/>
      <c r="D1002" s="154"/>
      <c r="E1002" s="154"/>
      <c r="F1002" s="154"/>
      <c r="G1002" s="154"/>
      <c r="H1002" s="154"/>
      <c r="I1002" s="154"/>
      <c r="J1002" s="154"/>
      <c r="K1002" s="154"/>
      <c r="L1002" s="154"/>
      <c r="M1002" s="154"/>
      <c r="N1002" s="154"/>
      <c r="O1002" s="154"/>
      <c r="P1002" s="154"/>
      <c r="Q1002" s="154"/>
      <c r="R1002" s="154"/>
      <c r="S1002" s="154"/>
    </row>
    <row r="1003">
      <c r="A1003" s="154"/>
      <c r="B1003" s="154"/>
      <c r="C1003" s="154"/>
      <c r="D1003" s="154"/>
      <c r="E1003" s="154"/>
      <c r="F1003" s="154"/>
      <c r="G1003" s="154"/>
      <c r="H1003" s="154"/>
      <c r="I1003" s="154"/>
      <c r="J1003" s="154"/>
      <c r="K1003" s="154"/>
      <c r="L1003" s="154"/>
      <c r="M1003" s="154"/>
      <c r="N1003" s="154"/>
      <c r="O1003" s="154"/>
      <c r="P1003" s="154"/>
      <c r="Q1003" s="154"/>
      <c r="R1003" s="154"/>
      <c r="S1003" s="15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0.13"/>
    <col customWidth="1" min="3" max="3" width="14.63"/>
    <col customWidth="1" min="9" max="9" width="17.75"/>
    <col customWidth="1" min="10" max="10" width="11.13"/>
  </cols>
  <sheetData>
    <row r="1">
      <c r="A1" s="155" t="s">
        <v>233</v>
      </c>
      <c r="B1" s="156"/>
      <c r="C1" s="157" t="s">
        <v>18</v>
      </c>
      <c r="D1" s="156" t="s">
        <v>234</v>
      </c>
      <c r="E1" s="156" t="s">
        <v>235</v>
      </c>
      <c r="F1" s="157" t="s">
        <v>236</v>
      </c>
      <c r="G1" s="156" t="s">
        <v>237</v>
      </c>
      <c r="H1" s="156" t="s">
        <v>238</v>
      </c>
      <c r="I1" s="156" t="s">
        <v>239</v>
      </c>
      <c r="J1" s="158" t="s">
        <v>240</v>
      </c>
      <c r="K1" s="158" t="s">
        <v>241</v>
      </c>
      <c r="L1" s="159" t="s">
        <v>242</v>
      </c>
    </row>
    <row r="2">
      <c r="A2" s="160"/>
      <c r="B2" s="161"/>
      <c r="C2" s="161"/>
      <c r="D2" s="162"/>
      <c r="E2" s="163"/>
      <c r="F2" s="164"/>
      <c r="G2" s="165"/>
      <c r="H2" s="166"/>
      <c r="I2" s="166"/>
      <c r="L2" s="167"/>
    </row>
    <row r="3">
      <c r="A3" s="168"/>
      <c r="B3" s="161"/>
      <c r="C3" s="161"/>
      <c r="D3" s="169"/>
      <c r="E3" s="170"/>
      <c r="F3" s="164"/>
      <c r="G3" s="171"/>
      <c r="H3" s="166"/>
      <c r="I3" s="172"/>
      <c r="L3" s="167"/>
    </row>
    <row r="4">
      <c r="A4" s="168"/>
      <c r="B4" s="161"/>
      <c r="C4" s="161"/>
      <c r="D4" s="169"/>
      <c r="E4" s="170"/>
      <c r="F4" s="164"/>
      <c r="G4" s="171"/>
      <c r="H4" s="166"/>
      <c r="I4" s="172"/>
      <c r="L4" s="167"/>
    </row>
    <row r="5">
      <c r="A5" s="168"/>
      <c r="B5" s="161"/>
      <c r="C5" s="161"/>
      <c r="D5" s="162"/>
      <c r="E5" s="170"/>
      <c r="F5" s="164"/>
      <c r="G5" s="171"/>
      <c r="H5" s="166"/>
      <c r="I5" s="172"/>
      <c r="L5" s="167"/>
    </row>
    <row r="6">
      <c r="A6" s="168"/>
      <c r="B6" s="161"/>
      <c r="C6" s="161"/>
      <c r="D6" s="162"/>
      <c r="E6" s="170"/>
      <c r="F6" s="164"/>
      <c r="G6" s="171"/>
      <c r="H6" s="166"/>
      <c r="I6" s="172"/>
      <c r="L6" s="167"/>
    </row>
    <row r="7">
      <c r="A7" s="168"/>
      <c r="B7" s="161"/>
      <c r="C7" s="161"/>
      <c r="D7" s="169"/>
      <c r="E7" s="170"/>
      <c r="F7" s="164"/>
      <c r="G7" s="171"/>
      <c r="H7" s="166"/>
      <c r="I7" s="172"/>
      <c r="L7" s="167"/>
    </row>
    <row r="8">
      <c r="A8" s="168"/>
      <c r="B8" s="161"/>
      <c r="C8" s="161"/>
      <c r="D8" s="162"/>
      <c r="E8" s="170"/>
      <c r="F8" s="164"/>
      <c r="G8" s="171"/>
      <c r="H8" s="166"/>
      <c r="I8" s="172"/>
      <c r="L8" s="167"/>
    </row>
    <row r="9">
      <c r="A9" s="168"/>
      <c r="B9" s="161"/>
      <c r="C9" s="161"/>
      <c r="D9" s="162"/>
      <c r="E9" s="170"/>
      <c r="F9" s="164"/>
      <c r="G9" s="171"/>
      <c r="H9" s="166"/>
      <c r="I9" s="172"/>
      <c r="L9" s="167"/>
    </row>
    <row r="10">
      <c r="A10" s="168"/>
      <c r="B10" s="161"/>
      <c r="C10" s="161"/>
      <c r="D10" s="169"/>
      <c r="E10" s="170"/>
      <c r="F10" s="164"/>
      <c r="G10" s="171"/>
      <c r="H10" s="166"/>
      <c r="I10" s="172"/>
      <c r="L10" s="167"/>
    </row>
    <row r="11">
      <c r="A11" s="168"/>
      <c r="B11" s="161"/>
      <c r="C11" s="161"/>
      <c r="D11" s="162"/>
      <c r="E11" s="170"/>
      <c r="F11" s="164"/>
      <c r="G11" s="171"/>
      <c r="H11" s="166"/>
      <c r="I11" s="172"/>
      <c r="L11" s="167"/>
    </row>
    <row r="12">
      <c r="A12" s="168"/>
      <c r="B12" s="161"/>
      <c r="C12" s="161"/>
      <c r="D12" s="169"/>
      <c r="E12" s="170"/>
      <c r="F12" s="164"/>
      <c r="G12" s="171"/>
      <c r="H12" s="166"/>
      <c r="I12" s="172"/>
      <c r="L12" s="167"/>
    </row>
    <row r="13">
      <c r="A13" s="168"/>
      <c r="B13" s="161"/>
      <c r="C13" s="161"/>
      <c r="D13" s="169"/>
      <c r="E13" s="170"/>
      <c r="F13" s="164"/>
      <c r="G13" s="171"/>
      <c r="H13" s="166"/>
      <c r="I13" s="172"/>
      <c r="L13" s="167"/>
    </row>
    <row r="14">
      <c r="A14" s="168"/>
      <c r="B14" s="161"/>
      <c r="C14" s="161"/>
      <c r="D14" s="162"/>
      <c r="E14" s="170"/>
      <c r="F14" s="164"/>
      <c r="G14" s="173"/>
      <c r="H14" s="166"/>
      <c r="I14" s="166"/>
      <c r="L14" s="167"/>
    </row>
    <row r="15">
      <c r="A15" s="168"/>
      <c r="B15" s="174"/>
      <c r="C15" s="174"/>
      <c r="D15" s="175"/>
      <c r="E15" s="176"/>
      <c r="F15" s="164"/>
      <c r="G15" s="177"/>
      <c r="H15" s="166"/>
      <c r="I15" s="178"/>
      <c r="J15" s="179"/>
      <c r="L15" s="167"/>
    </row>
    <row r="16">
      <c r="A16" s="168"/>
      <c r="B16" s="174"/>
      <c r="C16" s="174"/>
      <c r="D16" s="175"/>
      <c r="E16" s="176"/>
      <c r="F16" s="164"/>
      <c r="G16" s="177"/>
      <c r="H16" s="166"/>
      <c r="I16" s="178"/>
      <c r="J16" s="179"/>
      <c r="L16" s="167"/>
    </row>
    <row r="17">
      <c r="A17" s="168"/>
      <c r="B17" s="174"/>
      <c r="C17" s="174"/>
      <c r="D17" s="175"/>
      <c r="E17" s="176"/>
      <c r="F17" s="164"/>
      <c r="G17" s="177"/>
      <c r="H17" s="166"/>
      <c r="I17" s="178"/>
      <c r="J17" s="180"/>
      <c r="L17" s="167"/>
    </row>
    <row r="18">
      <c r="A18" s="168"/>
      <c r="B18" s="174"/>
      <c r="C18" s="174"/>
      <c r="D18" s="175"/>
      <c r="E18" s="176"/>
      <c r="F18" s="164"/>
      <c r="G18" s="177"/>
      <c r="H18" s="166"/>
      <c r="I18" s="181"/>
      <c r="J18" s="182"/>
      <c r="L18" s="167"/>
    </row>
    <row r="19">
      <c r="A19" s="168"/>
      <c r="B19" s="174"/>
      <c r="C19" s="174"/>
      <c r="D19" s="175"/>
      <c r="E19" s="176"/>
      <c r="F19" s="164"/>
      <c r="G19" s="183"/>
      <c r="H19" s="166"/>
      <c r="I19" s="181"/>
      <c r="J19" s="180"/>
      <c r="L19" s="167"/>
    </row>
    <row r="20">
      <c r="A20" s="168"/>
      <c r="B20" s="174"/>
      <c r="C20" s="174"/>
      <c r="D20" s="175"/>
      <c r="E20" s="176"/>
      <c r="F20" s="164"/>
      <c r="G20" s="183"/>
      <c r="H20" s="166"/>
      <c r="I20" s="181"/>
      <c r="J20" s="180"/>
      <c r="L20" s="167"/>
    </row>
    <row r="21">
      <c r="A21" s="168"/>
      <c r="B21" s="174"/>
      <c r="C21" s="174"/>
      <c r="D21" s="175"/>
      <c r="E21" s="176"/>
      <c r="F21" s="164"/>
      <c r="G21" s="183"/>
      <c r="H21" s="166"/>
      <c r="I21" s="181"/>
      <c r="J21" s="184"/>
      <c r="L21" s="167"/>
    </row>
    <row r="22">
      <c r="A22" s="168"/>
      <c r="B22" s="174"/>
      <c r="C22" s="174"/>
      <c r="D22" s="175"/>
      <c r="E22" s="176"/>
      <c r="F22" s="164"/>
      <c r="G22" s="183"/>
      <c r="H22" s="166"/>
      <c r="I22" s="181"/>
      <c r="J22" s="180"/>
      <c r="L22" s="167"/>
    </row>
    <row r="23">
      <c r="A23" s="168"/>
      <c r="B23" s="185"/>
      <c r="C23" s="174"/>
      <c r="D23" s="186"/>
      <c r="E23" s="176"/>
      <c r="F23" s="164"/>
      <c r="G23" s="187"/>
      <c r="H23" s="166"/>
      <c r="I23" s="188"/>
      <c r="J23" s="180"/>
      <c r="L23" s="167"/>
    </row>
    <row r="24">
      <c r="A24" s="168"/>
      <c r="B24" s="185"/>
      <c r="C24" s="174"/>
      <c r="D24" s="186"/>
      <c r="E24" s="176"/>
      <c r="F24" s="164"/>
      <c r="G24" s="187"/>
      <c r="H24" s="166"/>
      <c r="I24" s="188"/>
      <c r="J24" s="180"/>
      <c r="L24" s="167"/>
    </row>
    <row r="25">
      <c r="A25" s="168"/>
      <c r="B25" s="185"/>
      <c r="C25" s="174"/>
      <c r="D25" s="186"/>
      <c r="E25" s="176"/>
      <c r="F25" s="164"/>
      <c r="G25" s="187"/>
      <c r="H25" s="166"/>
      <c r="I25" s="188"/>
      <c r="J25" s="184"/>
      <c r="L25" s="167"/>
    </row>
    <row r="26">
      <c r="A26" s="168"/>
      <c r="B26" s="185"/>
      <c r="C26" s="174"/>
      <c r="D26" s="186"/>
      <c r="E26" s="189"/>
      <c r="F26" s="164"/>
      <c r="G26" s="187"/>
      <c r="H26" s="166"/>
      <c r="I26" s="188"/>
      <c r="J26" s="180"/>
      <c r="L26" s="167"/>
    </row>
    <row r="27">
      <c r="A27" s="168"/>
      <c r="B27" s="190"/>
      <c r="C27" s="175"/>
      <c r="D27" s="190"/>
      <c r="E27" s="191"/>
      <c r="F27" s="163"/>
      <c r="G27" s="192"/>
      <c r="H27" s="166">
        <f t="shared" ref="H27:H75" si="1">E27*G27</f>
        <v>0</v>
      </c>
      <c r="I27" s="193"/>
      <c r="K27" s="75" t="b">
        <v>0</v>
      </c>
      <c r="L27" s="167"/>
    </row>
    <row r="28">
      <c r="A28" s="168"/>
      <c r="B28" s="190"/>
      <c r="C28" s="175"/>
      <c r="D28" s="190"/>
      <c r="E28" s="191"/>
      <c r="F28" s="163"/>
      <c r="G28" s="192"/>
      <c r="H28" s="166">
        <f t="shared" si="1"/>
        <v>0</v>
      </c>
      <c r="I28" s="193"/>
      <c r="K28" s="75" t="b">
        <v>0</v>
      </c>
      <c r="L28" s="194"/>
    </row>
    <row r="29">
      <c r="A29" s="160"/>
      <c r="B29" s="190"/>
      <c r="C29" s="175"/>
      <c r="D29" s="190"/>
      <c r="E29" s="191"/>
      <c r="F29" s="163"/>
      <c r="G29" s="192"/>
      <c r="H29" s="166">
        <f t="shared" si="1"/>
        <v>0</v>
      </c>
      <c r="I29" s="193"/>
      <c r="K29" s="75" t="b">
        <v>0</v>
      </c>
      <c r="L29" s="194"/>
    </row>
    <row r="30">
      <c r="A30" s="160"/>
      <c r="B30" s="190"/>
      <c r="C30" s="175"/>
      <c r="D30" s="190"/>
      <c r="E30" s="191"/>
      <c r="F30" s="163"/>
      <c r="G30" s="191"/>
      <c r="H30" s="166">
        <f t="shared" si="1"/>
        <v>0</v>
      </c>
      <c r="I30" s="193"/>
      <c r="K30" s="75" t="b">
        <v>0</v>
      </c>
      <c r="L30" s="194"/>
    </row>
    <row r="31">
      <c r="A31" s="160"/>
      <c r="B31" s="190"/>
      <c r="C31" s="175"/>
      <c r="D31" s="190"/>
      <c r="E31" s="191"/>
      <c r="F31" s="163"/>
      <c r="G31" s="191"/>
      <c r="H31" s="166">
        <f t="shared" si="1"/>
        <v>0</v>
      </c>
      <c r="I31" s="193"/>
      <c r="K31" s="75" t="b">
        <v>0</v>
      </c>
      <c r="L31" s="194"/>
    </row>
    <row r="32">
      <c r="A32" s="160"/>
      <c r="B32" s="190"/>
      <c r="C32" s="175"/>
      <c r="D32" s="190"/>
      <c r="E32" s="191"/>
      <c r="F32" s="163"/>
      <c r="G32" s="191"/>
      <c r="H32" s="166">
        <f t="shared" si="1"/>
        <v>0</v>
      </c>
      <c r="I32" s="193"/>
      <c r="K32" s="75" t="b">
        <v>0</v>
      </c>
      <c r="L32" s="194"/>
    </row>
    <row r="33">
      <c r="A33" s="160"/>
      <c r="B33" s="190"/>
      <c r="C33" s="175"/>
      <c r="D33" s="190"/>
      <c r="E33" s="190"/>
      <c r="F33" s="163"/>
      <c r="G33" s="191"/>
      <c r="H33" s="166">
        <f t="shared" si="1"/>
        <v>0</v>
      </c>
      <c r="I33" s="193"/>
      <c r="K33" s="75" t="b">
        <v>0</v>
      </c>
      <c r="L33" s="194"/>
    </row>
    <row r="34">
      <c r="A34" s="160"/>
      <c r="B34" s="190"/>
      <c r="C34" s="175"/>
      <c r="D34" s="190"/>
      <c r="E34" s="190"/>
      <c r="F34" s="163"/>
      <c r="G34" s="190"/>
      <c r="H34" s="166">
        <f t="shared" si="1"/>
        <v>0</v>
      </c>
      <c r="I34" s="193"/>
      <c r="K34" s="75" t="b">
        <v>0</v>
      </c>
      <c r="L34" s="194"/>
    </row>
    <row r="35">
      <c r="A35" s="160"/>
      <c r="B35" s="190"/>
      <c r="C35" s="175"/>
      <c r="D35" s="190"/>
      <c r="E35" s="190"/>
      <c r="F35" s="163"/>
      <c r="G35" s="190"/>
      <c r="H35" s="166">
        <f t="shared" si="1"/>
        <v>0</v>
      </c>
      <c r="I35" s="193"/>
      <c r="K35" s="75" t="b">
        <v>0</v>
      </c>
      <c r="L35" s="194"/>
    </row>
    <row r="36">
      <c r="A36" s="160"/>
      <c r="B36" s="190"/>
      <c r="C36" s="175"/>
      <c r="D36" s="190"/>
      <c r="E36" s="190"/>
      <c r="F36" s="163"/>
      <c r="G36" s="190"/>
      <c r="H36" s="166">
        <f t="shared" si="1"/>
        <v>0</v>
      </c>
      <c r="I36" s="190"/>
      <c r="K36" s="75" t="b">
        <v>0</v>
      </c>
      <c r="L36" s="194"/>
    </row>
    <row r="37">
      <c r="A37" s="160"/>
      <c r="B37" s="190"/>
      <c r="C37" s="175"/>
      <c r="D37" s="190"/>
      <c r="E37" s="190"/>
      <c r="F37" s="163"/>
      <c r="G37" s="190"/>
      <c r="H37" s="166">
        <f t="shared" si="1"/>
        <v>0</v>
      </c>
      <c r="I37" s="190"/>
      <c r="K37" s="75" t="b">
        <v>0</v>
      </c>
      <c r="L37" s="194"/>
    </row>
    <row r="38">
      <c r="A38" s="160"/>
      <c r="B38" s="190"/>
      <c r="C38" s="175"/>
      <c r="D38" s="190"/>
      <c r="E38" s="190"/>
      <c r="F38" s="163"/>
      <c r="G38" s="190"/>
      <c r="H38" s="166">
        <f t="shared" si="1"/>
        <v>0</v>
      </c>
      <c r="I38" s="190"/>
      <c r="K38" s="75" t="b">
        <v>0</v>
      </c>
      <c r="L38" s="194"/>
    </row>
    <row r="39">
      <c r="A39" s="160"/>
      <c r="B39" s="190"/>
      <c r="C39" s="175"/>
      <c r="D39" s="190"/>
      <c r="E39" s="190"/>
      <c r="F39" s="163"/>
      <c r="G39" s="190"/>
      <c r="H39" s="166">
        <f t="shared" si="1"/>
        <v>0</v>
      </c>
      <c r="I39" s="190"/>
      <c r="K39" s="75" t="b">
        <v>0</v>
      </c>
      <c r="L39" s="194"/>
    </row>
    <row r="40">
      <c r="A40" s="160"/>
      <c r="B40" s="190"/>
      <c r="C40" s="175"/>
      <c r="D40" s="190"/>
      <c r="E40" s="190"/>
      <c r="F40" s="163"/>
      <c r="G40" s="190"/>
      <c r="H40" s="166">
        <f t="shared" si="1"/>
        <v>0</v>
      </c>
      <c r="I40" s="190"/>
      <c r="K40" s="75" t="b">
        <v>0</v>
      </c>
      <c r="L40" s="194"/>
    </row>
    <row r="41">
      <c r="A41" s="160"/>
      <c r="B41" s="190"/>
      <c r="C41" s="175"/>
      <c r="D41" s="190"/>
      <c r="E41" s="190"/>
      <c r="F41" s="163"/>
      <c r="G41" s="190"/>
      <c r="H41" s="166">
        <f t="shared" si="1"/>
        <v>0</v>
      </c>
      <c r="I41" s="190"/>
      <c r="K41" s="75" t="b">
        <v>0</v>
      </c>
      <c r="L41" s="194"/>
    </row>
    <row r="42">
      <c r="A42" s="160"/>
      <c r="B42" s="190"/>
      <c r="C42" s="175"/>
      <c r="D42" s="190"/>
      <c r="E42" s="190"/>
      <c r="F42" s="163"/>
      <c r="G42" s="190"/>
      <c r="H42" s="166">
        <f t="shared" si="1"/>
        <v>0</v>
      </c>
      <c r="I42" s="190"/>
      <c r="K42" s="75" t="b">
        <v>0</v>
      </c>
      <c r="L42" s="194"/>
    </row>
    <row r="43">
      <c r="A43" s="160"/>
      <c r="B43" s="190"/>
      <c r="C43" s="175"/>
      <c r="D43" s="190"/>
      <c r="E43" s="190"/>
      <c r="F43" s="163"/>
      <c r="G43" s="190"/>
      <c r="H43" s="166">
        <f t="shared" si="1"/>
        <v>0</v>
      </c>
      <c r="I43" s="190"/>
      <c r="K43" s="75" t="b">
        <v>0</v>
      </c>
      <c r="L43" s="194"/>
    </row>
    <row r="44">
      <c r="A44" s="160"/>
      <c r="B44" s="190"/>
      <c r="C44" s="175"/>
      <c r="D44" s="190"/>
      <c r="E44" s="190"/>
      <c r="F44" s="163"/>
      <c r="G44" s="190"/>
      <c r="H44" s="166">
        <f t="shared" si="1"/>
        <v>0</v>
      </c>
      <c r="I44" s="190"/>
      <c r="K44" s="75" t="b">
        <v>0</v>
      </c>
      <c r="L44" s="194"/>
    </row>
    <row r="45">
      <c r="A45" s="160"/>
      <c r="B45" s="190"/>
      <c r="C45" s="175"/>
      <c r="D45" s="190"/>
      <c r="E45" s="190"/>
      <c r="F45" s="163"/>
      <c r="G45" s="190"/>
      <c r="H45" s="166">
        <f t="shared" si="1"/>
        <v>0</v>
      </c>
      <c r="I45" s="190"/>
      <c r="K45" s="75" t="b">
        <v>0</v>
      </c>
      <c r="L45" s="194"/>
    </row>
    <row r="46">
      <c r="A46" s="160"/>
      <c r="B46" s="190"/>
      <c r="C46" s="175"/>
      <c r="D46" s="190"/>
      <c r="E46" s="190"/>
      <c r="F46" s="163"/>
      <c r="G46" s="190"/>
      <c r="H46" s="166">
        <f t="shared" si="1"/>
        <v>0</v>
      </c>
      <c r="I46" s="190"/>
      <c r="K46" s="75" t="b">
        <v>0</v>
      </c>
      <c r="L46" s="194"/>
    </row>
    <row r="47">
      <c r="A47" s="160"/>
      <c r="B47" s="190"/>
      <c r="C47" s="175"/>
      <c r="D47" s="190"/>
      <c r="E47" s="190"/>
      <c r="F47" s="163"/>
      <c r="G47" s="190"/>
      <c r="H47" s="166">
        <f t="shared" si="1"/>
        <v>0</v>
      </c>
      <c r="I47" s="190"/>
      <c r="K47" s="75" t="b">
        <v>0</v>
      </c>
      <c r="L47" s="194"/>
    </row>
    <row r="48">
      <c r="A48" s="160"/>
      <c r="B48" s="190"/>
      <c r="C48" s="175"/>
      <c r="D48" s="190"/>
      <c r="E48" s="190"/>
      <c r="F48" s="163"/>
      <c r="G48" s="190"/>
      <c r="H48" s="166">
        <f t="shared" si="1"/>
        <v>0</v>
      </c>
      <c r="I48" s="190"/>
      <c r="K48" s="75" t="b">
        <v>0</v>
      </c>
      <c r="L48" s="194"/>
    </row>
    <row r="49">
      <c r="A49" s="160"/>
      <c r="B49" s="190"/>
      <c r="C49" s="175"/>
      <c r="D49" s="190"/>
      <c r="E49" s="190"/>
      <c r="F49" s="163"/>
      <c r="G49" s="190"/>
      <c r="H49" s="166">
        <f t="shared" si="1"/>
        <v>0</v>
      </c>
      <c r="I49" s="190"/>
      <c r="K49" s="75" t="b">
        <v>0</v>
      </c>
      <c r="L49" s="194"/>
    </row>
    <row r="50">
      <c r="A50" s="160"/>
      <c r="B50" s="190"/>
      <c r="C50" s="175"/>
      <c r="D50" s="190"/>
      <c r="E50" s="190"/>
      <c r="F50" s="163"/>
      <c r="G50" s="190"/>
      <c r="H50" s="166">
        <f t="shared" si="1"/>
        <v>0</v>
      </c>
      <c r="I50" s="190"/>
      <c r="K50" s="75" t="b">
        <v>0</v>
      </c>
      <c r="L50" s="194"/>
    </row>
    <row r="51">
      <c r="A51" s="160"/>
      <c r="B51" s="190"/>
      <c r="C51" s="175"/>
      <c r="D51" s="190"/>
      <c r="E51" s="190"/>
      <c r="F51" s="163"/>
      <c r="G51" s="190"/>
      <c r="H51" s="166">
        <f t="shared" si="1"/>
        <v>0</v>
      </c>
      <c r="I51" s="190"/>
      <c r="K51" s="75" t="b">
        <v>0</v>
      </c>
      <c r="L51" s="194"/>
    </row>
    <row r="52">
      <c r="A52" s="160"/>
      <c r="B52" s="190"/>
      <c r="C52" s="175"/>
      <c r="D52" s="190"/>
      <c r="E52" s="190"/>
      <c r="F52" s="163"/>
      <c r="G52" s="190"/>
      <c r="H52" s="166">
        <f t="shared" si="1"/>
        <v>0</v>
      </c>
      <c r="I52" s="190"/>
      <c r="K52" s="75" t="b">
        <v>0</v>
      </c>
      <c r="L52" s="194"/>
    </row>
    <row r="53">
      <c r="A53" s="160"/>
      <c r="B53" s="190"/>
      <c r="C53" s="175"/>
      <c r="D53" s="190"/>
      <c r="E53" s="190"/>
      <c r="F53" s="163"/>
      <c r="G53" s="190"/>
      <c r="H53" s="166">
        <f t="shared" si="1"/>
        <v>0</v>
      </c>
      <c r="I53" s="190"/>
      <c r="K53" s="75" t="b">
        <v>0</v>
      </c>
      <c r="L53" s="194"/>
    </row>
    <row r="54">
      <c r="A54" s="160"/>
      <c r="B54" s="190"/>
      <c r="C54" s="175"/>
      <c r="D54" s="190"/>
      <c r="E54" s="190"/>
      <c r="F54" s="163"/>
      <c r="G54" s="190"/>
      <c r="H54" s="166">
        <f t="shared" si="1"/>
        <v>0</v>
      </c>
      <c r="I54" s="190"/>
      <c r="K54" s="75" t="b">
        <v>0</v>
      </c>
      <c r="L54" s="194"/>
    </row>
    <row r="55">
      <c r="A55" s="160"/>
      <c r="B55" s="190"/>
      <c r="C55" s="175"/>
      <c r="D55" s="190"/>
      <c r="E55" s="190"/>
      <c r="F55" s="163"/>
      <c r="G55" s="190"/>
      <c r="H55" s="166">
        <f t="shared" si="1"/>
        <v>0</v>
      </c>
      <c r="I55" s="190"/>
      <c r="K55" s="75" t="b">
        <v>0</v>
      </c>
      <c r="L55" s="194"/>
    </row>
    <row r="56">
      <c r="A56" s="160"/>
      <c r="B56" s="190"/>
      <c r="C56" s="175"/>
      <c r="D56" s="190"/>
      <c r="E56" s="190"/>
      <c r="F56" s="163"/>
      <c r="G56" s="190"/>
      <c r="H56" s="166">
        <f t="shared" si="1"/>
        <v>0</v>
      </c>
      <c r="I56" s="190"/>
      <c r="K56" s="75" t="b">
        <v>0</v>
      </c>
      <c r="L56" s="194"/>
    </row>
    <row r="57">
      <c r="A57" s="160"/>
      <c r="B57" s="190"/>
      <c r="C57" s="175"/>
      <c r="D57" s="190"/>
      <c r="E57" s="190"/>
      <c r="F57" s="163"/>
      <c r="G57" s="190"/>
      <c r="H57" s="166">
        <f t="shared" si="1"/>
        <v>0</v>
      </c>
      <c r="I57" s="190"/>
      <c r="K57" s="75" t="b">
        <v>0</v>
      </c>
      <c r="L57" s="194"/>
    </row>
    <row r="58">
      <c r="A58" s="160"/>
      <c r="B58" s="190"/>
      <c r="C58" s="175"/>
      <c r="D58" s="190"/>
      <c r="E58" s="190"/>
      <c r="F58" s="163"/>
      <c r="G58" s="190"/>
      <c r="H58" s="166">
        <f t="shared" si="1"/>
        <v>0</v>
      </c>
      <c r="I58" s="190"/>
      <c r="K58" s="75" t="b">
        <v>0</v>
      </c>
      <c r="L58" s="194"/>
    </row>
    <row r="59">
      <c r="A59" s="160"/>
      <c r="B59" s="190"/>
      <c r="C59" s="175"/>
      <c r="D59" s="190"/>
      <c r="E59" s="190"/>
      <c r="F59" s="163"/>
      <c r="G59" s="190"/>
      <c r="H59" s="166">
        <f t="shared" si="1"/>
        <v>0</v>
      </c>
      <c r="I59" s="190"/>
      <c r="K59" s="75" t="b">
        <v>0</v>
      </c>
      <c r="L59" s="194"/>
    </row>
    <row r="60">
      <c r="A60" s="160"/>
      <c r="B60" s="190"/>
      <c r="C60" s="175"/>
      <c r="D60" s="190"/>
      <c r="E60" s="190"/>
      <c r="F60" s="163"/>
      <c r="G60" s="190"/>
      <c r="H60" s="166">
        <f t="shared" si="1"/>
        <v>0</v>
      </c>
      <c r="I60" s="190"/>
      <c r="K60" s="75" t="b">
        <v>0</v>
      </c>
      <c r="L60" s="194"/>
    </row>
    <row r="61">
      <c r="A61" s="160"/>
      <c r="B61" s="190"/>
      <c r="C61" s="175"/>
      <c r="D61" s="190"/>
      <c r="E61" s="190"/>
      <c r="F61" s="163"/>
      <c r="G61" s="190"/>
      <c r="H61" s="166">
        <f t="shared" si="1"/>
        <v>0</v>
      </c>
      <c r="I61" s="190"/>
      <c r="K61" s="75" t="b">
        <v>0</v>
      </c>
      <c r="L61" s="194"/>
    </row>
    <row r="62">
      <c r="A62" s="160"/>
      <c r="B62" s="190"/>
      <c r="C62" s="175"/>
      <c r="D62" s="190"/>
      <c r="E62" s="190"/>
      <c r="F62" s="163"/>
      <c r="G62" s="190"/>
      <c r="H62" s="166">
        <f t="shared" si="1"/>
        <v>0</v>
      </c>
      <c r="I62" s="190"/>
      <c r="K62" s="75" t="b">
        <v>0</v>
      </c>
      <c r="L62" s="194"/>
    </row>
    <row r="63">
      <c r="A63" s="160"/>
      <c r="B63" s="190"/>
      <c r="C63" s="175"/>
      <c r="D63" s="190"/>
      <c r="E63" s="190"/>
      <c r="F63" s="163"/>
      <c r="G63" s="190"/>
      <c r="H63" s="166">
        <f t="shared" si="1"/>
        <v>0</v>
      </c>
      <c r="I63" s="190"/>
      <c r="K63" s="75" t="b">
        <v>0</v>
      </c>
      <c r="L63" s="194"/>
    </row>
    <row r="64">
      <c r="A64" s="160"/>
      <c r="F64" s="163"/>
      <c r="H64" s="166">
        <f t="shared" si="1"/>
        <v>0</v>
      </c>
      <c r="K64" s="75" t="b">
        <v>0</v>
      </c>
      <c r="L64" s="194"/>
    </row>
    <row r="65">
      <c r="A65" s="160"/>
      <c r="F65" s="163"/>
      <c r="H65" s="166">
        <f t="shared" si="1"/>
        <v>0</v>
      </c>
      <c r="K65" s="75" t="b">
        <v>0</v>
      </c>
      <c r="L65" s="194"/>
    </row>
    <row r="66">
      <c r="A66" s="160"/>
      <c r="F66" s="163"/>
      <c r="H66" s="166">
        <f t="shared" si="1"/>
        <v>0</v>
      </c>
      <c r="K66" s="75" t="b">
        <v>0</v>
      </c>
      <c r="L66" s="194"/>
    </row>
    <row r="67">
      <c r="A67" s="160"/>
      <c r="F67" s="163"/>
      <c r="H67" s="166">
        <f t="shared" si="1"/>
        <v>0</v>
      </c>
      <c r="K67" s="75" t="b">
        <v>0</v>
      </c>
      <c r="L67" s="194"/>
    </row>
    <row r="68">
      <c r="A68" s="160"/>
      <c r="F68" s="163"/>
      <c r="H68" s="166">
        <f t="shared" si="1"/>
        <v>0</v>
      </c>
      <c r="K68" s="75" t="b">
        <v>0</v>
      </c>
      <c r="L68" s="194"/>
    </row>
    <row r="69">
      <c r="A69" s="160"/>
      <c r="F69" s="163"/>
      <c r="H69" s="166">
        <f t="shared" si="1"/>
        <v>0</v>
      </c>
      <c r="K69" s="75" t="b">
        <v>0</v>
      </c>
      <c r="L69" s="194"/>
    </row>
    <row r="70">
      <c r="A70" s="160"/>
      <c r="F70" s="163"/>
      <c r="H70" s="166">
        <f t="shared" si="1"/>
        <v>0</v>
      </c>
      <c r="K70" s="75" t="b">
        <v>0</v>
      </c>
      <c r="L70" s="194"/>
    </row>
    <row r="71">
      <c r="A71" s="160"/>
      <c r="F71" s="163"/>
      <c r="H71" s="166">
        <f t="shared" si="1"/>
        <v>0</v>
      </c>
      <c r="K71" s="75" t="b">
        <v>0</v>
      </c>
      <c r="L71" s="194"/>
    </row>
    <row r="72">
      <c r="A72" s="160"/>
      <c r="F72" s="163"/>
      <c r="H72" s="166">
        <f t="shared" si="1"/>
        <v>0</v>
      </c>
      <c r="K72" s="75" t="b">
        <v>0</v>
      </c>
      <c r="L72" s="194"/>
    </row>
    <row r="73">
      <c r="A73" s="160"/>
      <c r="F73" s="163"/>
      <c r="H73" s="166">
        <f t="shared" si="1"/>
        <v>0</v>
      </c>
      <c r="K73" s="75" t="b">
        <v>0</v>
      </c>
      <c r="L73" s="194"/>
    </row>
    <row r="74">
      <c r="A74" s="160"/>
      <c r="F74" s="163"/>
      <c r="H74" s="166">
        <f t="shared" si="1"/>
        <v>0</v>
      </c>
      <c r="K74" s="75" t="b">
        <v>0</v>
      </c>
      <c r="L74" s="194"/>
    </row>
    <row r="75">
      <c r="A75" s="160"/>
      <c r="F75" s="163"/>
      <c r="H75" s="166">
        <f t="shared" si="1"/>
        <v>0</v>
      </c>
      <c r="K75" s="75" t="b">
        <v>0</v>
      </c>
      <c r="L75" s="194"/>
    </row>
    <row r="76">
      <c r="A76" s="195"/>
      <c r="L76" s="194"/>
    </row>
    <row r="77">
      <c r="A77" s="195"/>
      <c r="L77" s="194"/>
    </row>
    <row r="78">
      <c r="A78" s="195"/>
      <c r="L78" s="194"/>
    </row>
    <row r="79">
      <c r="A79" s="195"/>
      <c r="L79" s="194"/>
    </row>
    <row r="80">
      <c r="A80" s="195"/>
      <c r="L80" s="194"/>
    </row>
    <row r="81">
      <c r="A81" s="195"/>
      <c r="L81" s="194"/>
    </row>
    <row r="82">
      <c r="A82" s="195"/>
      <c r="L82" s="194"/>
    </row>
    <row r="83">
      <c r="A83" s="195"/>
      <c r="L83" s="194"/>
    </row>
    <row r="84">
      <c r="A84" s="195"/>
      <c r="L84" s="194"/>
    </row>
    <row r="85">
      <c r="A85" s="195"/>
      <c r="L85" s="194"/>
    </row>
    <row r="86">
      <c r="A86" s="195"/>
      <c r="L86" s="194"/>
    </row>
    <row r="87">
      <c r="A87" s="195"/>
      <c r="L87" s="194"/>
    </row>
    <row r="88">
      <c r="A88" s="195"/>
      <c r="L88" s="194"/>
    </row>
    <row r="89">
      <c r="A89" s="195"/>
      <c r="L89" s="194"/>
    </row>
    <row r="90">
      <c r="A90" s="195"/>
      <c r="L90" s="194"/>
    </row>
    <row r="91">
      <c r="A91" s="195"/>
      <c r="L91" s="194"/>
    </row>
    <row r="92">
      <c r="A92" s="195"/>
      <c r="L92" s="194"/>
    </row>
    <row r="93">
      <c r="A93" s="195"/>
      <c r="L93" s="194"/>
    </row>
    <row r="94">
      <c r="A94" s="195"/>
      <c r="L94" s="194"/>
    </row>
    <row r="95">
      <c r="A95" s="195"/>
      <c r="L95" s="194"/>
    </row>
    <row r="96">
      <c r="A96" s="195"/>
      <c r="L96" s="194"/>
    </row>
    <row r="97">
      <c r="A97" s="195"/>
      <c r="L97" s="194"/>
    </row>
    <row r="98">
      <c r="A98" s="195"/>
      <c r="L98" s="194"/>
    </row>
    <row r="99">
      <c r="A99" s="195"/>
      <c r="L99" s="194"/>
    </row>
    <row r="100">
      <c r="A100" s="195"/>
      <c r="L100" s="194"/>
    </row>
    <row r="101">
      <c r="A101" s="195"/>
      <c r="L101" s="194"/>
    </row>
    <row r="102">
      <c r="A102" s="195"/>
      <c r="L102" s="194"/>
    </row>
    <row r="103">
      <c r="A103" s="195"/>
      <c r="L103" s="194"/>
    </row>
    <row r="104">
      <c r="A104" s="195"/>
      <c r="L104" s="194"/>
    </row>
    <row r="105">
      <c r="A105" s="195"/>
      <c r="L105" s="194"/>
    </row>
    <row r="106">
      <c r="A106" s="195"/>
      <c r="L106" s="194"/>
    </row>
    <row r="107">
      <c r="A107" s="195"/>
      <c r="L107" s="194"/>
    </row>
    <row r="108">
      <c r="A108" s="195"/>
      <c r="L108" s="194"/>
    </row>
    <row r="109">
      <c r="A109" s="195"/>
      <c r="L109" s="194"/>
    </row>
    <row r="110">
      <c r="A110" s="195"/>
      <c r="L110" s="194"/>
    </row>
    <row r="111">
      <c r="A111" s="195"/>
      <c r="L111" s="194"/>
    </row>
    <row r="112">
      <c r="A112" s="195"/>
      <c r="L112" s="194"/>
    </row>
    <row r="113">
      <c r="A113" s="195"/>
      <c r="L113" s="194"/>
    </row>
    <row r="114">
      <c r="A114" s="195"/>
      <c r="L114" s="194"/>
    </row>
    <row r="115">
      <c r="A115" s="195"/>
      <c r="L115" s="194"/>
    </row>
    <row r="116">
      <c r="A116" s="195"/>
      <c r="L116" s="194"/>
    </row>
    <row r="117">
      <c r="A117" s="195"/>
      <c r="L117" s="194"/>
    </row>
    <row r="118">
      <c r="A118" s="195"/>
      <c r="L118" s="194"/>
    </row>
    <row r="119">
      <c r="A119" s="195"/>
      <c r="L119" s="194"/>
    </row>
    <row r="120">
      <c r="A120" s="195"/>
      <c r="L120" s="194"/>
    </row>
    <row r="121">
      <c r="A121" s="195"/>
      <c r="L121" s="194"/>
    </row>
    <row r="122">
      <c r="A122" s="195"/>
      <c r="L122" s="194"/>
    </row>
    <row r="123">
      <c r="A123" s="195"/>
      <c r="L123" s="194"/>
    </row>
    <row r="124">
      <c r="A124" s="195"/>
      <c r="L124" s="194"/>
    </row>
    <row r="125">
      <c r="A125" s="195"/>
      <c r="L125" s="194"/>
    </row>
    <row r="126">
      <c r="A126" s="195"/>
      <c r="L126" s="194"/>
    </row>
    <row r="127">
      <c r="A127" s="195"/>
      <c r="L127" s="194"/>
    </row>
    <row r="128">
      <c r="A128" s="195"/>
      <c r="L128" s="194"/>
    </row>
    <row r="129">
      <c r="A129" s="195"/>
      <c r="L129" s="194"/>
    </row>
    <row r="130">
      <c r="A130" s="195"/>
      <c r="L130" s="194"/>
    </row>
    <row r="131">
      <c r="A131" s="195"/>
      <c r="L131" s="194"/>
    </row>
    <row r="132">
      <c r="A132" s="195"/>
      <c r="L132" s="194"/>
    </row>
    <row r="133">
      <c r="A133" s="195"/>
      <c r="L133" s="194"/>
    </row>
    <row r="134">
      <c r="A134" s="195"/>
      <c r="L134" s="194"/>
    </row>
    <row r="135">
      <c r="A135" s="195"/>
      <c r="L135" s="194"/>
    </row>
    <row r="136">
      <c r="A136" s="195"/>
      <c r="L136" s="194"/>
    </row>
    <row r="137">
      <c r="A137" s="195"/>
      <c r="L137" s="194"/>
    </row>
    <row r="138">
      <c r="A138" s="195"/>
      <c r="L138" s="194"/>
    </row>
    <row r="139">
      <c r="A139" s="195"/>
      <c r="L139" s="194"/>
    </row>
    <row r="140">
      <c r="A140" s="195"/>
      <c r="L140" s="194"/>
    </row>
    <row r="141">
      <c r="A141" s="195"/>
      <c r="L141" s="194"/>
    </row>
    <row r="142">
      <c r="A142" s="195"/>
      <c r="L142" s="194"/>
    </row>
    <row r="143">
      <c r="A143" s="195"/>
      <c r="L143" s="194"/>
    </row>
    <row r="144">
      <c r="A144" s="195"/>
      <c r="L144" s="194"/>
    </row>
    <row r="145">
      <c r="A145" s="195"/>
      <c r="L145" s="194"/>
    </row>
    <row r="146">
      <c r="A146" s="195"/>
      <c r="L146" s="194"/>
    </row>
    <row r="147">
      <c r="A147" s="195"/>
      <c r="L147" s="194"/>
    </row>
    <row r="148">
      <c r="A148" s="195"/>
      <c r="L148" s="194"/>
    </row>
    <row r="149">
      <c r="A149" s="195"/>
      <c r="L149" s="194"/>
    </row>
    <row r="150">
      <c r="A150" s="195"/>
      <c r="L150" s="194"/>
    </row>
    <row r="151">
      <c r="A151" s="195"/>
      <c r="L151" s="194"/>
    </row>
    <row r="152">
      <c r="A152" s="195"/>
      <c r="L152" s="194"/>
    </row>
    <row r="153">
      <c r="A153" s="195"/>
      <c r="L153" s="194"/>
    </row>
    <row r="154">
      <c r="A154" s="195"/>
      <c r="L154" s="194"/>
    </row>
    <row r="155">
      <c r="A155" s="195"/>
      <c r="L155" s="194"/>
    </row>
    <row r="156">
      <c r="A156" s="195"/>
      <c r="L156" s="194"/>
    </row>
    <row r="157">
      <c r="A157" s="195"/>
      <c r="L157" s="194"/>
    </row>
    <row r="158">
      <c r="A158" s="195"/>
      <c r="L158" s="194"/>
    </row>
    <row r="159">
      <c r="A159" s="195"/>
      <c r="L159" s="194"/>
    </row>
    <row r="160">
      <c r="A160" s="195"/>
      <c r="L160" s="194"/>
    </row>
    <row r="161">
      <c r="A161" s="195"/>
      <c r="L161" s="194"/>
    </row>
    <row r="162">
      <c r="A162" s="195"/>
      <c r="L162" s="194"/>
    </row>
    <row r="163">
      <c r="A163" s="195"/>
      <c r="L163" s="194"/>
    </row>
    <row r="164">
      <c r="A164" s="195"/>
      <c r="L164" s="194"/>
    </row>
    <row r="165">
      <c r="A165" s="195"/>
      <c r="L165" s="194"/>
    </row>
    <row r="166">
      <c r="A166" s="195"/>
      <c r="L166" s="194"/>
    </row>
    <row r="167">
      <c r="A167" s="195"/>
      <c r="L167" s="194"/>
    </row>
    <row r="168">
      <c r="A168" s="195"/>
      <c r="L168" s="194"/>
    </row>
    <row r="169">
      <c r="A169" s="195"/>
      <c r="L169" s="194"/>
    </row>
    <row r="170">
      <c r="A170" s="195"/>
      <c r="L170" s="194"/>
    </row>
    <row r="171">
      <c r="A171" s="195"/>
      <c r="L171" s="194"/>
    </row>
    <row r="172">
      <c r="A172" s="195"/>
      <c r="L172" s="194"/>
    </row>
    <row r="173">
      <c r="A173" s="195"/>
      <c r="L173" s="194"/>
    </row>
    <row r="174">
      <c r="A174" s="195"/>
      <c r="L174" s="194"/>
    </row>
    <row r="175">
      <c r="A175" s="195"/>
      <c r="L175" s="194"/>
    </row>
    <row r="176">
      <c r="A176" s="195"/>
      <c r="L176" s="194"/>
    </row>
    <row r="177">
      <c r="A177" s="195"/>
      <c r="L177" s="194"/>
    </row>
    <row r="178">
      <c r="A178" s="195"/>
      <c r="L178" s="194"/>
    </row>
    <row r="179">
      <c r="A179" s="195"/>
      <c r="L179" s="194"/>
    </row>
    <row r="180">
      <c r="A180" s="195"/>
      <c r="L180" s="194"/>
    </row>
    <row r="181">
      <c r="A181" s="195"/>
      <c r="L181" s="194"/>
    </row>
    <row r="182">
      <c r="A182" s="195"/>
      <c r="L182" s="194"/>
    </row>
    <row r="183">
      <c r="A183" s="195"/>
      <c r="L183" s="194"/>
    </row>
    <row r="184">
      <c r="A184" s="195"/>
      <c r="L184" s="194"/>
    </row>
    <row r="185">
      <c r="A185" s="195"/>
      <c r="L185" s="194"/>
    </row>
    <row r="186">
      <c r="A186" s="195"/>
      <c r="L186" s="194"/>
    </row>
    <row r="187">
      <c r="A187" s="195"/>
      <c r="L187" s="194"/>
    </row>
    <row r="188">
      <c r="A188" s="195"/>
      <c r="L188" s="194"/>
    </row>
    <row r="189">
      <c r="A189" s="195"/>
      <c r="L189" s="194"/>
    </row>
    <row r="190">
      <c r="A190" s="195"/>
      <c r="L190" s="194"/>
    </row>
    <row r="191">
      <c r="A191" s="195"/>
      <c r="L191" s="194"/>
    </row>
    <row r="192">
      <c r="A192" s="195"/>
      <c r="L192" s="194"/>
    </row>
    <row r="193">
      <c r="A193" s="195"/>
      <c r="L193" s="194"/>
    </row>
    <row r="194">
      <c r="A194" s="195"/>
      <c r="L194" s="194"/>
    </row>
    <row r="195">
      <c r="A195" s="195"/>
      <c r="L195" s="194"/>
    </row>
    <row r="196">
      <c r="A196" s="195"/>
      <c r="L196" s="194"/>
    </row>
    <row r="197">
      <c r="A197" s="195"/>
      <c r="L197" s="194"/>
    </row>
    <row r="198">
      <c r="A198" s="195"/>
      <c r="L198" s="194"/>
    </row>
    <row r="199">
      <c r="A199" s="195"/>
      <c r="L199" s="194"/>
    </row>
    <row r="200">
      <c r="A200" s="195"/>
      <c r="L200" s="194"/>
    </row>
    <row r="201">
      <c r="A201" s="195"/>
      <c r="L201" s="194"/>
    </row>
    <row r="202">
      <c r="A202" s="195"/>
      <c r="L202" s="194"/>
    </row>
    <row r="203">
      <c r="A203" s="195"/>
      <c r="L203" s="194"/>
    </row>
    <row r="204">
      <c r="A204" s="195"/>
      <c r="L204" s="194"/>
    </row>
    <row r="205">
      <c r="A205" s="195"/>
      <c r="L205" s="194"/>
    </row>
    <row r="206">
      <c r="A206" s="195"/>
      <c r="L206" s="194"/>
    </row>
    <row r="207">
      <c r="A207" s="195"/>
      <c r="L207" s="194"/>
    </row>
    <row r="208">
      <c r="A208" s="195"/>
      <c r="L208" s="194"/>
    </row>
    <row r="209">
      <c r="A209" s="195"/>
      <c r="L209" s="194"/>
    </row>
    <row r="210">
      <c r="A210" s="195"/>
      <c r="L210" s="194"/>
    </row>
    <row r="211">
      <c r="A211" s="195"/>
      <c r="L211" s="194"/>
    </row>
    <row r="212">
      <c r="A212" s="195"/>
      <c r="L212" s="194"/>
    </row>
    <row r="213">
      <c r="A213" s="195"/>
      <c r="L213" s="194"/>
    </row>
    <row r="214">
      <c r="A214" s="195"/>
      <c r="L214" s="194"/>
    </row>
    <row r="215">
      <c r="A215" s="195"/>
      <c r="L215" s="194"/>
    </row>
    <row r="216">
      <c r="A216" s="195"/>
      <c r="L216" s="194"/>
    </row>
    <row r="217">
      <c r="A217" s="195"/>
      <c r="L217" s="194"/>
    </row>
    <row r="218">
      <c r="A218" s="195"/>
      <c r="L218" s="194"/>
    </row>
    <row r="219">
      <c r="A219" s="195"/>
      <c r="L219" s="194"/>
    </row>
    <row r="220">
      <c r="A220" s="195"/>
      <c r="L220" s="194"/>
    </row>
    <row r="221">
      <c r="A221" s="195"/>
      <c r="L221" s="194"/>
    </row>
    <row r="222">
      <c r="A222" s="195"/>
      <c r="L222" s="194"/>
    </row>
    <row r="223">
      <c r="A223" s="195"/>
      <c r="L223" s="194"/>
    </row>
    <row r="224">
      <c r="A224" s="195"/>
      <c r="L224" s="194"/>
    </row>
    <row r="225">
      <c r="A225" s="195"/>
      <c r="L225" s="194"/>
    </row>
    <row r="226">
      <c r="A226" s="195"/>
      <c r="L226" s="194"/>
    </row>
    <row r="227">
      <c r="A227" s="195"/>
      <c r="L227" s="194"/>
    </row>
    <row r="228">
      <c r="A228" s="195"/>
      <c r="L228" s="194"/>
    </row>
    <row r="229">
      <c r="A229" s="195"/>
      <c r="L229" s="194"/>
    </row>
    <row r="230">
      <c r="A230" s="195"/>
      <c r="L230" s="194"/>
    </row>
    <row r="231">
      <c r="A231" s="195"/>
      <c r="L231" s="194"/>
    </row>
    <row r="232">
      <c r="A232" s="195"/>
      <c r="L232" s="194"/>
    </row>
    <row r="233">
      <c r="A233" s="195"/>
      <c r="L233" s="194"/>
    </row>
    <row r="234">
      <c r="A234" s="195"/>
      <c r="L234" s="194"/>
    </row>
    <row r="235">
      <c r="A235" s="195"/>
      <c r="L235" s="194"/>
    </row>
    <row r="236">
      <c r="A236" s="195"/>
      <c r="L236" s="194"/>
    </row>
    <row r="237">
      <c r="A237" s="195"/>
      <c r="L237" s="194"/>
    </row>
    <row r="238">
      <c r="A238" s="195"/>
      <c r="L238" s="194"/>
    </row>
    <row r="239">
      <c r="A239" s="195"/>
      <c r="L239" s="194"/>
    </row>
    <row r="240">
      <c r="A240" s="195"/>
      <c r="L240" s="194"/>
    </row>
    <row r="241">
      <c r="A241" s="195"/>
      <c r="L241" s="194"/>
    </row>
    <row r="242">
      <c r="A242" s="195"/>
      <c r="L242" s="194"/>
    </row>
    <row r="243">
      <c r="A243" s="195"/>
      <c r="L243" s="194"/>
    </row>
    <row r="244">
      <c r="A244" s="195"/>
      <c r="L244" s="194"/>
    </row>
    <row r="245">
      <c r="A245" s="195"/>
      <c r="L245" s="194"/>
    </row>
    <row r="246">
      <c r="A246" s="195"/>
      <c r="L246" s="194"/>
    </row>
    <row r="247">
      <c r="A247" s="195"/>
      <c r="L247" s="194"/>
    </row>
    <row r="248">
      <c r="A248" s="195"/>
      <c r="L248" s="194"/>
    </row>
    <row r="249">
      <c r="A249" s="195"/>
      <c r="L249" s="194"/>
    </row>
    <row r="250">
      <c r="A250" s="195"/>
      <c r="L250" s="194"/>
    </row>
    <row r="251">
      <c r="A251" s="195"/>
      <c r="L251" s="194"/>
    </row>
    <row r="252">
      <c r="A252" s="195"/>
      <c r="L252" s="194"/>
    </row>
    <row r="253">
      <c r="A253" s="195"/>
      <c r="L253" s="194"/>
    </row>
    <row r="254">
      <c r="A254" s="195"/>
      <c r="L254" s="194"/>
    </row>
    <row r="255">
      <c r="A255" s="195"/>
      <c r="L255" s="194"/>
    </row>
    <row r="256">
      <c r="A256" s="195"/>
      <c r="L256" s="194"/>
    </row>
    <row r="257">
      <c r="A257" s="195"/>
      <c r="L257" s="194"/>
    </row>
    <row r="258">
      <c r="A258" s="195"/>
      <c r="L258" s="194"/>
    </row>
    <row r="259">
      <c r="A259" s="195"/>
      <c r="L259" s="194"/>
    </row>
    <row r="260">
      <c r="A260" s="195"/>
      <c r="L260" s="194"/>
    </row>
    <row r="261">
      <c r="A261" s="195"/>
      <c r="L261" s="194"/>
    </row>
    <row r="262">
      <c r="A262" s="195"/>
      <c r="L262" s="194"/>
    </row>
    <row r="263">
      <c r="A263" s="195"/>
      <c r="L263" s="194"/>
    </row>
    <row r="264">
      <c r="A264" s="195"/>
      <c r="L264" s="194"/>
    </row>
    <row r="265">
      <c r="A265" s="195"/>
      <c r="L265" s="194"/>
    </row>
    <row r="266">
      <c r="A266" s="195"/>
      <c r="L266" s="194"/>
    </row>
    <row r="267">
      <c r="A267" s="195"/>
      <c r="L267" s="194"/>
    </row>
    <row r="268">
      <c r="A268" s="195"/>
      <c r="L268" s="194"/>
    </row>
    <row r="269">
      <c r="A269" s="195"/>
      <c r="L269" s="194"/>
    </row>
    <row r="270">
      <c r="A270" s="195"/>
      <c r="L270" s="194"/>
    </row>
    <row r="271">
      <c r="A271" s="195"/>
      <c r="L271" s="194"/>
    </row>
    <row r="272">
      <c r="A272" s="195"/>
      <c r="L272" s="194"/>
    </row>
    <row r="273">
      <c r="A273" s="195"/>
      <c r="L273" s="194"/>
    </row>
    <row r="274">
      <c r="A274" s="195"/>
      <c r="L274" s="194"/>
    </row>
    <row r="275">
      <c r="A275" s="195"/>
      <c r="L275" s="194"/>
    </row>
    <row r="276">
      <c r="A276" s="195"/>
      <c r="L276" s="194"/>
    </row>
    <row r="277">
      <c r="A277" s="195"/>
      <c r="L277" s="194"/>
    </row>
    <row r="278">
      <c r="A278" s="195"/>
      <c r="L278" s="194"/>
    </row>
    <row r="279">
      <c r="A279" s="195"/>
      <c r="L279" s="194"/>
    </row>
    <row r="280">
      <c r="A280" s="195"/>
      <c r="L280" s="194"/>
    </row>
    <row r="281">
      <c r="A281" s="195"/>
      <c r="L281" s="194"/>
    </row>
    <row r="282">
      <c r="A282" s="195"/>
      <c r="L282" s="194"/>
    </row>
    <row r="283">
      <c r="A283" s="195"/>
      <c r="L283" s="194"/>
    </row>
    <row r="284">
      <c r="A284" s="195"/>
      <c r="L284" s="194"/>
    </row>
    <row r="285">
      <c r="A285" s="195"/>
      <c r="L285" s="194"/>
    </row>
    <row r="286">
      <c r="A286" s="195"/>
      <c r="L286" s="194"/>
    </row>
    <row r="287">
      <c r="A287" s="195"/>
      <c r="L287" s="194"/>
    </row>
    <row r="288">
      <c r="A288" s="195"/>
      <c r="L288" s="194"/>
    </row>
    <row r="289">
      <c r="A289" s="195"/>
      <c r="L289" s="194"/>
    </row>
    <row r="290">
      <c r="A290" s="195"/>
      <c r="L290" s="194"/>
    </row>
    <row r="291">
      <c r="A291" s="195"/>
      <c r="L291" s="194"/>
    </row>
    <row r="292">
      <c r="A292" s="195"/>
      <c r="L292" s="194"/>
    </row>
    <row r="293">
      <c r="A293" s="195"/>
      <c r="L293" s="194"/>
    </row>
    <row r="294">
      <c r="A294" s="195"/>
      <c r="L294" s="194"/>
    </row>
    <row r="295">
      <c r="A295" s="195"/>
      <c r="L295" s="194"/>
    </row>
    <row r="296">
      <c r="A296" s="195"/>
      <c r="L296" s="194"/>
    </row>
    <row r="297">
      <c r="A297" s="195"/>
      <c r="L297" s="194"/>
    </row>
    <row r="298">
      <c r="A298" s="195"/>
      <c r="L298" s="194"/>
    </row>
    <row r="299">
      <c r="A299" s="195"/>
      <c r="L299" s="194"/>
    </row>
    <row r="300">
      <c r="A300" s="195"/>
      <c r="L300" s="194"/>
    </row>
    <row r="301">
      <c r="A301" s="195"/>
      <c r="L301" s="194"/>
    </row>
    <row r="302">
      <c r="A302" s="195"/>
      <c r="L302" s="194"/>
    </row>
    <row r="303">
      <c r="A303" s="195"/>
      <c r="L303" s="194"/>
    </row>
    <row r="304">
      <c r="A304" s="195"/>
      <c r="L304" s="194"/>
    </row>
    <row r="305">
      <c r="A305" s="195"/>
      <c r="L305" s="194"/>
    </row>
    <row r="306">
      <c r="A306" s="195"/>
      <c r="L306" s="194"/>
    </row>
    <row r="307">
      <c r="A307" s="195"/>
      <c r="L307" s="194"/>
    </row>
    <row r="308">
      <c r="A308" s="195"/>
      <c r="L308" s="194"/>
    </row>
    <row r="309">
      <c r="A309" s="195"/>
      <c r="L309" s="194"/>
    </row>
    <row r="310">
      <c r="A310" s="195"/>
      <c r="L310" s="194"/>
    </row>
    <row r="311">
      <c r="A311" s="195"/>
      <c r="L311" s="194"/>
    </row>
    <row r="312">
      <c r="A312" s="195"/>
      <c r="L312" s="194"/>
    </row>
    <row r="313">
      <c r="A313" s="195"/>
      <c r="L313" s="194"/>
    </row>
    <row r="314">
      <c r="A314" s="195"/>
      <c r="L314" s="194"/>
    </row>
    <row r="315">
      <c r="A315" s="195"/>
      <c r="L315" s="194"/>
    </row>
    <row r="316">
      <c r="A316" s="195"/>
      <c r="L316" s="194"/>
    </row>
    <row r="317">
      <c r="A317" s="195"/>
      <c r="L317" s="194"/>
    </row>
    <row r="318">
      <c r="A318" s="195"/>
      <c r="L318" s="194"/>
    </row>
    <row r="319">
      <c r="A319" s="195"/>
      <c r="L319" s="194"/>
    </row>
    <row r="320">
      <c r="A320" s="195"/>
      <c r="L320" s="194"/>
    </row>
    <row r="321">
      <c r="A321" s="195"/>
      <c r="L321" s="194"/>
    </row>
    <row r="322">
      <c r="A322" s="195"/>
      <c r="L322" s="194"/>
    </row>
    <row r="323">
      <c r="A323" s="195"/>
      <c r="L323" s="194"/>
    </row>
    <row r="324">
      <c r="A324" s="195"/>
      <c r="L324" s="194"/>
    </row>
    <row r="325">
      <c r="A325" s="195"/>
      <c r="L325" s="194"/>
    </row>
    <row r="326">
      <c r="A326" s="195"/>
      <c r="L326" s="194"/>
    </row>
    <row r="327">
      <c r="A327" s="195"/>
      <c r="L327" s="194"/>
    </row>
    <row r="328">
      <c r="A328" s="195"/>
      <c r="L328" s="194"/>
    </row>
    <row r="329">
      <c r="A329" s="195"/>
      <c r="L329" s="194"/>
    </row>
    <row r="330">
      <c r="A330" s="195"/>
      <c r="L330" s="194"/>
    </row>
    <row r="331">
      <c r="A331" s="195"/>
      <c r="L331" s="194"/>
    </row>
    <row r="332">
      <c r="A332" s="195"/>
      <c r="L332" s="194"/>
    </row>
    <row r="333">
      <c r="A333" s="195"/>
      <c r="L333" s="194"/>
    </row>
    <row r="334">
      <c r="A334" s="195"/>
      <c r="L334" s="194"/>
    </row>
    <row r="335">
      <c r="A335" s="195"/>
      <c r="L335" s="194"/>
    </row>
    <row r="336">
      <c r="A336" s="195"/>
      <c r="L336" s="194"/>
    </row>
    <row r="337">
      <c r="A337" s="195"/>
      <c r="L337" s="194"/>
    </row>
    <row r="338">
      <c r="A338" s="195"/>
      <c r="L338" s="194"/>
    </row>
    <row r="339">
      <c r="A339" s="195"/>
      <c r="L339" s="194"/>
    </row>
    <row r="340">
      <c r="A340" s="195"/>
      <c r="L340" s="194"/>
    </row>
    <row r="341">
      <c r="A341" s="195"/>
      <c r="L341" s="194"/>
    </row>
    <row r="342">
      <c r="A342" s="195"/>
      <c r="L342" s="194"/>
    </row>
    <row r="343">
      <c r="A343" s="195"/>
      <c r="L343" s="194"/>
    </row>
    <row r="344">
      <c r="A344" s="195"/>
      <c r="L344" s="194"/>
    </row>
    <row r="345">
      <c r="A345" s="195"/>
      <c r="L345" s="194"/>
    </row>
    <row r="346">
      <c r="A346" s="195"/>
      <c r="L346" s="194"/>
    </row>
    <row r="347">
      <c r="A347" s="195"/>
      <c r="L347" s="194"/>
    </row>
    <row r="348">
      <c r="A348" s="195"/>
      <c r="L348" s="194"/>
    </row>
    <row r="349">
      <c r="A349" s="195"/>
      <c r="L349" s="194"/>
    </row>
    <row r="350">
      <c r="A350" s="195"/>
      <c r="L350" s="194"/>
    </row>
    <row r="351">
      <c r="A351" s="195"/>
      <c r="L351" s="194"/>
    </row>
    <row r="352">
      <c r="A352" s="195"/>
      <c r="L352" s="194"/>
    </row>
    <row r="353">
      <c r="A353" s="195"/>
      <c r="L353" s="194"/>
    </row>
    <row r="354">
      <c r="A354" s="195"/>
      <c r="L354" s="194"/>
    </row>
    <row r="355">
      <c r="A355" s="195"/>
      <c r="L355" s="194"/>
    </row>
    <row r="356">
      <c r="A356" s="195"/>
      <c r="L356" s="194"/>
    </row>
    <row r="357">
      <c r="A357" s="195"/>
      <c r="L357" s="194"/>
    </row>
    <row r="358">
      <c r="A358" s="195"/>
      <c r="L358" s="194"/>
    </row>
    <row r="359">
      <c r="A359" s="195"/>
      <c r="L359" s="194"/>
    </row>
    <row r="360">
      <c r="A360" s="195"/>
      <c r="L360" s="194"/>
    </row>
    <row r="361">
      <c r="A361" s="195"/>
      <c r="L361" s="194"/>
    </row>
    <row r="362">
      <c r="A362" s="195"/>
      <c r="L362" s="194"/>
    </row>
    <row r="363">
      <c r="A363" s="195"/>
      <c r="L363" s="194"/>
    </row>
    <row r="364">
      <c r="A364" s="195"/>
      <c r="L364" s="194"/>
    </row>
    <row r="365">
      <c r="A365" s="195"/>
      <c r="L365" s="194"/>
    </row>
    <row r="366">
      <c r="A366" s="195"/>
      <c r="L366" s="194"/>
    </row>
    <row r="367">
      <c r="A367" s="195"/>
      <c r="L367" s="194"/>
    </row>
    <row r="368">
      <c r="A368" s="195"/>
      <c r="L368" s="194"/>
    </row>
    <row r="369">
      <c r="A369" s="195"/>
      <c r="L369" s="194"/>
    </row>
    <row r="370">
      <c r="A370" s="195"/>
      <c r="L370" s="194"/>
    </row>
    <row r="371">
      <c r="A371" s="195"/>
      <c r="L371" s="194"/>
    </row>
    <row r="372">
      <c r="A372" s="195"/>
      <c r="L372" s="194"/>
    </row>
    <row r="373">
      <c r="A373" s="195"/>
      <c r="L373" s="194"/>
    </row>
    <row r="374">
      <c r="A374" s="195"/>
      <c r="L374" s="194"/>
    </row>
    <row r="375">
      <c r="A375" s="195"/>
      <c r="L375" s="194"/>
    </row>
    <row r="376">
      <c r="A376" s="195"/>
      <c r="L376" s="194"/>
    </row>
    <row r="377">
      <c r="A377" s="195"/>
      <c r="L377" s="194"/>
    </row>
    <row r="378">
      <c r="A378" s="195"/>
      <c r="L378" s="194"/>
    </row>
    <row r="379">
      <c r="A379" s="195"/>
      <c r="L379" s="194"/>
    </row>
    <row r="380">
      <c r="A380" s="195"/>
      <c r="L380" s="194"/>
    </row>
    <row r="381">
      <c r="A381" s="195"/>
      <c r="L381" s="194"/>
    </row>
    <row r="382">
      <c r="A382" s="195"/>
      <c r="L382" s="194"/>
    </row>
    <row r="383">
      <c r="A383" s="195"/>
      <c r="L383" s="194"/>
    </row>
    <row r="384">
      <c r="A384" s="195"/>
      <c r="L384" s="194"/>
    </row>
    <row r="385">
      <c r="A385" s="195"/>
      <c r="L385" s="194"/>
    </row>
    <row r="386">
      <c r="A386" s="195"/>
      <c r="L386" s="194"/>
    </row>
    <row r="387">
      <c r="A387" s="195"/>
      <c r="L387" s="194"/>
    </row>
    <row r="388">
      <c r="A388" s="195"/>
      <c r="L388" s="194"/>
    </row>
    <row r="389">
      <c r="A389" s="195"/>
      <c r="L389" s="194"/>
    </row>
    <row r="390">
      <c r="A390" s="195"/>
      <c r="L390" s="194"/>
    </row>
    <row r="391">
      <c r="A391" s="195"/>
      <c r="L391" s="194"/>
    </row>
    <row r="392">
      <c r="A392" s="195"/>
      <c r="L392" s="194"/>
    </row>
    <row r="393">
      <c r="A393" s="195"/>
      <c r="L393" s="194"/>
    </row>
    <row r="394">
      <c r="A394" s="195"/>
      <c r="L394" s="194"/>
    </row>
    <row r="395">
      <c r="A395" s="195"/>
      <c r="L395" s="194"/>
    </row>
    <row r="396">
      <c r="A396" s="195"/>
      <c r="L396" s="194"/>
    </row>
    <row r="397">
      <c r="A397" s="195"/>
      <c r="L397" s="194"/>
    </row>
    <row r="398">
      <c r="A398" s="195"/>
      <c r="L398" s="194"/>
    </row>
    <row r="399">
      <c r="A399" s="195"/>
      <c r="L399" s="194"/>
    </row>
    <row r="400">
      <c r="A400" s="195"/>
      <c r="L400" s="194"/>
    </row>
    <row r="401">
      <c r="A401" s="195"/>
      <c r="L401" s="194"/>
    </row>
    <row r="402">
      <c r="A402" s="195"/>
      <c r="L402" s="194"/>
    </row>
    <row r="403">
      <c r="A403" s="195"/>
      <c r="L403" s="194"/>
    </row>
    <row r="404">
      <c r="A404" s="195"/>
      <c r="L404" s="194"/>
    </row>
    <row r="405">
      <c r="A405" s="195"/>
      <c r="L405" s="194"/>
    </row>
    <row r="406">
      <c r="A406" s="195"/>
      <c r="L406" s="194"/>
    </row>
    <row r="407">
      <c r="A407" s="195"/>
      <c r="L407" s="194"/>
    </row>
    <row r="408">
      <c r="A408" s="195"/>
      <c r="L408" s="194"/>
    </row>
    <row r="409">
      <c r="A409" s="195"/>
      <c r="L409" s="194"/>
    </row>
    <row r="410">
      <c r="A410" s="195"/>
      <c r="L410" s="194"/>
    </row>
    <row r="411">
      <c r="A411" s="195"/>
      <c r="L411" s="194"/>
    </row>
    <row r="412">
      <c r="A412" s="195"/>
      <c r="L412" s="194"/>
    </row>
    <row r="413">
      <c r="A413" s="195"/>
      <c r="L413" s="194"/>
    </row>
    <row r="414">
      <c r="A414" s="195"/>
      <c r="L414" s="194"/>
    </row>
    <row r="415">
      <c r="A415" s="195"/>
      <c r="L415" s="194"/>
    </row>
    <row r="416">
      <c r="A416" s="195"/>
      <c r="L416" s="194"/>
    </row>
    <row r="417">
      <c r="A417" s="195"/>
      <c r="L417" s="194"/>
    </row>
    <row r="418">
      <c r="A418" s="195"/>
      <c r="L418" s="194"/>
    </row>
    <row r="419">
      <c r="A419" s="195"/>
      <c r="L419" s="194"/>
    </row>
    <row r="420">
      <c r="A420" s="195"/>
      <c r="L420" s="194"/>
    </row>
    <row r="421">
      <c r="A421" s="195"/>
      <c r="L421" s="194"/>
    </row>
    <row r="422">
      <c r="A422" s="195"/>
      <c r="L422" s="194"/>
    </row>
    <row r="423">
      <c r="A423" s="195"/>
      <c r="L423" s="194"/>
    </row>
    <row r="424">
      <c r="A424" s="195"/>
      <c r="L424" s="194"/>
    </row>
    <row r="425">
      <c r="A425" s="195"/>
      <c r="L425" s="194"/>
    </row>
    <row r="426">
      <c r="A426" s="195"/>
      <c r="L426" s="194"/>
    </row>
    <row r="427">
      <c r="A427" s="195"/>
      <c r="L427" s="194"/>
    </row>
    <row r="428">
      <c r="A428" s="195"/>
      <c r="L428" s="194"/>
    </row>
    <row r="429">
      <c r="A429" s="195"/>
      <c r="L429" s="194"/>
    </row>
    <row r="430">
      <c r="A430" s="195"/>
      <c r="L430" s="194"/>
    </row>
    <row r="431">
      <c r="A431" s="195"/>
      <c r="L431" s="194"/>
    </row>
    <row r="432">
      <c r="A432" s="195"/>
      <c r="L432" s="194"/>
    </row>
    <row r="433">
      <c r="A433" s="195"/>
      <c r="L433" s="194"/>
    </row>
    <row r="434">
      <c r="A434" s="195"/>
      <c r="L434" s="194"/>
    </row>
    <row r="435">
      <c r="A435" s="195"/>
      <c r="L435" s="194"/>
    </row>
    <row r="436">
      <c r="A436" s="195"/>
      <c r="L436" s="194"/>
    </row>
    <row r="437">
      <c r="A437" s="195"/>
      <c r="L437" s="194"/>
    </row>
    <row r="438">
      <c r="A438" s="195"/>
      <c r="L438" s="194"/>
    </row>
    <row r="439">
      <c r="A439" s="195"/>
      <c r="L439" s="194"/>
    </row>
    <row r="440">
      <c r="A440" s="195"/>
      <c r="L440" s="194"/>
    </row>
    <row r="441">
      <c r="A441" s="195"/>
      <c r="L441" s="194"/>
    </row>
    <row r="442">
      <c r="A442" s="195"/>
      <c r="L442" s="194"/>
    </row>
    <row r="443">
      <c r="A443" s="195"/>
      <c r="L443" s="194"/>
    </row>
    <row r="444">
      <c r="A444" s="195"/>
      <c r="L444" s="194"/>
    </row>
    <row r="445">
      <c r="A445" s="195"/>
      <c r="L445" s="194"/>
    </row>
    <row r="446">
      <c r="A446" s="195"/>
      <c r="L446" s="194"/>
    </row>
    <row r="447">
      <c r="A447" s="195"/>
      <c r="L447" s="194"/>
    </row>
    <row r="448">
      <c r="A448" s="195"/>
      <c r="L448" s="194"/>
    </row>
    <row r="449">
      <c r="A449" s="195"/>
      <c r="L449" s="194"/>
    </row>
    <row r="450">
      <c r="A450" s="195"/>
      <c r="L450" s="194"/>
    </row>
    <row r="451">
      <c r="A451" s="195"/>
      <c r="L451" s="194"/>
    </row>
    <row r="452">
      <c r="A452" s="195"/>
      <c r="L452" s="194"/>
    </row>
    <row r="453">
      <c r="A453" s="195"/>
      <c r="L453" s="194"/>
    </row>
    <row r="454">
      <c r="A454" s="195"/>
      <c r="L454" s="194"/>
    </row>
    <row r="455">
      <c r="A455" s="195"/>
      <c r="L455" s="194"/>
    </row>
    <row r="456">
      <c r="A456" s="195"/>
      <c r="L456" s="194"/>
    </row>
    <row r="457">
      <c r="A457" s="195"/>
      <c r="L457" s="194"/>
    </row>
    <row r="458">
      <c r="A458" s="195"/>
      <c r="L458" s="194"/>
    </row>
    <row r="459">
      <c r="A459" s="195"/>
      <c r="L459" s="194"/>
    </row>
    <row r="460">
      <c r="A460" s="195"/>
      <c r="L460" s="194"/>
    </row>
    <row r="461">
      <c r="A461" s="195"/>
      <c r="L461" s="194"/>
    </row>
    <row r="462">
      <c r="A462" s="195"/>
      <c r="L462" s="194"/>
    </row>
    <row r="463">
      <c r="A463" s="195"/>
      <c r="L463" s="194"/>
    </row>
    <row r="464">
      <c r="A464" s="195"/>
      <c r="L464" s="194"/>
    </row>
    <row r="465">
      <c r="A465" s="195"/>
      <c r="L465" s="194"/>
    </row>
    <row r="466">
      <c r="A466" s="195"/>
      <c r="L466" s="194"/>
    </row>
    <row r="467">
      <c r="A467" s="195"/>
      <c r="L467" s="194"/>
    </row>
    <row r="468">
      <c r="A468" s="195"/>
      <c r="L468" s="194"/>
    </row>
    <row r="469">
      <c r="A469" s="195"/>
      <c r="L469" s="194"/>
    </row>
    <row r="470">
      <c r="A470" s="195"/>
      <c r="L470" s="194"/>
    </row>
    <row r="471">
      <c r="A471" s="195"/>
      <c r="L471" s="194"/>
    </row>
    <row r="472">
      <c r="A472" s="195"/>
      <c r="L472" s="194"/>
    </row>
    <row r="473">
      <c r="A473" s="195"/>
      <c r="L473" s="194"/>
    </row>
    <row r="474">
      <c r="A474" s="195"/>
      <c r="L474" s="194"/>
    </row>
    <row r="475">
      <c r="A475" s="195"/>
      <c r="L475" s="194"/>
    </row>
    <row r="476">
      <c r="A476" s="195"/>
      <c r="L476" s="194"/>
    </row>
    <row r="477">
      <c r="A477" s="195"/>
      <c r="L477" s="194"/>
    </row>
    <row r="478">
      <c r="A478" s="195"/>
      <c r="L478" s="194"/>
    </row>
    <row r="479">
      <c r="A479" s="195"/>
      <c r="L479" s="194"/>
    </row>
    <row r="480">
      <c r="A480" s="195"/>
      <c r="L480" s="194"/>
    </row>
    <row r="481">
      <c r="A481" s="195"/>
      <c r="L481" s="194"/>
    </row>
    <row r="482">
      <c r="A482" s="195"/>
      <c r="L482" s="194"/>
    </row>
    <row r="483">
      <c r="A483" s="195"/>
      <c r="L483" s="194"/>
    </row>
    <row r="484">
      <c r="A484" s="195"/>
      <c r="L484" s="194"/>
    </row>
    <row r="485">
      <c r="A485" s="195"/>
      <c r="L485" s="194"/>
    </row>
    <row r="486">
      <c r="A486" s="195"/>
      <c r="L486" s="194"/>
    </row>
    <row r="487">
      <c r="A487" s="195"/>
      <c r="L487" s="194"/>
    </row>
    <row r="488">
      <c r="A488" s="195"/>
      <c r="L488" s="194"/>
    </row>
    <row r="489">
      <c r="A489" s="195"/>
      <c r="L489" s="194"/>
    </row>
    <row r="490">
      <c r="A490" s="195"/>
      <c r="L490" s="194"/>
    </row>
    <row r="491">
      <c r="A491" s="195"/>
      <c r="L491" s="194"/>
    </row>
    <row r="492">
      <c r="A492" s="195"/>
      <c r="L492" s="194"/>
    </row>
    <row r="493">
      <c r="A493" s="195"/>
      <c r="L493" s="194"/>
    </row>
    <row r="494">
      <c r="A494" s="195"/>
      <c r="L494" s="194"/>
    </row>
    <row r="495">
      <c r="A495" s="195"/>
      <c r="L495" s="194"/>
    </row>
    <row r="496">
      <c r="A496" s="195"/>
      <c r="L496" s="194"/>
    </row>
    <row r="497">
      <c r="A497" s="195"/>
      <c r="L497" s="194"/>
    </row>
    <row r="498">
      <c r="A498" s="195"/>
      <c r="L498" s="194"/>
    </row>
    <row r="499">
      <c r="A499" s="195"/>
      <c r="L499" s="194"/>
    </row>
    <row r="500">
      <c r="A500" s="195"/>
      <c r="L500" s="194"/>
    </row>
    <row r="501">
      <c r="A501" s="195"/>
      <c r="L501" s="194"/>
    </row>
    <row r="502">
      <c r="A502" s="195"/>
      <c r="L502" s="194"/>
    </row>
    <row r="503">
      <c r="A503" s="195"/>
      <c r="L503" s="194"/>
    </row>
    <row r="504">
      <c r="A504" s="195"/>
      <c r="L504" s="194"/>
    </row>
    <row r="505">
      <c r="A505" s="195"/>
      <c r="L505" s="194"/>
    </row>
    <row r="506">
      <c r="A506" s="195"/>
      <c r="L506" s="194"/>
    </row>
    <row r="507">
      <c r="A507" s="195"/>
      <c r="L507" s="194"/>
    </row>
    <row r="508">
      <c r="A508" s="195"/>
      <c r="L508" s="194"/>
    </row>
    <row r="509">
      <c r="A509" s="195"/>
      <c r="L509" s="194"/>
    </row>
    <row r="510">
      <c r="A510" s="195"/>
      <c r="L510" s="194"/>
    </row>
    <row r="511">
      <c r="A511" s="195"/>
      <c r="L511" s="194"/>
    </row>
    <row r="512">
      <c r="A512" s="195"/>
      <c r="L512" s="194"/>
    </row>
    <row r="513">
      <c r="A513" s="195"/>
      <c r="L513" s="194"/>
    </row>
    <row r="514">
      <c r="A514" s="195"/>
      <c r="L514" s="194"/>
    </row>
    <row r="515">
      <c r="A515" s="195"/>
      <c r="L515" s="194"/>
    </row>
    <row r="516">
      <c r="A516" s="195"/>
      <c r="L516" s="194"/>
    </row>
    <row r="517">
      <c r="A517" s="195"/>
      <c r="L517" s="194"/>
    </row>
    <row r="518">
      <c r="A518" s="195"/>
      <c r="L518" s="194"/>
    </row>
    <row r="519">
      <c r="A519" s="195"/>
      <c r="L519" s="194"/>
    </row>
    <row r="520">
      <c r="A520" s="195"/>
      <c r="L520" s="194"/>
    </row>
    <row r="521">
      <c r="A521" s="195"/>
      <c r="L521" s="194"/>
    </row>
    <row r="522">
      <c r="A522" s="195"/>
      <c r="L522" s="194"/>
    </row>
    <row r="523">
      <c r="A523" s="195"/>
      <c r="L523" s="194"/>
    </row>
    <row r="524">
      <c r="A524" s="195"/>
      <c r="L524" s="194"/>
    </row>
    <row r="525">
      <c r="A525" s="195"/>
      <c r="L525" s="194"/>
    </row>
    <row r="526">
      <c r="A526" s="195"/>
      <c r="L526" s="194"/>
    </row>
    <row r="527">
      <c r="A527" s="195"/>
      <c r="L527" s="194"/>
    </row>
    <row r="528">
      <c r="A528" s="195"/>
      <c r="L528" s="194"/>
    </row>
    <row r="529">
      <c r="A529" s="195"/>
      <c r="L529" s="194"/>
    </row>
    <row r="530">
      <c r="A530" s="195"/>
      <c r="L530" s="194"/>
    </row>
    <row r="531">
      <c r="A531" s="195"/>
      <c r="L531" s="194"/>
    </row>
    <row r="532">
      <c r="A532" s="195"/>
      <c r="L532" s="194"/>
    </row>
    <row r="533">
      <c r="A533" s="195"/>
      <c r="L533" s="194"/>
    </row>
    <row r="534">
      <c r="A534" s="195"/>
      <c r="L534" s="194"/>
    </row>
    <row r="535">
      <c r="A535" s="195"/>
      <c r="L535" s="194"/>
    </row>
    <row r="536">
      <c r="A536" s="195"/>
      <c r="L536" s="194"/>
    </row>
    <row r="537">
      <c r="A537" s="195"/>
      <c r="L537" s="194"/>
    </row>
    <row r="538">
      <c r="A538" s="195"/>
      <c r="L538" s="194"/>
    </row>
    <row r="539">
      <c r="A539" s="195"/>
      <c r="L539" s="194"/>
    </row>
    <row r="540">
      <c r="A540" s="195"/>
      <c r="L540" s="194"/>
    </row>
    <row r="541">
      <c r="A541" s="195"/>
      <c r="L541" s="194"/>
    </row>
    <row r="542">
      <c r="A542" s="195"/>
      <c r="L542" s="194"/>
    </row>
    <row r="543">
      <c r="A543" s="195"/>
      <c r="L543" s="194"/>
    </row>
    <row r="544">
      <c r="A544" s="195"/>
      <c r="L544" s="194"/>
    </row>
    <row r="545">
      <c r="A545" s="195"/>
      <c r="L545" s="194"/>
    </row>
    <row r="546">
      <c r="A546" s="195"/>
      <c r="L546" s="194"/>
    </row>
    <row r="547">
      <c r="A547" s="195"/>
      <c r="L547" s="194"/>
    </row>
    <row r="548">
      <c r="A548" s="195"/>
      <c r="L548" s="194"/>
    </row>
    <row r="549">
      <c r="A549" s="195"/>
      <c r="L549" s="194"/>
    </row>
    <row r="550">
      <c r="A550" s="195"/>
      <c r="L550" s="194"/>
    </row>
    <row r="551">
      <c r="A551" s="195"/>
      <c r="L551" s="194"/>
    </row>
    <row r="552">
      <c r="A552" s="195"/>
      <c r="L552" s="194"/>
    </row>
    <row r="553">
      <c r="A553" s="195"/>
      <c r="L553" s="194"/>
    </row>
    <row r="554">
      <c r="A554" s="195"/>
      <c r="L554" s="194"/>
    </row>
    <row r="555">
      <c r="A555" s="195"/>
      <c r="L555" s="194"/>
    </row>
    <row r="556">
      <c r="A556" s="195"/>
      <c r="L556" s="194"/>
    </row>
    <row r="557">
      <c r="A557" s="195"/>
      <c r="L557" s="194"/>
    </row>
    <row r="558">
      <c r="A558" s="195"/>
      <c r="L558" s="194"/>
    </row>
    <row r="559">
      <c r="A559" s="195"/>
      <c r="L559" s="194"/>
    </row>
    <row r="560">
      <c r="A560" s="195"/>
      <c r="L560" s="194"/>
    </row>
    <row r="561">
      <c r="A561" s="195"/>
      <c r="L561" s="194"/>
    </row>
    <row r="562">
      <c r="A562" s="195"/>
      <c r="L562" s="194"/>
    </row>
    <row r="563">
      <c r="A563" s="195"/>
      <c r="L563" s="194"/>
    </row>
    <row r="564">
      <c r="A564" s="195"/>
      <c r="L564" s="194"/>
    </row>
    <row r="565">
      <c r="A565" s="195"/>
      <c r="L565" s="194"/>
    </row>
    <row r="566">
      <c r="A566" s="195"/>
      <c r="L566" s="194"/>
    </row>
    <row r="567">
      <c r="A567" s="195"/>
      <c r="L567" s="194"/>
    </row>
    <row r="568">
      <c r="A568" s="195"/>
      <c r="L568" s="194"/>
    </row>
    <row r="569">
      <c r="A569" s="195"/>
      <c r="L569" s="194"/>
    </row>
    <row r="570">
      <c r="A570" s="195"/>
      <c r="L570" s="194"/>
    </row>
    <row r="571">
      <c r="A571" s="195"/>
      <c r="L571" s="194"/>
    </row>
    <row r="572">
      <c r="A572" s="195"/>
      <c r="L572" s="194"/>
    </row>
    <row r="573">
      <c r="A573" s="195"/>
      <c r="L573" s="194"/>
    </row>
    <row r="574">
      <c r="A574" s="195"/>
      <c r="L574" s="194"/>
    </row>
    <row r="575">
      <c r="A575" s="195"/>
      <c r="L575" s="194"/>
    </row>
    <row r="576">
      <c r="A576" s="195"/>
      <c r="L576" s="194"/>
    </row>
    <row r="577">
      <c r="A577" s="195"/>
      <c r="L577" s="194"/>
    </row>
    <row r="578">
      <c r="A578" s="195"/>
      <c r="L578" s="194"/>
    </row>
    <row r="579">
      <c r="A579" s="195"/>
      <c r="L579" s="194"/>
    </row>
    <row r="580">
      <c r="A580" s="195"/>
      <c r="L580" s="194"/>
    </row>
    <row r="581">
      <c r="A581" s="195"/>
      <c r="L581" s="194"/>
    </row>
    <row r="582">
      <c r="A582" s="195"/>
      <c r="L582" s="194"/>
    </row>
    <row r="583">
      <c r="A583" s="195"/>
      <c r="L583" s="194"/>
    </row>
    <row r="584">
      <c r="A584" s="195"/>
      <c r="L584" s="194"/>
    </row>
    <row r="585">
      <c r="A585" s="195"/>
      <c r="L585" s="194"/>
    </row>
    <row r="586">
      <c r="A586" s="195"/>
      <c r="L586" s="194"/>
    </row>
    <row r="587">
      <c r="A587" s="195"/>
      <c r="L587" s="194"/>
    </row>
    <row r="588">
      <c r="A588" s="195"/>
      <c r="L588" s="194"/>
    </row>
    <row r="589">
      <c r="A589" s="195"/>
      <c r="L589" s="194"/>
    </row>
    <row r="590">
      <c r="A590" s="195"/>
      <c r="L590" s="194"/>
    </row>
    <row r="591">
      <c r="A591" s="195"/>
      <c r="L591" s="194"/>
    </row>
    <row r="592">
      <c r="A592" s="195"/>
      <c r="L592" s="194"/>
    </row>
    <row r="593">
      <c r="A593" s="195"/>
      <c r="L593" s="194"/>
    </row>
    <row r="594">
      <c r="A594" s="195"/>
      <c r="L594" s="194"/>
    </row>
    <row r="595">
      <c r="A595" s="195"/>
      <c r="L595" s="194"/>
    </row>
    <row r="596">
      <c r="A596" s="195"/>
      <c r="L596" s="194"/>
    </row>
    <row r="597">
      <c r="A597" s="195"/>
      <c r="L597" s="194"/>
    </row>
    <row r="598">
      <c r="A598" s="195"/>
      <c r="L598" s="194"/>
    </row>
    <row r="599">
      <c r="A599" s="195"/>
      <c r="L599" s="194"/>
    </row>
    <row r="600">
      <c r="A600" s="195"/>
      <c r="L600" s="194"/>
    </row>
    <row r="601">
      <c r="A601" s="195"/>
      <c r="L601" s="194"/>
    </row>
    <row r="602">
      <c r="A602" s="195"/>
      <c r="L602" s="194"/>
    </row>
    <row r="603">
      <c r="A603" s="195"/>
      <c r="L603" s="194"/>
    </row>
    <row r="604">
      <c r="A604" s="195"/>
      <c r="L604" s="194"/>
    </row>
    <row r="605">
      <c r="A605" s="195"/>
      <c r="L605" s="194"/>
    </row>
    <row r="606">
      <c r="A606" s="195"/>
      <c r="L606" s="194"/>
    </row>
    <row r="607">
      <c r="A607" s="195"/>
      <c r="L607" s="194"/>
    </row>
    <row r="608">
      <c r="A608" s="195"/>
      <c r="L608" s="194"/>
    </row>
    <row r="609">
      <c r="A609" s="195"/>
      <c r="L609" s="194"/>
    </row>
    <row r="610">
      <c r="A610" s="195"/>
      <c r="L610" s="194"/>
    </row>
    <row r="611">
      <c r="A611" s="195"/>
      <c r="L611" s="194"/>
    </row>
    <row r="612">
      <c r="A612" s="195"/>
      <c r="L612" s="194"/>
    </row>
    <row r="613">
      <c r="A613" s="195"/>
      <c r="L613" s="194"/>
    </row>
    <row r="614">
      <c r="A614" s="195"/>
      <c r="L614" s="194"/>
    </row>
    <row r="615">
      <c r="A615" s="195"/>
      <c r="L615" s="194"/>
    </row>
    <row r="616">
      <c r="A616" s="195"/>
      <c r="L616" s="194"/>
    </row>
    <row r="617">
      <c r="A617" s="195"/>
      <c r="L617" s="194"/>
    </row>
    <row r="618">
      <c r="A618" s="195"/>
      <c r="L618" s="194"/>
    </row>
    <row r="619">
      <c r="A619" s="195"/>
      <c r="L619" s="194"/>
    </row>
    <row r="620">
      <c r="A620" s="195"/>
      <c r="L620" s="194"/>
    </row>
    <row r="621">
      <c r="A621" s="195"/>
      <c r="L621" s="194"/>
    </row>
    <row r="622">
      <c r="A622" s="195"/>
      <c r="L622" s="194"/>
    </row>
    <row r="623">
      <c r="A623" s="195"/>
      <c r="L623" s="194"/>
    </row>
    <row r="624">
      <c r="A624" s="195"/>
      <c r="L624" s="194"/>
    </row>
    <row r="625">
      <c r="A625" s="195"/>
      <c r="L625" s="194"/>
    </row>
    <row r="626">
      <c r="A626" s="195"/>
      <c r="L626" s="194"/>
    </row>
    <row r="627">
      <c r="A627" s="195"/>
      <c r="L627" s="194"/>
    </row>
    <row r="628">
      <c r="A628" s="195"/>
      <c r="L628" s="194"/>
    </row>
    <row r="629">
      <c r="A629" s="195"/>
      <c r="L629" s="194"/>
    </row>
    <row r="630">
      <c r="A630" s="195"/>
      <c r="L630" s="194"/>
    </row>
    <row r="631">
      <c r="A631" s="195"/>
      <c r="L631" s="194"/>
    </row>
    <row r="632">
      <c r="A632" s="195"/>
      <c r="L632" s="194"/>
    </row>
    <row r="633">
      <c r="A633" s="195"/>
      <c r="L633" s="194"/>
    </row>
    <row r="634">
      <c r="A634" s="195"/>
      <c r="L634" s="194"/>
    </row>
    <row r="635">
      <c r="A635" s="195"/>
      <c r="L635" s="194"/>
    </row>
    <row r="636">
      <c r="A636" s="195"/>
      <c r="L636" s="194"/>
    </row>
    <row r="637">
      <c r="A637" s="195"/>
      <c r="L637" s="194"/>
    </row>
    <row r="638">
      <c r="A638" s="195"/>
      <c r="L638" s="194"/>
    </row>
    <row r="639">
      <c r="A639" s="195"/>
      <c r="L639" s="194"/>
    </row>
    <row r="640">
      <c r="A640" s="195"/>
      <c r="L640" s="194"/>
    </row>
    <row r="641">
      <c r="A641" s="195"/>
      <c r="L641" s="194"/>
    </row>
    <row r="642">
      <c r="A642" s="195"/>
      <c r="L642" s="194"/>
    </row>
    <row r="643">
      <c r="A643" s="195"/>
      <c r="L643" s="194"/>
    </row>
    <row r="644">
      <c r="A644" s="195"/>
      <c r="L644" s="194"/>
    </row>
    <row r="645">
      <c r="A645" s="195"/>
      <c r="L645" s="194"/>
    </row>
    <row r="646">
      <c r="A646" s="195"/>
      <c r="L646" s="194"/>
    </row>
    <row r="647">
      <c r="A647" s="195"/>
      <c r="L647" s="194"/>
    </row>
    <row r="648">
      <c r="A648" s="195"/>
      <c r="L648" s="194"/>
    </row>
    <row r="649">
      <c r="A649" s="195"/>
      <c r="L649" s="194"/>
    </row>
    <row r="650">
      <c r="A650" s="195"/>
      <c r="L650" s="194"/>
    </row>
    <row r="651">
      <c r="A651" s="195"/>
      <c r="L651" s="194"/>
    </row>
    <row r="652">
      <c r="A652" s="195"/>
      <c r="L652" s="194"/>
    </row>
    <row r="653">
      <c r="A653" s="195"/>
      <c r="L653" s="194"/>
    </row>
    <row r="654">
      <c r="A654" s="195"/>
      <c r="L654" s="194"/>
    </row>
    <row r="655">
      <c r="A655" s="195"/>
      <c r="L655" s="194"/>
    </row>
    <row r="656">
      <c r="A656" s="195"/>
      <c r="L656" s="194"/>
    </row>
    <row r="657">
      <c r="A657" s="195"/>
      <c r="L657" s="194"/>
    </row>
    <row r="658">
      <c r="A658" s="195"/>
      <c r="L658" s="194"/>
    </row>
    <row r="659">
      <c r="A659" s="195"/>
      <c r="L659" s="194"/>
    </row>
    <row r="660">
      <c r="A660" s="195"/>
      <c r="L660" s="194"/>
    </row>
    <row r="661">
      <c r="A661" s="195"/>
      <c r="L661" s="194"/>
    </row>
    <row r="662">
      <c r="A662" s="195"/>
      <c r="L662" s="194"/>
    </row>
    <row r="663">
      <c r="A663" s="195"/>
      <c r="L663" s="194"/>
    </row>
    <row r="664">
      <c r="A664" s="195"/>
      <c r="L664" s="194"/>
    </row>
    <row r="665">
      <c r="A665" s="195"/>
      <c r="L665" s="194"/>
    </row>
    <row r="666">
      <c r="A666" s="195"/>
      <c r="L666" s="194"/>
    </row>
    <row r="667">
      <c r="A667" s="195"/>
      <c r="L667" s="194"/>
    </row>
    <row r="668">
      <c r="A668" s="195"/>
      <c r="L668" s="194"/>
    </row>
    <row r="669">
      <c r="A669" s="195"/>
      <c r="L669" s="194"/>
    </row>
    <row r="670">
      <c r="A670" s="195"/>
      <c r="L670" s="194"/>
    </row>
    <row r="671">
      <c r="A671" s="195"/>
      <c r="L671" s="194"/>
    </row>
    <row r="672">
      <c r="A672" s="195"/>
      <c r="L672" s="194"/>
    </row>
    <row r="673">
      <c r="A673" s="195"/>
      <c r="L673" s="194"/>
    </row>
    <row r="674">
      <c r="A674" s="195"/>
      <c r="L674" s="194"/>
    </row>
    <row r="675">
      <c r="A675" s="195"/>
      <c r="L675" s="194"/>
    </row>
    <row r="676">
      <c r="A676" s="195"/>
      <c r="L676" s="194"/>
    </row>
    <row r="677">
      <c r="A677" s="195"/>
      <c r="L677" s="194"/>
    </row>
    <row r="678">
      <c r="A678" s="195"/>
      <c r="L678" s="194"/>
    </row>
    <row r="679">
      <c r="A679" s="195"/>
      <c r="L679" s="194"/>
    </row>
    <row r="680">
      <c r="A680" s="195"/>
      <c r="L680" s="194"/>
    </row>
    <row r="681">
      <c r="A681" s="195"/>
      <c r="L681" s="194"/>
    </row>
    <row r="682">
      <c r="A682" s="195"/>
      <c r="L682" s="194"/>
    </row>
    <row r="683">
      <c r="A683" s="195"/>
      <c r="L683" s="194"/>
    </row>
    <row r="684">
      <c r="A684" s="195"/>
      <c r="L684" s="194"/>
    </row>
    <row r="685">
      <c r="A685" s="195"/>
      <c r="L685" s="194"/>
    </row>
    <row r="686">
      <c r="A686" s="195"/>
      <c r="L686" s="194"/>
    </row>
    <row r="687">
      <c r="A687" s="195"/>
      <c r="L687" s="194"/>
    </row>
    <row r="688">
      <c r="A688" s="195"/>
      <c r="L688" s="194"/>
    </row>
    <row r="689">
      <c r="A689" s="195"/>
      <c r="L689" s="194"/>
    </row>
    <row r="690">
      <c r="A690" s="195"/>
      <c r="L690" s="194"/>
    </row>
    <row r="691">
      <c r="A691" s="195"/>
      <c r="L691" s="194"/>
    </row>
    <row r="692">
      <c r="A692" s="195"/>
      <c r="L692" s="194"/>
    </row>
    <row r="693">
      <c r="A693" s="195"/>
      <c r="L693" s="194"/>
    </row>
    <row r="694">
      <c r="A694" s="195"/>
      <c r="L694" s="194"/>
    </row>
    <row r="695">
      <c r="A695" s="195"/>
      <c r="L695" s="194"/>
    </row>
    <row r="696">
      <c r="A696" s="195"/>
      <c r="L696" s="194"/>
    </row>
    <row r="697">
      <c r="A697" s="195"/>
      <c r="L697" s="194"/>
    </row>
    <row r="698">
      <c r="A698" s="195"/>
      <c r="L698" s="194"/>
    </row>
    <row r="699">
      <c r="A699" s="195"/>
      <c r="L699" s="194"/>
    </row>
    <row r="700">
      <c r="A700" s="195"/>
      <c r="L700" s="194"/>
    </row>
    <row r="701">
      <c r="A701" s="195"/>
      <c r="L701" s="194"/>
    </row>
    <row r="702">
      <c r="A702" s="195"/>
      <c r="L702" s="194"/>
    </row>
    <row r="703">
      <c r="A703" s="195"/>
      <c r="L703" s="194"/>
    </row>
    <row r="704">
      <c r="A704" s="195"/>
      <c r="L704" s="194"/>
    </row>
    <row r="705">
      <c r="A705" s="195"/>
      <c r="L705" s="194"/>
    </row>
    <row r="706">
      <c r="A706" s="195"/>
      <c r="L706" s="194"/>
    </row>
    <row r="707">
      <c r="A707" s="195"/>
      <c r="L707" s="194"/>
    </row>
    <row r="708">
      <c r="A708" s="195"/>
      <c r="L708" s="194"/>
    </row>
    <row r="709">
      <c r="A709" s="195"/>
      <c r="L709" s="194"/>
    </row>
    <row r="710">
      <c r="A710" s="195"/>
      <c r="L710" s="194"/>
    </row>
    <row r="711">
      <c r="A711" s="195"/>
      <c r="L711" s="194"/>
    </row>
    <row r="712">
      <c r="A712" s="195"/>
      <c r="L712" s="194"/>
    </row>
    <row r="713">
      <c r="A713" s="195"/>
      <c r="L713" s="194"/>
    </row>
    <row r="714">
      <c r="A714" s="195"/>
      <c r="L714" s="194"/>
    </row>
    <row r="715">
      <c r="A715" s="195"/>
      <c r="L715" s="194"/>
    </row>
    <row r="716">
      <c r="A716" s="195"/>
      <c r="L716" s="194"/>
    </row>
    <row r="717">
      <c r="A717" s="195"/>
      <c r="L717" s="194"/>
    </row>
    <row r="718">
      <c r="A718" s="195"/>
      <c r="L718" s="194"/>
    </row>
    <row r="719">
      <c r="A719" s="195"/>
      <c r="L719" s="194"/>
    </row>
    <row r="720">
      <c r="A720" s="195"/>
      <c r="L720" s="194"/>
    </row>
    <row r="721">
      <c r="A721" s="195"/>
      <c r="L721" s="194"/>
    </row>
    <row r="722">
      <c r="A722" s="195"/>
      <c r="L722" s="194"/>
    </row>
    <row r="723">
      <c r="A723" s="195"/>
      <c r="L723" s="194"/>
    </row>
    <row r="724">
      <c r="A724" s="195"/>
      <c r="L724" s="194"/>
    </row>
    <row r="725">
      <c r="A725" s="195"/>
      <c r="L725" s="194"/>
    </row>
    <row r="726">
      <c r="A726" s="195"/>
      <c r="L726" s="194"/>
    </row>
    <row r="727">
      <c r="A727" s="195"/>
      <c r="L727" s="194"/>
    </row>
    <row r="728">
      <c r="A728" s="195"/>
      <c r="L728" s="194"/>
    </row>
    <row r="729">
      <c r="A729" s="195"/>
      <c r="L729" s="194"/>
    </row>
    <row r="730">
      <c r="A730" s="195"/>
      <c r="L730" s="194"/>
    </row>
    <row r="731">
      <c r="A731" s="195"/>
      <c r="L731" s="194"/>
    </row>
    <row r="732">
      <c r="A732" s="195"/>
      <c r="L732" s="194"/>
    </row>
    <row r="733">
      <c r="A733" s="195"/>
      <c r="L733" s="194"/>
    </row>
    <row r="734">
      <c r="A734" s="195"/>
      <c r="L734" s="194"/>
    </row>
    <row r="735">
      <c r="A735" s="195"/>
      <c r="L735" s="194"/>
    </row>
    <row r="736">
      <c r="A736" s="195"/>
      <c r="L736" s="194"/>
    </row>
    <row r="737">
      <c r="A737" s="195"/>
      <c r="L737" s="194"/>
    </row>
    <row r="738">
      <c r="A738" s="195"/>
      <c r="L738" s="194"/>
    </row>
    <row r="739">
      <c r="A739" s="195"/>
      <c r="L739" s="194"/>
    </row>
    <row r="740">
      <c r="A740" s="195"/>
      <c r="L740" s="194"/>
    </row>
    <row r="741">
      <c r="A741" s="195"/>
      <c r="L741" s="194"/>
    </row>
    <row r="742">
      <c r="A742" s="195"/>
      <c r="L742" s="194"/>
    </row>
    <row r="743">
      <c r="A743" s="195"/>
      <c r="L743" s="194"/>
    </row>
    <row r="744">
      <c r="A744" s="195"/>
      <c r="L744" s="194"/>
    </row>
    <row r="745">
      <c r="A745" s="195"/>
      <c r="L745" s="194"/>
    </row>
    <row r="746">
      <c r="A746" s="195"/>
      <c r="L746" s="194"/>
    </row>
    <row r="747">
      <c r="A747" s="195"/>
      <c r="L747" s="194"/>
    </row>
    <row r="748">
      <c r="A748" s="195"/>
      <c r="L748" s="194"/>
    </row>
    <row r="749">
      <c r="A749" s="195"/>
      <c r="L749" s="194"/>
    </row>
    <row r="750">
      <c r="A750" s="195"/>
      <c r="L750" s="194"/>
    </row>
    <row r="751">
      <c r="A751" s="195"/>
      <c r="L751" s="194"/>
    </row>
    <row r="752">
      <c r="A752" s="195"/>
      <c r="L752" s="194"/>
    </row>
    <row r="753">
      <c r="A753" s="195"/>
      <c r="L753" s="194"/>
    </row>
    <row r="754">
      <c r="A754" s="195"/>
      <c r="L754" s="194"/>
    </row>
    <row r="755">
      <c r="A755" s="195"/>
      <c r="L755" s="194"/>
    </row>
    <row r="756">
      <c r="A756" s="195"/>
      <c r="L756" s="194"/>
    </row>
    <row r="757">
      <c r="A757" s="195"/>
      <c r="L757" s="194"/>
    </row>
    <row r="758">
      <c r="A758" s="195"/>
      <c r="L758" s="194"/>
    </row>
    <row r="759">
      <c r="A759" s="195"/>
      <c r="L759" s="194"/>
    </row>
    <row r="760">
      <c r="A760" s="195"/>
      <c r="L760" s="194"/>
    </row>
    <row r="761">
      <c r="A761" s="195"/>
      <c r="L761" s="194"/>
    </row>
    <row r="762">
      <c r="A762" s="195"/>
      <c r="L762" s="194"/>
    </row>
    <row r="763">
      <c r="A763" s="195"/>
      <c r="L763" s="194"/>
    </row>
    <row r="764">
      <c r="A764" s="195"/>
      <c r="L764" s="194"/>
    </row>
    <row r="765">
      <c r="A765" s="195"/>
      <c r="L765" s="194"/>
    </row>
    <row r="766">
      <c r="A766" s="195"/>
      <c r="L766" s="194"/>
    </row>
    <row r="767">
      <c r="A767" s="195"/>
      <c r="L767" s="194"/>
    </row>
    <row r="768">
      <c r="A768" s="195"/>
      <c r="L768" s="194"/>
    </row>
    <row r="769">
      <c r="A769" s="195"/>
      <c r="L769" s="194"/>
    </row>
    <row r="770">
      <c r="A770" s="195"/>
      <c r="L770" s="194"/>
    </row>
    <row r="771">
      <c r="A771" s="195"/>
      <c r="L771" s="194"/>
    </row>
    <row r="772">
      <c r="A772" s="195"/>
      <c r="L772" s="194"/>
    </row>
    <row r="773">
      <c r="A773" s="195"/>
      <c r="L773" s="194"/>
    </row>
    <row r="774">
      <c r="A774" s="195"/>
      <c r="L774" s="194"/>
    </row>
    <row r="775">
      <c r="A775" s="195"/>
      <c r="L775" s="194"/>
    </row>
    <row r="776">
      <c r="A776" s="195"/>
      <c r="L776" s="194"/>
    </row>
    <row r="777">
      <c r="A777" s="195"/>
      <c r="L777" s="194"/>
    </row>
    <row r="778">
      <c r="A778" s="195"/>
      <c r="L778" s="194"/>
    </row>
    <row r="779">
      <c r="A779" s="195"/>
      <c r="L779" s="194"/>
    </row>
    <row r="780">
      <c r="A780" s="195"/>
      <c r="L780" s="194"/>
    </row>
    <row r="781">
      <c r="A781" s="195"/>
      <c r="L781" s="194"/>
    </row>
    <row r="782">
      <c r="A782" s="195"/>
      <c r="L782" s="194"/>
    </row>
    <row r="783">
      <c r="A783" s="195"/>
      <c r="L783" s="194"/>
    </row>
    <row r="784">
      <c r="A784" s="195"/>
      <c r="L784" s="194"/>
    </row>
    <row r="785">
      <c r="A785" s="195"/>
      <c r="L785" s="194"/>
    </row>
    <row r="786">
      <c r="A786" s="195"/>
      <c r="L786" s="194"/>
    </row>
    <row r="787">
      <c r="A787" s="195"/>
      <c r="L787" s="194"/>
    </row>
    <row r="788">
      <c r="A788" s="195"/>
      <c r="L788" s="194"/>
    </row>
    <row r="789">
      <c r="A789" s="195"/>
      <c r="L789" s="194"/>
    </row>
    <row r="790">
      <c r="A790" s="195"/>
      <c r="L790" s="194"/>
    </row>
    <row r="791">
      <c r="A791" s="195"/>
      <c r="L791" s="194"/>
    </row>
    <row r="792">
      <c r="A792" s="195"/>
      <c r="L792" s="194"/>
    </row>
    <row r="793">
      <c r="A793" s="195"/>
      <c r="L793" s="194"/>
    </row>
    <row r="794">
      <c r="A794" s="195"/>
      <c r="L794" s="194"/>
    </row>
    <row r="795">
      <c r="A795" s="195"/>
      <c r="L795" s="194"/>
    </row>
    <row r="796">
      <c r="A796" s="195"/>
      <c r="L796" s="194"/>
    </row>
    <row r="797">
      <c r="A797" s="195"/>
      <c r="L797" s="194"/>
    </row>
    <row r="798">
      <c r="A798" s="195"/>
      <c r="L798" s="194"/>
    </row>
    <row r="799">
      <c r="A799" s="195"/>
      <c r="L799" s="194"/>
    </row>
    <row r="800">
      <c r="A800" s="195"/>
      <c r="L800" s="194"/>
    </row>
    <row r="801">
      <c r="A801" s="195"/>
      <c r="L801" s="194"/>
    </row>
    <row r="802">
      <c r="A802" s="195"/>
      <c r="L802" s="194"/>
    </row>
    <row r="803">
      <c r="A803" s="195"/>
      <c r="L803" s="194"/>
    </row>
    <row r="804">
      <c r="A804" s="195"/>
      <c r="L804" s="194"/>
    </row>
    <row r="805">
      <c r="A805" s="195"/>
      <c r="L805" s="194"/>
    </row>
    <row r="806">
      <c r="A806" s="195"/>
      <c r="L806" s="194"/>
    </row>
    <row r="807">
      <c r="A807" s="195"/>
      <c r="L807" s="194"/>
    </row>
    <row r="808">
      <c r="A808" s="195"/>
      <c r="L808" s="194"/>
    </row>
    <row r="809">
      <c r="A809" s="195"/>
      <c r="L809" s="194"/>
    </row>
    <row r="810">
      <c r="A810" s="195"/>
      <c r="L810" s="194"/>
    </row>
    <row r="811">
      <c r="A811" s="195"/>
      <c r="L811" s="194"/>
    </row>
    <row r="812">
      <c r="A812" s="195"/>
      <c r="L812" s="194"/>
    </row>
    <row r="813">
      <c r="A813" s="195"/>
      <c r="L813" s="194"/>
    </row>
    <row r="814">
      <c r="A814" s="195"/>
      <c r="L814" s="194"/>
    </row>
    <row r="815">
      <c r="A815" s="195"/>
      <c r="L815" s="194"/>
    </row>
    <row r="816">
      <c r="A816" s="195"/>
      <c r="L816" s="194"/>
    </row>
    <row r="817">
      <c r="A817" s="195"/>
      <c r="L817" s="194"/>
    </row>
    <row r="818">
      <c r="A818" s="195"/>
      <c r="L818" s="194"/>
    </row>
    <row r="819">
      <c r="A819" s="195"/>
      <c r="L819" s="194"/>
    </row>
    <row r="820">
      <c r="A820" s="195"/>
      <c r="L820" s="194"/>
    </row>
    <row r="821">
      <c r="A821" s="195"/>
      <c r="L821" s="194"/>
    </row>
    <row r="822">
      <c r="A822" s="195"/>
      <c r="L822" s="194"/>
    </row>
    <row r="823">
      <c r="A823" s="195"/>
      <c r="L823" s="194"/>
    </row>
    <row r="824">
      <c r="A824" s="195"/>
      <c r="L824" s="194"/>
    </row>
    <row r="825">
      <c r="A825" s="195"/>
      <c r="L825" s="194"/>
    </row>
    <row r="826">
      <c r="A826" s="195"/>
      <c r="L826" s="194"/>
    </row>
    <row r="827">
      <c r="A827" s="195"/>
      <c r="L827" s="194"/>
    </row>
    <row r="828">
      <c r="A828" s="195"/>
      <c r="L828" s="194"/>
    </row>
    <row r="829">
      <c r="A829" s="195"/>
      <c r="L829" s="194"/>
    </row>
    <row r="830">
      <c r="A830" s="195"/>
      <c r="L830" s="194"/>
    </row>
    <row r="831">
      <c r="A831" s="195"/>
      <c r="L831" s="194"/>
    </row>
    <row r="832">
      <c r="A832" s="195"/>
      <c r="L832" s="194"/>
    </row>
    <row r="833">
      <c r="A833" s="195"/>
      <c r="L833" s="194"/>
    </row>
    <row r="834">
      <c r="A834" s="195"/>
      <c r="L834" s="194"/>
    </row>
    <row r="835">
      <c r="A835" s="195"/>
      <c r="L835" s="194"/>
    </row>
    <row r="836">
      <c r="A836" s="195"/>
      <c r="L836" s="194"/>
    </row>
    <row r="837">
      <c r="A837" s="195"/>
      <c r="L837" s="194"/>
    </row>
    <row r="838">
      <c r="A838" s="195"/>
      <c r="L838" s="194"/>
    </row>
    <row r="839">
      <c r="A839" s="195"/>
      <c r="L839" s="194"/>
    </row>
    <row r="840">
      <c r="A840" s="195"/>
      <c r="L840" s="194"/>
    </row>
    <row r="841">
      <c r="A841" s="195"/>
      <c r="L841" s="194"/>
    </row>
    <row r="842">
      <c r="A842" s="195"/>
      <c r="L842" s="194"/>
    </row>
    <row r="843">
      <c r="A843" s="195"/>
      <c r="L843" s="194"/>
    </row>
    <row r="844">
      <c r="A844" s="195"/>
      <c r="L844" s="194"/>
    </row>
    <row r="845">
      <c r="A845" s="195"/>
      <c r="L845" s="194"/>
    </row>
    <row r="846">
      <c r="A846" s="195"/>
      <c r="L846" s="194"/>
    </row>
    <row r="847">
      <c r="A847" s="195"/>
      <c r="L847" s="194"/>
    </row>
    <row r="848">
      <c r="A848" s="195"/>
      <c r="L848" s="194"/>
    </row>
    <row r="849">
      <c r="A849" s="195"/>
      <c r="L849" s="194"/>
    </row>
    <row r="850">
      <c r="A850" s="195"/>
      <c r="L850" s="194"/>
    </row>
    <row r="851">
      <c r="A851" s="195"/>
      <c r="L851" s="194"/>
    </row>
    <row r="852">
      <c r="A852" s="195"/>
      <c r="L852" s="194"/>
    </row>
    <row r="853">
      <c r="A853" s="195"/>
      <c r="L853" s="194"/>
    </row>
    <row r="854">
      <c r="A854" s="195"/>
      <c r="L854" s="194"/>
    </row>
    <row r="855">
      <c r="A855" s="195"/>
      <c r="L855" s="194"/>
    </row>
    <row r="856">
      <c r="A856" s="195"/>
      <c r="L856" s="194"/>
    </row>
    <row r="857">
      <c r="A857" s="195"/>
      <c r="L857" s="194"/>
    </row>
    <row r="858">
      <c r="A858" s="195"/>
      <c r="L858" s="194"/>
    </row>
    <row r="859">
      <c r="A859" s="195"/>
      <c r="L859" s="194"/>
    </row>
    <row r="860">
      <c r="A860" s="195"/>
      <c r="L860" s="194"/>
    </row>
    <row r="861">
      <c r="A861" s="195"/>
      <c r="L861" s="194"/>
    </row>
    <row r="862">
      <c r="A862" s="195"/>
      <c r="L862" s="194"/>
    </row>
    <row r="863">
      <c r="A863" s="195"/>
      <c r="L863" s="194"/>
    </row>
    <row r="864">
      <c r="A864" s="195"/>
      <c r="L864" s="194"/>
    </row>
    <row r="865">
      <c r="A865" s="195"/>
      <c r="L865" s="194"/>
    </row>
    <row r="866">
      <c r="A866" s="195"/>
      <c r="L866" s="194"/>
    </row>
    <row r="867">
      <c r="A867" s="195"/>
      <c r="L867" s="194"/>
    </row>
    <row r="868">
      <c r="A868" s="195"/>
      <c r="L868" s="194"/>
    </row>
    <row r="869">
      <c r="A869" s="195"/>
      <c r="L869" s="194"/>
    </row>
    <row r="870">
      <c r="A870" s="195"/>
      <c r="L870" s="194"/>
    </row>
    <row r="871">
      <c r="A871" s="195"/>
      <c r="L871" s="194"/>
    </row>
    <row r="872">
      <c r="A872" s="195"/>
      <c r="L872" s="194"/>
    </row>
    <row r="873">
      <c r="A873" s="195"/>
      <c r="L873" s="194"/>
    </row>
    <row r="874">
      <c r="A874" s="195"/>
      <c r="L874" s="194"/>
    </row>
    <row r="875">
      <c r="A875" s="195"/>
      <c r="L875" s="194"/>
    </row>
    <row r="876">
      <c r="A876" s="195"/>
      <c r="L876" s="194"/>
    </row>
    <row r="877">
      <c r="A877" s="195"/>
      <c r="L877" s="194"/>
    </row>
    <row r="878">
      <c r="A878" s="195"/>
      <c r="L878" s="194"/>
    </row>
    <row r="879">
      <c r="A879" s="195"/>
      <c r="L879" s="194"/>
    </row>
    <row r="880">
      <c r="A880" s="195"/>
      <c r="L880" s="194"/>
    </row>
    <row r="881">
      <c r="A881" s="195"/>
      <c r="L881" s="194"/>
    </row>
    <row r="882">
      <c r="A882" s="195"/>
      <c r="L882" s="194"/>
    </row>
    <row r="883">
      <c r="A883" s="195"/>
      <c r="L883" s="194"/>
    </row>
    <row r="884">
      <c r="A884" s="195"/>
      <c r="L884" s="194"/>
    </row>
    <row r="885">
      <c r="A885" s="195"/>
      <c r="L885" s="194"/>
    </row>
    <row r="886">
      <c r="A886" s="195"/>
      <c r="L886" s="194"/>
    </row>
    <row r="887">
      <c r="A887" s="195"/>
      <c r="L887" s="194"/>
    </row>
    <row r="888">
      <c r="A888" s="195"/>
      <c r="L888" s="194"/>
    </row>
    <row r="889">
      <c r="A889" s="195"/>
      <c r="L889" s="194"/>
    </row>
    <row r="890">
      <c r="A890" s="195"/>
      <c r="L890" s="194"/>
    </row>
    <row r="891">
      <c r="A891" s="195"/>
      <c r="L891" s="194"/>
    </row>
    <row r="892">
      <c r="A892" s="195"/>
      <c r="L892" s="194"/>
    </row>
    <row r="893">
      <c r="A893" s="195"/>
      <c r="L893" s="194"/>
    </row>
    <row r="894">
      <c r="A894" s="195"/>
      <c r="L894" s="194"/>
    </row>
    <row r="895">
      <c r="A895" s="195"/>
      <c r="L895" s="194"/>
    </row>
    <row r="896">
      <c r="A896" s="195"/>
      <c r="L896" s="194"/>
    </row>
    <row r="897">
      <c r="A897" s="195"/>
      <c r="L897" s="194"/>
    </row>
    <row r="898">
      <c r="A898" s="195"/>
      <c r="L898" s="194"/>
    </row>
    <row r="899">
      <c r="A899" s="195"/>
      <c r="L899" s="194"/>
    </row>
    <row r="900">
      <c r="A900" s="195"/>
      <c r="L900" s="194"/>
    </row>
    <row r="901">
      <c r="A901" s="195"/>
      <c r="L901" s="194"/>
    </row>
    <row r="902">
      <c r="A902" s="195"/>
      <c r="L902" s="194"/>
    </row>
    <row r="903">
      <c r="A903" s="195"/>
      <c r="L903" s="194"/>
    </row>
    <row r="904">
      <c r="A904" s="195"/>
      <c r="L904" s="194"/>
    </row>
    <row r="905">
      <c r="A905" s="195"/>
      <c r="L905" s="194"/>
    </row>
    <row r="906">
      <c r="A906" s="195"/>
      <c r="L906" s="194"/>
    </row>
    <row r="907">
      <c r="A907" s="195"/>
      <c r="L907" s="194"/>
    </row>
    <row r="908">
      <c r="A908" s="195"/>
      <c r="L908" s="194"/>
    </row>
    <row r="909">
      <c r="A909" s="195"/>
      <c r="L909" s="194"/>
    </row>
    <row r="910">
      <c r="A910" s="195"/>
      <c r="L910" s="194"/>
    </row>
    <row r="911">
      <c r="A911" s="195"/>
      <c r="L911" s="194"/>
    </row>
    <row r="912">
      <c r="A912" s="195"/>
      <c r="L912" s="194"/>
    </row>
    <row r="913">
      <c r="A913" s="195"/>
      <c r="L913" s="194"/>
    </row>
    <row r="914">
      <c r="A914" s="195"/>
      <c r="L914" s="194"/>
    </row>
    <row r="915">
      <c r="A915" s="195"/>
      <c r="L915" s="194"/>
    </row>
    <row r="916">
      <c r="A916" s="195"/>
      <c r="L916" s="194"/>
    </row>
    <row r="917">
      <c r="A917" s="195"/>
      <c r="L917" s="194"/>
    </row>
    <row r="918">
      <c r="A918" s="195"/>
      <c r="L918" s="194"/>
    </row>
    <row r="919">
      <c r="A919" s="195"/>
      <c r="L919" s="194"/>
    </row>
    <row r="920">
      <c r="A920" s="195"/>
      <c r="L920" s="194"/>
    </row>
    <row r="921">
      <c r="A921" s="195"/>
      <c r="L921" s="194"/>
    </row>
    <row r="922">
      <c r="A922" s="195"/>
      <c r="L922" s="194"/>
    </row>
    <row r="923">
      <c r="A923" s="195"/>
      <c r="L923" s="194"/>
    </row>
    <row r="924">
      <c r="A924" s="195"/>
      <c r="L924" s="194"/>
    </row>
    <row r="925">
      <c r="A925" s="195"/>
      <c r="L925" s="194"/>
    </row>
    <row r="926">
      <c r="A926" s="195"/>
      <c r="L926" s="194"/>
    </row>
    <row r="927">
      <c r="A927" s="195"/>
      <c r="L927" s="194"/>
    </row>
    <row r="928">
      <c r="A928" s="195"/>
      <c r="L928" s="194"/>
    </row>
    <row r="929">
      <c r="A929" s="195"/>
      <c r="L929" s="194"/>
    </row>
    <row r="930">
      <c r="A930" s="195"/>
      <c r="L930" s="194"/>
    </row>
    <row r="931">
      <c r="A931" s="195"/>
      <c r="L931" s="194"/>
    </row>
    <row r="932">
      <c r="A932" s="195"/>
      <c r="L932" s="194"/>
    </row>
    <row r="933">
      <c r="A933" s="195"/>
      <c r="L933" s="194"/>
    </row>
    <row r="934">
      <c r="A934" s="195"/>
      <c r="L934" s="194"/>
    </row>
    <row r="935">
      <c r="A935" s="195"/>
      <c r="L935" s="194"/>
    </row>
    <row r="936">
      <c r="A936" s="195"/>
      <c r="L936" s="194"/>
    </row>
    <row r="937">
      <c r="A937" s="195"/>
      <c r="L937" s="194"/>
    </row>
    <row r="938">
      <c r="A938" s="195"/>
      <c r="L938" s="194"/>
    </row>
    <row r="939">
      <c r="A939" s="195"/>
      <c r="L939" s="194"/>
    </row>
    <row r="940">
      <c r="A940" s="195"/>
      <c r="L940" s="194"/>
    </row>
    <row r="941">
      <c r="A941" s="195"/>
      <c r="L941" s="194"/>
    </row>
    <row r="942">
      <c r="A942" s="195"/>
      <c r="L942" s="194"/>
    </row>
    <row r="943">
      <c r="A943" s="195"/>
      <c r="L943" s="194"/>
    </row>
    <row r="944">
      <c r="A944" s="195"/>
      <c r="L944" s="194"/>
    </row>
    <row r="945">
      <c r="A945" s="195"/>
      <c r="L945" s="194"/>
    </row>
    <row r="946">
      <c r="A946" s="195"/>
      <c r="L946" s="194"/>
    </row>
    <row r="947">
      <c r="A947" s="195"/>
      <c r="L947" s="194"/>
    </row>
    <row r="948">
      <c r="A948" s="195"/>
      <c r="L948" s="194"/>
    </row>
    <row r="949">
      <c r="A949" s="195"/>
      <c r="L949" s="194"/>
    </row>
    <row r="950">
      <c r="A950" s="195"/>
      <c r="L950" s="194"/>
    </row>
    <row r="951">
      <c r="A951" s="195"/>
      <c r="L951" s="194"/>
    </row>
    <row r="952">
      <c r="A952" s="195"/>
      <c r="L952" s="194"/>
    </row>
    <row r="953">
      <c r="A953" s="195"/>
      <c r="L953" s="194"/>
    </row>
    <row r="954">
      <c r="A954" s="195"/>
      <c r="L954" s="194"/>
    </row>
    <row r="955">
      <c r="A955" s="195"/>
      <c r="L955" s="194"/>
    </row>
    <row r="956">
      <c r="A956" s="195"/>
      <c r="L956" s="194"/>
    </row>
    <row r="957">
      <c r="A957" s="195"/>
      <c r="L957" s="194"/>
    </row>
    <row r="958">
      <c r="A958" s="195"/>
      <c r="L958" s="194"/>
    </row>
    <row r="959">
      <c r="A959" s="195"/>
      <c r="L959" s="194"/>
    </row>
    <row r="960">
      <c r="A960" s="195"/>
      <c r="L960" s="194"/>
    </row>
    <row r="961">
      <c r="A961" s="195"/>
      <c r="L961" s="194"/>
    </row>
    <row r="962">
      <c r="A962" s="195"/>
      <c r="L962" s="194"/>
    </row>
    <row r="963">
      <c r="A963" s="195"/>
      <c r="L963" s="194"/>
    </row>
    <row r="964">
      <c r="A964" s="195"/>
      <c r="L964" s="194"/>
    </row>
    <row r="965">
      <c r="A965" s="195"/>
      <c r="L965" s="194"/>
    </row>
    <row r="966">
      <c r="A966" s="195"/>
      <c r="L966" s="194"/>
    </row>
    <row r="967">
      <c r="A967" s="195"/>
      <c r="L967" s="194"/>
    </row>
    <row r="968">
      <c r="A968" s="195"/>
      <c r="L968" s="194"/>
    </row>
    <row r="969">
      <c r="A969" s="195"/>
      <c r="L969" s="194"/>
    </row>
    <row r="970">
      <c r="A970" s="195"/>
      <c r="L970" s="194"/>
    </row>
    <row r="971">
      <c r="A971" s="195"/>
      <c r="L971" s="194"/>
    </row>
    <row r="972">
      <c r="A972" s="195"/>
      <c r="L972" s="194"/>
    </row>
    <row r="973">
      <c r="A973" s="195"/>
      <c r="L973" s="194"/>
    </row>
    <row r="974">
      <c r="A974" s="195"/>
      <c r="L974" s="194"/>
    </row>
    <row r="975">
      <c r="A975" s="195"/>
      <c r="L975" s="194"/>
    </row>
    <row r="976">
      <c r="A976" s="195"/>
      <c r="L976" s="194"/>
    </row>
    <row r="977">
      <c r="A977" s="195"/>
      <c r="L977" s="194"/>
    </row>
    <row r="978">
      <c r="A978" s="195"/>
      <c r="L978" s="194"/>
    </row>
    <row r="979">
      <c r="A979" s="195"/>
      <c r="L979" s="194"/>
    </row>
    <row r="980">
      <c r="A980" s="195"/>
      <c r="L980" s="194"/>
    </row>
    <row r="981">
      <c r="A981" s="195"/>
      <c r="L981" s="194"/>
    </row>
    <row r="982">
      <c r="A982" s="195"/>
      <c r="L982" s="194"/>
    </row>
    <row r="983">
      <c r="A983" s="195"/>
      <c r="L983" s="194"/>
    </row>
    <row r="984">
      <c r="A984" s="195"/>
      <c r="L984" s="194"/>
    </row>
    <row r="985">
      <c r="A985" s="195"/>
      <c r="L985" s="194"/>
    </row>
    <row r="986">
      <c r="A986" s="195"/>
      <c r="L986" s="194"/>
    </row>
    <row r="987">
      <c r="A987" s="195"/>
      <c r="L987" s="194"/>
    </row>
    <row r="988">
      <c r="A988" s="195"/>
      <c r="L988" s="194"/>
    </row>
    <row r="989">
      <c r="A989" s="195"/>
      <c r="L989" s="194"/>
    </row>
    <row r="990">
      <c r="A990" s="195"/>
      <c r="L990" s="194"/>
    </row>
    <row r="991">
      <c r="A991" s="195"/>
      <c r="L991" s="194"/>
    </row>
    <row r="992">
      <c r="A992" s="195"/>
      <c r="L992" s="194"/>
    </row>
    <row r="993">
      <c r="A993" s="195"/>
      <c r="L993" s="194"/>
    </row>
    <row r="994">
      <c r="A994" s="195"/>
      <c r="L994" s="194"/>
    </row>
    <row r="995">
      <c r="A995" s="195"/>
      <c r="L995" s="194"/>
    </row>
    <row r="996">
      <c r="A996" s="195"/>
      <c r="L996" s="194"/>
    </row>
    <row r="997">
      <c r="A997" s="195"/>
      <c r="L997" s="194"/>
    </row>
    <row r="998">
      <c r="A998" s="195"/>
      <c r="L998" s="194"/>
    </row>
    <row r="999">
      <c r="A999" s="196"/>
      <c r="B999" s="197"/>
      <c r="C999" s="197"/>
      <c r="D999" s="197"/>
      <c r="E999" s="197"/>
      <c r="F999" s="197"/>
      <c r="G999" s="197"/>
      <c r="H999" s="197"/>
      <c r="I999" s="197"/>
      <c r="J999" s="197"/>
      <c r="K999" s="197"/>
      <c r="L999" s="198"/>
    </row>
  </sheetData>
  <dataValidations>
    <dataValidation type="list" allowBlank="1" sqref="L2:L75">
      <formula1>'SEED COMPARISON'!$B$3:$B999</formula1>
    </dataValidation>
    <dataValidation type="list" allowBlank="1" sqref="A2:A75">
      <formula1>'MACRO SEED SHEET'!$D$7:$D999</formula1>
    </dataValidation>
    <dataValidation type="list" allowBlank="1" sqref="F2:F75">
      <formula1>MATRIX!$R$3:$R999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A5AF"/>
    <outlinePr summaryBelow="0" summaryRight="0"/>
  </sheetPr>
  <sheetViews>
    <sheetView workbookViewId="0"/>
  </sheetViews>
  <sheetFormatPr customHeight="1" defaultColWidth="12.63" defaultRowHeight="15.75"/>
  <cols>
    <col customWidth="1" min="4" max="4" width="14.38"/>
    <col customWidth="1" min="12" max="12" width="22.25"/>
  </cols>
  <sheetData>
    <row r="1">
      <c r="A1" s="199" t="str">
        <f>IFERROR(__xludf.DUMMYFUNCTION("IMPORTRANGE(""https://docs.google.com/spreadsheets/d/1ROIDByG8JQ9QnTav5kMbqjv_otDakkYL7H10iPWcU48/edit#gid=1300287554"",""seed!a1:e"")"),"")</f>
        <v/>
      </c>
      <c r="B1" s="200"/>
      <c r="C1" s="200"/>
      <c r="D1" s="201"/>
      <c r="E1" s="200"/>
      <c r="F1" s="200"/>
      <c r="G1" s="200"/>
      <c r="H1" s="200"/>
      <c r="I1" s="143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</row>
    <row r="2">
      <c r="A2" s="200"/>
      <c r="B2" s="202"/>
      <c r="C2" s="200"/>
      <c r="D2" s="201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</row>
    <row r="3">
      <c r="A3" s="200"/>
      <c r="B3" s="200"/>
      <c r="C3" s="200"/>
      <c r="D3" s="201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</row>
    <row r="4">
      <c r="A4" s="203"/>
      <c r="B4" s="203"/>
      <c r="C4" s="203"/>
      <c r="D4" s="204"/>
      <c r="E4" s="205" t="str">
        <f>IFERROR(__xludf.DUMMYFUNCTION("""COMPUTED_VALUE"""),"total seed:")</f>
        <v>total seed:</v>
      </c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>
      <c r="A5" s="203" t="str">
        <f>IFERROR(__xludf.DUMMYFUNCTION("""COMPUTED_VALUE"""),"LAST EDIT")</f>
        <v>LAST EDIT</v>
      </c>
      <c r="B5" s="206">
        <f>IFERROR(__xludf.DUMMYFUNCTION("""COMPUTED_VALUE"""),44683.0)</f>
        <v>44683</v>
      </c>
      <c r="C5" s="203"/>
      <c r="D5" s="204"/>
      <c r="E5" s="203"/>
      <c r="F5" s="203"/>
      <c r="G5" s="203"/>
      <c r="H5" s="203"/>
      <c r="I5" s="203"/>
      <c r="J5" s="203"/>
      <c r="K5" s="203"/>
      <c r="L5" s="207">
        <f>IFERROR(__xludf.DUMMYFUNCTION("IMPORTRANGE(""https://docs.google.com/spreadsheets/d/1ROIDByG8JQ9QnTav5kMbqjv_otDakkYL7H10iPWcU48/edit#gid=259472266"",""Inputs!z1:AA"")"),1224979.9352554143)</f>
        <v>1224979.935</v>
      </c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>
      <c r="A6" s="203" t="str">
        <f>IFERROR(__xludf.DUMMYFUNCTION("""COMPUTED_VALUE"""),"Units Ordered")</f>
        <v>Units Ordered</v>
      </c>
      <c r="B6" s="203" t="str">
        <f>IFERROR(__xludf.DUMMYFUNCTION("""COMPUTED_VALUE"""),"Crop (UNDERLINE)")</f>
        <v>Crop (UNDERLINE)</v>
      </c>
      <c r="C6" s="203" t="str">
        <f>IFERROR(__xludf.DUMMYFUNCTION("""COMPUTED_VALUE"""),"Brand")</f>
        <v>Brand</v>
      </c>
      <c r="D6" s="204" t="str">
        <f>IFERROR(__xludf.DUMMYFUNCTION("""COMPUTED_VALUE"""),"VARIETY")</f>
        <v>VARIETY</v>
      </c>
      <c r="E6" s="203" t="str">
        <f>IFERROR(__xludf.DUMMYFUNCTION("""COMPUTED_VALUE"""),"Total Projected Units")</f>
        <v>Total Projected Units</v>
      </c>
      <c r="F6" s="203"/>
      <c r="G6" s="203"/>
      <c r="H6" s="203"/>
      <c r="I6" s="208" t="str">
        <f>IFERROR(__xludf.DUMMYFUNCTION("IMPORTRANGE(""https://docs.google.com/spreadsheets/d/1ROIDByG8JQ9QnTav5kMbqjv_otDakkYL7H10iPWcU48/edit#gid=259472266"",""Inputs!A1:A"")"),"FERTILLIZER AND CHEMICAL")</f>
        <v>FERTILLIZER AND CHEMICAL</v>
      </c>
      <c r="J6" s="209"/>
      <c r="K6" s="209"/>
      <c r="L6" s="75" t="str">
        <f>IFERROR(__xludf.DUMMYFUNCTION("""COMPUTED_VALUE"""),"TOTAL DOLLARS")</f>
        <v>TOTAL DOLLARS</v>
      </c>
      <c r="M6" s="209" t="str">
        <f>IFERROR(__xludf.DUMMYFUNCTION("""COMPUTED_VALUE"""),"TOTAL PROJECTED UNITS")</f>
        <v>TOTAL PROJECTED UNITS</v>
      </c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>
      <c r="A7" s="200"/>
      <c r="B7" s="210" t="str">
        <f>IFERROR(__xludf.DUMMYFUNCTION("""COMPUTED_VALUE"""),"Barley")</f>
        <v>Barley</v>
      </c>
      <c r="C7" s="211" t="str">
        <f>IFERROR(__xludf.DUMMYFUNCTION("""COMPUTED_VALUE"""),"Albert Lea")</f>
        <v>Albert Lea</v>
      </c>
      <c r="D7" s="212" t="str">
        <f>IFERROR(__xludf.DUMMYFUNCTION("""COMPUTED_VALUE"""),"SB151")</f>
        <v>SB151</v>
      </c>
      <c r="E7" s="213">
        <f>IFERROR(__xludf.DUMMYFUNCTION("""COMPUTED_VALUE"""),468.74999999999994)</f>
        <v>468.75</v>
      </c>
      <c r="F7" s="214"/>
      <c r="G7" s="214"/>
      <c r="H7" s="214"/>
      <c r="I7" s="215" t="str">
        <f>IFERROR(__xludf.DUMMYFUNCTION("""COMPUTED_VALUE"""),"Product")</f>
        <v>Product</v>
      </c>
      <c r="J7" s="214"/>
      <c r="K7" s="214"/>
      <c r="L7" s="216">
        <f>IFERROR(__xludf.DUMMYFUNCTION("""COMPUTED_VALUE"""),68192.0674911)</f>
        <v>68192.06749</v>
      </c>
      <c r="M7" s="217">
        <f>IFERROR(__xludf.DUMMYFUNCTION("""COMPUTED_VALUE"""),253974.18059999996)</f>
        <v>253974.1806</v>
      </c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</row>
    <row r="8">
      <c r="A8" s="200"/>
      <c r="B8" s="210" t="str">
        <f>IFERROR(__xludf.DUMMYFUNCTION("""COMPUTED_VALUE"""),"Blue_Corn")</f>
        <v>Blue_Corn</v>
      </c>
      <c r="C8" s="211" t="str">
        <f>IFERROR(__xludf.DUMMYFUNCTION("""COMPUTED_VALUE"""),"Kentucky Blue Corn")</f>
        <v>Kentucky Blue Corn</v>
      </c>
      <c r="D8" s="212" t="str">
        <f>IFERROR(__xludf.DUMMYFUNCTION("""COMPUTED_VALUE"""),"T1081J")</f>
        <v>T1081J</v>
      </c>
      <c r="E8" s="213">
        <f>IFERROR(__xludf.DUMMYFUNCTION("""COMPUTED_VALUE"""),42.9)</f>
        <v>42.9</v>
      </c>
      <c r="F8" s="214"/>
      <c r="G8" s="214"/>
      <c r="H8" s="214"/>
      <c r="I8" s="215" t="str">
        <f>IFERROR(__xludf.DUMMYFUNCTION("""COMPUTED_VALUE"""),"0-0-60 Potash")</f>
        <v>0-0-60 Potash</v>
      </c>
      <c r="J8" s="214"/>
      <c r="K8" s="214"/>
      <c r="L8" s="216">
        <f>IFERROR(__xludf.DUMMYFUNCTION("""COMPUTED_VALUE"""),35471.73150510205)</f>
        <v>35471.73151</v>
      </c>
      <c r="M8" s="217">
        <f>IFERROR(__xludf.DUMMYFUNCTION("""COMPUTED_VALUE"""),7506.950000000001)</f>
        <v>7506.95</v>
      </c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</row>
    <row r="9">
      <c r="A9" s="200"/>
      <c r="B9" s="210" t="str">
        <f>IFERROR(__xludf.DUMMYFUNCTION("""COMPUTED_VALUE"""),"Yellow_Corn")</f>
        <v>Yellow_Corn</v>
      </c>
      <c r="C9" s="211" t="str">
        <f>IFERROR(__xludf.DUMMYFUNCTION("""COMPUTED_VALUE"""),"viking")</f>
        <v>viking</v>
      </c>
      <c r="D9" s="212" t="str">
        <f>IFERROR(__xludf.DUMMYFUNCTION("""COMPUTED_VALUE"""),"Viking 051-04GS")</f>
        <v>Viking 051-04GS</v>
      </c>
      <c r="E9" s="213">
        <f>IFERROR(__xludf.DUMMYFUNCTION("""COMPUTED_VALUE"""),0.0)</f>
        <v>0</v>
      </c>
      <c r="F9" s="214"/>
      <c r="G9" s="214"/>
      <c r="H9" s="214"/>
      <c r="I9" s="215" t="str">
        <f>IFERROR(__xludf.DUMMYFUNCTION("""COMPUTED_VALUE"""),"10-34-0")</f>
        <v>10-34-0</v>
      </c>
      <c r="J9" s="214"/>
      <c r="K9" s="214"/>
      <c r="L9" s="216">
        <f>IFERROR(__xludf.DUMMYFUNCTION("""COMPUTED_VALUE"""),29966.5226805)</f>
        <v>29966.52268</v>
      </c>
      <c r="M9" s="217">
        <f>IFERROR(__xludf.DUMMYFUNCTION("""COMPUTED_VALUE"""),94382.74859999999)</f>
        <v>94382.7486</v>
      </c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4"/>
      <c r="Z9" s="214"/>
    </row>
    <row r="10">
      <c r="A10" s="200"/>
      <c r="B10" s="210" t="str">
        <f>IFERROR(__xludf.DUMMYFUNCTION("""COMPUTED_VALUE"""),"Yellow_Corn")</f>
        <v>Yellow_Corn</v>
      </c>
      <c r="C10" s="211" t="str">
        <f>IFERROR(__xludf.DUMMYFUNCTION("""COMPUTED_VALUE"""),"Pioneer")</f>
        <v>Pioneer</v>
      </c>
      <c r="D10" s="212" t="str">
        <f>IFERROR(__xludf.DUMMYFUNCTION("""COMPUTED_VALUE"""),"P0157")</f>
        <v>P0157</v>
      </c>
      <c r="E10" s="213">
        <f>IFERROR(__xludf.DUMMYFUNCTION("""COMPUTED_VALUE"""),250.441125)</f>
        <v>250.441125</v>
      </c>
      <c r="F10" s="214"/>
      <c r="G10" s="214"/>
      <c r="H10" s="214"/>
      <c r="I10" s="215" t="str">
        <f>IFERROR(__xludf.DUMMYFUNCTION("""COMPUTED_VALUE"""),"12-0-0-26 Amm Thio")</f>
        <v>12-0-0-26 Amm Thio</v>
      </c>
      <c r="J10" s="214"/>
      <c r="K10" s="214"/>
      <c r="L10" s="216">
        <f>IFERROR(__xludf.DUMMYFUNCTION("""COMPUTED_VALUE"""),0.0)</f>
        <v>0</v>
      </c>
      <c r="M10" s="217">
        <f>IFERROR(__xludf.DUMMYFUNCTION("""COMPUTED_VALUE"""),0.0)</f>
        <v>0</v>
      </c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</row>
    <row r="11">
      <c r="A11" s="200"/>
      <c r="B11" s="210" t="str">
        <f>IFERROR(__xludf.DUMMYFUNCTION("""COMPUTED_VALUE"""),"Yellow_Corn")</f>
        <v>Yellow_Corn</v>
      </c>
      <c r="C11" s="211" t="str">
        <f>IFERROR(__xludf.DUMMYFUNCTION("""COMPUTED_VALUE"""),"Pioneer")</f>
        <v>Pioneer</v>
      </c>
      <c r="D11" s="212" t="str">
        <f>IFERROR(__xludf.DUMMYFUNCTION("""COMPUTED_VALUE"""),"P0075")</f>
        <v>P0075</v>
      </c>
      <c r="E11" s="213">
        <f>IFERROR(__xludf.DUMMYFUNCTION("""COMPUTED_VALUE"""),0.0)</f>
        <v>0</v>
      </c>
      <c r="F11" s="214"/>
      <c r="G11" s="214"/>
      <c r="H11" s="214"/>
      <c r="I11" s="215" t="str">
        <f>IFERROR(__xludf.DUMMYFUNCTION("""COMPUTED_VALUE"""),"13-0-0-15 Zn (Gal)")</f>
        <v>13-0-0-15 Zn (Gal)</v>
      </c>
      <c r="J11" s="214"/>
      <c r="K11" s="214"/>
      <c r="L11" s="216">
        <f>IFERROR(__xludf.DUMMYFUNCTION("""COMPUTED_VALUE"""),8846.748781900002)</f>
        <v>8846.748782</v>
      </c>
      <c r="M11" s="217">
        <f>IFERROR(__xludf.DUMMYFUNCTION("""COMPUTED_VALUE"""),24578.74)</f>
        <v>24578.74</v>
      </c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</row>
    <row r="12">
      <c r="A12" s="200"/>
      <c r="B12" s="210" t="str">
        <f>IFERROR(__xludf.DUMMYFUNCTION("""COMPUTED_VALUE"""),"Yellow_Corn")</f>
        <v>Yellow_Corn</v>
      </c>
      <c r="C12" s="211" t="str">
        <f>IFERROR(__xludf.DUMMYFUNCTION("""COMPUTED_VALUE"""),"viking")</f>
        <v>viking</v>
      </c>
      <c r="D12" s="212" t="str">
        <f>IFERROR(__xludf.DUMMYFUNCTION("""COMPUTED_VALUE"""),"O46-02")</f>
        <v>O46-02</v>
      </c>
      <c r="E12" s="213">
        <f>IFERROR(__xludf.DUMMYFUNCTION("""COMPUTED_VALUE"""),0.0)</f>
        <v>0</v>
      </c>
      <c r="F12" s="214"/>
      <c r="G12" s="214"/>
      <c r="H12" s="214"/>
      <c r="I12" s="215" t="str">
        <f>IFERROR(__xludf.DUMMYFUNCTION("""COMPUTED_VALUE"""),"18-46-0 DAP")</f>
        <v>18-46-0 DAP</v>
      </c>
      <c r="J12" s="214"/>
      <c r="K12" s="214"/>
      <c r="L12" s="216">
        <f>IFERROR(__xludf.DUMMYFUNCTION("""COMPUTED_VALUE"""),4388.5212)</f>
        <v>4388.5212</v>
      </c>
      <c r="M12" s="217">
        <f>IFERROR(__xludf.DUMMYFUNCTION("""COMPUTED_VALUE"""),14156.52)</f>
        <v>14156.52</v>
      </c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</row>
    <row r="13">
      <c r="A13" s="200"/>
      <c r="B13" s="210" t="str">
        <f>IFERROR(__xludf.DUMMYFUNCTION("""COMPUTED_VALUE"""),"Yellow_Corn")</f>
        <v>Yellow_Corn</v>
      </c>
      <c r="C13" s="211" t="str">
        <f>IFERROR(__xludf.DUMMYFUNCTION("""COMPUTED_VALUE"""),"viking")</f>
        <v>viking</v>
      </c>
      <c r="D13" s="212" t="str">
        <f>IFERROR(__xludf.DUMMYFUNCTION("""COMPUTED_VALUE"""),"O.18-06UP")</f>
        <v>O.18-06UP</v>
      </c>
      <c r="E13" s="213">
        <f>IFERROR(__xludf.DUMMYFUNCTION("""COMPUTED_VALUE"""),198.00000000000003)</f>
        <v>198</v>
      </c>
      <c r="F13" s="214"/>
      <c r="G13" s="214"/>
      <c r="H13" s="214"/>
      <c r="I13" s="215" t="str">
        <f>IFERROR(__xludf.DUMMYFUNCTION("""COMPUTED_VALUE"""),"21-0-0-24s AMS Granular")</f>
        <v>21-0-0-24s AMS Granular</v>
      </c>
      <c r="J13" s="214"/>
      <c r="K13" s="214"/>
      <c r="L13" s="216">
        <f>IFERROR(__xludf.DUMMYFUNCTION("""COMPUTED_VALUE"""),9970.28064875179)</f>
        <v>9970.280649</v>
      </c>
      <c r="M13" s="217">
        <f>IFERROR(__xludf.DUMMYFUNCTION("""COMPUTED_VALUE"""),7349.999999999999)</f>
        <v>7350</v>
      </c>
      <c r="N13" s="214"/>
      <c r="O13" s="214"/>
      <c r="P13" s="214"/>
      <c r="Q13" s="214"/>
      <c r="R13" s="214"/>
      <c r="S13" s="214"/>
      <c r="T13" s="214"/>
      <c r="U13" s="214"/>
      <c r="V13" s="214"/>
      <c r="W13" s="214"/>
      <c r="X13" s="214"/>
      <c r="Y13" s="214"/>
      <c r="Z13" s="214"/>
    </row>
    <row r="14">
      <c r="A14" s="200"/>
      <c r="B14" s="210" t="str">
        <f>IFERROR(__xludf.DUMMYFUNCTION("""COMPUTED_VALUE"""),"Yellow_Corn")</f>
        <v>Yellow_Corn</v>
      </c>
      <c r="C14" s="211" t="str">
        <f>IFERROR(__xludf.DUMMYFUNCTION("""COMPUTED_VALUE"""),"viking")</f>
        <v>viking</v>
      </c>
      <c r="D14" s="212" t="str">
        <f>IFERROR(__xludf.DUMMYFUNCTION("""COMPUTED_VALUE"""),"55-02")</f>
        <v>55-02</v>
      </c>
      <c r="E14" s="213">
        <f>IFERROR(__xludf.DUMMYFUNCTION("""COMPUTED_VALUE"""),0.0)</f>
        <v>0</v>
      </c>
      <c r="F14" s="214"/>
      <c r="G14" s="214"/>
      <c r="H14" s="214"/>
      <c r="I14" s="215" t="str">
        <f>IFERROR(__xludf.DUMMYFUNCTION("""COMPUTED_VALUE"""),"28% Nitrogen")</f>
        <v>28% Nitrogen</v>
      </c>
      <c r="J14" s="214"/>
      <c r="K14" s="214"/>
      <c r="L14" s="216">
        <f>IFERROR(__xludf.DUMMYFUNCTION("""COMPUTED_VALUE"""),30075.658886521054)</f>
        <v>30075.65889</v>
      </c>
      <c r="M14" s="217">
        <f>IFERROR(__xludf.DUMMYFUNCTION("""COMPUTED_VALUE"""),7783.555600000001)</f>
        <v>7783.5556</v>
      </c>
      <c r="N14" s="214"/>
      <c r="O14" s="214"/>
      <c r="P14" s="214"/>
      <c r="Q14" s="214"/>
      <c r="R14" s="214"/>
      <c r="S14" s="214"/>
      <c r="T14" s="214"/>
      <c r="U14" s="214"/>
      <c r="V14" s="214"/>
      <c r="W14" s="214"/>
      <c r="X14" s="214"/>
      <c r="Y14" s="214"/>
      <c r="Z14" s="214"/>
    </row>
    <row r="15">
      <c r="A15" s="200"/>
      <c r="B15" s="210" t="str">
        <f>IFERROR(__xludf.DUMMYFUNCTION("""COMPUTED_VALUE"""),"Yellow_Corn")</f>
        <v>Yellow_Corn</v>
      </c>
      <c r="C15" s="211" t="str">
        <f>IFERROR(__xludf.DUMMYFUNCTION("""COMPUTED_VALUE"""),"viking")</f>
        <v>viking</v>
      </c>
      <c r="D15" s="212" t="str">
        <f>IFERROR(__xludf.DUMMYFUNCTION("""COMPUTED_VALUE"""),"51-04")</f>
        <v>51-04</v>
      </c>
      <c r="E15" s="213">
        <f>IFERROR(__xludf.DUMMYFUNCTION("""COMPUTED_VALUE"""),0.0)</f>
        <v>0</v>
      </c>
      <c r="F15" s="214"/>
      <c r="G15" s="214"/>
      <c r="H15" s="214"/>
      <c r="I15" s="215" t="str">
        <f>IFERROR(__xludf.DUMMYFUNCTION("""COMPUTED_VALUE"""),"32% Nitrogen")</f>
        <v>32% Nitrogen</v>
      </c>
      <c r="J15" s="214"/>
      <c r="K15" s="214"/>
      <c r="L15" s="216">
        <f>IFERROR(__xludf.DUMMYFUNCTION("""COMPUTED_VALUE"""),119364.61249999999)</f>
        <v>119364.6125</v>
      </c>
      <c r="M15" s="217">
        <f>IFERROR(__xludf.DUMMYFUNCTION("""COMPUTED_VALUE"""),272833.39999999997)</f>
        <v>272833.4</v>
      </c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214"/>
    </row>
    <row r="16">
      <c r="A16" s="200"/>
      <c r="B16" s="210" t="str">
        <f>IFERROR(__xludf.DUMMYFUNCTION("""COMPUTED_VALUE"""),"Yellow_Corn")</f>
        <v>Yellow_Corn</v>
      </c>
      <c r="C16" s="211" t="str">
        <f>IFERROR(__xludf.DUMMYFUNCTION("""COMPUTED_VALUE"""),"prarie hybrids")</f>
        <v>prarie hybrids</v>
      </c>
      <c r="D16" s="212">
        <f>IFERROR(__xludf.DUMMYFUNCTION("""COMPUTED_VALUE"""),3081.0)</f>
        <v>3081</v>
      </c>
      <c r="E16" s="213">
        <f>IFERROR(__xludf.DUMMYFUNCTION("""COMPUTED_VALUE"""),0.0)</f>
        <v>0</v>
      </c>
      <c r="F16" s="214"/>
      <c r="G16" s="214"/>
      <c r="H16" s="214"/>
      <c r="I16" s="215" t="str">
        <f>IFERROR(__xludf.DUMMYFUNCTION("""COMPUTED_VALUE"""),"46-0-0  Urea")</f>
        <v>46-0-0  Urea</v>
      </c>
      <c r="J16" s="214"/>
      <c r="K16" s="214"/>
      <c r="L16" s="216">
        <f>IFERROR(__xludf.DUMMYFUNCTION("""COMPUTED_VALUE"""),244.73130500000002)</f>
        <v>244.731305</v>
      </c>
      <c r="M16" s="217">
        <f>IFERROR(__xludf.DUMMYFUNCTION("""COMPUTED_VALUE"""),53.199999999999996)</f>
        <v>53.2</v>
      </c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14"/>
      <c r="Y16" s="214"/>
      <c r="Z16" s="214"/>
    </row>
    <row r="17">
      <c r="A17" s="200"/>
      <c r="B17" s="210" t="str">
        <f>IFERROR(__xludf.DUMMYFUNCTION("""COMPUTED_VALUE"""),"Yellow_Corn")</f>
        <v>Yellow_Corn</v>
      </c>
      <c r="C17" s="211" t="str">
        <f>IFERROR(__xludf.DUMMYFUNCTION("""COMPUTED_VALUE"""),"prarie hybrids")</f>
        <v>prarie hybrids</v>
      </c>
      <c r="D17" s="212">
        <f>IFERROR(__xludf.DUMMYFUNCTION("""COMPUTED_VALUE"""),5351.0)</f>
        <v>5351</v>
      </c>
      <c r="E17" s="213">
        <f>IFERROR(__xludf.DUMMYFUNCTION("""COMPUTED_VALUE"""),0.0)</f>
        <v>0</v>
      </c>
      <c r="F17" s="214"/>
      <c r="G17" s="214"/>
      <c r="H17" s="214"/>
      <c r="I17" s="215" t="str">
        <f>IFERROR(__xludf.DUMMYFUNCTION("""COMPUTED_VALUE"""),"Accuquest WM (2x2.5 Gal)")</f>
        <v>Accuquest WM (2x2.5 Gal)</v>
      </c>
      <c r="J17" s="214"/>
      <c r="K17" s="214"/>
      <c r="L17" s="216">
        <f>IFERROR(__xludf.DUMMYFUNCTION("""COMPUTED_VALUE"""),1167.075)</f>
        <v>1167.075</v>
      </c>
      <c r="M17" s="217">
        <f>IFERROR(__xludf.DUMMYFUNCTION("""COMPUTED_VALUE"""),133.0)</f>
        <v>133</v>
      </c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</row>
    <row r="18">
      <c r="A18" s="200"/>
      <c r="B18" s="210" t="str">
        <f>IFERROR(__xludf.DUMMYFUNCTION("""COMPUTED_VALUE"""),"Yellow_Corn")</f>
        <v>Yellow_Corn</v>
      </c>
      <c r="C18" s="211" t="str">
        <f>IFERROR(__xludf.DUMMYFUNCTION("""COMPUTED_VALUE"""),"Pioneer")</f>
        <v>Pioneer</v>
      </c>
      <c r="D18" s="212" t="str">
        <f>IFERROR(__xludf.DUMMYFUNCTION("""COMPUTED_VALUE"""),"P0506")</f>
        <v>P0506</v>
      </c>
      <c r="E18" s="213">
        <f>IFERROR(__xludf.DUMMYFUNCTION("""COMPUTED_VALUE"""),0.0)</f>
        <v>0</v>
      </c>
      <c r="F18" s="214"/>
      <c r="G18" s="214"/>
      <c r="H18" s="214"/>
      <c r="I18" s="215" t="str">
        <f>IFERROR(__xludf.DUMMYFUNCTION("""COMPUTED_VALUE"""),"Application - Burndown")</f>
        <v>Application - Burndown</v>
      </c>
      <c r="J18" s="214"/>
      <c r="K18" s="214"/>
      <c r="L18" s="216">
        <f>IFERROR(__xludf.DUMMYFUNCTION("""COMPUTED_VALUE"""),10750.558)</f>
        <v>10750.558</v>
      </c>
      <c r="M18" s="217">
        <f>IFERROR(__xludf.DUMMYFUNCTION("""COMPUTED_VALUE"""),1181.38)</f>
        <v>1181.38</v>
      </c>
      <c r="N18" s="214"/>
      <c r="O18" s="214"/>
      <c r="P18" s="214"/>
      <c r="Q18" s="214"/>
      <c r="R18" s="214"/>
      <c r="S18" s="214"/>
      <c r="T18" s="214"/>
      <c r="U18" s="214"/>
      <c r="V18" s="214"/>
      <c r="W18" s="214"/>
      <c r="X18" s="214"/>
      <c r="Y18" s="214"/>
      <c r="Z18" s="214"/>
    </row>
    <row r="19">
      <c r="A19" s="200"/>
      <c r="B19" s="210" t="str">
        <f>IFERROR(__xludf.DUMMYFUNCTION("""COMPUTED_VALUE"""),"Yellow_Corn")</f>
        <v>Yellow_Corn</v>
      </c>
      <c r="C19" s="211" t="str">
        <f>IFERROR(__xludf.DUMMYFUNCTION("""COMPUTED_VALUE"""),"Pioneer")</f>
        <v>Pioneer</v>
      </c>
      <c r="D19" s="212" t="str">
        <f>IFERROR(__xludf.DUMMYFUNCTION("""COMPUTED_VALUE"""),"P9998")</f>
        <v>P9998</v>
      </c>
      <c r="E19" s="213">
        <f>IFERROR(__xludf.DUMMYFUNCTION("""COMPUTED_VALUE"""),0.0)</f>
        <v>0</v>
      </c>
      <c r="F19" s="214"/>
      <c r="G19" s="214"/>
      <c r="H19" s="214"/>
      <c r="I19" s="215" t="str">
        <f>IFERROR(__xludf.DUMMYFUNCTION("""COMPUTED_VALUE"""),"Application - Liquid Ppi")</f>
        <v>Application - Liquid Ppi</v>
      </c>
      <c r="J19" s="214"/>
      <c r="K19" s="214"/>
      <c r="L19" s="216">
        <f>IFERROR(__xludf.DUMMYFUNCTION("""COMPUTED_VALUE"""),12153.8275)</f>
        <v>12153.8275</v>
      </c>
      <c r="M19" s="217">
        <f>IFERROR(__xludf.DUMMYFUNCTION("""COMPUTED_VALUE"""),1676.3899999999999)</f>
        <v>1676.39</v>
      </c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4"/>
    </row>
    <row r="20">
      <c r="A20" s="200"/>
      <c r="B20" s="210" t="str">
        <f>IFERROR(__xludf.DUMMYFUNCTION("""COMPUTED_VALUE"""),"Field_pea")</f>
        <v>Field_pea</v>
      </c>
      <c r="C20" s="211" t="str">
        <f>IFERROR(__xludf.DUMMYFUNCTION("""COMPUTED_VALUE"""),"puris")</f>
        <v>puris</v>
      </c>
      <c r="D20" s="212">
        <f>IFERROR(__xludf.DUMMYFUNCTION("""COMPUTED_VALUE"""),1804.0)</f>
        <v>1804</v>
      </c>
      <c r="E20" s="213">
        <f>IFERROR(__xludf.DUMMYFUNCTION("""COMPUTED_VALUE"""),0.0)</f>
        <v>0</v>
      </c>
      <c r="F20" s="214"/>
      <c r="G20" s="214"/>
      <c r="H20" s="214"/>
      <c r="I20" s="215" t="str">
        <f>IFERROR(__xludf.DUMMYFUNCTION("""COMPUTED_VALUE"""),"Application - Liquid Pre")</f>
        <v>Application - Liquid Pre</v>
      </c>
      <c r="J20" s="214"/>
      <c r="K20" s="214"/>
      <c r="L20" s="216">
        <f>IFERROR(__xludf.DUMMYFUNCTION("""COMPUTED_VALUE"""),32403.455)</f>
        <v>32403.455</v>
      </c>
      <c r="M20" s="217">
        <f>IFERROR(__xludf.DUMMYFUNCTION("""COMPUTED_VALUE"""),3410.8900000000003)</f>
        <v>3410.89</v>
      </c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  <c r="Y20" s="214"/>
      <c r="Z20" s="214"/>
    </row>
    <row r="21">
      <c r="A21" s="200"/>
      <c r="B21" s="210" t="str">
        <f>IFERROR(__xludf.DUMMYFUNCTION("""COMPUTED_VALUE"""),"Hairy_Vetch")</f>
        <v>Hairy_Vetch</v>
      </c>
      <c r="C21" s="211" t="str">
        <f>IFERROR(__xludf.DUMMYFUNCTION("""COMPUTED_VALUE"""),"Albert Lea")</f>
        <v>Albert Lea</v>
      </c>
      <c r="D21" s="212" t="str">
        <f>IFERROR(__xludf.DUMMYFUNCTION("""COMPUTED_VALUE"""),"VNS vetch")</f>
        <v>VNS vetch</v>
      </c>
      <c r="E21" s="213">
        <f>IFERROR(__xludf.DUMMYFUNCTION("""COMPUTED_VALUE"""),0.0)</f>
        <v>0</v>
      </c>
      <c r="F21" s="214"/>
      <c r="G21" s="214"/>
      <c r="H21" s="214"/>
      <c r="I21" s="215" t="str">
        <f>IFERROR(__xludf.DUMMYFUNCTION("""COMPUTED_VALUE"""),"Application - Post")</f>
        <v>Application - Post</v>
      </c>
      <c r="J21" s="214"/>
      <c r="K21" s="214"/>
      <c r="L21" s="216">
        <f>IFERROR(__xludf.DUMMYFUNCTION("""COMPUTED_VALUE"""),0.0)</f>
        <v>0</v>
      </c>
      <c r="M21" s="217">
        <f>IFERROR(__xludf.DUMMYFUNCTION("""COMPUTED_VALUE"""),0.0)</f>
        <v>0</v>
      </c>
      <c r="N21" s="214"/>
      <c r="O21" s="214"/>
      <c r="P21" s="214"/>
      <c r="Q21" s="214"/>
      <c r="R21" s="214"/>
      <c r="S21" s="214"/>
      <c r="T21" s="214"/>
      <c r="U21" s="214"/>
      <c r="V21" s="214"/>
      <c r="W21" s="214"/>
      <c r="X21" s="214"/>
      <c r="Y21" s="214"/>
      <c r="Z21" s="214"/>
    </row>
    <row r="22">
      <c r="A22" s="200"/>
      <c r="B22" s="210" t="str">
        <f>IFERROR(__xludf.DUMMYFUNCTION("""COMPUTED_VALUE"""),"Hybrid_Rye")</f>
        <v>Hybrid_Rye</v>
      </c>
      <c r="C22" s="211" t="str">
        <f>IFERROR(__xludf.DUMMYFUNCTION("""COMPUTED_VALUE"""),"KWS")</f>
        <v>KWS</v>
      </c>
      <c r="D22" s="212" t="str">
        <f>IFERROR(__xludf.DUMMYFUNCTION("""COMPUTED_VALUE"""),"Serafino - Parent")</f>
        <v>Serafino - Parent</v>
      </c>
      <c r="E22" s="213">
        <f>IFERROR(__xludf.DUMMYFUNCTION("""COMPUTED_VALUE"""),0.0)</f>
        <v>0</v>
      </c>
      <c r="F22" s="214"/>
      <c r="G22" s="214"/>
      <c r="H22" s="214"/>
      <c r="I22" s="215" t="str">
        <f>IFERROR(__xludf.DUMMYFUNCTION("""COMPUTED_VALUE"""),"Application - Spinner")</f>
        <v>Application - Spinner</v>
      </c>
      <c r="J22" s="214"/>
      <c r="K22" s="214"/>
      <c r="L22" s="216">
        <f>IFERROR(__xludf.DUMMYFUNCTION("""COMPUTED_VALUE"""),0.0)</f>
        <v>0</v>
      </c>
      <c r="M22" s="217">
        <f>IFERROR(__xludf.DUMMYFUNCTION("""COMPUTED_VALUE"""),0.0)</f>
        <v>0</v>
      </c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4"/>
      <c r="Y22" s="214"/>
      <c r="Z22" s="214"/>
    </row>
    <row r="23">
      <c r="A23" s="200"/>
      <c r="B23" s="210" t="str">
        <f>IFERROR(__xludf.DUMMYFUNCTION("""COMPUTED_VALUE"""),"Hybrid_Rye")</f>
        <v>Hybrid_Rye</v>
      </c>
      <c r="C23" s="211" t="str">
        <f>IFERROR(__xludf.DUMMYFUNCTION("""COMPUTED_VALUE"""),"KWS")</f>
        <v>KWS</v>
      </c>
      <c r="D23" s="212" t="str">
        <f>IFERROR(__xludf.DUMMYFUNCTION("""COMPUTED_VALUE"""),"Serafino - restorer")</f>
        <v>Serafino - restorer</v>
      </c>
      <c r="E23" s="213">
        <f>IFERROR(__xludf.DUMMYFUNCTION("""COMPUTED_VALUE"""),0.0)</f>
        <v>0</v>
      </c>
      <c r="F23" s="214"/>
      <c r="G23" s="214"/>
      <c r="H23" s="214"/>
      <c r="I23" s="215" t="str">
        <f>IFERROR(__xludf.DUMMYFUNCTION("""COMPUTED_VALUE"""),"Application - Tons Of Lime Applied")</f>
        <v>Application - Tons Of Lime Applied</v>
      </c>
      <c r="J23" s="214"/>
      <c r="K23" s="214"/>
      <c r="L23" s="216">
        <f>IFERROR(__xludf.DUMMYFUNCTION("""COMPUTED_VALUE"""),0.0)</f>
        <v>0</v>
      </c>
      <c r="M23" s="217">
        <f>IFERROR(__xludf.DUMMYFUNCTION("""COMPUTED_VALUE"""),0.0)</f>
        <v>0</v>
      </c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214"/>
    </row>
    <row r="24">
      <c r="A24" s="200"/>
      <c r="B24" s="210" t="str">
        <f>IFERROR(__xludf.DUMMYFUNCTION("""COMPUTED_VALUE"""),"Kernza")</f>
        <v>Kernza</v>
      </c>
      <c r="C24" s="211" t="str">
        <f>IFERROR(__xludf.DUMMYFUNCTION("""COMPUTED_VALUE"""),"TLI")</f>
        <v>TLI</v>
      </c>
      <c r="D24" s="212" t="str">
        <f>IFERROR(__xludf.DUMMYFUNCTION("""COMPUTED_VALUE"""),"MN Clearwater")</f>
        <v>MN Clearwater</v>
      </c>
      <c r="E24" s="213">
        <f>IFERROR(__xludf.DUMMYFUNCTION("""COMPUTED_VALUE"""),0.0)</f>
        <v>0</v>
      </c>
      <c r="F24" s="214"/>
      <c r="G24" s="214"/>
      <c r="H24" s="214"/>
      <c r="I24" s="215" t="str">
        <f>IFERROR(__xludf.DUMMYFUNCTION("""COMPUTED_VALUE"""),"Application - Vrt")</f>
        <v>Application - Vrt</v>
      </c>
      <c r="J24" s="214"/>
      <c r="K24" s="214"/>
      <c r="L24" s="216">
        <f>IFERROR(__xludf.DUMMYFUNCTION("""COMPUTED_VALUE"""),0.0)</f>
        <v>0</v>
      </c>
      <c r="M24" s="217">
        <f>IFERROR(__xludf.DUMMYFUNCTION("""COMPUTED_VALUE"""),0.0)</f>
        <v>0</v>
      </c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  <c r="Y24" s="214"/>
      <c r="Z24" s="214"/>
    </row>
    <row r="25">
      <c r="A25" s="200"/>
      <c r="B25" s="210" t="str">
        <f>IFERROR(__xludf.DUMMYFUNCTION("""COMPUTED_VALUE"""),"None")</f>
        <v>None</v>
      </c>
      <c r="C25" s="211" t="str">
        <f>IFERROR(__xludf.DUMMYFUNCTION("""COMPUTED_VALUE"""),"none")</f>
        <v>none</v>
      </c>
      <c r="D25" s="212" t="str">
        <f>IFERROR(__xludf.DUMMYFUNCTION("""COMPUTED_VALUE"""),"none")</f>
        <v>none</v>
      </c>
      <c r="E25" s="213">
        <f>IFERROR(__xludf.DUMMYFUNCTION("""COMPUTED_VALUE"""),0.0)</f>
        <v>0</v>
      </c>
      <c r="F25" s="214"/>
      <c r="G25" s="214"/>
      <c r="H25" s="214"/>
      <c r="I25" s="215" t="str">
        <f>IFERROR(__xludf.DUMMYFUNCTION("""COMPUTED_VALUE"""),"Application - VRT Spinner")</f>
        <v>Application - VRT Spinner</v>
      </c>
      <c r="J25" s="214"/>
      <c r="K25" s="214"/>
      <c r="L25" s="216">
        <f>IFERROR(__xludf.DUMMYFUNCTION("""COMPUTED_VALUE"""),26045.2591)</f>
        <v>26045.2591</v>
      </c>
      <c r="M25" s="217">
        <f>IFERROR(__xludf.DUMMYFUNCTION("""COMPUTED_VALUE"""),1236.1299999999999)</f>
        <v>1236.13</v>
      </c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</row>
    <row r="26">
      <c r="A26" s="200"/>
      <c r="B26" s="210" t="str">
        <f>IFERROR(__xludf.DUMMYFUNCTION("""COMPUTED_VALUE"""),"Rye")</f>
        <v>Rye</v>
      </c>
      <c r="C26" s="211" t="str">
        <f>IFERROR(__xludf.DUMMYFUNCTION("""COMPUTED_VALUE"""),"Albert Lea")</f>
        <v>Albert Lea</v>
      </c>
      <c r="D26" s="212" t="str">
        <f>IFERROR(__xludf.DUMMYFUNCTION("""COMPUTED_VALUE"""),"Hazlett")</f>
        <v>Hazlett</v>
      </c>
      <c r="E26" s="213">
        <f>IFERROR(__xludf.DUMMYFUNCTION("""COMPUTED_VALUE"""),0.0)</f>
        <v>0</v>
      </c>
      <c r="F26" s="214"/>
      <c r="G26" s="214"/>
      <c r="H26" s="214"/>
      <c r="I26" s="215" t="str">
        <f>IFERROR(__xludf.DUMMYFUNCTION("""COMPUTED_VALUE"""),"Armezon (6x32 Oz)")</f>
        <v>Armezon (6x32 Oz)</v>
      </c>
      <c r="J26" s="214"/>
      <c r="K26" s="214"/>
      <c r="L26" s="216">
        <f>IFERROR(__xludf.DUMMYFUNCTION("""COMPUTED_VALUE"""),2745.6764999999996)</f>
        <v>2745.6765</v>
      </c>
      <c r="M26" s="217">
        <f>IFERROR(__xludf.DUMMYFUNCTION("""COMPUTED_VALUE"""),266.7)</f>
        <v>266.7</v>
      </c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</row>
    <row r="27">
      <c r="A27" s="200"/>
      <c r="B27" s="210" t="str">
        <f>IFERROR(__xludf.DUMMYFUNCTION("""COMPUTED_VALUE"""),"SEED_CORN")</f>
        <v>SEED_CORN</v>
      </c>
      <c r="C27" s="218"/>
      <c r="D27" s="212" t="str">
        <f>IFERROR(__xludf.DUMMYFUNCTION("""COMPUTED_VALUE"""),"SEED CORN")</f>
        <v>SEED CORN</v>
      </c>
      <c r="E27" s="213">
        <f>IFERROR(__xludf.DUMMYFUNCTION("""COMPUTED_VALUE"""),0.0)</f>
        <v>0</v>
      </c>
      <c r="F27" s="214"/>
      <c r="G27" s="214"/>
      <c r="H27" s="214"/>
      <c r="I27" s="215" t="str">
        <f>IFERROR(__xludf.DUMMYFUNCTION("""COMPUTED_VALUE"""),"Accent Q (18 oz)")</f>
        <v>Accent Q (18 oz)</v>
      </c>
      <c r="J27" s="214"/>
      <c r="K27" s="214"/>
      <c r="L27" s="216">
        <f>IFERROR(__xludf.DUMMYFUNCTION("""COMPUTED_VALUE"""),0.0)</f>
        <v>0</v>
      </c>
      <c r="M27" s="217">
        <f>IFERROR(__xludf.DUMMYFUNCTION("""COMPUTED_VALUE"""),0.0)</f>
        <v>0</v>
      </c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</row>
    <row r="28">
      <c r="A28" s="200"/>
      <c r="B28" s="210" t="str">
        <f>IFERROR(__xludf.DUMMYFUNCTION("""COMPUTED_VALUE"""),"Sorghum")</f>
        <v>Sorghum</v>
      </c>
      <c r="C28" s="211" t="str">
        <f>IFERROR(__xludf.DUMMYFUNCTION("""COMPUTED_VALUE"""),"Pioneer")</f>
        <v>Pioneer</v>
      </c>
      <c r="D28" s="212" t="str">
        <f>IFERROR(__xludf.DUMMYFUNCTION("""COMPUTED_VALUE"""),"89Y78")</f>
        <v>89Y78</v>
      </c>
      <c r="E28" s="213">
        <f>IFERROR(__xludf.DUMMYFUNCTION("""COMPUTED_VALUE"""),20.991951219512192)</f>
        <v>20.99195122</v>
      </c>
      <c r="F28" s="214"/>
      <c r="G28" s="214"/>
      <c r="H28" s="214"/>
      <c r="I28" s="215" t="str">
        <f>IFERROR(__xludf.DUMMYFUNCTION("""COMPUTED_VALUE"""),"Atrazine 90DF (25 lb)")</f>
        <v>Atrazine 90DF (25 lb)</v>
      </c>
      <c r="J28" s="214"/>
      <c r="K28" s="214"/>
      <c r="L28" s="216">
        <f>IFERROR(__xludf.DUMMYFUNCTION("""COMPUTED_VALUE"""),27973.75)</f>
        <v>27973.75</v>
      </c>
      <c r="M28" s="217">
        <f>IFERROR(__xludf.DUMMYFUNCTION("""COMPUTED_VALUE"""),4865.0)</f>
        <v>4865</v>
      </c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  <c r="Y28" s="214"/>
      <c r="Z28" s="214"/>
    </row>
    <row r="29">
      <c r="A29" s="200"/>
      <c r="B29" s="210" t="str">
        <f>IFERROR(__xludf.DUMMYFUNCTION("""COMPUTED_VALUE"""),"sorghum")</f>
        <v>sorghum</v>
      </c>
      <c r="C29" s="211" t="str">
        <f>IFERROR(__xludf.DUMMYFUNCTION("""COMPUTED_VALUE"""),"Pioneer")</f>
        <v>Pioneer</v>
      </c>
      <c r="D29" s="212" t="str">
        <f>IFERROR(__xludf.DUMMYFUNCTION("""COMPUTED_VALUE"""),"87P06")</f>
        <v>87P06</v>
      </c>
      <c r="E29" s="213">
        <f>IFERROR(__xludf.DUMMYFUNCTION("""COMPUTED_VALUE"""),0.0)</f>
        <v>0</v>
      </c>
      <c r="F29" s="214"/>
      <c r="G29" s="214"/>
      <c r="H29" s="214"/>
      <c r="I29" s="215" t="str">
        <f>IFERROR(__xludf.DUMMYFUNCTION("""COMPUTED_VALUE"""),"Authority First DF (2x10 Lb)")</f>
        <v>Authority First DF (2x10 Lb)</v>
      </c>
      <c r="J29" s="214"/>
      <c r="K29" s="214"/>
      <c r="L29" s="216">
        <f>IFERROR(__xludf.DUMMYFUNCTION("""COMPUTED_VALUE"""),6214.589062500001)</f>
        <v>6214.589063</v>
      </c>
      <c r="M29" s="217">
        <f>IFERROR(__xludf.DUMMYFUNCTION("""COMPUTED_VALUE"""),8998.500000000002)</f>
        <v>8998.5</v>
      </c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</row>
    <row r="30">
      <c r="A30" s="200"/>
      <c r="B30" s="210" t="str">
        <f>IFERROR(__xludf.DUMMYFUNCTION("""COMPUTED_VALUE"""),"Soybeans")</f>
        <v>Soybeans</v>
      </c>
      <c r="C30" s="211" t="str">
        <f>IFERROR(__xludf.DUMMYFUNCTION("""COMPUTED_VALUE"""),"Pioneer")</f>
        <v>Pioneer</v>
      </c>
      <c r="D30" s="212" t="str">
        <f>IFERROR(__xludf.DUMMYFUNCTION("""COMPUTED_VALUE"""),"21A20")</f>
        <v>21A20</v>
      </c>
      <c r="E30" s="213">
        <f>IFERROR(__xludf.DUMMYFUNCTION("""COMPUTED_VALUE"""),742.4999999999999)</f>
        <v>742.5</v>
      </c>
      <c r="F30" s="214"/>
      <c r="G30" s="214"/>
      <c r="H30" s="214"/>
      <c r="I30" s="215" t="str">
        <f>IFERROR(__xludf.DUMMYFUNCTION("""COMPUTED_VALUE"""),"Basagran (2x2.5 Gal)")</f>
        <v>Basagran (2x2.5 Gal)</v>
      </c>
      <c r="J30" s="214"/>
      <c r="K30" s="214"/>
      <c r="L30" s="216">
        <f>IFERROR(__xludf.DUMMYFUNCTION("""COMPUTED_VALUE"""),0.0)</f>
        <v>0</v>
      </c>
      <c r="M30" s="217" t="str">
        <f>IFERROR(__xludf.DUMMYFUNCTION("""COMPUTED_VALUE"""),"#DIV/0!")</f>
        <v>#DIV/0!</v>
      </c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14"/>
      <c r="Z30" s="214"/>
    </row>
    <row r="31">
      <c r="A31" s="200"/>
      <c r="B31" s="210" t="str">
        <f>IFERROR(__xludf.DUMMYFUNCTION("""COMPUTED_VALUE"""),"Soybeans")</f>
        <v>Soybeans</v>
      </c>
      <c r="C31" s="211" t="str">
        <f>IFERROR(__xludf.DUMMYFUNCTION("""COMPUTED_VALUE"""),"Legend seed")</f>
        <v>Legend seed</v>
      </c>
      <c r="D31" s="212">
        <f>IFERROR(__xludf.DUMMYFUNCTION("""COMPUTED_VALUE"""),2580.0)</f>
        <v>2580</v>
      </c>
      <c r="E31" s="213">
        <f>IFERROR(__xludf.DUMMYFUNCTION("""COMPUTED_VALUE"""),319.09090909090907)</f>
        <v>319.0909091</v>
      </c>
      <c r="F31" s="214"/>
      <c r="G31" s="214"/>
      <c r="H31" s="214"/>
      <c r="I31" s="215" t="str">
        <f>IFERROR(__xludf.DUMMYFUNCTION("""COMPUTED_VALUE"""),"Blazer 94x1 Gal)")</f>
        <v>Blazer 94x1 Gal)</v>
      </c>
      <c r="J31" s="214"/>
      <c r="K31" s="214"/>
      <c r="L31" s="216">
        <f>IFERROR(__xludf.DUMMYFUNCTION("""COMPUTED_VALUE"""),0.0)</f>
        <v>0</v>
      </c>
      <c r="M31" s="217" t="str">
        <f>IFERROR(__xludf.DUMMYFUNCTION("""COMPUTED_VALUE"""),"#DIV/0!")</f>
        <v>#DIV/0!</v>
      </c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  <c r="Y31" s="214"/>
      <c r="Z31" s="214"/>
    </row>
    <row r="32">
      <c r="A32" s="200"/>
      <c r="B32" s="210" t="str">
        <f>IFERROR(__xludf.DUMMYFUNCTION("""COMPUTED_VALUE"""),"Soybeans")</f>
        <v>Soybeans</v>
      </c>
      <c r="C32" s="211" t="str">
        <f>IFERROR(__xludf.DUMMYFUNCTION("""COMPUTED_VALUE"""),"Pioneer")</f>
        <v>Pioneer</v>
      </c>
      <c r="D32" s="212" t="str">
        <f>IFERROR(__xludf.DUMMYFUNCTION("""COMPUTED_VALUE"""),"RR Beans")</f>
        <v>RR Beans</v>
      </c>
      <c r="E32" s="213">
        <f>IFERROR(__xludf.DUMMYFUNCTION("""COMPUTED_VALUE"""),0.0)</f>
        <v>0</v>
      </c>
      <c r="F32" s="214"/>
      <c r="G32" s="214"/>
      <c r="H32" s="214"/>
      <c r="I32" s="215" t="str">
        <f>IFERROR(__xludf.DUMMYFUNCTION("""COMPUTED_VALUE"""),"Butyrac 200 (2x2.5 Gal)")</f>
        <v>Butyrac 200 (2x2.5 Gal)</v>
      </c>
      <c r="J32" s="214"/>
      <c r="K32" s="214"/>
      <c r="L32" s="216">
        <f>IFERROR(__xludf.DUMMYFUNCTION("""COMPUTED_VALUE"""),0.0)</f>
        <v>0</v>
      </c>
      <c r="M32" s="217">
        <f>IFERROR(__xludf.DUMMYFUNCTION("""COMPUTED_VALUE"""),0.0)</f>
        <v>0</v>
      </c>
      <c r="N32" s="214"/>
      <c r="O32" s="214"/>
      <c r="P32" s="214"/>
      <c r="Q32" s="214"/>
      <c r="R32" s="214"/>
      <c r="S32" s="214"/>
      <c r="T32" s="214"/>
      <c r="U32" s="214"/>
      <c r="V32" s="214"/>
      <c r="W32" s="214"/>
      <c r="X32" s="214"/>
      <c r="Y32" s="214"/>
      <c r="Z32" s="214"/>
    </row>
    <row r="33">
      <c r="A33" s="200"/>
      <c r="B33" s="210" t="str">
        <f>IFERROR(__xludf.DUMMYFUNCTION("""COMPUTED_VALUE"""),"Soybeans")</f>
        <v>Soybeans</v>
      </c>
      <c r="C33" s="211" t="str">
        <f>IFERROR(__xludf.DUMMYFUNCTION("""COMPUTED_VALUE"""),"viking")</f>
        <v>viking</v>
      </c>
      <c r="D33" s="212" t="str">
        <f>IFERROR(__xludf.DUMMYFUNCTION("""COMPUTED_VALUE"""),"VIKING 2188")</f>
        <v>VIKING 2188</v>
      </c>
      <c r="E33" s="213">
        <f>IFERROR(__xludf.DUMMYFUNCTION("""COMPUTED_VALUE"""),289.39285714285717)</f>
        <v>289.3928571</v>
      </c>
      <c r="F33" s="214"/>
      <c r="G33" s="214"/>
      <c r="H33" s="214"/>
      <c r="I33" s="215" t="str">
        <f>IFERROR(__xludf.DUMMYFUNCTION("""COMPUTED_VALUE"""),"Capture LFR (2x2.5 Gal)")</f>
        <v>Capture LFR (2x2.5 Gal)</v>
      </c>
      <c r="J33" s="214"/>
      <c r="K33" s="214"/>
      <c r="L33" s="216">
        <f>IFERROR(__xludf.DUMMYFUNCTION("""COMPUTED_VALUE"""),0.0)</f>
        <v>0</v>
      </c>
      <c r="M33" s="217">
        <f>IFERROR(__xludf.DUMMYFUNCTION("""COMPUTED_VALUE"""),0.0)</f>
        <v>0</v>
      </c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Y33" s="214"/>
      <c r="Z33" s="214"/>
    </row>
    <row r="34">
      <c r="A34" s="200"/>
      <c r="B34" s="210" t="str">
        <f>IFERROR(__xludf.DUMMYFUNCTION("""COMPUTED_VALUE"""),"Soybeans")</f>
        <v>Soybeans</v>
      </c>
      <c r="C34" s="218" t="str">
        <f>IFERROR(__xludf.DUMMYFUNCTION("""COMPUTED_VALUE"""),"puris")</f>
        <v>puris</v>
      </c>
      <c r="D34" s="212" t="str">
        <f>IFERROR(__xludf.DUMMYFUNCTION("""COMPUTED_VALUE"""),"Puris food bean")</f>
        <v>Puris food bean</v>
      </c>
      <c r="E34" s="213">
        <f>IFERROR(__xludf.DUMMYFUNCTION("""COMPUTED_VALUE"""),0.0)</f>
        <v>0</v>
      </c>
      <c r="F34" s="214"/>
      <c r="G34" s="214"/>
      <c r="H34" s="214"/>
      <c r="I34" s="215" t="str">
        <f>IFERROR(__xludf.DUMMYFUNCTION("""COMPUTED_VALUE"""),"Ceridian 2 EC (2x2.5 Gal)")</f>
        <v>Ceridian 2 EC (2x2.5 Gal)</v>
      </c>
      <c r="J34" s="214"/>
      <c r="K34" s="214"/>
      <c r="L34" s="216">
        <f>IFERROR(__xludf.DUMMYFUNCTION("""COMPUTED_VALUE"""),0.0)</f>
        <v>0</v>
      </c>
      <c r="M34" s="217">
        <f>IFERROR(__xludf.DUMMYFUNCTION("""COMPUTED_VALUE"""),0.0)</f>
        <v>0</v>
      </c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</row>
    <row r="35">
      <c r="A35" s="200"/>
      <c r="B35" s="210" t="str">
        <f>IFERROR(__xludf.DUMMYFUNCTION("""COMPUTED_VALUE"""),"Sunflowers")</f>
        <v>Sunflowers</v>
      </c>
      <c r="C35" s="211" t="str">
        <f>IFERROR(__xludf.DUMMYFUNCTION("""COMPUTED_VALUE"""),"Pioneer")</f>
        <v>Pioneer</v>
      </c>
      <c r="D35" s="212" t="str">
        <f>IFERROR(__xludf.DUMMYFUNCTION("""COMPUTED_VALUE"""),"P63HE90")</f>
        <v>P63HE90</v>
      </c>
      <c r="E35" s="213">
        <f>IFERROR(__xludf.DUMMYFUNCTION("""COMPUTED_VALUE"""),0.0)</f>
        <v>0</v>
      </c>
      <c r="F35" s="214"/>
      <c r="G35" s="214"/>
      <c r="H35" s="214"/>
      <c r="I35" s="215" t="str">
        <f>IFERROR(__xludf.DUMMYFUNCTION("""COMPUTED_VALUE"""),"Clarity (2x2.5 Gal)")</f>
        <v>Clarity (2x2.5 Gal)</v>
      </c>
      <c r="J35" s="214"/>
      <c r="K35" s="214"/>
      <c r="L35" s="216">
        <f>IFERROR(__xludf.DUMMYFUNCTION("""COMPUTED_VALUE"""),479.98945312499995)</f>
        <v>479.9894531</v>
      </c>
      <c r="M35" s="217">
        <f>IFERROR(__xludf.DUMMYFUNCTION("""COMPUTED_VALUE"""),4726.049999999999)</f>
        <v>4726.05</v>
      </c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4"/>
    </row>
    <row r="36">
      <c r="A36" s="200"/>
      <c r="B36" s="210" t="str">
        <f>IFERROR(__xludf.DUMMYFUNCTION("""COMPUTED_VALUE"""),"Wheat")</f>
        <v>Wheat</v>
      </c>
      <c r="C36" s="218"/>
      <c r="D36" s="212" t="str">
        <f>IFERROR(__xludf.DUMMYFUNCTION("""COMPUTED_VALUE"""),"sunburst")</f>
        <v>sunburst</v>
      </c>
      <c r="E36" s="213">
        <f>IFERROR(__xludf.DUMMYFUNCTION("""COMPUTED_VALUE"""),0.0)</f>
        <v>0</v>
      </c>
      <c r="F36" s="214"/>
      <c r="G36" s="214"/>
      <c r="H36" s="214"/>
      <c r="I36" s="215" t="str">
        <f>IFERROR(__xludf.DUMMYFUNCTION("""COMPUTED_VALUE"""),"Crop Oil (2x2.5 Gal)")</f>
        <v>Crop Oil (2x2.5 Gal)</v>
      </c>
      <c r="J36" s="214"/>
      <c r="K36" s="214"/>
      <c r="L36" s="216">
        <f>IFERROR(__xludf.DUMMYFUNCTION("""COMPUTED_VALUE"""),0.0)</f>
        <v>0</v>
      </c>
      <c r="M36" s="217">
        <f>IFERROR(__xludf.DUMMYFUNCTION("""COMPUTED_VALUE"""),0.0)</f>
        <v>0</v>
      </c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  <c r="Y36" s="214"/>
      <c r="Z36" s="214"/>
    </row>
    <row r="37">
      <c r="A37" s="200"/>
      <c r="B37" s="210" t="str">
        <f>IFERROR(__xludf.DUMMYFUNCTION("""COMPUTED_VALUE"""),"Wheat")</f>
        <v>Wheat</v>
      </c>
      <c r="C37" s="211" t="str">
        <f>IFERROR(__xludf.DUMMYFUNCTION("""COMPUTED_VALUE"""),"Limagrain")</f>
        <v>Limagrain</v>
      </c>
      <c r="D37" s="212" t="str">
        <f>IFERROR(__xludf.DUMMYFUNCTION("""COMPUTED_VALUE"""),"LCS 3334")</f>
        <v>LCS 3334</v>
      </c>
      <c r="E37" s="213">
        <f>IFERROR(__xludf.DUMMYFUNCTION("""COMPUTED_VALUE"""),577.9663374600084)</f>
        <v>577.9663375</v>
      </c>
      <c r="F37" s="214"/>
      <c r="G37" s="214"/>
      <c r="H37" s="214"/>
      <c r="I37" s="215" t="str">
        <f>IFERROR(__xludf.DUMMYFUNCTION("""COMPUTED_VALUE"""),"Cobra (2x2.5 Gal)")</f>
        <v>Cobra (2x2.5 Gal)</v>
      </c>
      <c r="J37" s="214"/>
      <c r="K37" s="214"/>
      <c r="L37" s="216">
        <f>IFERROR(__xludf.DUMMYFUNCTION("""COMPUTED_VALUE"""),0.0)</f>
        <v>0</v>
      </c>
      <c r="M37" s="217">
        <f>IFERROR(__xludf.DUMMYFUNCTION("""COMPUTED_VALUE"""),0.0)</f>
        <v>0</v>
      </c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</row>
    <row r="38">
      <c r="A38" s="200"/>
      <c r="B38" s="214" t="str">
        <f>IFERROR(__xludf.DUMMYFUNCTION("""COMPUTED_VALUE"""),"Wheat")</f>
        <v>Wheat</v>
      </c>
      <c r="C38" s="219" t="str">
        <f>IFERROR(__xludf.DUMMYFUNCTION("""COMPUTED_VALUE"""),"Pioneer")</f>
        <v>Pioneer</v>
      </c>
      <c r="D38" s="220" t="str">
        <f>IFERROR(__xludf.DUMMYFUNCTION("""COMPUTED_VALUE"""),"25R34 N3431")</f>
        <v>25R34 N3431</v>
      </c>
      <c r="E38" s="219">
        <f>IFERROR(__xludf.DUMMYFUNCTION("""COMPUTED_VALUE"""),0.0)</f>
        <v>0</v>
      </c>
      <c r="F38" s="214"/>
      <c r="G38" s="214"/>
      <c r="H38" s="214"/>
      <c r="I38" s="215" t="str">
        <f>IFERROR(__xludf.DUMMYFUNCTION("""COMPUTED_VALUE"""),"Distinct (2x7.5 Lb)")</f>
        <v>Distinct (2x7.5 Lb)</v>
      </c>
      <c r="J38" s="214"/>
      <c r="K38" s="214"/>
      <c r="L38" s="216">
        <f>IFERROR(__xludf.DUMMYFUNCTION("""COMPUTED_VALUE"""),6472.40234375)</f>
        <v>6472.402344</v>
      </c>
      <c r="M38" s="217">
        <f>IFERROR(__xludf.DUMMYFUNCTION("""COMPUTED_VALUE"""),11835.25)</f>
        <v>11835.25</v>
      </c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</row>
    <row r="39">
      <c r="A39" s="200"/>
      <c r="B39" s="214" t="str">
        <f>IFERROR(__xludf.DUMMYFUNCTION("""COMPUTED_VALUE"""),"Wheat")</f>
        <v>Wheat</v>
      </c>
      <c r="C39" s="219" t="str">
        <f>IFERROR(__xludf.DUMMYFUNCTION("""COMPUTED_VALUE"""),"Kennel Seed")</f>
        <v>Kennel Seed</v>
      </c>
      <c r="D39" s="220" t="str">
        <f>IFERROR(__xludf.DUMMYFUNCTION("""COMPUTED_VALUE"""),"KS- 1618")</f>
        <v>KS- 1618</v>
      </c>
      <c r="E39" s="219">
        <f>IFERROR(__xludf.DUMMYFUNCTION("""COMPUTED_VALUE"""),0.0)</f>
        <v>0</v>
      </c>
      <c r="F39" s="214"/>
      <c r="G39" s="214"/>
      <c r="H39" s="214"/>
      <c r="I39" s="215" t="str">
        <f>IFERROR(__xludf.DUMMYFUNCTION("""COMPUTED_VALUE"""),"Durango DMA (Bulk)")</f>
        <v>Durango DMA (Bulk)</v>
      </c>
      <c r="J39" s="214"/>
      <c r="K39" s="214"/>
      <c r="L39" s="216">
        <f>IFERROR(__xludf.DUMMYFUNCTION("""COMPUTED_VALUE"""),0.0)</f>
        <v>0</v>
      </c>
      <c r="M39" s="217">
        <f>IFERROR(__xludf.DUMMYFUNCTION("""COMPUTED_VALUE"""),0.0)</f>
        <v>0</v>
      </c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</row>
    <row r="40">
      <c r="A40" s="200"/>
      <c r="B40" s="214" t="str">
        <f>IFERROR(__xludf.DUMMYFUNCTION("""COMPUTED_VALUE"""),"White_Corn")</f>
        <v>White_Corn</v>
      </c>
      <c r="C40" s="219" t="str">
        <f>IFERROR(__xludf.DUMMYFUNCTION("""COMPUTED_VALUE"""),"Pioneer")</f>
        <v>Pioneer</v>
      </c>
      <c r="D40" s="220" t="str">
        <f>IFERROR(__xludf.DUMMYFUNCTION("""COMPUTED_VALUE"""),"1306W")</f>
        <v>1306W</v>
      </c>
      <c r="E40" s="219">
        <f>IFERROR(__xludf.DUMMYFUNCTION("""COMPUTED_VALUE"""),303.4375)</f>
        <v>303.4375</v>
      </c>
      <c r="F40" s="214"/>
      <c r="G40" s="214"/>
      <c r="H40" s="214"/>
      <c r="I40" s="215" t="str">
        <f>IFERROR(__xludf.DUMMYFUNCTION("""COMPUTED_VALUE"""),"Durango DMA (2X2.5 Gal)")</f>
        <v>Durango DMA (2X2.5 Gal)</v>
      </c>
      <c r="J40" s="214"/>
      <c r="K40" s="214"/>
      <c r="L40" s="216">
        <f>IFERROR(__xludf.DUMMYFUNCTION("""COMPUTED_VALUE"""),0.0)</f>
        <v>0</v>
      </c>
      <c r="M40" s="217" t="str">
        <f>IFERROR(__xludf.DUMMYFUNCTION("""COMPUTED_VALUE"""),"#DIV/0!")</f>
        <v>#DIV/0!</v>
      </c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4"/>
    </row>
    <row r="41">
      <c r="A41" s="200"/>
      <c r="B41" s="214" t="str">
        <f>IFERROR(__xludf.DUMMYFUNCTION("""COMPUTED_VALUE"""),"White_Corn")</f>
        <v>White_Corn</v>
      </c>
      <c r="C41" s="219" t="str">
        <f>IFERROR(__xludf.DUMMYFUNCTION("""COMPUTED_VALUE"""),"Pioneer")</f>
        <v>Pioneer</v>
      </c>
      <c r="D41" s="220" t="str">
        <f>IFERROR(__xludf.DUMMYFUNCTION("""COMPUTED_VALUE"""),"1306W untreated")</f>
        <v>1306W untreated</v>
      </c>
      <c r="E41" s="219">
        <f>IFERROR(__xludf.DUMMYFUNCTION("""COMPUTED_VALUE"""),0.0)</f>
        <v>0</v>
      </c>
      <c r="F41" s="214"/>
      <c r="G41" s="214"/>
      <c r="H41" s="214"/>
      <c r="I41" s="215" t="str">
        <f>IFERROR(__xludf.DUMMYFUNCTION("""COMPUTED_VALUE"""),"Ester 2,4-D LV (2x2.5 Gal)")</f>
        <v>Ester 2,4-D LV (2x2.5 Gal)</v>
      </c>
      <c r="J41" s="214"/>
      <c r="K41" s="214"/>
      <c r="L41" s="216">
        <f>IFERROR(__xludf.DUMMYFUNCTION("""COMPUTED_VALUE"""),0.0)</f>
        <v>0</v>
      </c>
      <c r="M41" s="217">
        <f>IFERROR(__xludf.DUMMYFUNCTION("""COMPUTED_VALUE"""),0.0)</f>
        <v>0</v>
      </c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  <c r="Y41" s="214"/>
      <c r="Z41" s="214"/>
    </row>
    <row r="42">
      <c r="A42" s="200"/>
      <c r="B42" s="214"/>
      <c r="C42" s="214"/>
      <c r="D42" s="220" t="str">
        <f>IFERROR(__xludf.DUMMYFUNCTION("""COMPUTED_VALUE"""),"CANNING")</f>
        <v>CANNING</v>
      </c>
      <c r="E42" s="219">
        <f>IFERROR(__xludf.DUMMYFUNCTION("""COMPUTED_VALUE"""),1772.216041666667)</f>
        <v>1772.216042</v>
      </c>
      <c r="F42" s="214"/>
      <c r="G42" s="214"/>
      <c r="H42" s="214"/>
      <c r="I42" s="215" t="str">
        <f>IFERROR(__xludf.DUMMYFUNCTION("""COMPUTED_VALUE"""),"Exceed Soy Inoculant (30 Unit)")</f>
        <v>Exceed Soy Inoculant (30 Unit)</v>
      </c>
      <c r="J42" s="214"/>
      <c r="K42" s="214"/>
      <c r="L42" s="216">
        <f>IFERROR(__xludf.DUMMYFUNCTION("""COMPUTED_VALUE"""),0.0)</f>
        <v>0</v>
      </c>
      <c r="M42" s="217">
        <f>IFERROR(__xludf.DUMMYFUNCTION("""COMPUTED_VALUE"""),0.0)</f>
        <v>0</v>
      </c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  <c r="Y42" s="214"/>
      <c r="Z42" s="214"/>
    </row>
    <row r="43">
      <c r="A43" s="200"/>
      <c r="B43" s="214" t="str">
        <f>IFERROR(__xludf.DUMMYFUNCTION("""COMPUTED_VALUE"""),"AlFALFA")</f>
        <v>AlFALFA</v>
      </c>
      <c r="C43" s="214" t="str">
        <f>IFERROR(__xludf.DUMMYFUNCTION("""COMPUTED_VALUE"""),"Pioneer")</f>
        <v>Pioneer</v>
      </c>
      <c r="D43" s="220" t="str">
        <f>IFERROR(__xludf.DUMMYFUNCTION("""COMPUTED_VALUE"""),"54VQ52")</f>
        <v>54VQ52</v>
      </c>
      <c r="E43" s="219">
        <f>IFERROR(__xludf.DUMMYFUNCTION("""COMPUTED_VALUE"""),0.0)</f>
        <v>0</v>
      </c>
      <c r="F43" s="214"/>
      <c r="G43" s="214"/>
      <c r="H43" s="214"/>
      <c r="I43" s="215" t="str">
        <f>IFERROR(__xludf.DUMMYFUNCTION("""COMPUTED_VALUE"""),"Flexstar (2x2.5 Gal)")</f>
        <v>Flexstar (2x2.5 Gal)</v>
      </c>
      <c r="J43" s="214"/>
      <c r="K43" s="214"/>
      <c r="L43" s="216">
        <f>IFERROR(__xludf.DUMMYFUNCTION("""COMPUTED_VALUE"""),0.0)</f>
        <v>0</v>
      </c>
      <c r="M43" s="217">
        <f>IFERROR(__xludf.DUMMYFUNCTION("""COMPUTED_VALUE"""),0.0)</f>
        <v>0</v>
      </c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</row>
    <row r="44">
      <c r="A44" s="200"/>
      <c r="B44" s="214" t="str">
        <f>IFERROR(__xludf.DUMMYFUNCTION("""COMPUTED_VALUE"""),"ALFALFA")</f>
        <v>ALFALFA</v>
      </c>
      <c r="C44" s="219" t="str">
        <f>IFERROR(__xludf.DUMMYFUNCTION("""COMPUTED_VALUE"""),"Haravatron")</f>
        <v>Haravatron</v>
      </c>
      <c r="D44" s="220" t="str">
        <f>IFERROR(__xludf.DUMMYFUNCTION("""COMPUTED_VALUE"""),"Harvatron")</f>
        <v>Harvatron</v>
      </c>
      <c r="E44" s="219">
        <f>IFERROR(__xludf.DUMMYFUNCTION("""COMPUTED_VALUE"""),0.0)</f>
        <v>0</v>
      </c>
      <c r="F44" s="214"/>
      <c r="G44" s="214"/>
      <c r="H44" s="214"/>
      <c r="I44" s="215" t="str">
        <f>IFERROR(__xludf.DUMMYFUNCTION("""COMPUTED_VALUE"""),"Grid Sampling (2.5 ac.)")</f>
        <v>Grid Sampling (2.5 ac.)</v>
      </c>
      <c r="J44" s="214"/>
      <c r="K44" s="214"/>
      <c r="L44" s="216">
        <f>IFERROR(__xludf.DUMMYFUNCTION("""COMPUTED_VALUE"""),0.0)</f>
        <v>0</v>
      </c>
      <c r="M44" s="217">
        <f>IFERROR(__xludf.DUMMYFUNCTION("""COMPUTED_VALUE"""),0.0)</f>
        <v>0</v>
      </c>
      <c r="N44" s="214"/>
      <c r="O44" s="214"/>
      <c r="P44" s="214"/>
      <c r="Q44" s="214"/>
      <c r="R44" s="214"/>
      <c r="S44" s="214"/>
      <c r="T44" s="214"/>
      <c r="U44" s="214"/>
      <c r="V44" s="214"/>
      <c r="W44" s="214"/>
      <c r="X44" s="214"/>
      <c r="Y44" s="214"/>
      <c r="Z44" s="214"/>
    </row>
    <row r="45">
      <c r="A45" s="200"/>
      <c r="B45" s="214" t="str">
        <f>IFERROR(__xludf.DUMMYFUNCTION("""COMPUTED_VALUE"""),"LIMA_BEANS")</f>
        <v>LIMA_BEANS</v>
      </c>
      <c r="C45" s="214"/>
      <c r="D45" s="220"/>
      <c r="E45" s="219" t="str">
        <f>IFERROR(__xludf.DUMMYFUNCTION("""COMPUTED_VALUE"""),"#DIV/0!")</f>
        <v>#DIV/0!</v>
      </c>
      <c r="F45" s="214"/>
      <c r="G45" s="214"/>
      <c r="H45" s="214"/>
      <c r="I45" s="215" t="str">
        <f>IFERROR(__xludf.DUMMYFUNCTION("""COMPUTED_VALUE"""),"Grid Sampling (5 ac.)")</f>
        <v>Grid Sampling (5 ac.)</v>
      </c>
      <c r="J45" s="214"/>
      <c r="K45" s="214"/>
      <c r="L45" s="216">
        <f>IFERROR(__xludf.DUMMYFUNCTION("""COMPUTED_VALUE"""),1508.71875)</f>
        <v>1508.71875</v>
      </c>
      <c r="M45" s="217">
        <f>IFERROR(__xludf.DUMMYFUNCTION("""COMPUTED_VALUE"""),1463.0)</f>
        <v>1463</v>
      </c>
      <c r="N45" s="214"/>
      <c r="O45" s="214"/>
      <c r="P45" s="214"/>
      <c r="Q45" s="214"/>
      <c r="R45" s="214"/>
      <c r="S45" s="214"/>
      <c r="T45" s="214"/>
      <c r="U45" s="214"/>
      <c r="V45" s="214"/>
      <c r="W45" s="214"/>
      <c r="X45" s="214"/>
      <c r="Y45" s="214"/>
      <c r="Z45" s="214"/>
    </row>
    <row r="46">
      <c r="A46" s="200"/>
      <c r="B46" s="214" t="str">
        <f>IFERROR(__xludf.DUMMYFUNCTION("""COMPUTED_VALUE"""),"CANNING_PEAS")</f>
        <v>CANNING_PEAS</v>
      </c>
      <c r="C46" s="214"/>
      <c r="D46" s="220"/>
      <c r="E46" s="219" t="str">
        <f>IFERROR(__xludf.DUMMYFUNCTION("""COMPUTED_VALUE"""),"#DIV/0!")</f>
        <v>#DIV/0!</v>
      </c>
      <c r="F46" s="214"/>
      <c r="G46" s="214"/>
      <c r="H46" s="214"/>
      <c r="I46" s="215" t="str">
        <f>IFERROR(__xludf.DUMMYFUNCTION("""COMPUTED_VALUE"""),"Huskie (2x2.5 Gal)")</f>
        <v>Huskie (2x2.5 Gal)</v>
      </c>
      <c r="J46" s="214"/>
      <c r="K46" s="214"/>
      <c r="L46" s="216">
        <f>IFERROR(__xludf.DUMMYFUNCTION("""COMPUTED_VALUE"""),0.0)</f>
        <v>0</v>
      </c>
      <c r="M46" s="217">
        <f>IFERROR(__xludf.DUMMYFUNCTION("""COMPUTED_VALUE"""),0.0)</f>
        <v>0</v>
      </c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  <c r="Y46" s="214"/>
      <c r="Z46" s="214"/>
    </row>
    <row r="47">
      <c r="A47" s="200"/>
      <c r="B47" s="214" t="str">
        <f>IFERROR(__xludf.DUMMYFUNCTION("""COMPUTED_VALUE"""),"OATS")</f>
        <v>OATS</v>
      </c>
      <c r="C47" s="214"/>
      <c r="D47" s="220"/>
      <c r="E47" s="219" t="str">
        <f>IFERROR(__xludf.DUMMYFUNCTION("""COMPUTED_VALUE"""),"#DIV/0!")</f>
        <v>#DIV/0!</v>
      </c>
      <c r="F47" s="214"/>
      <c r="G47" s="214"/>
      <c r="H47" s="214"/>
      <c r="I47" s="215" t="str">
        <f>IFERROR(__xludf.DUMMYFUNCTION("""COMPUTED_VALUE"""),"Hexus D (5x12 Lb)")</f>
        <v>Hexus D (5x12 Lb)</v>
      </c>
      <c r="J47" s="214"/>
      <c r="K47" s="214"/>
      <c r="L47" s="216">
        <f>IFERROR(__xludf.DUMMYFUNCTION("""COMPUTED_VALUE"""),0.0)</f>
        <v>0</v>
      </c>
      <c r="M47" s="217">
        <f>IFERROR(__xludf.DUMMYFUNCTION("""COMPUTED_VALUE"""),0.0)</f>
        <v>0</v>
      </c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214"/>
      <c r="Y47" s="214"/>
      <c r="Z47" s="214"/>
    </row>
    <row r="48">
      <c r="A48" s="200"/>
      <c r="B48" s="214" t="str">
        <f>IFERROR(__xludf.DUMMYFUNCTION("""COMPUTED_VALUE"""),"TREATMENT")</f>
        <v>TREATMENT</v>
      </c>
      <c r="C48" s="214"/>
      <c r="D48" s="220"/>
      <c r="E48" s="219" t="str">
        <f>IFERROR(__xludf.DUMMYFUNCTION("""COMPUTED_VALUE"""),"#DIV/0!")</f>
        <v>#DIV/0!</v>
      </c>
      <c r="F48" s="214"/>
      <c r="G48" s="214"/>
      <c r="H48" s="214"/>
      <c r="I48" s="215" t="str">
        <f>IFERROR(__xludf.DUMMYFUNCTION("""COMPUTED_VALUE"""),"Ilevo Nematicide/SDS (140K) Seed Treatment")</f>
        <v>Ilevo Nematicide/SDS (140K) Seed Treatment</v>
      </c>
      <c r="J48" s="214"/>
      <c r="K48" s="214"/>
      <c r="L48" s="216">
        <f>IFERROR(__xludf.DUMMYFUNCTION("""COMPUTED_VALUE"""),0.0)</f>
        <v>0</v>
      </c>
      <c r="M48" s="217" t="str">
        <f>IFERROR(__xludf.DUMMYFUNCTION("""COMPUTED_VALUE"""),"#DIV/0!")</f>
        <v>#DIV/0!</v>
      </c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214"/>
      <c r="Y48" s="214"/>
      <c r="Z48" s="214"/>
    </row>
    <row r="49">
      <c r="A49" s="200"/>
      <c r="B49" s="214" t="str">
        <f>IFERROR(__xludf.DUMMYFUNCTION("""COMPUTED_VALUE"""),"CLOVER")</f>
        <v>CLOVER</v>
      </c>
      <c r="C49" s="219" t="str">
        <f>IFERROR(__xludf.DUMMYFUNCTION("""COMPUTED_VALUE"""),"KENNEL SEED")</f>
        <v>KENNEL SEED</v>
      </c>
      <c r="D49" s="220" t="str">
        <f>IFERROR(__xludf.DUMMYFUNCTION("""COMPUTED_VALUE"""),"MAMMOTH")</f>
        <v>MAMMOTH</v>
      </c>
      <c r="E49" s="219" t="str">
        <f>IFERROR(__xludf.DUMMYFUNCTION("""COMPUTED_VALUE"""),"#DIV/0!")</f>
        <v>#DIV/0!</v>
      </c>
      <c r="F49" s="214"/>
      <c r="G49" s="214"/>
      <c r="H49" s="214"/>
      <c r="I49" s="215" t="str">
        <f>IFERROR(__xludf.DUMMYFUNCTION("""COMPUTED_VALUE"""),"Inflame 280SL (265 Gal)")</f>
        <v>Inflame 280SL (265 Gal)</v>
      </c>
      <c r="J49" s="214"/>
      <c r="K49" s="214"/>
      <c r="L49" s="216">
        <f>IFERROR(__xludf.DUMMYFUNCTION("""COMPUTED_VALUE"""),0.0)</f>
        <v>0</v>
      </c>
      <c r="M49" s="217">
        <f>IFERROR(__xludf.DUMMYFUNCTION("""COMPUTED_VALUE"""),0.0)</f>
        <v>0</v>
      </c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214"/>
      <c r="Y49" s="214"/>
      <c r="Z49" s="214"/>
    </row>
    <row r="50">
      <c r="A50" s="200"/>
      <c r="B50" s="75" t="str">
        <f>IFERROR(__xludf.DUMMYFUNCTION("""COMPUTED_VALUE"""),"VNS RYE")</f>
        <v>VNS RYE</v>
      </c>
      <c r="C50" s="75"/>
      <c r="D50" s="221" t="str">
        <f>IFERROR(__xludf.DUMMYFUNCTION("""COMPUTED_VALUE"""),"Cereal Rye")</f>
        <v>Cereal Rye</v>
      </c>
      <c r="E50" s="222" t="str">
        <f>IFERROR(__xludf.DUMMYFUNCTION("""COMPUTED_VALUE"""),"#DIV/0!")</f>
        <v>#DIV/0!</v>
      </c>
      <c r="I50" s="215" t="str">
        <f>IFERROR(__xludf.DUMMYFUNCTION("""COMPUTED_VALUE"""),"Jumbo Bagd")</f>
        <v>Jumbo Bagd</v>
      </c>
      <c r="J50" s="214"/>
      <c r="K50" s="214"/>
      <c r="L50" s="216">
        <f>IFERROR(__xludf.DUMMYFUNCTION("""COMPUTED_VALUE"""),4615.523999999999)</f>
        <v>4615.524</v>
      </c>
      <c r="M50" s="217">
        <f>IFERROR(__xludf.DUMMYFUNCTION("""COMPUTED_VALUE"""),795.78)</f>
        <v>795.78</v>
      </c>
    </row>
    <row r="51">
      <c r="A51" s="200"/>
      <c r="B51" s="75" t="str">
        <f>IFERROR(__xludf.DUMMYFUNCTION("""COMPUTED_VALUE"""),"Hybrid Rye")</f>
        <v>Hybrid Rye</v>
      </c>
      <c r="C51" s="75" t="str">
        <f>IFERROR(__xludf.DUMMYFUNCTION("""COMPUTED_VALUE"""),"KWS")</f>
        <v>KWS</v>
      </c>
      <c r="D51" s="221" t="str">
        <f>IFERROR(__xludf.DUMMYFUNCTION("""COMPUTED_VALUE"""),"Aviator")</f>
        <v>Aviator</v>
      </c>
      <c r="E51" s="222">
        <f>IFERROR(__xludf.DUMMYFUNCTION("""COMPUTED_VALUE"""),28.049999999999997)</f>
        <v>28.05</v>
      </c>
      <c r="I51" s="215" t="str">
        <f>IFERROR(__xludf.DUMMYFUNCTION("""COMPUTED_VALUE"""),"Laudis (4x128 oz)")</f>
        <v>Laudis (4x128 oz)</v>
      </c>
      <c r="J51" s="214"/>
      <c r="K51" s="214"/>
      <c r="L51" s="216">
        <f>IFERROR(__xludf.DUMMYFUNCTION("""COMPUTED_VALUE"""),5017.03125)</f>
        <v>5017.03125</v>
      </c>
      <c r="M51" s="217">
        <f>IFERROR(__xludf.DUMMYFUNCTION("""COMPUTED_VALUE"""),3892.0)</f>
        <v>3892</v>
      </c>
    </row>
    <row r="52">
      <c r="A52" s="200"/>
      <c r="B52" s="75" t="str">
        <f>IFERROR(__xludf.DUMMYFUNCTION("""COMPUTED_VALUE"""),"Hybrid Rye")</f>
        <v>Hybrid Rye</v>
      </c>
      <c r="C52" s="75" t="str">
        <f>IFERROR(__xludf.DUMMYFUNCTION("""COMPUTED_VALUE"""),"KWS")</f>
        <v>KWS</v>
      </c>
      <c r="D52" s="221" t="str">
        <f>IFERROR(__xludf.DUMMYFUNCTION("""COMPUTED_VALUE"""),"Pro Power")</f>
        <v>Pro Power</v>
      </c>
      <c r="E52" s="222">
        <f>IFERROR(__xludf.DUMMYFUNCTION("""COMPUTED_VALUE"""),84.99999999999999)</f>
        <v>85</v>
      </c>
      <c r="I52" s="215" t="str">
        <f>IFERROR(__xludf.DUMMYFUNCTION("""COMPUTED_VALUE"""),"Mauler (2x2.5 Gal)")</f>
        <v>Mauler (2x2.5 Gal)</v>
      </c>
      <c r="J52" s="214"/>
      <c r="K52" s="214"/>
      <c r="L52" s="216">
        <f>IFERROR(__xludf.DUMMYFUNCTION("""COMPUTED_VALUE"""),2532.84493)</f>
        <v>2532.84493</v>
      </c>
      <c r="M52" s="217">
        <f>IFERROR(__xludf.DUMMYFUNCTION("""COMPUTED_VALUE"""),150.139)</f>
        <v>150.139</v>
      </c>
    </row>
    <row r="53">
      <c r="A53" s="200"/>
      <c r="B53" s="75" t="str">
        <f>IFERROR(__xludf.DUMMYFUNCTION("""COMPUTED_VALUE"""),"soybeans")</f>
        <v>soybeans</v>
      </c>
      <c r="C53" s="75" t="str">
        <f>IFERROR(__xludf.DUMMYFUNCTION("""COMPUTED_VALUE"""),"Viking")</f>
        <v>Viking</v>
      </c>
      <c r="D53" s="221" t="str">
        <f>IFERROR(__xludf.DUMMYFUNCTION("""COMPUTED_VALUE"""),"O.2418")</f>
        <v>O.2418</v>
      </c>
      <c r="E53" s="222">
        <f>IFERROR(__xludf.DUMMYFUNCTION("""COMPUTED_VALUE"""),0.0)</f>
        <v>0</v>
      </c>
      <c r="I53" s="215" t="str">
        <f>IFERROR(__xludf.DUMMYFUNCTION("""COMPUTED_VALUE"""),"Meth Oil, Insource (2.25 Gal)")</f>
        <v>Meth Oil, Insource (2.25 Gal)</v>
      </c>
      <c r="J53" s="214"/>
      <c r="K53" s="214"/>
      <c r="L53" s="216">
        <f>IFERROR(__xludf.DUMMYFUNCTION("""COMPUTED_VALUE"""),0.0)</f>
        <v>0</v>
      </c>
      <c r="M53" s="217" t="str">
        <f>IFERROR(__xludf.DUMMYFUNCTION("""COMPUTED_VALUE"""),"#DIV/0!")</f>
        <v>#DIV/0!</v>
      </c>
    </row>
    <row r="54">
      <c r="A54" s="200"/>
      <c r="B54" s="75" t="str">
        <f>IFERROR(__xludf.DUMMYFUNCTION("""COMPUTED_VALUE"""),"soybeans")</f>
        <v>soybeans</v>
      </c>
      <c r="C54" s="75" t="str">
        <f>IFERROR(__xludf.DUMMYFUNCTION("""COMPUTED_VALUE"""),"Viking")</f>
        <v>Viking</v>
      </c>
      <c r="D54" s="221" t="str">
        <f>IFERROR(__xludf.DUMMYFUNCTION("""COMPUTED_VALUE"""),"Registered 2188")</f>
        <v>Registered 2188</v>
      </c>
      <c r="E54" s="222">
        <f>IFERROR(__xludf.DUMMYFUNCTION("""COMPUTED_VALUE"""),100.42857142857142)</f>
        <v>100.4285714</v>
      </c>
      <c r="I54" s="215" t="str">
        <f>IFERROR(__xludf.DUMMYFUNCTION("""COMPUTED_VALUE"""),"Meth Oil (265 Gal)")</f>
        <v>Meth Oil (265 Gal)</v>
      </c>
      <c r="J54" s="214"/>
      <c r="K54" s="214"/>
      <c r="L54" s="216">
        <f>IFERROR(__xludf.DUMMYFUNCTION("""COMPUTED_VALUE"""),0.0)</f>
        <v>0</v>
      </c>
      <c r="M54" s="217">
        <f>IFERROR(__xludf.DUMMYFUNCTION("""COMPUTED_VALUE"""),0.0)</f>
        <v>0</v>
      </c>
    </row>
    <row r="55">
      <c r="A55" s="200"/>
      <c r="B55" s="75" t="str">
        <f>IFERROR(__xludf.DUMMYFUNCTION("""COMPUTED_VALUE"""),"winter camelina")</f>
        <v>winter camelina</v>
      </c>
      <c r="C55" s="75"/>
      <c r="D55" s="221" t="str">
        <f>IFERROR(__xludf.DUMMYFUNCTION("""COMPUTED_VALUE"""),"joelle")</f>
        <v>joelle</v>
      </c>
      <c r="E55" s="222">
        <f>IFERROR(__xludf.DUMMYFUNCTION("""COMPUTED_VALUE"""),0.0)</f>
        <v>0</v>
      </c>
      <c r="I55" s="215" t="str">
        <f>IFERROR(__xludf.DUMMYFUNCTION("""COMPUTED_VALUE"""),"Micro Sampling")</f>
        <v>Micro Sampling</v>
      </c>
      <c r="J55" s="214"/>
      <c r="K55" s="214"/>
      <c r="L55" s="216">
        <f>IFERROR(__xludf.DUMMYFUNCTION("""COMPUTED_VALUE"""),25477.875)</f>
        <v>25477.875</v>
      </c>
      <c r="M55" s="217">
        <f>IFERROR(__xludf.DUMMYFUNCTION("""COMPUTED_VALUE"""),21741.120000000003)</f>
        <v>21741.12</v>
      </c>
    </row>
    <row r="56">
      <c r="A56" s="200"/>
      <c r="B56" s="75"/>
      <c r="C56" s="75"/>
      <c r="D56" s="221"/>
      <c r="E56" s="222" t="str">
        <f>IFERROR(__xludf.DUMMYFUNCTION("""COMPUTED_VALUE"""),"#DIV/0!")</f>
        <v>#DIV/0!</v>
      </c>
      <c r="I56" s="215" t="str">
        <f>IFERROR(__xludf.DUMMYFUNCTION("""COMPUTED_VALUE"""),"Outlook (Bulk)")</f>
        <v>Outlook (Bulk)</v>
      </c>
      <c r="J56" s="214"/>
      <c r="K56" s="214"/>
      <c r="L56" s="216">
        <f>IFERROR(__xludf.DUMMYFUNCTION("""COMPUTED_VALUE"""),0.0)</f>
        <v>0</v>
      </c>
      <c r="M56" s="217">
        <f>IFERROR(__xludf.DUMMYFUNCTION("""COMPUTED_VALUE"""),0.0)</f>
        <v>0</v>
      </c>
    </row>
    <row r="57">
      <c r="A57" s="200"/>
      <c r="D57" s="221"/>
      <c r="I57" s="215" t="str">
        <f>IFERROR(__xludf.DUMMYFUNCTION("""COMPUTED_VALUE"""),"Plexus II (2x2.5 Gal)")</f>
        <v>Plexus II (2x2.5 Gal)</v>
      </c>
      <c r="J57" s="214"/>
      <c r="K57" s="214"/>
      <c r="L57" s="216">
        <f>IFERROR(__xludf.DUMMYFUNCTION("""COMPUTED_VALUE"""),1946.0)</f>
        <v>1946</v>
      </c>
      <c r="M57" s="217">
        <f>IFERROR(__xludf.DUMMYFUNCTION("""COMPUTED_VALUE"""),973.0)</f>
        <v>973</v>
      </c>
    </row>
    <row r="58">
      <c r="A58" s="200"/>
      <c r="D58" s="221"/>
      <c r="I58" s="215" t="str">
        <f>IFERROR(__xludf.DUMMYFUNCTION("""COMPUTED_VALUE"""),"Ppst 120 (140K) Inoculant")</f>
        <v>Ppst 120 (140K) Inoculant</v>
      </c>
      <c r="J58" s="214"/>
      <c r="K58" s="214"/>
      <c r="L58" s="216">
        <f>IFERROR(__xludf.DUMMYFUNCTION("""COMPUTED_VALUE"""),10788.8)</f>
        <v>10788.8</v>
      </c>
      <c r="M58" s="217">
        <f>IFERROR(__xludf.DUMMYFUNCTION("""COMPUTED_VALUE"""),980.8)</f>
        <v>980.8</v>
      </c>
    </row>
    <row r="59">
      <c r="A59" s="200"/>
      <c r="D59" s="221"/>
      <c r="I59" s="215" t="str">
        <f>IFERROR(__xludf.DUMMYFUNCTION("""COMPUTED_VALUE"""),"Ppst Fst/Ist (140K) Seed Treatment")</f>
        <v>Ppst Fst/Ist (140K) Seed Treatment</v>
      </c>
      <c r="J59" s="214"/>
      <c r="K59" s="214"/>
      <c r="L59" s="216">
        <f>IFERROR(__xludf.DUMMYFUNCTION("""COMPUTED_VALUE"""),3277.279409999999)</f>
        <v>3277.27941</v>
      </c>
      <c r="M59" s="217">
        <f>IFERROR(__xludf.DUMMYFUNCTION("""COMPUTED_VALUE"""),5749.613)</f>
        <v>5749.613</v>
      </c>
    </row>
    <row r="60">
      <c r="A60" s="200"/>
      <c r="D60" s="221"/>
      <c r="I60" s="215" t="str">
        <f>IFERROR(__xludf.DUMMYFUNCTION("""COMPUTED_VALUE"""),"Premium Ams (51 Lb)")</f>
        <v>Premium Ams (51 Lb)</v>
      </c>
      <c r="J60" s="214"/>
      <c r="K60" s="214"/>
      <c r="L60" s="216">
        <f>IFERROR(__xludf.DUMMYFUNCTION("""COMPUTED_VALUE"""),0.0)</f>
        <v>0</v>
      </c>
      <c r="M60" s="217" t="str">
        <f>IFERROR(__xludf.DUMMYFUNCTION("""COMPUTED_VALUE"""),"#DIV/0!")</f>
        <v>#DIV/0!</v>
      </c>
    </row>
    <row r="61">
      <c r="A61" s="200"/>
      <c r="D61" s="221"/>
      <c r="I61" s="215" t="str">
        <f>IFERROR(__xludf.DUMMYFUNCTION("""COMPUTED_VALUE"""),"Plexus II")</f>
        <v>Plexus II</v>
      </c>
      <c r="J61" s="214"/>
      <c r="K61" s="214"/>
      <c r="L61" s="216">
        <f>IFERROR(__xludf.DUMMYFUNCTION("""COMPUTED_VALUE"""),0.0)</f>
        <v>0</v>
      </c>
      <c r="M61" s="217" t="str">
        <f>IFERROR(__xludf.DUMMYFUNCTION("""COMPUTED_VALUE"""),"#DIV/0!")</f>
        <v>#DIV/0!</v>
      </c>
    </row>
    <row r="62">
      <c r="A62" s="200"/>
      <c r="D62" s="221"/>
      <c r="I62" s="215" t="str">
        <f>IFERROR(__xludf.DUMMYFUNCTION("""COMPUTED_VALUE"""),"Prepay All Products")</f>
        <v>Prepay All Products</v>
      </c>
      <c r="J62" s="214"/>
      <c r="K62" s="214"/>
      <c r="L62" s="216">
        <f>IFERROR(__xludf.DUMMYFUNCTION("""COMPUTED_VALUE"""),7681.3790625)</f>
        <v>7681.379063</v>
      </c>
      <c r="M62" s="217">
        <f>IFERROR(__xludf.DUMMYFUNCTION("""COMPUTED_VALUE"""),954.9499999999999)</f>
        <v>954.95</v>
      </c>
    </row>
    <row r="63">
      <c r="A63" s="200"/>
      <c r="D63" s="221"/>
      <c r="I63" s="215" t="str">
        <f>IFERROR(__xludf.DUMMYFUNCTION("""COMPUTED_VALUE"""),"Prowl H2O (2x2.5 Gal)")</f>
        <v>Prowl H2O (2x2.5 Gal)</v>
      </c>
      <c r="J63" s="214"/>
      <c r="K63" s="214"/>
      <c r="L63" s="216">
        <f>IFERROR(__xludf.DUMMYFUNCTION("""COMPUTED_VALUE"""),0.0)</f>
        <v>0</v>
      </c>
      <c r="M63" s="217" t="str">
        <f>IFERROR(__xludf.DUMMYFUNCTION("""COMPUTED_VALUE"""),"#DIV/0!")</f>
        <v>#DIV/0!</v>
      </c>
    </row>
    <row r="64">
      <c r="A64" s="200"/>
      <c r="D64" s="221"/>
      <c r="I64" s="215" t="str">
        <f>IFERROR(__xludf.DUMMYFUNCTION("""COMPUTED_VALUE"""),"Prowl H20 (Bulk)")</f>
        <v>Prowl H20 (Bulk)</v>
      </c>
      <c r="J64" s="214"/>
      <c r="K64" s="214"/>
      <c r="L64" s="216">
        <f>IFERROR(__xludf.DUMMYFUNCTION("""COMPUTED_VALUE"""),0.0)</f>
        <v>0</v>
      </c>
      <c r="M64" s="217" t="str">
        <f>IFERROR(__xludf.DUMMYFUNCTION("""COMPUTED_VALUE"""),"#DIV/0!")</f>
        <v>#DIV/0!</v>
      </c>
    </row>
    <row r="65">
      <c r="A65" s="200"/>
      <c r="D65" s="221"/>
      <c r="I65" s="215" t="str">
        <f>IFERROR(__xludf.DUMMYFUNCTION("""COMPUTED_VALUE"""),"Raptor (2x1 Gal)")</f>
        <v>Raptor (2x1 Gal)</v>
      </c>
      <c r="J65" s="214"/>
      <c r="K65" s="214"/>
      <c r="L65" s="216">
        <f>IFERROR(__xludf.DUMMYFUNCTION("""COMPUTED_VALUE"""),0.0)</f>
        <v>0</v>
      </c>
      <c r="M65" s="217" t="str">
        <f>IFERROR(__xludf.DUMMYFUNCTION("""COMPUTED_VALUE"""),"#DIV/0!")</f>
        <v>#DIV/0!</v>
      </c>
    </row>
    <row r="66">
      <c r="A66" s="200"/>
      <c r="D66" s="221"/>
      <c r="I66" s="215" t="str">
        <f>IFERROR(__xludf.DUMMYFUNCTION("""COMPUTED_VALUE"""),"Resicore (Bulk)")</f>
        <v>Resicore (Bulk)</v>
      </c>
      <c r="J66" s="214"/>
      <c r="K66" s="214"/>
      <c r="L66" s="216">
        <f>IFERROR(__xludf.DUMMYFUNCTION("""COMPUTED_VALUE"""),0.0)</f>
        <v>0</v>
      </c>
      <c r="M66" s="217" t="str">
        <f>IFERROR(__xludf.DUMMYFUNCTION("""COMPUTED_VALUE"""),"#DIV/0!")</f>
        <v>#DIV/0!</v>
      </c>
    </row>
    <row r="67">
      <c r="A67" s="200"/>
      <c r="D67" s="221"/>
      <c r="I67" s="215" t="str">
        <f>IFERROR(__xludf.DUMMYFUNCTION("""COMPUTED_VALUE"""),"Seed Pro Box")</f>
        <v>Seed Pro Box</v>
      </c>
      <c r="J67" s="214"/>
      <c r="K67" s="214"/>
      <c r="L67" s="216">
        <f>IFERROR(__xludf.DUMMYFUNCTION("""COMPUTED_VALUE"""),973.0)</f>
        <v>973</v>
      </c>
      <c r="M67" s="217">
        <f>IFERROR(__xludf.DUMMYFUNCTION("""COMPUTED_VALUE"""),973.0)</f>
        <v>973</v>
      </c>
    </row>
    <row r="68">
      <c r="A68" s="200"/>
      <c r="D68" s="221"/>
      <c r="I68" s="215" t="str">
        <f>IFERROR(__xludf.DUMMYFUNCTION("""COMPUTED_VALUE"""),"Seed Treatment Application (Unit)")</f>
        <v>Seed Treatment Application (Unit)</v>
      </c>
      <c r="J68" s="214"/>
      <c r="K68" s="214"/>
      <c r="L68" s="216">
        <f>IFERROR(__xludf.DUMMYFUNCTION("""COMPUTED_VALUE"""),707.674296875)</f>
        <v>707.6742969</v>
      </c>
      <c r="M68" s="217">
        <f>IFERROR(__xludf.DUMMYFUNCTION("""COMPUTED_VALUE"""),86.45)</f>
        <v>86.45</v>
      </c>
    </row>
    <row r="69">
      <c r="A69" s="200"/>
      <c r="D69" s="221"/>
      <c r="I69" s="215" t="str">
        <f>IFERROR(__xludf.DUMMYFUNCTION("""COMPUTED_VALUE"""),"Sharpen Sc (2x1 Gal)")</f>
        <v>Sharpen Sc (2x1 Gal)</v>
      </c>
      <c r="J69" s="214"/>
      <c r="K69" s="214"/>
      <c r="L69" s="216">
        <f>IFERROR(__xludf.DUMMYFUNCTION("""COMPUTED_VALUE"""),0.0)</f>
        <v>0</v>
      </c>
      <c r="M69" s="217">
        <f>IFERROR(__xludf.DUMMYFUNCTION("""COMPUTED_VALUE"""),0.0)</f>
        <v>0</v>
      </c>
    </row>
    <row r="70">
      <c r="A70" s="200"/>
      <c r="D70" s="221"/>
      <c r="I70" s="215" t="str">
        <f>IFERROR(__xludf.DUMMYFUNCTION("""COMPUTED_VALUE"""),"Surfactant")</f>
        <v>Surfactant</v>
      </c>
      <c r="J70" s="214"/>
      <c r="K70" s="214"/>
      <c r="L70" s="216">
        <f>IFERROR(__xludf.DUMMYFUNCTION("""COMPUTED_VALUE"""),0.0)</f>
        <v>0</v>
      </c>
      <c r="M70" s="217">
        <f>IFERROR(__xludf.DUMMYFUNCTION("""COMPUTED_VALUE"""),0.0)</f>
        <v>0</v>
      </c>
    </row>
    <row r="71">
      <c r="A71" s="200"/>
      <c r="D71" s="221"/>
      <c r="I71" s="215" t="str">
        <f>IFERROR(__xludf.DUMMYFUNCTION("""COMPUTED_VALUE"""),"Status (4x125 Oz)")</f>
        <v>Status (4x125 Oz)</v>
      </c>
      <c r="J71" s="214"/>
      <c r="K71" s="214"/>
      <c r="L71" s="216">
        <f>IFERROR(__xludf.DUMMYFUNCTION("""COMPUTED_VALUE"""),3924.8527499999996)</f>
        <v>3924.85275</v>
      </c>
      <c r="M71" s="217">
        <f>IFERROR(__xludf.DUMMYFUNCTION("""COMPUTED_VALUE"""),13801.679999999998)</f>
        <v>13801.68</v>
      </c>
    </row>
    <row r="72">
      <c r="A72" s="200"/>
      <c r="D72" s="221"/>
      <c r="I72" s="215" t="str">
        <f>IFERROR(__xludf.DUMMYFUNCTION("""COMPUTED_VALUE"""),"Thunder Master (2x2.5 Gal)")</f>
        <v>Thunder Master (2x2.5 Gal)</v>
      </c>
      <c r="J72" s="214"/>
      <c r="K72" s="214"/>
      <c r="L72" s="216">
        <f>IFERROR(__xludf.DUMMYFUNCTION("""COMPUTED_VALUE"""),0.0)</f>
        <v>0</v>
      </c>
      <c r="M72" s="217">
        <f>IFERROR(__xludf.DUMMYFUNCTION("""COMPUTED_VALUE"""),0.0)</f>
        <v>0</v>
      </c>
    </row>
    <row r="73">
      <c r="A73" s="200"/>
      <c r="D73" s="221"/>
      <c r="I73" s="215" t="str">
        <f>IFERROR(__xludf.DUMMYFUNCTION("""COMPUTED_VALUE"""),"Valor Sx (4x5 Lb)")</f>
        <v>Valor Sx (4x5 Lb)</v>
      </c>
      <c r="J73" s="214"/>
      <c r="K73" s="214"/>
      <c r="L73" s="216">
        <f>IFERROR(__xludf.DUMMYFUNCTION("""COMPUTED_VALUE"""),33546.6828125)</f>
        <v>33546.68281</v>
      </c>
      <c r="M73" s="217">
        <f>IFERROR(__xludf.DUMMYFUNCTION("""COMPUTED_VALUE"""),19518.070000000003)</f>
        <v>19518.07</v>
      </c>
    </row>
    <row r="74">
      <c r="A74" s="200"/>
      <c r="D74" s="221"/>
      <c r="I74" s="215" t="str">
        <f>IFERROR(__xludf.DUMMYFUNCTION("""COMPUTED_VALUE"""),"Verdict (Bulk)")</f>
        <v>Verdict (Bulk)</v>
      </c>
      <c r="J74" s="214"/>
      <c r="K74" s="214"/>
      <c r="L74" s="216">
        <f>IFERROR(__xludf.DUMMYFUNCTION("""COMPUTED_VALUE"""),0.0)</f>
        <v>0</v>
      </c>
      <c r="M74" s="217" t="str">
        <f>IFERROR(__xludf.DUMMYFUNCTION("""COMPUTED_VALUE"""),"#DIV/0!")</f>
        <v>#DIV/0!</v>
      </c>
    </row>
    <row r="75">
      <c r="A75" s="200"/>
      <c r="D75" s="221"/>
      <c r="I75" s="215" t="str">
        <f>IFERROR(__xludf.DUMMYFUNCTION("""COMPUTED_VALUE"""),"Water")</f>
        <v>Water</v>
      </c>
      <c r="J75" s="214"/>
      <c r="K75" s="214"/>
      <c r="L75" s="216">
        <f>IFERROR(__xludf.DUMMYFUNCTION("""COMPUTED_VALUE"""),0.0)</f>
        <v>0</v>
      </c>
      <c r="M75" s="217">
        <f>IFERROR(__xludf.DUMMYFUNCTION("""COMPUTED_VALUE"""),0.0)</f>
        <v>0</v>
      </c>
    </row>
    <row r="76">
      <c r="A76" s="200"/>
      <c r="D76" s="221"/>
      <c r="I76" s="215" t="str">
        <f>IFERROR(__xludf.DUMMYFUNCTION("""COMPUTED_VALUE"""),"Weedone LV-4 EC (Ester) (2x2.5 Gal)")</f>
        <v>Weedone LV-4 EC (Ester) (2x2.5 Gal)</v>
      </c>
      <c r="J76" s="214"/>
      <c r="K76" s="214"/>
      <c r="L76" s="216">
        <f>IFERROR(__xludf.DUMMYFUNCTION("""COMPUTED_VALUE"""),261.522014)</f>
        <v>261.522014</v>
      </c>
      <c r="M76" s="217">
        <f>IFERROR(__xludf.DUMMYFUNCTION("""COMPUTED_VALUE"""),324.46900000000005)</f>
        <v>324.469</v>
      </c>
    </row>
    <row r="77">
      <c r="A77" s="200"/>
      <c r="D77" s="221"/>
      <c r="I77" s="215" t="str">
        <f>IFERROR(__xludf.DUMMYFUNCTION("""COMPUTED_VALUE"""),"Wi Tonnage Tax")</f>
        <v>Wi Tonnage Tax</v>
      </c>
      <c r="J77" s="214"/>
      <c r="K77" s="214"/>
      <c r="L77" s="216">
        <f>IFERROR(__xludf.DUMMYFUNCTION("""COMPUTED_VALUE"""),53550.0)</f>
        <v>53550</v>
      </c>
      <c r="M77" s="217">
        <f>IFERROR(__xludf.DUMMYFUNCTION("""COMPUTED_VALUE"""),630.0)</f>
        <v>630</v>
      </c>
    </row>
    <row r="78">
      <c r="A78" s="200"/>
      <c r="D78" s="221"/>
      <c r="I78" s="215" t="str">
        <f>IFERROR(__xludf.DUMMYFUNCTION("""COMPUTED_VALUE"""),"Chicken Litter")</f>
        <v>Chicken Litter</v>
      </c>
      <c r="J78" s="214"/>
      <c r="K78" s="214"/>
      <c r="L78" s="216">
        <f>IFERROR(__xludf.DUMMYFUNCTION("""COMPUTED_VALUE"""),0.0)</f>
        <v>0</v>
      </c>
      <c r="M78" s="217">
        <f>IFERROR(__xludf.DUMMYFUNCTION("""COMPUTED_VALUE"""),0.0)</f>
        <v>0</v>
      </c>
    </row>
    <row r="79">
      <c r="A79" s="200"/>
      <c r="D79" s="221"/>
      <c r="I79" s="215" t="str">
        <f>IFERROR(__xludf.DUMMYFUNCTION("""COMPUTED_VALUE"""),"Chick Magic Pellets")</f>
        <v>Chick Magic Pellets</v>
      </c>
      <c r="J79" s="214"/>
      <c r="K79" s="214"/>
      <c r="L79" s="216">
        <f>IFERROR(__xludf.DUMMYFUNCTION("""COMPUTED_VALUE"""),0.0)</f>
        <v>0</v>
      </c>
      <c r="M79" s="217" t="str">
        <f>IFERROR(__xludf.DUMMYFUNCTION("""COMPUTED_VALUE"""),"#DIV/0!")</f>
        <v>#DIV/0!</v>
      </c>
    </row>
    <row r="80">
      <c r="A80" s="200"/>
      <c r="D80" s="221"/>
      <c r="I80" s="215" t="str">
        <f>IFERROR(__xludf.DUMMYFUNCTION("""COMPUTED_VALUE"""),"Oats Ogle (Bulk)")</f>
        <v>Oats Ogle (Bulk)</v>
      </c>
      <c r="J80" s="214"/>
      <c r="K80" s="214"/>
      <c r="L80" s="216">
        <f>IFERROR(__xludf.DUMMYFUNCTION("""COMPUTED_VALUE"""),0.0)</f>
        <v>0</v>
      </c>
      <c r="M80" s="217" t="str">
        <f>IFERROR(__xludf.DUMMYFUNCTION("""COMPUTED_VALUE"""),"#DIV/0!")</f>
        <v>#DIV/0!</v>
      </c>
    </row>
    <row r="81">
      <c r="A81" s="200"/>
      <c r="D81" s="221"/>
      <c r="I81" s="215" t="str">
        <f>IFERROR(__xludf.DUMMYFUNCTION("""COMPUTED_VALUE"""),"Oats Ogle (50 lb.)")</f>
        <v>Oats Ogle (50 lb.)</v>
      </c>
      <c r="J81" s="214"/>
      <c r="K81" s="214"/>
      <c r="L81" s="216">
        <f>IFERROR(__xludf.DUMMYFUNCTION("""COMPUTED_VALUE"""),0.0)</f>
        <v>0</v>
      </c>
      <c r="M81" s="217">
        <f>IFERROR(__xludf.DUMMYFUNCTION("""COMPUTED_VALUE"""),0.0)</f>
        <v>0</v>
      </c>
    </row>
    <row r="82">
      <c r="A82" s="200"/>
      <c r="D82" s="221"/>
      <c r="I82" s="215" t="str">
        <f>IFERROR(__xludf.DUMMYFUNCTION("""COMPUTED_VALUE"""),"Organical")</f>
        <v>Organical</v>
      </c>
      <c r="J82" s="214"/>
      <c r="K82" s="214"/>
      <c r="L82" s="216">
        <f>IFERROR(__xludf.DUMMYFUNCTION("""COMPUTED_VALUE"""),0.0)</f>
        <v>0</v>
      </c>
      <c r="M82" s="217" t="str">
        <f>IFERROR(__xludf.DUMMYFUNCTION("""COMPUTED_VALUE"""),"#DIV/0!")</f>
        <v>#DIV/0!</v>
      </c>
    </row>
    <row r="83">
      <c r="A83" s="200"/>
      <c r="D83" s="221"/>
      <c r="I83" s="215" t="str">
        <f>IFERROR(__xludf.DUMMYFUNCTION("""COMPUTED_VALUE"""),"Other")</f>
        <v>Other</v>
      </c>
      <c r="J83" s="214"/>
      <c r="K83" s="214"/>
      <c r="L83" s="216">
        <f>IFERROR(__xludf.DUMMYFUNCTION("""COMPUTED_VALUE"""),24211.0)</f>
        <v>24211</v>
      </c>
      <c r="M83" s="217">
        <f>IFERROR(__xludf.DUMMYFUNCTION("""COMPUTED_VALUE"""),7100.0)</f>
        <v>7100</v>
      </c>
    </row>
    <row r="84">
      <c r="A84" s="200"/>
      <c r="D84" s="221"/>
      <c r="I84" s="215" t="str">
        <f>IFERROR(__xludf.DUMMYFUNCTION("""COMPUTED_VALUE"""),"CX-1")</f>
        <v>CX-1</v>
      </c>
      <c r="J84" s="214"/>
      <c r="K84" s="214"/>
      <c r="L84" s="216">
        <f>IFERROR(__xludf.DUMMYFUNCTION("""COMPUTED_VALUE"""),26340.0)</f>
        <v>26340</v>
      </c>
      <c r="M84" s="217">
        <f>IFERROR(__xludf.DUMMYFUNCTION("""COMPUTED_VALUE"""),7520.0)</f>
        <v>7520</v>
      </c>
    </row>
    <row r="85">
      <c r="A85" s="200"/>
      <c r="D85" s="221"/>
      <c r="I85" s="215" t="str">
        <f>IFERROR(__xludf.DUMMYFUNCTION("""COMPUTED_VALUE"""),"TeraFed")</f>
        <v>TeraFed</v>
      </c>
      <c r="J85" s="214"/>
      <c r="K85" s="214"/>
      <c r="L85" s="216">
        <f>IFERROR(__xludf.DUMMYFUNCTION("""COMPUTED_VALUE"""),24371.1)</f>
        <v>24371.1</v>
      </c>
      <c r="M85" s="217">
        <f>IFERROR(__xludf.DUMMYFUNCTION("""COMPUTED_VALUE"""),7498.799999999999)</f>
        <v>7498.8</v>
      </c>
    </row>
    <row r="86">
      <c r="A86" s="200"/>
      <c r="D86" s="221"/>
      <c r="I86" s="215" t="str">
        <f>IFERROR(__xludf.DUMMYFUNCTION("""COMPUTED_VALUE"""),"Red Clover")</f>
        <v>Red Clover</v>
      </c>
      <c r="J86" s="214"/>
      <c r="K86" s="214"/>
      <c r="L86" s="216">
        <f>IFERROR(__xludf.DUMMYFUNCTION("""COMPUTED_VALUE"""),1248.0)</f>
        <v>1248</v>
      </c>
      <c r="M86" s="217">
        <f>IFERROR(__xludf.DUMMYFUNCTION("""COMPUTED_VALUE"""),64.0)</f>
        <v>64</v>
      </c>
    </row>
    <row r="87">
      <c r="A87" s="200"/>
      <c r="D87" s="221"/>
      <c r="I87" s="215" t="str">
        <f>IFERROR(__xludf.DUMMYFUNCTION("""COMPUTED_VALUE"""),"Rye seed")</f>
        <v>Rye seed</v>
      </c>
      <c r="J87" s="214"/>
      <c r="K87" s="214"/>
      <c r="L87" s="216">
        <f>IFERROR(__xludf.DUMMYFUNCTION("""COMPUTED_VALUE"""),0.0)</f>
        <v>0</v>
      </c>
      <c r="M87" s="217" t="str">
        <f>IFERROR(__xludf.DUMMYFUNCTION("""COMPUTED_VALUE"""),"#DIV/0!")</f>
        <v>#DIV/0!</v>
      </c>
    </row>
    <row r="88">
      <c r="A88" s="200"/>
      <c r="D88" s="221"/>
      <c r="I88" s="215" t="str">
        <f>IFERROR(__xludf.DUMMYFUNCTION("""COMPUTED_VALUE"""),"Weed Slayer")</f>
        <v>Weed Slayer</v>
      </c>
      <c r="J88" s="214"/>
      <c r="K88" s="214"/>
      <c r="L88" s="216">
        <f>IFERROR(__xludf.DUMMYFUNCTION("""COMPUTED_VALUE"""),0.0)</f>
        <v>0</v>
      </c>
      <c r="M88" s="217" t="str">
        <f>IFERROR(__xludf.DUMMYFUNCTION("""COMPUTED_VALUE"""),"#DIV/0!")</f>
        <v>#DIV/0!</v>
      </c>
    </row>
    <row r="89">
      <c r="A89" s="200"/>
      <c r="D89" s="221"/>
      <c r="I89" s="215" t="str">
        <f>IFERROR(__xludf.DUMMYFUNCTION("""COMPUTED_VALUE"""),"Oroboost")</f>
        <v>Oroboost</v>
      </c>
      <c r="J89" s="214"/>
      <c r="K89" s="214"/>
      <c r="L89" s="216">
        <f>IFERROR(__xludf.DUMMYFUNCTION("""COMPUTED_VALUE"""),0.0)</f>
        <v>0</v>
      </c>
      <c r="M89" s="217" t="str">
        <f>IFERROR(__xludf.DUMMYFUNCTION("""COMPUTED_VALUE"""),"#DIV/0!")</f>
        <v>#DIV/0!</v>
      </c>
    </row>
    <row r="90">
      <c r="A90" s="200"/>
      <c r="D90" s="221"/>
      <c r="I90" s="215" t="str">
        <f>IFERROR(__xludf.DUMMYFUNCTION("""COMPUTED_VALUE"""),"Citric Acid")</f>
        <v>Citric Acid</v>
      </c>
      <c r="J90" s="214"/>
      <c r="K90" s="214"/>
      <c r="L90" s="216">
        <f>IFERROR(__xludf.DUMMYFUNCTION("""COMPUTED_VALUE"""),0.0)</f>
        <v>0</v>
      </c>
      <c r="M90" s="217">
        <f>IFERROR(__xludf.DUMMYFUNCTION("""COMPUTED_VALUE"""),0.0)</f>
        <v>0</v>
      </c>
    </row>
    <row r="91">
      <c r="A91" s="200"/>
      <c r="D91" s="221"/>
      <c r="I91" s="215" t="str">
        <f>IFERROR(__xludf.DUMMYFUNCTION("""COMPUTED_VALUE"""),"Custom Application")</f>
        <v>Custom Application</v>
      </c>
      <c r="J91" s="214"/>
      <c r="K91" s="214"/>
      <c r="L91" s="216">
        <f>IFERROR(__xludf.DUMMYFUNCTION("""COMPUTED_VALUE"""),0.0)</f>
        <v>0</v>
      </c>
      <c r="M91" s="217">
        <f>IFERROR(__xludf.DUMMYFUNCTION("""COMPUTED_VALUE"""),0.0)</f>
        <v>0</v>
      </c>
    </row>
    <row r="92">
      <c r="A92" s="200"/>
      <c r="D92" s="221"/>
      <c r="I92" s="215" t="str">
        <f>IFERROR(__xludf.DUMMYFUNCTION("""COMPUTED_VALUE"""),"Purple Cow Classic Compost")</f>
        <v>Purple Cow Classic Compost</v>
      </c>
      <c r="J92" s="214"/>
      <c r="K92" s="214"/>
      <c r="L92" s="216">
        <f>IFERROR(__xludf.DUMMYFUNCTION("""COMPUTED_VALUE"""),0.0)</f>
        <v>0</v>
      </c>
      <c r="M92" s="217">
        <f>IFERROR(__xludf.DUMMYFUNCTION("""COMPUTED_VALUE"""),0.0)</f>
        <v>0</v>
      </c>
    </row>
    <row r="93">
      <c r="A93" s="200"/>
      <c r="D93" s="221"/>
      <c r="I93" s="215" t="str">
        <f>IFERROR(__xludf.DUMMYFUNCTION("""COMPUTED_VALUE"""),"Ag Lime")</f>
        <v>Ag Lime</v>
      </c>
      <c r="J93" s="214"/>
      <c r="K93" s="214"/>
      <c r="L93" s="216">
        <f>IFERROR(__xludf.DUMMYFUNCTION("""COMPUTED_VALUE"""),0.0)</f>
        <v>0</v>
      </c>
      <c r="M93" s="217">
        <f>IFERROR(__xludf.DUMMYFUNCTION("""COMPUTED_VALUE"""),0.0)</f>
        <v>0</v>
      </c>
    </row>
    <row r="94">
      <c r="A94" s="200"/>
      <c r="D94" s="221"/>
      <c r="I94" s="215" t="str">
        <f>IFERROR(__xludf.DUMMYFUNCTION("""COMPUTED_VALUE"""),"Gypsum")</f>
        <v>Gypsum</v>
      </c>
      <c r="J94" s="214"/>
      <c r="K94" s="214"/>
      <c r="L94" s="216">
        <f>IFERROR(__xludf.DUMMYFUNCTION("""COMPUTED_VALUE"""),0.0)</f>
        <v>0</v>
      </c>
      <c r="M94" s="217">
        <f>IFERROR(__xludf.DUMMYFUNCTION("""COMPUTED_VALUE"""),0.0)</f>
        <v>0</v>
      </c>
    </row>
    <row r="95">
      <c r="A95" s="200"/>
      <c r="D95" s="221"/>
      <c r="I95" s="215" t="str">
        <f>IFERROR(__xludf.DUMMYFUNCTION("""COMPUTED_VALUE"""),"6-0-8-5S + Micro")</f>
        <v>6-0-8-5S + Micro</v>
      </c>
      <c r="J95" s="214"/>
      <c r="K95" s="214"/>
      <c r="L95" s="216">
        <f>IFERROR(__xludf.DUMMYFUNCTION("""COMPUTED_VALUE"""),0.0)</f>
        <v>0</v>
      </c>
      <c r="M95" s="217">
        <f>IFERROR(__xludf.DUMMYFUNCTION("""COMPUTED_VALUE"""),0.0)</f>
        <v>0</v>
      </c>
    </row>
    <row r="96">
      <c r="A96" s="200"/>
      <c r="D96" s="221"/>
      <c r="I96" s="215" t="str">
        <f>IFERROR(__xludf.DUMMYFUNCTION("""COMPUTED_VALUE"""),"Forti-Cal")</f>
        <v>Forti-Cal</v>
      </c>
      <c r="J96" s="214"/>
      <c r="K96" s="214"/>
      <c r="L96" s="216">
        <f>IFERROR(__xludf.DUMMYFUNCTION("""COMPUTED_VALUE"""),0.0)</f>
        <v>0</v>
      </c>
      <c r="M96" s="217">
        <f>IFERROR(__xludf.DUMMYFUNCTION("""COMPUTED_VALUE"""),0.0)</f>
        <v>0</v>
      </c>
    </row>
    <row r="97">
      <c r="A97" s="200"/>
      <c r="D97" s="221"/>
      <c r="I97" s="215" t="str">
        <f>IFERROR(__xludf.DUMMYFUNCTION("""COMPUTED_VALUE"""),"Forti-Phos")</f>
        <v>Forti-Phos</v>
      </c>
      <c r="J97" s="214"/>
      <c r="K97" s="214"/>
      <c r="L97" s="216">
        <f>IFERROR(__xludf.DUMMYFUNCTION("""COMPUTED_VALUE"""),0.0)</f>
        <v>0</v>
      </c>
      <c r="M97" s="217" t="str">
        <f>IFERROR(__xludf.DUMMYFUNCTION("""COMPUTED_VALUE"""),"#DIV/0!")</f>
        <v>#DIV/0!</v>
      </c>
    </row>
    <row r="98">
      <c r="A98" s="200"/>
      <c r="D98" s="221"/>
      <c r="I98" s="215" t="str">
        <f>IFERROR(__xludf.DUMMYFUNCTION("""COMPUTED_VALUE"""),"50/50 Blend feather meal+Pellets")</f>
        <v>50/50 Blend feather meal+Pellets</v>
      </c>
      <c r="J98" s="214"/>
      <c r="K98" s="214"/>
      <c r="L98" s="216">
        <f>IFERROR(__xludf.DUMMYFUNCTION("""COMPUTED_VALUE"""),0.0)</f>
        <v>0</v>
      </c>
      <c r="M98" s="217">
        <f>IFERROR(__xludf.DUMMYFUNCTION("""COMPUTED_VALUE"""),0.0)</f>
        <v>0</v>
      </c>
    </row>
    <row r="99">
      <c r="A99" s="200"/>
      <c r="D99" s="221"/>
      <c r="I99" s="215" t="str">
        <f>IFERROR(__xludf.DUMMYFUNCTION("""COMPUTED_VALUE"""),"feathermeal")</f>
        <v>feathermeal</v>
      </c>
      <c r="J99" s="214"/>
      <c r="K99" s="214"/>
      <c r="L99" s="216">
        <f>IFERROR(__xludf.DUMMYFUNCTION("""COMPUTED_VALUE"""),0.0)</f>
        <v>0</v>
      </c>
      <c r="M99" s="217" t="str">
        <f>IFERROR(__xludf.DUMMYFUNCTION("""COMPUTED_VALUE"""),"#DIV/0!")</f>
        <v>#DIV/0!</v>
      </c>
    </row>
    <row r="100">
      <c r="A100" s="200"/>
      <c r="D100" s="221"/>
      <c r="I100" s="215" t="str">
        <f>IFERROR(__xludf.DUMMYFUNCTION("""COMPUTED_VALUE"""),"Chicken crumbles")</f>
        <v>Chicken crumbles</v>
      </c>
      <c r="J100" s="214"/>
      <c r="K100" s="214"/>
      <c r="L100" s="216">
        <f>IFERROR(__xludf.DUMMYFUNCTION("""COMPUTED_VALUE"""),0.0)</f>
        <v>0</v>
      </c>
      <c r="M100" s="217">
        <f>IFERROR(__xludf.DUMMYFUNCTION("""COMPUTED_VALUE"""),0.0)</f>
        <v>0</v>
      </c>
    </row>
    <row r="101">
      <c r="A101" s="200"/>
      <c r="D101" s="221"/>
      <c r="I101" s="215" t="str">
        <f>IFERROR(__xludf.DUMMYFUNCTION("""COMPUTED_VALUE"""),"Bio-Cal")</f>
        <v>Bio-Cal</v>
      </c>
      <c r="J101" s="214"/>
      <c r="K101" s="214"/>
      <c r="L101" s="216">
        <f>IFERROR(__xludf.DUMMYFUNCTION("""COMPUTED_VALUE"""),0.0)</f>
        <v>0</v>
      </c>
      <c r="M101" s="217">
        <f>IFERROR(__xludf.DUMMYFUNCTION("""COMPUTED_VALUE"""),0.0)</f>
        <v>0</v>
      </c>
    </row>
    <row r="102">
      <c r="A102" s="200"/>
      <c r="D102" s="221"/>
      <c r="I102" s="215" t="str">
        <f>IFERROR(__xludf.DUMMYFUNCTION("""COMPUTED_VALUE"""),"0-1-25-11S")</f>
        <v>0-1-25-11S</v>
      </c>
      <c r="J102" s="214"/>
      <c r="K102" s="214"/>
      <c r="L102" s="216">
        <f>IFERROR(__xludf.DUMMYFUNCTION("""COMPUTED_VALUE"""),0.0)</f>
        <v>0</v>
      </c>
      <c r="M102" s="217">
        <f>IFERROR(__xludf.DUMMYFUNCTION("""COMPUTED_VALUE"""),0.0)</f>
        <v>0</v>
      </c>
    </row>
    <row r="103">
      <c r="A103" s="200"/>
      <c r="D103" s="221"/>
      <c r="I103" s="215" t="str">
        <f>IFERROR(__xludf.DUMMYFUNCTION("""COMPUTED_VALUE"""),"Daluge Manure")</f>
        <v>Daluge Manure</v>
      </c>
      <c r="J103" s="214"/>
      <c r="K103" s="214"/>
      <c r="L103" s="216">
        <f>IFERROR(__xludf.DUMMYFUNCTION("""COMPUTED_VALUE"""),0.0)</f>
        <v>0</v>
      </c>
      <c r="M103" s="217">
        <f>IFERROR(__xludf.DUMMYFUNCTION("""COMPUTED_VALUE"""),0.0)</f>
        <v>0</v>
      </c>
    </row>
    <row r="104">
      <c r="A104" s="200"/>
      <c r="D104" s="221"/>
      <c r="I104" s="215" t="str">
        <f>IFERROR(__xludf.DUMMYFUNCTION("""COMPUTED_VALUE"""),"Janesville complete compost")</f>
        <v>Janesville complete compost</v>
      </c>
      <c r="J104" s="214"/>
      <c r="K104" s="214"/>
      <c r="L104" s="216">
        <f>IFERROR(__xludf.DUMMYFUNCTION("""COMPUTED_VALUE"""),0.0)</f>
        <v>0</v>
      </c>
      <c r="M104" s="217">
        <f>IFERROR(__xludf.DUMMYFUNCTION("""COMPUTED_VALUE"""),0.0)</f>
        <v>0</v>
      </c>
    </row>
    <row r="105">
      <c r="A105" s="200"/>
      <c r="D105" s="221"/>
      <c r="I105" s="215" t="str">
        <f>IFERROR(__xludf.DUMMYFUNCTION("""COMPUTED_VALUE"""),"0-0-5-10Ca-2.5Mg-12.4S")</f>
        <v>0-0-5-10Ca-2.5Mg-12.4S</v>
      </c>
      <c r="J105" s="214"/>
      <c r="K105" s="214"/>
      <c r="L105" s="216">
        <f>IFERROR(__xludf.DUMMYFUNCTION("""COMPUTED_VALUE"""),0.0)</f>
        <v>0</v>
      </c>
      <c r="M105" s="217">
        <f>IFERROR(__xludf.DUMMYFUNCTION("""COMPUTED_VALUE"""),0.0)</f>
        <v>0</v>
      </c>
    </row>
    <row r="106">
      <c r="A106" s="200"/>
      <c r="D106" s="221"/>
      <c r="I106" s="215" t="str">
        <f>IFERROR(__xludf.DUMMYFUNCTION("""COMPUTED_VALUE"""),"custom compost hauling")</f>
        <v>custom compost hauling</v>
      </c>
      <c r="J106" s="214"/>
      <c r="K106" s="214"/>
      <c r="L106" s="216">
        <f>IFERROR(__xludf.DUMMYFUNCTION("""COMPUTED_VALUE"""),16185.0)</f>
        <v>16185</v>
      </c>
      <c r="M106" s="217">
        <f>IFERROR(__xludf.DUMMYFUNCTION("""COMPUTED_VALUE"""),166.0)</f>
        <v>166</v>
      </c>
    </row>
    <row r="107">
      <c r="A107" s="200"/>
      <c r="D107" s="221"/>
      <c r="I107" s="215" t="str">
        <f>IFERROR(__xludf.DUMMYFUNCTION("""COMPUTED_VALUE"""),"savy crew")</f>
        <v>savy crew</v>
      </c>
      <c r="J107" s="214"/>
      <c r="K107" s="214"/>
      <c r="L107" s="216">
        <f>IFERROR(__xludf.DUMMYFUNCTION("""COMPUTED_VALUE"""),0.0)</f>
        <v>0</v>
      </c>
      <c r="M107" s="217">
        <f>IFERROR(__xludf.DUMMYFUNCTION("""COMPUTED_VALUE"""),0.0)</f>
        <v>0</v>
      </c>
    </row>
    <row r="108">
      <c r="A108" s="200"/>
      <c r="D108" s="221"/>
      <c r="I108" s="215" t="str">
        <f>IFERROR(__xludf.DUMMYFUNCTION("""COMPUTED_VALUE"""),"MBA Custom Hughes Blend 0-0-5-10.8C-2.5MG-12.5")</f>
        <v>MBA Custom Hughes Blend 0-0-5-10.8C-2.5MG-12.5</v>
      </c>
      <c r="J108" s="214"/>
      <c r="K108" s="214"/>
      <c r="L108" s="216">
        <f>IFERROR(__xludf.DUMMYFUNCTION("""COMPUTED_VALUE"""),374.4)</f>
        <v>374.4</v>
      </c>
      <c r="M108" s="217">
        <f>IFERROR(__xludf.DUMMYFUNCTION("""COMPUTED_VALUE"""),800.0)</f>
        <v>800</v>
      </c>
    </row>
    <row r="109">
      <c r="A109" s="200"/>
      <c r="D109" s="221"/>
      <c r="I109" s="215" t="str">
        <f>IFERROR(__xludf.DUMMYFUNCTION("""COMPUTED_VALUE"""),"0-0-50-17s")</f>
        <v>0-0-50-17s</v>
      </c>
      <c r="J109" s="214"/>
      <c r="K109" s="214"/>
      <c r="L109" s="216">
        <f>IFERROR(__xludf.DUMMYFUNCTION("""COMPUTED_VALUE"""),26910.0)</f>
        <v>26910</v>
      </c>
      <c r="M109" s="217">
        <f>IFERROR(__xludf.DUMMYFUNCTION("""COMPUTED_VALUE"""),239200.0)</f>
        <v>239200</v>
      </c>
    </row>
    <row r="110">
      <c r="A110" s="200"/>
      <c r="D110" s="221"/>
      <c r="I110" s="215" t="str">
        <f>IFERROR(__xludf.DUMMYFUNCTION("""COMPUTED_VALUE"""),"S04 30%")</f>
        <v>S04 30%</v>
      </c>
      <c r="J110" s="214"/>
      <c r="K110" s="214"/>
      <c r="L110" s="216">
        <f>IFERROR(__xludf.DUMMYFUNCTION("""COMPUTED_VALUE"""),0.0)</f>
        <v>0</v>
      </c>
      <c r="M110" s="217">
        <f>IFERROR(__xludf.DUMMYFUNCTION("""COMPUTED_VALUE"""),0.0)</f>
        <v>0</v>
      </c>
    </row>
    <row r="111">
      <c r="A111" s="200"/>
      <c r="D111" s="221"/>
      <c r="I111" s="215" t="str">
        <f>IFERROR(__xludf.DUMMYFUNCTION("""COMPUTED_VALUE"""),"98G")</f>
        <v>98G</v>
      </c>
      <c r="J111" s="214"/>
      <c r="K111" s="214"/>
      <c r="L111" s="216">
        <f>IFERROR(__xludf.DUMMYFUNCTION("""COMPUTED_VALUE"""),0.0)</f>
        <v>0</v>
      </c>
      <c r="M111" s="217" t="str">
        <f>IFERROR(__xludf.DUMMYFUNCTION("""COMPUTED_VALUE"""),"#DIV/0!")</f>
        <v>#DIV/0!</v>
      </c>
    </row>
    <row r="112">
      <c r="A112" s="200"/>
      <c r="D112" s="221"/>
      <c r="I112" s="215" t="str">
        <f>IFERROR(__xludf.DUMMYFUNCTION("""COMPUTED_VALUE"""),"MycoGold")</f>
        <v>MycoGold</v>
      </c>
      <c r="J112" s="214"/>
      <c r="K112" s="214"/>
      <c r="L112" s="216">
        <f>IFERROR(__xludf.DUMMYFUNCTION("""COMPUTED_VALUE"""),0.0)</f>
        <v>0</v>
      </c>
      <c r="M112" s="217">
        <f>IFERROR(__xludf.DUMMYFUNCTION("""COMPUTED_VALUE"""),0.0)</f>
        <v>0</v>
      </c>
    </row>
    <row r="113">
      <c r="A113" s="200"/>
      <c r="D113" s="221"/>
      <c r="I113" s="215" t="str">
        <f>IFERROR(__xludf.DUMMYFUNCTION("""COMPUTED_VALUE"""),"Headline amp")</f>
        <v>Headline amp</v>
      </c>
      <c r="J113" s="214"/>
      <c r="K113" s="214"/>
      <c r="L113" s="216">
        <f>IFERROR(__xludf.DUMMYFUNCTION("""COMPUTED_VALUE"""),5009.550000000001)</f>
        <v>5009.55</v>
      </c>
      <c r="M113" s="217">
        <f>IFERROR(__xludf.DUMMYFUNCTION("""COMPUTED_VALUE"""),367.00000000000006)</f>
        <v>367</v>
      </c>
    </row>
    <row r="114">
      <c r="A114" s="200"/>
      <c r="D114" s="221"/>
      <c r="I114" s="215" t="str">
        <f>IFERROR(__xludf.DUMMYFUNCTION("""COMPUTED_VALUE"""),"Aerial application")</f>
        <v>Aerial application</v>
      </c>
      <c r="J114" s="214"/>
      <c r="K114" s="214"/>
      <c r="L114" s="216">
        <f>IFERROR(__xludf.DUMMYFUNCTION("""COMPUTED_VALUE"""),0.0)</f>
        <v>0</v>
      </c>
      <c r="M114" s="217">
        <f>IFERROR(__xludf.DUMMYFUNCTION("""COMPUTED_VALUE"""),0.0)</f>
        <v>0</v>
      </c>
    </row>
    <row r="115">
      <c r="A115" s="200"/>
      <c r="D115" s="221"/>
      <c r="I115" s="215" t="str">
        <f>IFERROR(__xludf.DUMMYFUNCTION("""COMPUTED_VALUE"""),"ESN 44-0-0")</f>
        <v>ESN 44-0-0</v>
      </c>
      <c r="J115" s="214"/>
      <c r="K115" s="214"/>
      <c r="L115" s="216">
        <f>IFERROR(__xludf.DUMMYFUNCTION("""COMPUTED_VALUE"""),0.0)</f>
        <v>0</v>
      </c>
      <c r="M115" s="217">
        <f>IFERROR(__xludf.DUMMYFUNCTION("""COMPUTED_VALUE"""),0.0)</f>
        <v>0</v>
      </c>
    </row>
    <row r="116">
      <c r="A116" s="200"/>
      <c r="D116" s="221"/>
      <c r="I116" s="215" t="str">
        <f>IFERROR(__xludf.DUMMYFUNCTION("""COMPUTED_VALUE"""),"Sonic (2x7.5 Lb)")</f>
        <v>Sonic (2x7.5 Lb)</v>
      </c>
      <c r="J116" s="214"/>
      <c r="K116" s="214"/>
      <c r="L116" s="216">
        <f>IFERROR(__xludf.DUMMYFUNCTION("""COMPUTED_VALUE"""),10338.125)</f>
        <v>10338.125</v>
      </c>
      <c r="M116" s="217">
        <f>IFERROR(__xludf.DUMMYFUNCTION("""COMPUTED_VALUE"""),1216.25)</f>
        <v>1216.25</v>
      </c>
    </row>
    <row r="117">
      <c r="A117" s="200"/>
      <c r="D117" s="221"/>
      <c r="I117" s="215" t="str">
        <f>IFERROR(__xludf.DUMMYFUNCTION("""COMPUTED_VALUE"""),"Forsyte 1.88 SL (2x2.5 Gal)")</f>
        <v>Forsyte 1.88 SL (2x2.5 Gal)</v>
      </c>
      <c r="J117" s="214"/>
      <c r="K117" s="214"/>
      <c r="L117" s="216">
        <f>IFERROR(__xludf.DUMMYFUNCTION("""COMPUTED_VALUE"""),0.0)</f>
        <v>0</v>
      </c>
      <c r="M117" s="217">
        <f>IFERROR(__xludf.DUMMYFUNCTION("""COMPUTED_VALUE"""),0.0)</f>
        <v>0</v>
      </c>
    </row>
    <row r="118">
      <c r="A118" s="200"/>
      <c r="D118" s="221"/>
      <c r="I118" s="215" t="str">
        <f>IFERROR(__xludf.DUMMYFUNCTION("""COMPUTED_VALUE"""),"MVP")</f>
        <v>MVP</v>
      </c>
      <c r="J118" s="214"/>
      <c r="K118" s="214"/>
      <c r="L118" s="216">
        <f>IFERROR(__xludf.DUMMYFUNCTION("""COMPUTED_VALUE"""),0.0)</f>
        <v>0</v>
      </c>
      <c r="M118" s="217">
        <f>IFERROR(__xludf.DUMMYFUNCTION("""COMPUTED_VALUE"""),0.0)</f>
        <v>0</v>
      </c>
    </row>
    <row r="119">
      <c r="A119" s="200"/>
      <c r="D119" s="221"/>
      <c r="I119" s="215" t="str">
        <f>IFERROR(__xludf.DUMMYFUNCTION("""COMPUTED_VALUE"""),"Dramm E")</f>
        <v>Dramm E</v>
      </c>
      <c r="J119" s="214"/>
      <c r="K119" s="214"/>
      <c r="L119" s="216">
        <f>IFERROR(__xludf.DUMMYFUNCTION("""COMPUTED_VALUE"""),0.0)</f>
        <v>0</v>
      </c>
      <c r="M119" s="217">
        <f>IFERROR(__xludf.DUMMYFUNCTION("""COMPUTED_VALUE"""),0.0)</f>
        <v>0</v>
      </c>
    </row>
    <row r="120">
      <c r="A120" s="200"/>
      <c r="D120" s="221"/>
      <c r="I120" s="215" t="str">
        <f>IFERROR(__xludf.DUMMYFUNCTION("""COMPUTED_VALUE"""),"Zinc L")</f>
        <v>Zinc L</v>
      </c>
      <c r="J120" s="214"/>
      <c r="K120" s="214"/>
      <c r="L120" s="216">
        <f>IFERROR(__xludf.DUMMYFUNCTION("""COMPUTED_VALUE"""),785.8500000000001)</f>
        <v>785.85</v>
      </c>
      <c r="M120" s="217">
        <f>IFERROR(__xludf.DUMMYFUNCTION("""COMPUTED_VALUE"""),465.00000000000006)</f>
        <v>465</v>
      </c>
    </row>
    <row r="121">
      <c r="A121" s="200"/>
      <c r="D121" s="221"/>
      <c r="I121" s="215" t="str">
        <f>IFERROR(__xludf.DUMMYFUNCTION("""COMPUTED_VALUE"""),"AER K-Sulfate")</f>
        <v>AER K-Sulfate</v>
      </c>
      <c r="J121" s="214"/>
      <c r="K121" s="214"/>
      <c r="L121" s="216">
        <f>IFERROR(__xludf.DUMMYFUNCTION("""COMPUTED_VALUE"""),0.0)</f>
        <v>0</v>
      </c>
      <c r="M121" s="217">
        <f>IFERROR(__xludf.DUMMYFUNCTION("""COMPUTED_VALUE"""),0.0)</f>
        <v>0</v>
      </c>
    </row>
    <row r="122">
      <c r="A122" s="200"/>
      <c r="D122" s="221"/>
      <c r="I122" s="215" t="str">
        <f>IFERROR(__xludf.DUMMYFUNCTION("""COMPUTED_VALUE"""),"Mt-17")</f>
        <v>Mt-17</v>
      </c>
      <c r="J122" s="214"/>
      <c r="K122" s="214"/>
      <c r="L122" s="216">
        <f>IFERROR(__xludf.DUMMYFUNCTION("""COMPUTED_VALUE"""),0.0)</f>
        <v>0</v>
      </c>
      <c r="M122" s="217">
        <f>IFERROR(__xludf.DUMMYFUNCTION("""COMPUTED_VALUE"""),0.0)</f>
        <v>0</v>
      </c>
    </row>
    <row r="123">
      <c r="A123" s="200"/>
      <c r="D123" s="221"/>
      <c r="I123" s="215" t="str">
        <f>IFERROR(__xludf.DUMMYFUNCTION("""COMPUTED_VALUE"""),"Dramm O (fish)")</f>
        <v>Dramm O (fish)</v>
      </c>
      <c r="J123" s="214"/>
      <c r="K123" s="214"/>
      <c r="L123" s="216">
        <f>IFERROR(__xludf.DUMMYFUNCTION("""COMPUTED_VALUE"""),710.6653125)</f>
        <v>710.6653125</v>
      </c>
      <c r="M123" s="217">
        <f>IFERROR(__xludf.DUMMYFUNCTION("""COMPUTED_VALUE"""),1188.0)</f>
        <v>1188</v>
      </c>
    </row>
    <row r="124">
      <c r="A124" s="200"/>
      <c r="D124" s="221"/>
      <c r="I124" s="215" t="str">
        <f>IFERROR(__xludf.DUMMYFUNCTION("""COMPUTED_VALUE"""),"BioRepel")</f>
        <v>BioRepel</v>
      </c>
      <c r="J124" s="214"/>
      <c r="K124" s="214"/>
      <c r="L124" s="216">
        <f>IFERROR(__xludf.DUMMYFUNCTION("""COMPUTED_VALUE"""),8940.628125000001)</f>
        <v>8940.628125</v>
      </c>
      <c r="M124" s="217">
        <f>IFERROR(__xludf.DUMMYFUNCTION("""COMPUTED_VALUE"""),7128.0)</f>
        <v>7128</v>
      </c>
    </row>
    <row r="125">
      <c r="A125" s="200"/>
      <c r="D125" s="221"/>
      <c r="I125" s="215" t="str">
        <f>IFERROR(__xludf.DUMMYFUNCTION("""COMPUTED_VALUE"""),"Eco Tec")</f>
        <v>Eco Tec</v>
      </c>
      <c r="J125" s="214"/>
      <c r="K125" s="214"/>
      <c r="L125" s="216">
        <f>IFERROR(__xludf.DUMMYFUNCTION("""COMPUTED_VALUE"""),12363.3125)</f>
        <v>12363.3125</v>
      </c>
      <c r="M125" s="217">
        <f>IFERROR(__xludf.DUMMYFUNCTION("""COMPUTED_VALUE"""),4037.0)</f>
        <v>4037</v>
      </c>
    </row>
    <row r="126">
      <c r="A126" s="200"/>
      <c r="D126" s="221"/>
      <c r="I126" s="215" t="str">
        <f>IFERROR(__xludf.DUMMYFUNCTION("""COMPUTED_VALUE"""),"Veltyma (2x2.5 Gal)")</f>
        <v>Veltyma (2x2.5 Gal)</v>
      </c>
      <c r="J126" s="214"/>
      <c r="K126" s="214"/>
      <c r="L126" s="216">
        <f>IFERROR(__xludf.DUMMYFUNCTION("""COMPUTED_VALUE"""),0.0)</f>
        <v>0</v>
      </c>
      <c r="M126" s="217">
        <f>IFERROR(__xludf.DUMMYFUNCTION("""COMPUTED_VALUE"""),0.0)</f>
        <v>0</v>
      </c>
    </row>
    <row r="127">
      <c r="A127" s="200"/>
      <c r="D127" s="221"/>
      <c r="I127" s="215" t="str">
        <f>IFERROR(__xludf.DUMMYFUNCTION("""COMPUTED_VALUE"""),"Allganic Liquid 15-0-2")</f>
        <v>Allganic Liquid 15-0-2</v>
      </c>
      <c r="J127" s="214"/>
      <c r="K127" s="214"/>
      <c r="L127" s="216">
        <f>IFERROR(__xludf.DUMMYFUNCTION("""COMPUTED_VALUE"""),0.0)</f>
        <v>0</v>
      </c>
      <c r="M127" s="217">
        <f>IFERROR(__xludf.DUMMYFUNCTION("""COMPUTED_VALUE"""),0.0)</f>
        <v>0</v>
      </c>
    </row>
    <row r="128">
      <c r="A128" s="200"/>
      <c r="D128" s="221"/>
      <c r="I128" s="215" t="str">
        <f>IFERROR(__xludf.DUMMYFUNCTION("""COMPUTED_VALUE"""),"MicroHum")</f>
        <v>MicroHum</v>
      </c>
      <c r="J128" s="214"/>
      <c r="K128" s="214"/>
      <c r="L128" s="216">
        <f>IFERROR(__xludf.DUMMYFUNCTION("""COMPUTED_VALUE"""),7920.0)</f>
        <v>7920</v>
      </c>
      <c r="M128" s="217">
        <f>IFERROR(__xludf.DUMMYFUNCTION("""COMPUTED_VALUE"""),440.0)</f>
        <v>440</v>
      </c>
    </row>
    <row r="129">
      <c r="A129" s="200"/>
      <c r="D129" s="221"/>
      <c r="I129" s="215" t="str">
        <f>IFERROR(__xludf.DUMMYFUNCTION("""COMPUTED_VALUE"""),"SPE-120")</f>
        <v>SPE-120</v>
      </c>
      <c r="J129" s="214"/>
      <c r="K129" s="214"/>
      <c r="L129" s="216">
        <f>IFERROR(__xludf.DUMMYFUNCTION("""COMPUTED_VALUE"""),0.0)</f>
        <v>0</v>
      </c>
      <c r="M129" s="217">
        <f>IFERROR(__xludf.DUMMYFUNCTION("""COMPUTED_VALUE"""),0.0)</f>
        <v>0</v>
      </c>
    </row>
    <row r="130">
      <c r="A130" s="200"/>
      <c r="D130" s="221"/>
      <c r="I130" s="215" t="str">
        <f>IFERROR(__xludf.DUMMYFUNCTION("""COMPUTED_VALUE"""),"SBB 2.5")</f>
        <v>SBB 2.5</v>
      </c>
      <c r="J130" s="214"/>
      <c r="K130" s="214"/>
      <c r="L130" s="216">
        <f>IFERROR(__xludf.DUMMYFUNCTION("""COMPUTED_VALUE"""),0.0)</f>
        <v>0</v>
      </c>
      <c r="M130" s="217">
        <f>IFERROR(__xludf.DUMMYFUNCTION("""COMPUTED_VALUE"""),0.0)</f>
        <v>0</v>
      </c>
    </row>
    <row r="131">
      <c r="A131" s="200"/>
      <c r="D131" s="221"/>
      <c r="I131" s="215" t="str">
        <f>IFERROR(__xludf.DUMMYFUNCTION("""COMPUTED_VALUE"""),"beneficial nematoads")</f>
        <v>beneficial nematoads</v>
      </c>
      <c r="J131" s="214"/>
      <c r="K131" s="214"/>
      <c r="L131" s="216">
        <f>IFERROR(__xludf.DUMMYFUNCTION("""COMPUTED_VALUE"""),3896.107050000001)</f>
        <v>3896.10705</v>
      </c>
      <c r="M131" s="217">
        <f>IFERROR(__xludf.DUMMYFUNCTION("""COMPUTED_VALUE"""),1501.3900000000003)</f>
        <v>1501.39</v>
      </c>
    </row>
    <row r="132">
      <c r="A132" s="200"/>
      <c r="D132" s="221"/>
      <c r="I132" s="215" t="str">
        <f>IFERROR(__xludf.DUMMYFUNCTION("""COMPUTED_VALUE"""),"Atrazine 4L")</f>
        <v>Atrazine 4L</v>
      </c>
      <c r="J132" s="214"/>
      <c r="K132" s="214"/>
      <c r="L132" s="216">
        <f>IFERROR(__xludf.DUMMYFUNCTION("""COMPUTED_VALUE"""),172.9)</f>
        <v>172.9</v>
      </c>
      <c r="M132" s="217">
        <f>IFERROR(__xludf.DUMMYFUNCTION("""COMPUTED_VALUE"""),13.3)</f>
        <v>13.3</v>
      </c>
    </row>
    <row r="133">
      <c r="A133" s="200"/>
      <c r="D133" s="221"/>
      <c r="I133" s="215" t="str">
        <f>IFERROR(__xludf.DUMMYFUNCTION("""COMPUTED_VALUE"""),"NIS")</f>
        <v>NIS</v>
      </c>
      <c r="J133" s="214"/>
      <c r="K133" s="214"/>
      <c r="L133" s="216">
        <f>IFERROR(__xludf.DUMMYFUNCTION("""COMPUTED_VALUE"""),0.0)</f>
        <v>0</v>
      </c>
      <c r="M133" s="217" t="str">
        <f>IFERROR(__xludf.DUMMYFUNCTION("""COMPUTED_VALUE"""),"#DIV/0!")</f>
        <v>#DIV/0!</v>
      </c>
    </row>
    <row r="134">
      <c r="A134" s="200"/>
      <c r="D134" s="221"/>
      <c r="I134" s="215" t="str">
        <f>IFERROR(__xludf.DUMMYFUNCTION("""COMPUTED_VALUE"""),"Volunteer")</f>
        <v>Volunteer</v>
      </c>
      <c r="J134" s="214"/>
      <c r="K134" s="214"/>
      <c r="L134" s="216">
        <f>IFERROR(__xludf.DUMMYFUNCTION("""COMPUTED_VALUE"""),0.0)</f>
        <v>0</v>
      </c>
      <c r="M134" s="217">
        <f>IFERROR(__xludf.DUMMYFUNCTION("""COMPUTED_VALUE"""),0.0)</f>
        <v>0</v>
      </c>
    </row>
    <row r="135">
      <c r="A135" s="200"/>
      <c r="D135" s="221"/>
      <c r="I135" s="215" t="str">
        <f>IFERROR(__xludf.DUMMYFUNCTION("""COMPUTED_VALUE"""),"Coron")</f>
        <v>Coron</v>
      </c>
      <c r="J135" s="214"/>
      <c r="K135" s="214"/>
      <c r="L135" s="216">
        <f>IFERROR(__xludf.DUMMYFUNCTION("""COMPUTED_VALUE"""),0.0)</f>
        <v>0</v>
      </c>
      <c r="M135" s="217" t="str">
        <f>IFERROR(__xludf.DUMMYFUNCTION("""COMPUTED_VALUE"""),"#DIV/0!")</f>
        <v>#DIV/0!</v>
      </c>
    </row>
    <row r="136">
      <c r="A136" s="200"/>
      <c r="D136" s="221"/>
      <c r="I136" s="215" t="str">
        <f>IFERROR(__xludf.DUMMYFUNCTION("""COMPUTED_VALUE"""),"MCPA")</f>
        <v>MCPA</v>
      </c>
      <c r="J136" s="214"/>
      <c r="K136" s="214"/>
      <c r="L136" s="216">
        <f>IFERROR(__xludf.DUMMYFUNCTION("""COMPUTED_VALUE"""),0.0)</f>
        <v>0</v>
      </c>
      <c r="M136" s="217">
        <f>IFERROR(__xludf.DUMMYFUNCTION("""COMPUTED_VALUE"""),0.0)</f>
        <v>0</v>
      </c>
    </row>
    <row r="137">
      <c r="A137" s="200"/>
      <c r="D137" s="221"/>
      <c r="I137" s="215" t="str">
        <f>IFERROR(__xludf.DUMMYFUNCTION("""COMPUTED_VALUE"""),"copper sulfate granular")</f>
        <v>copper sulfate granular</v>
      </c>
      <c r="J137" s="214"/>
      <c r="K137" s="214"/>
      <c r="L137" s="216">
        <f>IFERROR(__xludf.DUMMYFUNCTION("""COMPUTED_VALUE"""),0.0)</f>
        <v>0</v>
      </c>
      <c r="M137" s="217">
        <f>IFERROR(__xludf.DUMMYFUNCTION("""COMPUTED_VALUE"""),0.0)</f>
        <v>0</v>
      </c>
    </row>
    <row r="138">
      <c r="A138" s="200"/>
      <c r="D138" s="221"/>
      <c r="I138" s="215" t="str">
        <f>IFERROR(__xludf.DUMMYFUNCTION("""COMPUTED_VALUE"""),"Regalia RX")</f>
        <v>Regalia RX</v>
      </c>
      <c r="J138" s="214"/>
      <c r="K138" s="214"/>
      <c r="L138" s="216">
        <f>IFERROR(__xludf.DUMMYFUNCTION("""COMPUTED_VALUE"""),0.0)</f>
        <v>0</v>
      </c>
      <c r="M138" s="217">
        <f>IFERROR(__xludf.DUMMYFUNCTION("""COMPUTED_VALUE"""),0.0)</f>
        <v>0</v>
      </c>
    </row>
    <row r="139">
      <c r="A139" s="200"/>
      <c r="D139" s="221"/>
      <c r="I139" s="215" t="str">
        <f>IFERROR(__xludf.DUMMYFUNCTION("""COMPUTED_VALUE"""),"copper sulfate fine ground")</f>
        <v>copper sulfate fine ground</v>
      </c>
      <c r="J139" s="214"/>
      <c r="K139" s="214"/>
      <c r="L139" s="216">
        <f>IFERROR(__xludf.DUMMYFUNCTION("""COMPUTED_VALUE"""),119280.867455664)</f>
        <v>119280.8675</v>
      </c>
      <c r="M139" s="217">
        <f>IFERROR(__xludf.DUMMYFUNCTION("""COMPUTED_VALUE"""),365679.1056)</f>
        <v>365679.1056</v>
      </c>
    </row>
    <row r="140">
      <c r="A140" s="200"/>
      <c r="D140" s="221"/>
      <c r="I140" s="215" t="str">
        <f>IFERROR(__xludf.DUMMYFUNCTION("""COMPUTED_VALUE"""),"0-46-0 Triple Super 15C")</f>
        <v>0-46-0 Triple Super 15C</v>
      </c>
      <c r="J140" s="214"/>
      <c r="K140" s="214"/>
      <c r="L140" s="216">
        <f>IFERROR(__xludf.DUMMYFUNCTION("""COMPUTED_VALUE"""),3380.2340000000004)</f>
        <v>3380.234</v>
      </c>
      <c r="M140" s="217">
        <f>IFERROR(__xludf.DUMMYFUNCTION("""COMPUTED_VALUE"""),30316.000000000004)</f>
        <v>30316</v>
      </c>
    </row>
    <row r="141">
      <c r="A141" s="200"/>
      <c r="D141" s="221"/>
      <c r="I141" s="215" t="str">
        <f>IFERROR(__xludf.DUMMYFUNCTION("""COMPUTED_VALUE"""),"Pell Lime")</f>
        <v>Pell Lime</v>
      </c>
      <c r="J141" s="214"/>
      <c r="K141" s="214"/>
      <c r="L141" s="216">
        <f>IFERROR(__xludf.DUMMYFUNCTION("""COMPUTED_VALUE"""),19598.208000000333)</f>
        <v>19598.208</v>
      </c>
      <c r="M141" s="217">
        <f>IFERROR(__xludf.DUMMYFUNCTION("""COMPUTED_VALUE"""),38040.0)</f>
        <v>38040</v>
      </c>
    </row>
    <row r="142">
      <c r="A142" s="200"/>
      <c r="D142" s="221"/>
      <c r="I142" s="215" t="str">
        <f>IFERROR(__xludf.DUMMYFUNCTION("""COMPUTED_VALUE"""),"0-0-60 OMRI")</f>
        <v>0-0-60 OMRI</v>
      </c>
      <c r="J142" s="214"/>
      <c r="K142" s="214"/>
      <c r="L142" s="216">
        <f>IFERROR(__xludf.DUMMYFUNCTION("""COMPUTED_VALUE"""),2240.0)</f>
        <v>2240</v>
      </c>
      <c r="M142" s="217">
        <f>IFERROR(__xludf.DUMMYFUNCTION("""COMPUTED_VALUE"""),64.0)</f>
        <v>64</v>
      </c>
    </row>
    <row r="143">
      <c r="A143" s="200"/>
      <c r="D143" s="221"/>
      <c r="I143" s="215" t="str">
        <f>IFERROR(__xludf.DUMMYFUNCTION("""COMPUTED_VALUE"""),"gold oaks compost")</f>
        <v>gold oaks compost</v>
      </c>
      <c r="J143" s="214"/>
      <c r="K143" s="214"/>
      <c r="L143" s="216">
        <f>IFERROR(__xludf.DUMMYFUNCTION("""COMPUTED_VALUE"""),0.0)</f>
        <v>0</v>
      </c>
      <c r="M143" s="217">
        <f>IFERROR(__xludf.DUMMYFUNCTION("""COMPUTED_VALUE"""),0.0)</f>
        <v>0</v>
      </c>
    </row>
    <row r="144">
      <c r="A144" s="200"/>
      <c r="D144" s="221"/>
      <c r="I144" s="215" t="str">
        <f>IFERROR(__xludf.DUMMYFUNCTION("""COMPUTED_VALUE"""),"living carbon")</f>
        <v>living carbon</v>
      </c>
      <c r="J144" s="214"/>
      <c r="K144" s="214"/>
      <c r="L144" s="216">
        <f>IFERROR(__xludf.DUMMYFUNCTION("""COMPUTED_VALUE"""),0.0)</f>
        <v>0</v>
      </c>
      <c r="M144" s="217">
        <f>IFERROR(__xludf.DUMMYFUNCTION("""COMPUTED_VALUE"""),0.0)</f>
        <v>0</v>
      </c>
    </row>
    <row r="145">
      <c r="A145" s="200"/>
      <c r="D145" s="221"/>
      <c r="I145" s="215" t="str">
        <f>IFERROR(__xludf.DUMMYFUNCTION("""COMPUTED_VALUE"""),"compost tea LLC")</f>
        <v>compost tea LLC</v>
      </c>
      <c r="J145" s="214"/>
      <c r="K145" s="214"/>
      <c r="L145" s="216">
        <f>IFERROR(__xludf.DUMMYFUNCTION("""COMPUTED_VALUE"""),0.0)</f>
        <v>0</v>
      </c>
      <c r="M145" s="217">
        <f>IFERROR(__xludf.DUMMYFUNCTION("""COMPUTED_VALUE"""),0.0)</f>
        <v>0</v>
      </c>
    </row>
    <row r="146">
      <c r="A146" s="200"/>
      <c r="D146" s="221"/>
      <c r="I146" s="215" t="str">
        <f>IFERROR(__xludf.DUMMYFUNCTION("""COMPUTED_VALUE"""),"Mustang MAX")</f>
        <v>Mustang MAX</v>
      </c>
      <c r="J146" s="214"/>
      <c r="K146" s="214"/>
      <c r="L146" s="216">
        <f>IFERROR(__xludf.DUMMYFUNCTION("""COMPUTED_VALUE"""),0.0)</f>
        <v>0</v>
      </c>
      <c r="M146" s="217" t="str">
        <f>IFERROR(__xludf.DUMMYFUNCTION("""COMPUTED_VALUE"""),"#DIV/0!")</f>
        <v>#DIV/0!</v>
      </c>
    </row>
    <row r="147">
      <c r="A147" s="200"/>
      <c r="D147" s="221"/>
      <c r="I147" s="215" t="str">
        <f>IFERROR(__xludf.DUMMYFUNCTION("""COMPUTED_VALUE"""),"Tenesse brown")</f>
        <v>Tenesse brown</v>
      </c>
      <c r="J147" s="214"/>
      <c r="K147" s="214"/>
      <c r="L147" s="216">
        <f>IFERROR(__xludf.DUMMYFUNCTION("""COMPUTED_VALUE"""),15274.959375)</f>
        <v>15274.95938</v>
      </c>
      <c r="M147" s="217">
        <f>IFERROR(__xludf.DUMMYFUNCTION("""COMPUTED_VALUE"""),16293.29)</f>
        <v>16293.29</v>
      </c>
    </row>
    <row r="148">
      <c r="A148" s="200"/>
      <c r="D148" s="221"/>
      <c r="I148" s="215" t="str">
        <f>IFERROR(__xludf.DUMMYFUNCTION("""COMPUTED_VALUE"""),"Batallion LFC (2x2.5 Gal)")</f>
        <v>Batallion LFC (2x2.5 Gal)</v>
      </c>
      <c r="J148" s="214"/>
      <c r="K148" s="214"/>
      <c r="L148" s="216">
        <f>IFERROR(__xludf.DUMMYFUNCTION("""COMPUTED_VALUE"""),4092.1999999999994)</f>
        <v>4092.2</v>
      </c>
      <c r="M148" s="217">
        <f>IFERROR(__xludf.DUMMYFUNCTION("""COMPUTED_VALUE"""),1105.9999999999998)</f>
        <v>1106</v>
      </c>
    </row>
    <row r="149">
      <c r="A149" s="200"/>
      <c r="D149" s="221"/>
      <c r="I149" s="215" t="str">
        <f>IFERROR(__xludf.DUMMYFUNCTION("""COMPUTED_VALUE"""),"Boost")</f>
        <v>Boost</v>
      </c>
      <c r="J149" s="214"/>
      <c r="K149" s="214"/>
      <c r="L149" s="216">
        <f>IFERROR(__xludf.DUMMYFUNCTION("""COMPUTED_VALUE"""),24350.0)</f>
        <v>24350</v>
      </c>
      <c r="M149" s="217">
        <f>IFERROR(__xludf.DUMMYFUNCTION("""COMPUTED_VALUE"""),487.0)</f>
        <v>487</v>
      </c>
    </row>
    <row r="150">
      <c r="A150" s="200"/>
      <c r="D150" s="221"/>
      <c r="I150" s="215" t="str">
        <f>IFERROR(__xludf.DUMMYFUNCTION("""COMPUTED_VALUE"""),"Fall 21 Kutz Litter")</f>
        <v>Fall 21 Kutz Litter</v>
      </c>
      <c r="J150" s="214"/>
      <c r="K150" s="214"/>
      <c r="L150" s="216">
        <f>IFERROR(__xludf.DUMMYFUNCTION("""COMPUTED_VALUE"""),103389.10400000002)</f>
        <v>103389.104</v>
      </c>
      <c r="M150" s="217">
        <f>IFERROR(__xludf.DUMMYFUNCTION("""COMPUTED_VALUE"""),304085.60000000003)</f>
        <v>304085.6</v>
      </c>
    </row>
    <row r="151">
      <c r="A151" s="200"/>
      <c r="D151" s="221"/>
      <c r="I151" s="215" t="str">
        <f>IFERROR(__xludf.DUMMYFUNCTION("""COMPUTED_VALUE"""),"SideDress N 46-0-0")</f>
        <v>SideDress N 46-0-0</v>
      </c>
      <c r="J151" s="214"/>
      <c r="K151" s="214"/>
      <c r="L151" s="216">
        <f>IFERROR(__xludf.DUMMYFUNCTION("""COMPUTED_VALUE"""),0.0)</f>
        <v>0</v>
      </c>
      <c r="M151" s="217">
        <f>IFERROR(__xludf.DUMMYFUNCTION("""COMPUTED_VALUE"""),0.0)</f>
        <v>0</v>
      </c>
    </row>
    <row r="152">
      <c r="A152" s="200"/>
      <c r="D152" s="221"/>
      <c r="I152" s="215" t="str">
        <f>IFERROR(__xludf.DUMMYFUNCTION("""COMPUTED_VALUE"""),"Rhizolizer Duo OMRI")</f>
        <v>Rhizolizer Duo OMRI</v>
      </c>
      <c r="J152" s="214"/>
      <c r="K152" s="214"/>
      <c r="L152" s="216">
        <f>IFERROR(__xludf.DUMMYFUNCTION("""COMPUTED_VALUE"""),0.0)</f>
        <v>0</v>
      </c>
      <c r="M152" s="217">
        <f>IFERROR(__xludf.DUMMYFUNCTION("""COMPUTED_VALUE"""),0.0)</f>
        <v>0</v>
      </c>
    </row>
    <row r="153">
      <c r="A153" s="200"/>
      <c r="D153" s="221"/>
      <c r="I153" s="215" t="str">
        <f>IFERROR(__xludf.DUMMYFUNCTION("""COMPUTED_VALUE"""),"Pantego")</f>
        <v>Pantego</v>
      </c>
      <c r="J153" s="214"/>
      <c r="K153" s="214"/>
      <c r="L153" s="216">
        <f>IFERROR(__xludf.DUMMYFUNCTION("""COMPUTED_VALUE"""),0.0)</f>
        <v>0</v>
      </c>
      <c r="M153" s="217">
        <f>IFERROR(__xludf.DUMMYFUNCTION("""COMPUTED_VALUE"""),0.0)</f>
        <v>0</v>
      </c>
    </row>
    <row r="154">
      <c r="A154" s="200"/>
      <c r="D154" s="221"/>
      <c r="I154" s="215" t="str">
        <f>IFERROR(__xludf.DUMMYFUNCTION("""COMPUTED_VALUE"""),"Rhizolozer Prime")</f>
        <v>Rhizolozer Prime</v>
      </c>
      <c r="J154" s="214"/>
      <c r="K154" s="214"/>
      <c r="L154" s="216">
        <f>IFERROR(__xludf.DUMMYFUNCTION("""COMPUTED_VALUE"""),0.0)</f>
        <v>0</v>
      </c>
      <c r="M154" s="217">
        <f>IFERROR(__xludf.DUMMYFUNCTION("""COMPUTED_VALUE"""),0.0)</f>
        <v>0</v>
      </c>
    </row>
    <row r="155">
      <c r="A155" s="200"/>
      <c r="D155" s="221"/>
      <c r="I155" s="215" t="str">
        <f>IFERROR(__xludf.DUMMYFUNCTION("""COMPUTED_VALUE"""),"Rhizolozer DUO")</f>
        <v>Rhizolozer DUO</v>
      </c>
      <c r="J155" s="214"/>
      <c r="K155" s="214"/>
      <c r="L155" s="216">
        <f>IFERROR(__xludf.DUMMYFUNCTION("""COMPUTED_VALUE"""),0.0)</f>
        <v>0</v>
      </c>
      <c r="M155" s="217">
        <f>IFERROR(__xludf.DUMMYFUNCTION("""COMPUTED_VALUE"""),0.0)</f>
        <v>0</v>
      </c>
    </row>
    <row r="156">
      <c r="A156" s="200"/>
      <c r="D156" s="221"/>
      <c r="I156" s="215" t="str">
        <f>IFERROR(__xludf.DUMMYFUNCTION("""COMPUTED_VALUE"""),"0-20-0 OMRI ")</f>
        <v>0-20-0 OMRI </v>
      </c>
      <c r="J156" s="214"/>
      <c r="K156" s="214"/>
      <c r="L156" s="216">
        <f>IFERROR(__xludf.DUMMYFUNCTION("""COMPUTED_VALUE"""),0.0)</f>
        <v>0</v>
      </c>
      <c r="M156" s="217">
        <f>IFERROR(__xludf.DUMMYFUNCTION("""COMPUTED_VALUE"""),0.0)</f>
        <v>0</v>
      </c>
    </row>
    <row r="157">
      <c r="A157" s="200"/>
      <c r="D157" s="221"/>
      <c r="I157" s="215" t="str">
        <f>IFERROR(__xludf.DUMMYFUNCTION("""COMPUTED_VALUE"""),"test")</f>
        <v>test</v>
      </c>
      <c r="J157" s="214"/>
      <c r="K157" s="214"/>
      <c r="L157" s="216">
        <f>IFERROR(__xludf.DUMMYFUNCTION("""COMPUTED_VALUE"""),0.0)</f>
        <v>0</v>
      </c>
      <c r="M157" s="217">
        <f>IFERROR(__xludf.DUMMYFUNCTION("""COMPUTED_VALUE"""),0.0)</f>
        <v>0</v>
      </c>
    </row>
    <row r="158">
      <c r="A158" s="200"/>
      <c r="D158" s="221"/>
      <c r="I158" s="215" t="str">
        <f>IFERROR(__xludf.DUMMYFUNCTION("""COMPUTED_VALUE"""),"chilean nitrate")</f>
        <v>chilean nitrate</v>
      </c>
      <c r="J158" s="214"/>
      <c r="K158" s="214"/>
      <c r="L158" s="216">
        <f>IFERROR(__xludf.DUMMYFUNCTION("""COMPUTED_VALUE"""),58880.0)</f>
        <v>58880</v>
      </c>
      <c r="M158" s="217">
        <f>IFERROR(__xludf.DUMMYFUNCTION("""COMPUTED_VALUE"""),7360.0)</f>
        <v>7360</v>
      </c>
    </row>
    <row r="159">
      <c r="A159" s="200"/>
      <c r="D159" s="221"/>
      <c r="I159" s="215" t="str">
        <f>IFERROR(__xludf.DUMMYFUNCTION("""COMPUTED_VALUE"""),"Tulls manure")</f>
        <v>Tulls manure</v>
      </c>
      <c r="J159" s="214"/>
      <c r="K159" s="214"/>
      <c r="L159" s="216">
        <f>IFERROR(__xludf.DUMMYFUNCTION("""COMPUTED_VALUE"""),0.0)</f>
        <v>0</v>
      </c>
      <c r="M159" s="217">
        <f>IFERROR(__xludf.DUMMYFUNCTION("""COMPUTED_VALUE"""),0.0)</f>
        <v>0</v>
      </c>
    </row>
    <row r="160">
      <c r="A160" s="200"/>
      <c r="D160" s="221"/>
      <c r="I160" s="215" t="str">
        <f>IFERROR(__xludf.DUMMYFUNCTION("""COMPUTED_VALUE"""),"chicken crumbles OMRI")</f>
        <v>chicken crumbles OMRI</v>
      </c>
      <c r="J160" s="214"/>
      <c r="K160" s="214"/>
      <c r="L160" s="216">
        <f>IFERROR(__xludf.DUMMYFUNCTION("""COMPUTED_VALUE"""),106481.0)</f>
        <v>106481</v>
      </c>
      <c r="M160" s="217">
        <f>IFERROR(__xludf.DUMMYFUNCTION("""COMPUTED_VALUE"""),914.0)</f>
        <v>914</v>
      </c>
    </row>
    <row r="161">
      <c r="A161" s="200"/>
      <c r="D161" s="221"/>
      <c r="I161" s="215" t="str">
        <f>IFERROR(__xludf.DUMMYFUNCTION("""COMPUTED_VALUE"""),"Jason litter/compost mix")</f>
        <v>Jason litter/compost mix</v>
      </c>
      <c r="J161" s="214"/>
      <c r="K161" s="214"/>
      <c r="L161" s="216">
        <f>IFERROR(__xludf.DUMMYFUNCTION("""COMPUTED_VALUE"""),0.0)</f>
        <v>0</v>
      </c>
      <c r="M161" s="217">
        <f>IFERROR(__xludf.DUMMYFUNCTION("""COMPUTED_VALUE"""),0.0)</f>
        <v>0</v>
      </c>
    </row>
    <row r="162">
      <c r="A162" s="200"/>
      <c r="D162" s="221"/>
      <c r="I162" s="215" t="str">
        <f>IFERROR(__xludf.DUMMYFUNCTION("""COMPUTED_VALUE"""),"Hay Program")</f>
        <v>Hay Program</v>
      </c>
      <c r="J162" s="214"/>
      <c r="K162" s="214"/>
      <c r="L162" s="216">
        <f>IFERROR(__xludf.DUMMYFUNCTION("""COMPUTED_VALUE"""),0.0)</f>
        <v>0</v>
      </c>
      <c r="M162" s="217">
        <f>IFERROR(__xludf.DUMMYFUNCTION("""COMPUTED_VALUE"""),0.0)</f>
        <v>0</v>
      </c>
    </row>
    <row r="163">
      <c r="A163" s="200"/>
      <c r="D163" s="221"/>
      <c r="I163" s="215" t="str">
        <f>IFERROR(__xludf.DUMMYFUNCTION("""COMPUTED_VALUE"""),"Ultim-ST")</f>
        <v>Ultim-ST</v>
      </c>
      <c r="J163" s="214"/>
      <c r="K163" s="214"/>
      <c r="L163" s="216">
        <f>IFERROR(__xludf.DUMMYFUNCTION("""COMPUTED_VALUE"""),0.0)</f>
        <v>0</v>
      </c>
      <c r="M163" s="217">
        <f>IFERROR(__xludf.DUMMYFUNCTION("""COMPUTED_VALUE"""),0.0)</f>
        <v>0</v>
      </c>
    </row>
    <row r="164">
      <c r="A164" s="200"/>
      <c r="D164" s="221"/>
      <c r="I164" s="215" t="str">
        <f>IFERROR(__xludf.DUMMYFUNCTION("""COMPUTED_VALUE"""),"01-YS")</f>
        <v>01-YS</v>
      </c>
      <c r="J164" s="214"/>
      <c r="K164" s="214"/>
      <c r="L164" s="216">
        <f>IFERROR(__xludf.DUMMYFUNCTION("""COMPUTED_VALUE"""),0.0)</f>
        <v>0</v>
      </c>
      <c r="M164" s="217">
        <f>IFERROR(__xludf.DUMMYFUNCTION("""COMPUTED_VALUE"""),0.0)</f>
        <v>0</v>
      </c>
    </row>
    <row r="165">
      <c r="A165" s="200"/>
      <c r="D165" s="221"/>
      <c r="I165" s="215" t="str">
        <f>IFERROR(__xludf.DUMMYFUNCTION("""COMPUTED_VALUE"""),"Utrisha")</f>
        <v>Utrisha</v>
      </c>
      <c r="J165" s="214"/>
      <c r="K165" s="214"/>
      <c r="L165" s="216">
        <f>IFERROR(__xludf.DUMMYFUNCTION("""COMPUTED_VALUE"""),5232.799999999999)</f>
        <v>5232.8</v>
      </c>
      <c r="M165" s="217">
        <f>IFERROR(__xludf.DUMMYFUNCTION("""COMPUTED_VALUE"""),620.0)</f>
        <v>620</v>
      </c>
    </row>
    <row r="166">
      <c r="A166" s="200"/>
      <c r="D166" s="221"/>
      <c r="I166" s="215" t="str">
        <f>IFERROR(__xludf.DUMMYFUNCTION("""COMPUTED_VALUE"""),"DRAMM ONE")</f>
        <v>DRAMM ONE</v>
      </c>
      <c r="J166" s="214"/>
      <c r="K166" s="214"/>
      <c r="L166" s="216">
        <f>IFERROR(__xludf.DUMMYFUNCTION("""COMPUTED_VALUE"""),3534.0)</f>
        <v>3534</v>
      </c>
      <c r="M166" s="217">
        <f>IFERROR(__xludf.DUMMYFUNCTION("""COMPUTED_VALUE"""),620.0)</f>
        <v>620</v>
      </c>
    </row>
    <row r="167">
      <c r="A167" s="200"/>
      <c r="D167" s="221"/>
      <c r="I167" s="215" t="str">
        <f>IFERROR(__xludf.DUMMYFUNCTION("""COMPUTED_VALUE"""),"AER MVP")</f>
        <v>AER MVP</v>
      </c>
      <c r="J167" s="214"/>
      <c r="K167" s="214"/>
      <c r="L167" s="216">
        <f>IFERROR(__xludf.DUMMYFUNCTION("""COMPUTED_VALUE"""),372.0)</f>
        <v>372</v>
      </c>
      <c r="M167" s="217">
        <f>IFERROR(__xludf.DUMMYFUNCTION("""COMPUTED_VALUE"""),155.0)</f>
        <v>155</v>
      </c>
    </row>
    <row r="168">
      <c r="A168" s="200"/>
      <c r="D168" s="221"/>
      <c r="I168" s="215" t="str">
        <f>IFERROR(__xludf.DUMMYFUNCTION("""COMPUTED_VALUE"""),"AER Boron")</f>
        <v>AER Boron</v>
      </c>
      <c r="J168" s="214"/>
      <c r="K168" s="214"/>
      <c r="L168" s="216">
        <f>IFERROR(__xludf.DUMMYFUNCTION("""COMPUTED_VALUE"""),0.0)</f>
        <v>0</v>
      </c>
      <c r="M168" s="217">
        <f>IFERROR(__xludf.DUMMYFUNCTION("""COMPUTED_VALUE"""),0.0)</f>
        <v>0</v>
      </c>
    </row>
    <row r="169">
      <c r="A169" s="200"/>
      <c r="D169" s="221"/>
      <c r="I169" s="215" t="str">
        <f>IFERROR(__xludf.DUMMYFUNCTION("""COMPUTED_VALUE"""),"Backstop")</f>
        <v>Backstop</v>
      </c>
      <c r="J169" s="214"/>
      <c r="K169" s="214"/>
      <c r="L169" s="216">
        <f>IFERROR(__xludf.DUMMYFUNCTION("""COMPUTED_VALUE"""),155.0)</f>
        <v>155</v>
      </c>
      <c r="M169" s="217">
        <f>IFERROR(__xludf.DUMMYFUNCTION("""COMPUTED_VALUE"""),155.0)</f>
        <v>155</v>
      </c>
    </row>
    <row r="170">
      <c r="A170" s="200"/>
      <c r="D170" s="221"/>
      <c r="I170" s="215" t="str">
        <f>IFERROR(__xludf.DUMMYFUNCTION("""COMPUTED_VALUE"""),"Magnesium Sulfate")</f>
        <v>Magnesium Sulfate</v>
      </c>
      <c r="J170" s="214"/>
      <c r="K170" s="214"/>
      <c r="L170" s="216">
        <f>IFERROR(__xludf.DUMMYFUNCTION("""COMPUTED_VALUE"""),206.283203125)</f>
        <v>206.2832031</v>
      </c>
      <c r="M170" s="217">
        <f>IFERROR(__xludf.DUMMYFUNCTION("""COMPUTED_VALUE"""),155.0)</f>
        <v>155</v>
      </c>
    </row>
    <row r="171">
      <c r="A171" s="200"/>
      <c r="D171" s="221"/>
      <c r="I171" s="215" t="str">
        <f>IFERROR(__xludf.DUMMYFUNCTION("""COMPUTED_VALUE"""),"Exceed Dry bean")</f>
        <v>Exceed Dry bean</v>
      </c>
      <c r="J171" s="214"/>
      <c r="K171" s="214"/>
      <c r="L171" s="216">
        <f>IFERROR(__xludf.DUMMYFUNCTION("""COMPUTED_VALUE"""),0.0)</f>
        <v>0</v>
      </c>
      <c r="M171" s="217">
        <f>IFERROR(__xludf.DUMMYFUNCTION("""COMPUTED_VALUE"""),0.0)</f>
        <v>0</v>
      </c>
    </row>
    <row r="172">
      <c r="A172" s="200"/>
      <c r="D172" s="221"/>
      <c r="I172" s="215" t="str">
        <f>IFERROR(__xludf.DUMMYFUNCTION("""COMPUTED_VALUE"""),"chitosan")</f>
        <v>chitosan</v>
      </c>
      <c r="J172" s="214"/>
      <c r="K172" s="214"/>
      <c r="L172" s="216">
        <f>IFERROR(__xludf.DUMMYFUNCTION("""COMPUTED_VALUE"""),0.0)</f>
        <v>0</v>
      </c>
      <c r="M172" s="217">
        <f>IFERROR(__xludf.DUMMYFUNCTION("""COMPUTED_VALUE"""),0.0)</f>
        <v>0</v>
      </c>
    </row>
    <row r="173">
      <c r="A173" s="200"/>
      <c r="D173" s="221"/>
      <c r="I173" s="215" t="str">
        <f>IFERROR(__xludf.DUMMYFUNCTION("""COMPUTED_VALUE"""),"chicken litter Fall 22")</f>
        <v>chicken litter Fall 22</v>
      </c>
      <c r="J173" s="214"/>
      <c r="K173" s="214"/>
      <c r="L173" s="216">
        <f>IFERROR(__xludf.DUMMYFUNCTION("""COMPUTED_VALUE"""),0.0)</f>
        <v>0</v>
      </c>
      <c r="M173" s="217" t="str">
        <f>IFERROR(__xludf.DUMMYFUNCTION("""COMPUTED_VALUE"""),"#DIV/0!")</f>
        <v>#DIV/0!</v>
      </c>
    </row>
    <row r="174">
      <c r="A174" s="200"/>
      <c r="D174" s="221"/>
      <c r="I174" s="215"/>
      <c r="J174" s="214"/>
      <c r="K174" s="214"/>
      <c r="L174" s="216">
        <f>IFERROR(__xludf.DUMMYFUNCTION("""COMPUTED_VALUE"""),0.0)</f>
        <v>0</v>
      </c>
      <c r="M174" s="217" t="str">
        <f>IFERROR(__xludf.DUMMYFUNCTION("""COMPUTED_VALUE"""),"#DIV/0!")</f>
        <v>#DIV/0!</v>
      </c>
    </row>
    <row r="175">
      <c r="A175" s="200"/>
      <c r="D175" s="221"/>
      <c r="I175" s="215"/>
      <c r="J175" s="214"/>
      <c r="K175" s="214"/>
      <c r="L175" s="216">
        <f>IFERROR(__xludf.DUMMYFUNCTION("""COMPUTED_VALUE"""),0.0)</f>
        <v>0</v>
      </c>
      <c r="M175" s="217" t="str">
        <f>IFERROR(__xludf.DUMMYFUNCTION("""COMPUTED_VALUE"""),"#DIV/0!")</f>
        <v>#DIV/0!</v>
      </c>
    </row>
    <row r="176">
      <c r="A176" s="200"/>
      <c r="D176" s="221"/>
      <c r="I176" s="215"/>
      <c r="J176" s="214"/>
      <c r="K176" s="214"/>
      <c r="L176" s="216">
        <f>IFERROR(__xludf.DUMMYFUNCTION("""COMPUTED_VALUE"""),0.0)</f>
        <v>0</v>
      </c>
      <c r="M176" s="217" t="str">
        <f>IFERROR(__xludf.DUMMYFUNCTION("""COMPUTED_VALUE"""),"#DIV/0!")</f>
        <v>#DIV/0!</v>
      </c>
    </row>
    <row r="177">
      <c r="A177" s="200"/>
      <c r="D177" s="221"/>
      <c r="I177" s="215"/>
      <c r="J177" s="214"/>
      <c r="K177" s="214"/>
      <c r="L177" s="214"/>
      <c r="M177" s="217"/>
    </row>
    <row r="178">
      <c r="A178" s="200"/>
      <c r="D178" s="221"/>
      <c r="I178" s="215"/>
      <c r="J178" s="214"/>
      <c r="K178" s="214"/>
      <c r="L178" s="214"/>
      <c r="M178" s="217"/>
    </row>
    <row r="179">
      <c r="A179" s="200"/>
      <c r="D179" s="221"/>
      <c r="I179" s="215"/>
      <c r="J179" s="214"/>
      <c r="K179" s="214"/>
      <c r="L179" s="214"/>
      <c r="M179" s="217"/>
    </row>
    <row r="180">
      <c r="A180" s="200"/>
      <c r="D180" s="221"/>
      <c r="I180" s="215"/>
      <c r="J180" s="214"/>
      <c r="K180" s="214"/>
      <c r="L180" s="214"/>
      <c r="M180" s="217"/>
    </row>
    <row r="181">
      <c r="A181" s="200"/>
      <c r="D181" s="221"/>
      <c r="I181" s="215"/>
      <c r="J181" s="214"/>
      <c r="K181" s="214"/>
      <c r="L181" s="214"/>
      <c r="M181" s="217"/>
    </row>
    <row r="182">
      <c r="A182" s="200"/>
      <c r="D182" s="221"/>
      <c r="I182" s="215"/>
      <c r="J182" s="214"/>
      <c r="K182" s="214"/>
      <c r="L182" s="214"/>
      <c r="M182" s="217"/>
    </row>
    <row r="183">
      <c r="A183" s="200"/>
      <c r="D183" s="221"/>
      <c r="I183" s="215"/>
      <c r="J183" s="214"/>
      <c r="K183" s="214"/>
      <c r="L183" s="214"/>
      <c r="M183" s="217"/>
    </row>
    <row r="184">
      <c r="A184" s="200"/>
      <c r="D184" s="221"/>
      <c r="I184" s="215"/>
      <c r="J184" s="214"/>
      <c r="K184" s="214"/>
      <c r="L184" s="214"/>
      <c r="M184" s="217"/>
    </row>
    <row r="185">
      <c r="A185" s="200"/>
      <c r="D185" s="221"/>
      <c r="I185" s="215"/>
      <c r="J185" s="214"/>
      <c r="K185" s="214"/>
      <c r="L185" s="214"/>
      <c r="M185" s="217"/>
    </row>
    <row r="186">
      <c r="A186" s="200"/>
      <c r="D186" s="221"/>
      <c r="I186" s="215"/>
      <c r="J186" s="214"/>
      <c r="K186" s="214"/>
      <c r="L186" s="214"/>
      <c r="M186" s="217"/>
    </row>
    <row r="187">
      <c r="A187" s="200"/>
      <c r="D187" s="221"/>
      <c r="I187" s="215"/>
      <c r="J187" s="214"/>
      <c r="K187" s="214"/>
      <c r="L187" s="214"/>
      <c r="M187" s="217"/>
    </row>
    <row r="188">
      <c r="A188" s="200"/>
      <c r="D188" s="221"/>
      <c r="I188" s="215"/>
      <c r="J188" s="214"/>
      <c r="K188" s="214"/>
      <c r="L188" s="214"/>
      <c r="M188" s="217"/>
    </row>
    <row r="189">
      <c r="A189" s="200"/>
      <c r="D189" s="221"/>
      <c r="I189" s="215"/>
      <c r="J189" s="214"/>
      <c r="K189" s="214"/>
      <c r="L189" s="214"/>
      <c r="M189" s="217"/>
    </row>
    <row r="190">
      <c r="A190" s="200"/>
      <c r="D190" s="221"/>
      <c r="I190" s="215"/>
      <c r="J190" s="214"/>
      <c r="K190" s="214"/>
      <c r="L190" s="214"/>
      <c r="M190" s="217"/>
    </row>
    <row r="191">
      <c r="A191" s="200"/>
      <c r="D191" s="221"/>
      <c r="I191" s="215"/>
      <c r="J191" s="214"/>
      <c r="K191" s="214"/>
      <c r="L191" s="214"/>
      <c r="M191" s="217"/>
    </row>
    <row r="192">
      <c r="A192" s="200"/>
      <c r="D192" s="221"/>
      <c r="I192" s="215"/>
      <c r="J192" s="214"/>
      <c r="K192" s="214"/>
      <c r="L192" s="214"/>
      <c r="M192" s="217"/>
    </row>
    <row r="193">
      <c r="A193" s="200"/>
      <c r="D193" s="221"/>
      <c r="I193" s="215"/>
      <c r="J193" s="214"/>
      <c r="K193" s="214"/>
      <c r="L193" s="214"/>
      <c r="M193" s="217"/>
    </row>
    <row r="194">
      <c r="A194" s="200"/>
      <c r="D194" s="221"/>
      <c r="I194" s="215"/>
      <c r="J194" s="214"/>
      <c r="K194" s="214"/>
      <c r="L194" s="214"/>
      <c r="M194" s="217"/>
    </row>
    <row r="195">
      <c r="A195" s="200"/>
      <c r="D195" s="221"/>
      <c r="I195" s="215"/>
      <c r="J195" s="214"/>
      <c r="K195" s="214"/>
      <c r="L195" s="214"/>
      <c r="M195" s="217"/>
    </row>
    <row r="196">
      <c r="A196" s="200"/>
      <c r="D196" s="221"/>
      <c r="I196" s="215"/>
      <c r="J196" s="214"/>
      <c r="K196" s="214"/>
      <c r="L196" s="214"/>
      <c r="M196" s="217"/>
    </row>
    <row r="197">
      <c r="A197" s="200"/>
      <c r="D197" s="221"/>
      <c r="I197" s="215"/>
      <c r="J197" s="214"/>
      <c r="K197" s="214"/>
      <c r="L197" s="214"/>
      <c r="M197" s="217"/>
    </row>
    <row r="198">
      <c r="A198" s="200"/>
      <c r="D198" s="221"/>
      <c r="I198" s="215"/>
      <c r="J198" s="214"/>
      <c r="K198" s="214"/>
      <c r="L198" s="214"/>
      <c r="M198" s="217"/>
    </row>
    <row r="199">
      <c r="A199" s="200"/>
      <c r="D199" s="221"/>
      <c r="I199" s="215"/>
      <c r="J199" s="214"/>
      <c r="K199" s="214"/>
      <c r="L199" s="214"/>
      <c r="M199" s="217"/>
    </row>
    <row r="200">
      <c r="A200" s="200"/>
      <c r="D200" s="221"/>
      <c r="I200" s="215"/>
      <c r="J200" s="214"/>
      <c r="K200" s="214"/>
      <c r="L200" s="214"/>
      <c r="M200" s="217"/>
    </row>
    <row r="201">
      <c r="A201" s="200"/>
      <c r="D201" s="221"/>
      <c r="I201" s="215"/>
      <c r="J201" s="214"/>
      <c r="K201" s="214"/>
      <c r="L201" s="214"/>
      <c r="M201" s="217"/>
    </row>
    <row r="202">
      <c r="A202" s="200"/>
      <c r="D202" s="221"/>
      <c r="I202" s="215"/>
      <c r="J202" s="214"/>
      <c r="K202" s="214"/>
      <c r="L202" s="214"/>
      <c r="M202" s="217"/>
    </row>
    <row r="203">
      <c r="A203" s="200"/>
      <c r="D203" s="221"/>
      <c r="I203" s="215"/>
      <c r="J203" s="214"/>
      <c r="K203" s="214"/>
      <c r="L203" s="214"/>
      <c r="M203" s="217"/>
    </row>
    <row r="204">
      <c r="A204" s="200"/>
      <c r="D204" s="221"/>
      <c r="I204" s="215"/>
      <c r="J204" s="214"/>
      <c r="K204" s="214"/>
      <c r="L204" s="214"/>
      <c r="M204" s="217"/>
    </row>
    <row r="205">
      <c r="A205" s="200"/>
      <c r="D205" s="221"/>
      <c r="I205" s="215"/>
      <c r="J205" s="214"/>
      <c r="K205" s="214"/>
      <c r="L205" s="214"/>
      <c r="M205" s="217"/>
    </row>
    <row r="206">
      <c r="A206" s="200"/>
      <c r="D206" s="221"/>
      <c r="I206" s="215"/>
      <c r="J206" s="214"/>
      <c r="K206" s="214"/>
      <c r="L206" s="214"/>
      <c r="M206" s="217"/>
    </row>
    <row r="207">
      <c r="A207" s="200"/>
      <c r="D207" s="221"/>
      <c r="I207" s="215"/>
      <c r="J207" s="214"/>
      <c r="K207" s="214"/>
      <c r="L207" s="214"/>
      <c r="M207" s="217"/>
    </row>
    <row r="208">
      <c r="A208" s="200"/>
      <c r="D208" s="221"/>
      <c r="I208" s="215"/>
      <c r="J208" s="214"/>
      <c r="K208" s="214"/>
      <c r="L208" s="214"/>
      <c r="M208" s="217"/>
    </row>
    <row r="209">
      <c r="A209" s="200"/>
      <c r="D209" s="221"/>
      <c r="I209" s="215"/>
      <c r="J209" s="214"/>
      <c r="K209" s="214"/>
      <c r="L209" s="214"/>
      <c r="M209" s="217"/>
    </row>
    <row r="210">
      <c r="A210" s="200"/>
      <c r="D210" s="221"/>
      <c r="I210" s="215"/>
      <c r="J210" s="214"/>
      <c r="K210" s="214"/>
      <c r="L210" s="214"/>
      <c r="M210" s="217"/>
    </row>
    <row r="211">
      <c r="A211" s="200"/>
      <c r="D211" s="221"/>
      <c r="I211" s="215"/>
      <c r="J211" s="214"/>
      <c r="K211" s="214"/>
      <c r="L211" s="214"/>
      <c r="M211" s="217"/>
    </row>
    <row r="212">
      <c r="A212" s="200"/>
      <c r="D212" s="221"/>
      <c r="I212" s="215"/>
      <c r="J212" s="214"/>
      <c r="K212" s="214"/>
      <c r="L212" s="214"/>
      <c r="M212" s="217"/>
    </row>
    <row r="213">
      <c r="A213" s="200"/>
      <c r="D213" s="221"/>
      <c r="I213" s="195"/>
      <c r="L213" s="75"/>
      <c r="M213" s="194"/>
    </row>
    <row r="214">
      <c r="A214" s="200"/>
      <c r="D214" s="221"/>
      <c r="I214" s="195"/>
      <c r="L214" s="75"/>
      <c r="M214" s="194"/>
    </row>
    <row r="215">
      <c r="A215" s="200"/>
      <c r="D215" s="221"/>
      <c r="I215" s="195"/>
      <c r="L215" s="75"/>
      <c r="M215" s="194"/>
    </row>
    <row r="216">
      <c r="A216" s="200"/>
      <c r="D216" s="221"/>
      <c r="I216" s="195"/>
      <c r="L216" s="75"/>
      <c r="M216" s="194"/>
    </row>
    <row r="217">
      <c r="A217" s="200"/>
      <c r="D217" s="221"/>
      <c r="I217" s="195"/>
      <c r="L217" s="75"/>
      <c r="M217" s="194"/>
    </row>
    <row r="218">
      <c r="A218" s="200"/>
      <c r="D218" s="221"/>
      <c r="I218" s="195"/>
      <c r="L218" s="75"/>
      <c r="M218" s="194"/>
    </row>
    <row r="219">
      <c r="A219" s="200"/>
      <c r="D219" s="221"/>
      <c r="I219" s="195"/>
      <c r="L219" s="75"/>
      <c r="M219" s="194"/>
    </row>
    <row r="220">
      <c r="A220" s="200"/>
      <c r="D220" s="221"/>
      <c r="I220" s="195"/>
      <c r="L220" s="75"/>
      <c r="M220" s="194"/>
    </row>
    <row r="221">
      <c r="A221" s="200"/>
      <c r="D221" s="221"/>
      <c r="I221" s="195"/>
      <c r="L221" s="75"/>
      <c r="M221" s="194"/>
    </row>
    <row r="222">
      <c r="A222" s="200"/>
      <c r="D222" s="221"/>
      <c r="I222" s="195"/>
      <c r="L222" s="75"/>
      <c r="M222" s="194"/>
    </row>
    <row r="223">
      <c r="A223" s="200"/>
      <c r="D223" s="221"/>
      <c r="I223" s="195"/>
      <c r="L223" s="75"/>
      <c r="M223" s="194"/>
    </row>
    <row r="224">
      <c r="A224" s="200"/>
      <c r="D224" s="221"/>
      <c r="I224" s="195"/>
      <c r="L224" s="75"/>
      <c r="M224" s="194"/>
    </row>
    <row r="225">
      <c r="A225" s="200"/>
      <c r="D225" s="221"/>
      <c r="I225" s="195"/>
      <c r="L225" s="75"/>
      <c r="M225" s="194"/>
    </row>
    <row r="226">
      <c r="A226" s="200"/>
      <c r="D226" s="221"/>
      <c r="I226" s="195"/>
      <c r="L226" s="75"/>
      <c r="M226" s="194"/>
    </row>
    <row r="227">
      <c r="A227" s="200"/>
      <c r="D227" s="221"/>
      <c r="I227" s="195"/>
      <c r="L227" s="75"/>
      <c r="M227" s="194"/>
    </row>
    <row r="228">
      <c r="A228" s="200"/>
      <c r="D228" s="221"/>
      <c r="I228" s="195"/>
      <c r="L228" s="75"/>
      <c r="M228" s="194"/>
    </row>
    <row r="229">
      <c r="A229" s="200"/>
      <c r="D229" s="221"/>
      <c r="I229" s="195"/>
      <c r="L229" s="75"/>
      <c r="M229" s="194"/>
    </row>
    <row r="230">
      <c r="A230" s="200"/>
      <c r="D230" s="221"/>
      <c r="I230" s="195"/>
      <c r="L230" s="75"/>
      <c r="M230" s="194"/>
    </row>
    <row r="231">
      <c r="A231" s="200"/>
      <c r="D231" s="221"/>
      <c r="I231" s="195"/>
      <c r="L231" s="75"/>
      <c r="M231" s="194"/>
    </row>
    <row r="232">
      <c r="A232" s="200"/>
      <c r="D232" s="221"/>
      <c r="I232" s="195"/>
      <c r="L232" s="75"/>
      <c r="M232" s="194"/>
    </row>
    <row r="233">
      <c r="A233" s="200"/>
      <c r="D233" s="221"/>
      <c r="I233" s="195"/>
      <c r="L233" s="75"/>
      <c r="M233" s="194"/>
    </row>
    <row r="234">
      <c r="A234" s="200"/>
      <c r="D234" s="221"/>
      <c r="I234" s="195"/>
      <c r="L234" s="75"/>
      <c r="M234" s="194"/>
    </row>
    <row r="235">
      <c r="A235" s="200"/>
      <c r="D235" s="221"/>
      <c r="I235" s="195"/>
      <c r="L235" s="75"/>
      <c r="M235" s="194"/>
    </row>
    <row r="236">
      <c r="A236" s="200"/>
      <c r="D236" s="221"/>
      <c r="I236" s="195"/>
      <c r="L236" s="75"/>
      <c r="M236" s="194"/>
    </row>
    <row r="237">
      <c r="A237" s="200"/>
      <c r="D237" s="221"/>
      <c r="I237" s="195"/>
      <c r="L237" s="75"/>
      <c r="M237" s="194"/>
    </row>
    <row r="238">
      <c r="A238" s="200"/>
      <c r="D238" s="221"/>
      <c r="I238" s="195"/>
      <c r="L238" s="75"/>
      <c r="M238" s="194"/>
    </row>
    <row r="239">
      <c r="A239" s="200"/>
      <c r="D239" s="221"/>
      <c r="I239" s="195"/>
      <c r="L239" s="75"/>
      <c r="M239" s="194"/>
    </row>
    <row r="240">
      <c r="A240" s="200"/>
      <c r="D240" s="221"/>
      <c r="I240" s="195"/>
      <c r="L240" s="75"/>
      <c r="M240" s="194"/>
    </row>
    <row r="241">
      <c r="A241" s="200"/>
      <c r="D241" s="221"/>
      <c r="I241" s="195"/>
      <c r="L241" s="75"/>
      <c r="M241" s="194"/>
    </row>
    <row r="242">
      <c r="A242" s="200"/>
      <c r="D242" s="221"/>
      <c r="I242" s="195"/>
      <c r="L242" s="75"/>
      <c r="M242" s="194"/>
    </row>
    <row r="243">
      <c r="A243" s="200"/>
      <c r="D243" s="221"/>
      <c r="I243" s="195"/>
      <c r="L243" s="75"/>
      <c r="M243" s="194"/>
    </row>
    <row r="244">
      <c r="A244" s="200"/>
      <c r="D244" s="221"/>
      <c r="I244" s="195"/>
      <c r="L244" s="75"/>
      <c r="M244" s="194"/>
    </row>
    <row r="245">
      <c r="A245" s="200"/>
      <c r="D245" s="221"/>
      <c r="I245" s="195"/>
      <c r="L245" s="75"/>
      <c r="M245" s="194"/>
    </row>
    <row r="246">
      <c r="A246" s="200"/>
      <c r="D246" s="221"/>
      <c r="I246" s="195"/>
      <c r="L246" s="75"/>
      <c r="M246" s="194"/>
    </row>
    <row r="247">
      <c r="A247" s="200"/>
      <c r="D247" s="221"/>
      <c r="I247" s="195"/>
      <c r="L247" s="75"/>
      <c r="M247" s="194"/>
    </row>
    <row r="248">
      <c r="A248" s="200"/>
      <c r="D248" s="221"/>
      <c r="I248" s="195"/>
      <c r="L248" s="75"/>
      <c r="M248" s="194"/>
    </row>
    <row r="249">
      <c r="A249" s="200"/>
      <c r="D249" s="221"/>
      <c r="I249" s="195"/>
      <c r="L249" s="75"/>
      <c r="M249" s="194"/>
    </row>
    <row r="250">
      <c r="A250" s="200"/>
      <c r="D250" s="221"/>
      <c r="I250" s="195"/>
      <c r="L250" s="75"/>
      <c r="M250" s="194"/>
    </row>
    <row r="251">
      <c r="A251" s="200"/>
      <c r="D251" s="221"/>
      <c r="I251" s="195"/>
      <c r="L251" s="75"/>
      <c r="M251" s="194"/>
    </row>
    <row r="252">
      <c r="A252" s="200"/>
      <c r="D252" s="221"/>
      <c r="I252" s="195"/>
      <c r="L252" s="75"/>
      <c r="M252" s="194"/>
    </row>
    <row r="253">
      <c r="A253" s="200"/>
      <c r="D253" s="221"/>
      <c r="I253" s="195"/>
      <c r="L253" s="75"/>
      <c r="M253" s="194"/>
    </row>
    <row r="254">
      <c r="A254" s="200"/>
      <c r="D254" s="221"/>
      <c r="I254" s="195"/>
      <c r="L254" s="75"/>
      <c r="M254" s="194"/>
    </row>
    <row r="255">
      <c r="A255" s="200"/>
      <c r="D255" s="221"/>
      <c r="I255" s="195"/>
      <c r="L255" s="75"/>
      <c r="M255" s="194"/>
    </row>
    <row r="256">
      <c r="A256" s="200"/>
      <c r="D256" s="221"/>
      <c r="I256" s="195"/>
      <c r="L256" s="75"/>
      <c r="M256" s="194"/>
    </row>
    <row r="257">
      <c r="A257" s="200"/>
      <c r="D257" s="221"/>
      <c r="I257" s="195"/>
      <c r="L257" s="75"/>
      <c r="M257" s="194"/>
    </row>
    <row r="258">
      <c r="A258" s="200"/>
      <c r="D258" s="221"/>
      <c r="I258" s="195"/>
      <c r="L258" s="75"/>
      <c r="M258" s="194"/>
    </row>
    <row r="259">
      <c r="A259" s="200"/>
      <c r="D259" s="221"/>
      <c r="I259" s="195"/>
      <c r="L259" s="75"/>
      <c r="M259" s="194"/>
    </row>
    <row r="260">
      <c r="A260" s="200"/>
      <c r="D260" s="221"/>
      <c r="I260" s="195"/>
      <c r="L260" s="75"/>
      <c r="M260" s="194"/>
    </row>
    <row r="261">
      <c r="A261" s="200"/>
      <c r="D261" s="221"/>
      <c r="I261" s="195"/>
      <c r="L261" s="75"/>
      <c r="M261" s="194"/>
    </row>
    <row r="262">
      <c r="A262" s="200"/>
      <c r="D262" s="221"/>
      <c r="I262" s="195"/>
      <c r="L262" s="75"/>
      <c r="M262" s="194"/>
    </row>
    <row r="263">
      <c r="A263" s="200"/>
      <c r="D263" s="221"/>
      <c r="I263" s="195"/>
      <c r="L263" s="75"/>
      <c r="M263" s="194"/>
    </row>
    <row r="264">
      <c r="A264" s="200"/>
      <c r="D264" s="221"/>
      <c r="I264" s="195"/>
      <c r="L264" s="75"/>
      <c r="M264" s="194"/>
    </row>
    <row r="265">
      <c r="A265" s="200"/>
      <c r="D265" s="221"/>
      <c r="I265" s="195"/>
      <c r="L265" s="75"/>
      <c r="M265" s="194"/>
    </row>
    <row r="266">
      <c r="A266" s="200"/>
      <c r="D266" s="221"/>
      <c r="I266" s="195"/>
      <c r="L266" s="75"/>
      <c r="M266" s="194"/>
    </row>
    <row r="267">
      <c r="A267" s="200"/>
      <c r="D267" s="221"/>
      <c r="I267" s="195"/>
      <c r="L267" s="75"/>
      <c r="M267" s="194"/>
    </row>
    <row r="268">
      <c r="A268" s="200"/>
      <c r="D268" s="221"/>
      <c r="I268" s="195"/>
      <c r="L268" s="75"/>
      <c r="M268" s="194"/>
    </row>
    <row r="269">
      <c r="A269" s="200"/>
      <c r="D269" s="221"/>
      <c r="I269" s="195"/>
      <c r="L269" s="75"/>
      <c r="M269" s="194"/>
    </row>
    <row r="270">
      <c r="A270" s="200"/>
      <c r="D270" s="221"/>
      <c r="I270" s="195"/>
      <c r="L270" s="75"/>
      <c r="M270" s="194"/>
    </row>
    <row r="271">
      <c r="A271" s="200"/>
      <c r="D271" s="221"/>
      <c r="I271" s="195"/>
      <c r="L271" s="75"/>
      <c r="M271" s="194"/>
    </row>
    <row r="272">
      <c r="A272" s="200"/>
      <c r="D272" s="221"/>
      <c r="I272" s="195"/>
      <c r="L272" s="75"/>
      <c r="M272" s="194"/>
    </row>
    <row r="273">
      <c r="A273" s="200"/>
      <c r="D273" s="221"/>
      <c r="I273" s="195"/>
      <c r="L273" s="75"/>
      <c r="M273" s="194"/>
    </row>
    <row r="274">
      <c r="A274" s="200"/>
      <c r="D274" s="221"/>
      <c r="I274" s="195"/>
      <c r="L274" s="75"/>
      <c r="M274" s="194"/>
    </row>
    <row r="275">
      <c r="A275" s="200"/>
      <c r="D275" s="221"/>
      <c r="I275" s="195"/>
      <c r="L275" s="75"/>
      <c r="M275" s="194"/>
    </row>
    <row r="276">
      <c r="A276" s="200"/>
      <c r="D276" s="221"/>
      <c r="I276" s="195"/>
      <c r="L276" s="75"/>
      <c r="M276" s="194"/>
    </row>
    <row r="277">
      <c r="A277" s="200"/>
      <c r="D277" s="221"/>
      <c r="I277" s="195"/>
      <c r="L277" s="75"/>
      <c r="M277" s="194"/>
    </row>
    <row r="278">
      <c r="A278" s="200"/>
      <c r="D278" s="221"/>
      <c r="I278" s="195"/>
      <c r="L278" s="75"/>
      <c r="M278" s="194"/>
    </row>
    <row r="279">
      <c r="A279" s="200"/>
      <c r="D279" s="221"/>
      <c r="I279" s="195"/>
      <c r="L279" s="75"/>
      <c r="M279" s="194"/>
    </row>
    <row r="280">
      <c r="A280" s="200"/>
      <c r="D280" s="221"/>
      <c r="I280" s="195"/>
      <c r="L280" s="75"/>
      <c r="M280" s="194"/>
    </row>
    <row r="281">
      <c r="A281" s="200"/>
      <c r="D281" s="221"/>
      <c r="I281" s="195"/>
      <c r="L281" s="75"/>
      <c r="M281" s="194"/>
    </row>
    <row r="282">
      <c r="A282" s="200"/>
      <c r="D282" s="221"/>
      <c r="I282" s="195"/>
      <c r="L282" s="75"/>
      <c r="M282" s="194"/>
    </row>
    <row r="283">
      <c r="A283" s="200"/>
      <c r="D283" s="221"/>
      <c r="I283" s="195"/>
      <c r="L283" s="75"/>
      <c r="M283" s="194"/>
    </row>
    <row r="284">
      <c r="A284" s="200"/>
      <c r="D284" s="221"/>
      <c r="I284" s="195"/>
      <c r="L284" s="75"/>
      <c r="M284" s="194"/>
    </row>
    <row r="285">
      <c r="A285" s="200"/>
      <c r="D285" s="221"/>
      <c r="I285" s="195"/>
      <c r="L285" s="75"/>
      <c r="M285" s="194"/>
    </row>
    <row r="286">
      <c r="A286" s="200"/>
      <c r="D286" s="221"/>
      <c r="I286" s="195"/>
      <c r="L286" s="75"/>
      <c r="M286" s="194"/>
    </row>
    <row r="287">
      <c r="A287" s="200"/>
      <c r="D287" s="221"/>
      <c r="I287" s="195"/>
      <c r="L287" s="75"/>
      <c r="M287" s="194"/>
    </row>
    <row r="288">
      <c r="A288" s="200"/>
      <c r="D288" s="221"/>
      <c r="I288" s="195"/>
      <c r="L288" s="75"/>
      <c r="M288" s="194"/>
    </row>
    <row r="289">
      <c r="A289" s="200"/>
      <c r="D289" s="221"/>
      <c r="I289" s="195"/>
      <c r="L289" s="75"/>
      <c r="M289" s="194"/>
    </row>
    <row r="290">
      <c r="A290" s="200"/>
      <c r="D290" s="221"/>
      <c r="I290" s="195"/>
      <c r="L290" s="75"/>
      <c r="M290" s="194"/>
    </row>
    <row r="291">
      <c r="A291" s="200"/>
      <c r="D291" s="221"/>
      <c r="I291" s="195"/>
      <c r="L291" s="75"/>
      <c r="M291" s="194"/>
    </row>
    <row r="292">
      <c r="A292" s="200"/>
      <c r="D292" s="221"/>
      <c r="I292" s="195"/>
      <c r="L292" s="75"/>
      <c r="M292" s="194"/>
    </row>
    <row r="293">
      <c r="A293" s="200"/>
      <c r="D293" s="221"/>
      <c r="I293" s="195"/>
      <c r="L293" s="75"/>
      <c r="M293" s="194"/>
    </row>
    <row r="294">
      <c r="A294" s="200"/>
      <c r="D294" s="221"/>
      <c r="I294" s="195"/>
      <c r="L294" s="75"/>
      <c r="M294" s="194"/>
    </row>
    <row r="295">
      <c r="A295" s="200"/>
      <c r="D295" s="221"/>
      <c r="I295" s="195"/>
      <c r="L295" s="75"/>
      <c r="M295" s="194"/>
    </row>
    <row r="296">
      <c r="A296" s="200"/>
      <c r="D296" s="221"/>
      <c r="I296" s="195"/>
      <c r="L296" s="75"/>
      <c r="M296" s="194"/>
    </row>
    <row r="297">
      <c r="A297" s="200"/>
      <c r="D297" s="221"/>
      <c r="I297" s="195"/>
      <c r="L297" s="75"/>
      <c r="M297" s="194"/>
    </row>
    <row r="298">
      <c r="A298" s="200"/>
      <c r="D298" s="221"/>
      <c r="I298" s="195"/>
      <c r="L298" s="75"/>
      <c r="M298" s="194"/>
    </row>
    <row r="299">
      <c r="A299" s="200"/>
      <c r="D299" s="221"/>
      <c r="I299" s="195"/>
      <c r="L299" s="75"/>
      <c r="M299" s="194"/>
    </row>
    <row r="300">
      <c r="A300" s="200"/>
      <c r="D300" s="221"/>
      <c r="I300" s="195"/>
      <c r="L300" s="75"/>
      <c r="M300" s="194"/>
    </row>
    <row r="301">
      <c r="A301" s="200"/>
      <c r="D301" s="221"/>
      <c r="I301" s="195"/>
      <c r="L301" s="75"/>
      <c r="M301" s="194"/>
    </row>
    <row r="302">
      <c r="A302" s="200"/>
      <c r="D302" s="221"/>
      <c r="I302" s="195"/>
      <c r="L302" s="75"/>
      <c r="M302" s="194"/>
    </row>
    <row r="303">
      <c r="A303" s="200"/>
      <c r="D303" s="221"/>
      <c r="I303" s="195"/>
      <c r="L303" s="75"/>
      <c r="M303" s="194"/>
    </row>
    <row r="304">
      <c r="A304" s="200"/>
      <c r="D304" s="221"/>
      <c r="I304" s="195"/>
      <c r="L304" s="75"/>
      <c r="M304" s="194"/>
    </row>
    <row r="305">
      <c r="A305" s="200"/>
      <c r="D305" s="221"/>
      <c r="I305" s="195"/>
      <c r="L305" s="75"/>
      <c r="M305" s="194"/>
    </row>
    <row r="306">
      <c r="A306" s="200"/>
      <c r="D306" s="221"/>
      <c r="I306" s="195"/>
      <c r="L306" s="75"/>
      <c r="M306" s="194"/>
    </row>
    <row r="307">
      <c r="A307" s="200"/>
      <c r="D307" s="221"/>
      <c r="I307" s="195"/>
      <c r="L307" s="75"/>
      <c r="M307" s="194"/>
    </row>
    <row r="308">
      <c r="A308" s="200"/>
      <c r="D308" s="221"/>
      <c r="I308" s="195"/>
      <c r="L308" s="75"/>
      <c r="M308" s="194"/>
    </row>
    <row r="309">
      <c r="A309" s="200"/>
      <c r="D309" s="221"/>
      <c r="I309" s="195"/>
      <c r="L309" s="75"/>
      <c r="M309" s="194"/>
    </row>
    <row r="310">
      <c r="A310" s="200"/>
      <c r="D310" s="221"/>
      <c r="I310" s="195"/>
      <c r="L310" s="75"/>
      <c r="M310" s="194"/>
    </row>
    <row r="311">
      <c r="A311" s="200"/>
      <c r="D311" s="221"/>
      <c r="I311" s="195"/>
      <c r="L311" s="75"/>
      <c r="M311" s="194"/>
    </row>
    <row r="312">
      <c r="A312" s="200"/>
      <c r="D312" s="221"/>
      <c r="I312" s="195"/>
      <c r="L312" s="75"/>
      <c r="M312" s="194"/>
    </row>
    <row r="313">
      <c r="A313" s="200"/>
      <c r="D313" s="221"/>
      <c r="I313" s="195"/>
      <c r="L313" s="75"/>
      <c r="M313" s="194"/>
    </row>
    <row r="314">
      <c r="A314" s="200"/>
      <c r="D314" s="221"/>
      <c r="I314" s="195"/>
      <c r="L314" s="75"/>
      <c r="M314" s="194"/>
    </row>
    <row r="315">
      <c r="A315" s="200"/>
      <c r="D315" s="221"/>
      <c r="I315" s="195"/>
      <c r="L315" s="75"/>
      <c r="M315" s="194"/>
    </row>
    <row r="316">
      <c r="A316" s="200"/>
      <c r="D316" s="221"/>
      <c r="I316" s="195"/>
      <c r="L316" s="75"/>
      <c r="M316" s="194"/>
    </row>
    <row r="317">
      <c r="A317" s="200"/>
      <c r="D317" s="221"/>
      <c r="I317" s="195"/>
      <c r="L317" s="75"/>
      <c r="M317" s="194"/>
    </row>
    <row r="318">
      <c r="A318" s="200"/>
      <c r="D318" s="221"/>
      <c r="I318" s="195"/>
      <c r="L318" s="75"/>
      <c r="M318" s="194"/>
    </row>
    <row r="319">
      <c r="A319" s="200"/>
      <c r="D319" s="221"/>
      <c r="I319" s="195"/>
      <c r="L319" s="75"/>
      <c r="M319" s="194"/>
    </row>
    <row r="320">
      <c r="A320" s="200"/>
      <c r="D320" s="221"/>
      <c r="I320" s="195"/>
      <c r="L320" s="75"/>
      <c r="M320" s="194"/>
    </row>
    <row r="321">
      <c r="A321" s="200"/>
      <c r="D321" s="221"/>
      <c r="I321" s="195"/>
      <c r="L321" s="75"/>
      <c r="M321" s="194"/>
    </row>
    <row r="322">
      <c r="A322" s="200"/>
      <c r="D322" s="221"/>
      <c r="I322" s="195"/>
      <c r="L322" s="75"/>
      <c r="M322" s="194"/>
    </row>
    <row r="323">
      <c r="A323" s="200"/>
      <c r="D323" s="221"/>
      <c r="I323" s="195"/>
      <c r="L323" s="75"/>
      <c r="M323" s="194"/>
    </row>
    <row r="324">
      <c r="A324" s="200"/>
      <c r="D324" s="221"/>
      <c r="I324" s="195"/>
      <c r="L324" s="75"/>
      <c r="M324" s="194"/>
    </row>
    <row r="325">
      <c r="A325" s="200"/>
      <c r="D325" s="221"/>
      <c r="I325" s="195"/>
      <c r="L325" s="75"/>
      <c r="M325" s="194"/>
    </row>
    <row r="326">
      <c r="A326" s="200"/>
      <c r="D326" s="221"/>
      <c r="I326" s="195"/>
      <c r="L326" s="75"/>
      <c r="M326" s="194"/>
    </row>
    <row r="327">
      <c r="A327" s="200"/>
      <c r="D327" s="221"/>
      <c r="I327" s="195"/>
      <c r="L327" s="75"/>
      <c r="M327" s="194"/>
    </row>
    <row r="328">
      <c r="A328" s="200"/>
      <c r="D328" s="221"/>
      <c r="I328" s="195"/>
      <c r="L328" s="75"/>
      <c r="M328" s="194"/>
    </row>
    <row r="329">
      <c r="A329" s="200"/>
      <c r="D329" s="221"/>
      <c r="I329" s="195"/>
      <c r="L329" s="75"/>
      <c r="M329" s="194"/>
    </row>
    <row r="330">
      <c r="A330" s="200"/>
      <c r="D330" s="221"/>
      <c r="I330" s="195"/>
      <c r="L330" s="75"/>
      <c r="M330" s="194"/>
    </row>
    <row r="331">
      <c r="A331" s="200"/>
      <c r="D331" s="221"/>
      <c r="I331" s="195"/>
      <c r="L331" s="75"/>
      <c r="M331" s="194"/>
    </row>
    <row r="332">
      <c r="A332" s="200"/>
      <c r="D332" s="221"/>
      <c r="I332" s="195"/>
      <c r="L332" s="75"/>
      <c r="M332" s="194"/>
    </row>
    <row r="333">
      <c r="A333" s="200"/>
      <c r="D333" s="221"/>
      <c r="I333" s="195"/>
      <c r="L333" s="75"/>
      <c r="M333" s="194"/>
    </row>
    <row r="334">
      <c r="A334" s="200"/>
      <c r="D334" s="221"/>
      <c r="I334" s="195"/>
      <c r="L334" s="75"/>
      <c r="M334" s="194"/>
    </row>
    <row r="335">
      <c r="A335" s="200"/>
      <c r="D335" s="221"/>
      <c r="I335" s="195"/>
      <c r="L335" s="75"/>
      <c r="M335" s="194"/>
    </row>
    <row r="336">
      <c r="A336" s="200"/>
      <c r="D336" s="221"/>
      <c r="I336" s="195"/>
      <c r="L336" s="75"/>
      <c r="M336" s="194"/>
    </row>
    <row r="337">
      <c r="A337" s="200"/>
      <c r="D337" s="221"/>
      <c r="I337" s="195"/>
      <c r="L337" s="75"/>
      <c r="M337" s="194"/>
    </row>
    <row r="338">
      <c r="A338" s="200"/>
      <c r="D338" s="221"/>
      <c r="I338" s="195"/>
      <c r="L338" s="75"/>
      <c r="M338" s="194"/>
    </row>
    <row r="339">
      <c r="A339" s="200"/>
      <c r="D339" s="221"/>
      <c r="I339" s="195"/>
      <c r="L339" s="75"/>
      <c r="M339" s="194"/>
    </row>
    <row r="340">
      <c r="A340" s="200"/>
      <c r="D340" s="221"/>
      <c r="I340" s="195"/>
      <c r="L340" s="75"/>
      <c r="M340" s="194"/>
    </row>
    <row r="341">
      <c r="A341" s="200"/>
      <c r="D341" s="221"/>
      <c r="I341" s="195"/>
      <c r="L341" s="75"/>
      <c r="M341" s="194"/>
    </row>
    <row r="342">
      <c r="A342" s="200"/>
      <c r="D342" s="221"/>
      <c r="I342" s="195"/>
      <c r="L342" s="75"/>
      <c r="M342" s="194"/>
    </row>
    <row r="343">
      <c r="A343" s="200"/>
      <c r="D343" s="221"/>
      <c r="I343" s="195"/>
      <c r="L343" s="75"/>
      <c r="M343" s="194"/>
    </row>
    <row r="344">
      <c r="A344" s="200"/>
      <c r="D344" s="221"/>
      <c r="I344" s="195"/>
      <c r="L344" s="75"/>
      <c r="M344" s="194"/>
    </row>
    <row r="345">
      <c r="A345" s="200"/>
      <c r="D345" s="221"/>
      <c r="I345" s="195"/>
      <c r="L345" s="75"/>
      <c r="M345" s="194"/>
    </row>
    <row r="346">
      <c r="A346" s="200"/>
      <c r="D346" s="221"/>
      <c r="I346" s="195"/>
      <c r="L346" s="75"/>
      <c r="M346" s="194"/>
    </row>
    <row r="347">
      <c r="A347" s="200"/>
      <c r="D347" s="221"/>
      <c r="I347" s="195"/>
      <c r="L347" s="75"/>
      <c r="M347" s="194"/>
    </row>
    <row r="348">
      <c r="A348" s="200"/>
      <c r="D348" s="221"/>
      <c r="I348" s="195"/>
      <c r="L348" s="75"/>
      <c r="M348" s="194"/>
    </row>
    <row r="349">
      <c r="A349" s="200"/>
      <c r="D349" s="221"/>
      <c r="I349" s="195"/>
      <c r="L349" s="75"/>
      <c r="M349" s="194"/>
    </row>
    <row r="350">
      <c r="A350" s="200"/>
      <c r="D350" s="221"/>
      <c r="I350" s="195"/>
      <c r="L350" s="75"/>
      <c r="M350" s="194"/>
    </row>
    <row r="351">
      <c r="A351" s="200"/>
      <c r="D351" s="221"/>
      <c r="I351" s="195"/>
      <c r="L351" s="75"/>
      <c r="M351" s="194"/>
    </row>
    <row r="352">
      <c r="A352" s="200"/>
      <c r="D352" s="221"/>
      <c r="I352" s="195"/>
      <c r="L352" s="75"/>
      <c r="M352" s="194"/>
    </row>
    <row r="353">
      <c r="A353" s="200"/>
      <c r="D353" s="221"/>
      <c r="I353" s="195"/>
      <c r="L353" s="75"/>
      <c r="M353" s="194"/>
    </row>
    <row r="354">
      <c r="A354" s="200"/>
      <c r="D354" s="221"/>
      <c r="I354" s="195"/>
      <c r="L354" s="75"/>
      <c r="M354" s="194"/>
    </row>
    <row r="355">
      <c r="A355" s="200"/>
      <c r="D355" s="221"/>
      <c r="I355" s="195"/>
      <c r="L355" s="75"/>
      <c r="M355" s="194"/>
    </row>
    <row r="356">
      <c r="A356" s="200"/>
      <c r="D356" s="221"/>
      <c r="I356" s="195"/>
      <c r="L356" s="75"/>
      <c r="M356" s="194"/>
    </row>
    <row r="357">
      <c r="A357" s="200"/>
      <c r="D357" s="221"/>
      <c r="I357" s="195"/>
      <c r="L357" s="75"/>
      <c r="M357" s="194"/>
    </row>
    <row r="358">
      <c r="A358" s="200"/>
      <c r="D358" s="221"/>
      <c r="I358" s="195"/>
      <c r="L358" s="75"/>
      <c r="M358" s="194"/>
    </row>
    <row r="359">
      <c r="A359" s="200"/>
      <c r="D359" s="221"/>
      <c r="I359" s="195"/>
      <c r="L359" s="75"/>
      <c r="M359" s="194"/>
    </row>
    <row r="360">
      <c r="A360" s="200"/>
      <c r="D360" s="221"/>
      <c r="I360" s="195"/>
      <c r="L360" s="75"/>
      <c r="M360" s="194"/>
    </row>
    <row r="361">
      <c r="A361" s="200"/>
      <c r="D361" s="221"/>
      <c r="I361" s="195"/>
      <c r="L361" s="75"/>
      <c r="M361" s="194"/>
    </row>
    <row r="362">
      <c r="A362" s="200"/>
      <c r="D362" s="221"/>
      <c r="I362" s="195"/>
      <c r="L362" s="75"/>
      <c r="M362" s="194"/>
    </row>
    <row r="363">
      <c r="A363" s="200"/>
      <c r="D363" s="221"/>
      <c r="I363" s="195"/>
      <c r="L363" s="75"/>
      <c r="M363" s="194"/>
    </row>
    <row r="364">
      <c r="A364" s="200"/>
      <c r="D364" s="221"/>
      <c r="I364" s="195"/>
      <c r="L364" s="75"/>
      <c r="M364" s="194"/>
    </row>
    <row r="365">
      <c r="A365" s="200"/>
      <c r="D365" s="221"/>
      <c r="I365" s="195"/>
      <c r="L365" s="75"/>
      <c r="M365" s="194"/>
    </row>
    <row r="366">
      <c r="A366" s="200"/>
      <c r="D366" s="221"/>
      <c r="I366" s="195"/>
      <c r="L366" s="75"/>
      <c r="M366" s="194"/>
    </row>
    <row r="367">
      <c r="A367" s="200"/>
      <c r="D367" s="221"/>
      <c r="I367" s="195"/>
      <c r="L367" s="75"/>
      <c r="M367" s="194"/>
    </row>
    <row r="368">
      <c r="A368" s="200"/>
      <c r="D368" s="221"/>
      <c r="I368" s="195"/>
      <c r="L368" s="75"/>
      <c r="M368" s="194"/>
    </row>
    <row r="369">
      <c r="A369" s="200"/>
      <c r="D369" s="221"/>
      <c r="I369" s="195"/>
      <c r="L369" s="75"/>
      <c r="M369" s="194"/>
    </row>
    <row r="370">
      <c r="A370" s="200"/>
      <c r="D370" s="221"/>
      <c r="I370" s="195"/>
      <c r="L370" s="75"/>
      <c r="M370" s="194"/>
    </row>
    <row r="371">
      <c r="A371" s="200"/>
      <c r="D371" s="221"/>
      <c r="I371" s="195"/>
      <c r="L371" s="75"/>
      <c r="M371" s="194"/>
    </row>
    <row r="372">
      <c r="A372" s="200"/>
      <c r="D372" s="221"/>
      <c r="I372" s="195"/>
      <c r="L372" s="75"/>
      <c r="M372" s="194"/>
    </row>
    <row r="373">
      <c r="A373" s="200"/>
      <c r="D373" s="221"/>
      <c r="I373" s="195"/>
      <c r="L373" s="75"/>
      <c r="M373" s="194"/>
    </row>
    <row r="374">
      <c r="A374" s="200"/>
      <c r="D374" s="221"/>
      <c r="I374" s="195"/>
      <c r="L374" s="75"/>
      <c r="M374" s="194"/>
    </row>
    <row r="375">
      <c r="A375" s="200"/>
      <c r="D375" s="221"/>
      <c r="I375" s="195"/>
      <c r="L375" s="75"/>
      <c r="M375" s="194"/>
    </row>
    <row r="376">
      <c r="A376" s="200"/>
      <c r="D376" s="221"/>
      <c r="I376" s="195"/>
      <c r="L376" s="75"/>
      <c r="M376" s="194"/>
    </row>
    <row r="377">
      <c r="A377" s="200"/>
      <c r="D377" s="221"/>
      <c r="I377" s="195"/>
      <c r="L377" s="75"/>
      <c r="M377" s="194"/>
    </row>
    <row r="378">
      <c r="A378" s="200"/>
      <c r="D378" s="221"/>
      <c r="I378" s="195"/>
      <c r="L378" s="75"/>
      <c r="M378" s="194"/>
    </row>
    <row r="379">
      <c r="A379" s="200"/>
      <c r="D379" s="221"/>
      <c r="I379" s="195"/>
      <c r="L379" s="75"/>
      <c r="M379" s="194"/>
    </row>
    <row r="380">
      <c r="A380" s="200"/>
      <c r="D380" s="221"/>
      <c r="I380" s="195"/>
      <c r="L380" s="75"/>
      <c r="M380" s="194"/>
    </row>
    <row r="381">
      <c r="A381" s="200"/>
      <c r="D381" s="221"/>
      <c r="I381" s="195"/>
      <c r="L381" s="75"/>
      <c r="M381" s="194"/>
    </row>
    <row r="382">
      <c r="A382" s="200"/>
      <c r="D382" s="221"/>
      <c r="I382" s="195"/>
      <c r="L382" s="75"/>
      <c r="M382" s="194"/>
    </row>
    <row r="383">
      <c r="A383" s="200"/>
      <c r="D383" s="221"/>
      <c r="I383" s="195"/>
      <c r="L383" s="75"/>
      <c r="M383" s="194"/>
    </row>
    <row r="384">
      <c r="A384" s="200"/>
      <c r="D384" s="221"/>
      <c r="I384" s="195"/>
      <c r="L384" s="75"/>
      <c r="M384" s="194"/>
    </row>
    <row r="385">
      <c r="A385" s="200"/>
      <c r="D385" s="221"/>
      <c r="I385" s="195"/>
      <c r="L385" s="75"/>
      <c r="M385" s="194"/>
    </row>
    <row r="386">
      <c r="A386" s="200"/>
      <c r="D386" s="221"/>
      <c r="I386" s="195"/>
      <c r="L386" s="75"/>
      <c r="M386" s="194"/>
    </row>
    <row r="387">
      <c r="A387" s="200"/>
      <c r="D387" s="221"/>
      <c r="I387" s="195"/>
      <c r="L387" s="75"/>
      <c r="M387" s="194"/>
    </row>
    <row r="388">
      <c r="A388" s="200"/>
      <c r="D388" s="221"/>
      <c r="I388" s="195"/>
      <c r="L388" s="75"/>
      <c r="M388" s="194"/>
    </row>
    <row r="389">
      <c r="A389" s="200"/>
      <c r="D389" s="221"/>
      <c r="I389" s="195"/>
      <c r="L389" s="75"/>
      <c r="M389" s="194"/>
    </row>
    <row r="390">
      <c r="A390" s="200"/>
      <c r="D390" s="221"/>
      <c r="I390" s="195"/>
      <c r="L390" s="75"/>
      <c r="M390" s="194"/>
    </row>
    <row r="391">
      <c r="A391" s="200"/>
      <c r="D391" s="221"/>
      <c r="I391" s="195"/>
      <c r="L391" s="75"/>
      <c r="M391" s="194"/>
    </row>
    <row r="392">
      <c r="A392" s="200"/>
      <c r="D392" s="221"/>
      <c r="I392" s="195"/>
      <c r="L392" s="75"/>
      <c r="M392" s="194"/>
    </row>
    <row r="393">
      <c r="A393" s="200"/>
      <c r="D393" s="221"/>
      <c r="I393" s="195"/>
      <c r="L393" s="75"/>
      <c r="M393" s="194"/>
    </row>
    <row r="394">
      <c r="A394" s="200"/>
      <c r="D394" s="221"/>
      <c r="I394" s="195"/>
      <c r="L394" s="75"/>
      <c r="M394" s="194"/>
    </row>
    <row r="395">
      <c r="A395" s="200"/>
      <c r="D395" s="221"/>
      <c r="I395" s="195"/>
      <c r="L395" s="75"/>
      <c r="M395" s="194"/>
    </row>
    <row r="396">
      <c r="A396" s="200"/>
      <c r="D396" s="221"/>
      <c r="I396" s="195"/>
      <c r="L396" s="75"/>
      <c r="M396" s="194"/>
    </row>
    <row r="397">
      <c r="A397" s="200"/>
      <c r="D397" s="221"/>
      <c r="I397" s="195"/>
      <c r="L397" s="75"/>
      <c r="M397" s="194"/>
    </row>
    <row r="398">
      <c r="A398" s="200"/>
      <c r="D398" s="221"/>
      <c r="I398" s="195"/>
      <c r="L398" s="75"/>
      <c r="M398" s="194"/>
    </row>
    <row r="399">
      <c r="A399" s="200"/>
      <c r="D399" s="221"/>
      <c r="I399" s="195"/>
      <c r="L399" s="75"/>
      <c r="M399" s="194"/>
    </row>
    <row r="400">
      <c r="A400" s="200"/>
      <c r="D400" s="221"/>
      <c r="I400" s="195"/>
      <c r="L400" s="75"/>
      <c r="M400" s="194"/>
    </row>
    <row r="401">
      <c r="A401" s="200"/>
      <c r="D401" s="221"/>
      <c r="I401" s="195"/>
      <c r="L401" s="75"/>
      <c r="M401" s="194"/>
    </row>
    <row r="402">
      <c r="A402" s="200"/>
      <c r="D402" s="221"/>
      <c r="I402" s="195"/>
      <c r="L402" s="75"/>
      <c r="M402" s="194"/>
    </row>
    <row r="403">
      <c r="A403" s="200"/>
      <c r="D403" s="221"/>
      <c r="I403" s="195"/>
      <c r="L403" s="75"/>
      <c r="M403" s="194"/>
    </row>
    <row r="404">
      <c r="A404" s="200"/>
      <c r="D404" s="221"/>
      <c r="I404" s="195"/>
      <c r="L404" s="75"/>
      <c r="M404" s="194"/>
    </row>
    <row r="405">
      <c r="A405" s="200"/>
      <c r="D405" s="221"/>
      <c r="I405" s="195"/>
      <c r="L405" s="75"/>
      <c r="M405" s="194"/>
    </row>
    <row r="406">
      <c r="A406" s="200"/>
      <c r="D406" s="221"/>
      <c r="I406" s="195"/>
      <c r="L406" s="75"/>
      <c r="M406" s="194"/>
    </row>
    <row r="407">
      <c r="A407" s="200"/>
      <c r="D407" s="221"/>
      <c r="I407" s="195"/>
      <c r="L407" s="75"/>
      <c r="M407" s="194"/>
    </row>
    <row r="408">
      <c r="A408" s="200"/>
      <c r="D408" s="221"/>
      <c r="I408" s="195"/>
      <c r="L408" s="75"/>
      <c r="M408" s="194"/>
    </row>
    <row r="409">
      <c r="A409" s="200"/>
      <c r="D409" s="221"/>
      <c r="I409" s="195"/>
      <c r="L409" s="75"/>
      <c r="M409" s="194"/>
    </row>
    <row r="410">
      <c r="A410" s="200"/>
      <c r="D410" s="221"/>
      <c r="I410" s="195"/>
      <c r="L410" s="75"/>
      <c r="M410" s="194"/>
    </row>
    <row r="411">
      <c r="A411" s="200"/>
      <c r="D411" s="221"/>
      <c r="I411" s="195"/>
      <c r="L411" s="75"/>
      <c r="M411" s="194"/>
    </row>
    <row r="412">
      <c r="A412" s="200"/>
      <c r="D412" s="221"/>
      <c r="I412" s="195"/>
      <c r="L412" s="75"/>
      <c r="M412" s="194"/>
    </row>
    <row r="413">
      <c r="A413" s="200"/>
      <c r="D413" s="221"/>
      <c r="I413" s="195"/>
      <c r="L413" s="75"/>
      <c r="M413" s="194"/>
    </row>
    <row r="414">
      <c r="A414" s="200"/>
      <c r="D414" s="221"/>
      <c r="I414" s="195"/>
      <c r="L414" s="75"/>
      <c r="M414" s="194"/>
    </row>
    <row r="415">
      <c r="A415" s="200"/>
      <c r="D415" s="221"/>
      <c r="I415" s="195"/>
      <c r="L415" s="75"/>
      <c r="M415" s="194"/>
    </row>
    <row r="416">
      <c r="A416" s="200"/>
      <c r="D416" s="221"/>
      <c r="I416" s="195"/>
      <c r="L416" s="75"/>
      <c r="M416" s="194"/>
    </row>
    <row r="417">
      <c r="A417" s="200"/>
      <c r="D417" s="221"/>
      <c r="I417" s="195"/>
      <c r="L417" s="75"/>
      <c r="M417" s="194"/>
    </row>
    <row r="418">
      <c r="A418" s="200"/>
      <c r="D418" s="221"/>
      <c r="I418" s="195"/>
      <c r="L418" s="75"/>
      <c r="M418" s="194"/>
    </row>
    <row r="419">
      <c r="A419" s="200"/>
      <c r="D419" s="221"/>
      <c r="I419" s="195"/>
      <c r="L419" s="75"/>
      <c r="M419" s="194"/>
    </row>
    <row r="420">
      <c r="A420" s="200"/>
      <c r="D420" s="221"/>
      <c r="I420" s="195"/>
      <c r="L420" s="75"/>
      <c r="M420" s="194"/>
    </row>
    <row r="421">
      <c r="A421" s="200"/>
      <c r="D421" s="221"/>
      <c r="I421" s="195"/>
      <c r="L421" s="75"/>
      <c r="M421" s="194"/>
    </row>
    <row r="422">
      <c r="A422" s="200"/>
      <c r="D422" s="221"/>
      <c r="I422" s="195"/>
      <c r="L422" s="75"/>
      <c r="M422" s="194"/>
    </row>
    <row r="423">
      <c r="A423" s="200"/>
      <c r="D423" s="221"/>
      <c r="I423" s="195"/>
      <c r="L423" s="75"/>
      <c r="M423" s="194"/>
    </row>
    <row r="424">
      <c r="A424" s="200"/>
      <c r="D424" s="221"/>
      <c r="I424" s="195"/>
      <c r="L424" s="75"/>
      <c r="M424" s="194"/>
    </row>
    <row r="425">
      <c r="A425" s="200"/>
      <c r="D425" s="221"/>
      <c r="I425" s="195"/>
      <c r="L425" s="75"/>
      <c r="M425" s="194"/>
    </row>
    <row r="426">
      <c r="A426" s="200"/>
      <c r="D426" s="221"/>
      <c r="I426" s="195"/>
      <c r="L426" s="75"/>
      <c r="M426" s="194"/>
    </row>
    <row r="427">
      <c r="A427" s="200"/>
      <c r="D427" s="221"/>
      <c r="I427" s="195"/>
      <c r="L427" s="75"/>
      <c r="M427" s="194"/>
    </row>
    <row r="428">
      <c r="A428" s="200"/>
      <c r="D428" s="221"/>
      <c r="I428" s="195"/>
      <c r="L428" s="75"/>
      <c r="M428" s="194"/>
    </row>
    <row r="429">
      <c r="A429" s="200"/>
      <c r="D429" s="221"/>
      <c r="I429" s="195"/>
      <c r="L429" s="75"/>
      <c r="M429" s="194"/>
    </row>
    <row r="430">
      <c r="A430" s="200"/>
      <c r="D430" s="221"/>
      <c r="I430" s="195"/>
      <c r="L430" s="75"/>
      <c r="M430" s="194"/>
    </row>
    <row r="431">
      <c r="A431" s="200"/>
      <c r="D431" s="221"/>
      <c r="I431" s="195"/>
      <c r="L431" s="75"/>
      <c r="M431" s="194"/>
    </row>
    <row r="432">
      <c r="A432" s="200"/>
      <c r="D432" s="221"/>
      <c r="I432" s="195"/>
      <c r="L432" s="75"/>
      <c r="M432" s="194"/>
    </row>
    <row r="433">
      <c r="A433" s="200"/>
      <c r="D433" s="221"/>
      <c r="I433" s="195"/>
      <c r="L433" s="75"/>
      <c r="M433" s="194"/>
    </row>
    <row r="434">
      <c r="A434" s="200"/>
      <c r="D434" s="221"/>
      <c r="I434" s="195"/>
      <c r="L434" s="75"/>
      <c r="M434" s="194"/>
    </row>
    <row r="435">
      <c r="A435" s="200"/>
      <c r="D435" s="221"/>
      <c r="I435" s="195"/>
      <c r="L435" s="75"/>
      <c r="M435" s="194"/>
    </row>
    <row r="436">
      <c r="A436" s="200"/>
      <c r="D436" s="221"/>
      <c r="I436" s="195"/>
      <c r="L436" s="75"/>
      <c r="M436" s="194"/>
    </row>
    <row r="437">
      <c r="A437" s="200"/>
      <c r="D437" s="221"/>
      <c r="I437" s="195"/>
      <c r="L437" s="75"/>
      <c r="M437" s="194"/>
    </row>
    <row r="438">
      <c r="A438" s="200"/>
      <c r="D438" s="221"/>
      <c r="I438" s="195"/>
      <c r="L438" s="75"/>
      <c r="M438" s="194"/>
    </row>
    <row r="439">
      <c r="A439" s="200"/>
      <c r="D439" s="221"/>
      <c r="I439" s="195"/>
      <c r="L439" s="75"/>
      <c r="M439" s="194"/>
    </row>
    <row r="440">
      <c r="A440" s="200"/>
      <c r="D440" s="221"/>
      <c r="I440" s="195"/>
      <c r="L440" s="75"/>
      <c r="M440" s="194"/>
    </row>
    <row r="441">
      <c r="A441" s="200"/>
      <c r="D441" s="221"/>
      <c r="I441" s="195"/>
      <c r="L441" s="75"/>
      <c r="M441" s="194"/>
    </row>
    <row r="442">
      <c r="A442" s="200"/>
      <c r="D442" s="221"/>
      <c r="I442" s="195"/>
      <c r="L442" s="75"/>
      <c r="M442" s="194"/>
    </row>
    <row r="443">
      <c r="A443" s="200"/>
      <c r="D443" s="221"/>
      <c r="I443" s="195"/>
      <c r="L443" s="75"/>
      <c r="M443" s="194"/>
    </row>
    <row r="444">
      <c r="A444" s="200"/>
      <c r="D444" s="221"/>
      <c r="I444" s="195"/>
      <c r="L444" s="75"/>
      <c r="M444" s="194"/>
    </row>
    <row r="445">
      <c r="A445" s="200"/>
      <c r="D445" s="221"/>
      <c r="I445" s="195"/>
      <c r="L445" s="75"/>
      <c r="M445" s="194"/>
    </row>
    <row r="446">
      <c r="A446" s="200"/>
      <c r="D446" s="221"/>
      <c r="I446" s="195"/>
      <c r="L446" s="75"/>
      <c r="M446" s="194"/>
    </row>
    <row r="447">
      <c r="A447" s="200"/>
      <c r="D447" s="221"/>
      <c r="I447" s="195"/>
      <c r="L447" s="75"/>
      <c r="M447" s="194"/>
    </row>
    <row r="448">
      <c r="A448" s="200"/>
      <c r="D448" s="221"/>
      <c r="I448" s="195"/>
      <c r="L448" s="75"/>
      <c r="M448" s="194"/>
    </row>
    <row r="449">
      <c r="A449" s="200"/>
      <c r="D449" s="221"/>
      <c r="I449" s="195"/>
      <c r="L449" s="75"/>
      <c r="M449" s="194"/>
    </row>
    <row r="450">
      <c r="A450" s="200"/>
      <c r="D450" s="221"/>
      <c r="I450" s="195"/>
      <c r="L450" s="75"/>
      <c r="M450" s="194"/>
    </row>
    <row r="451">
      <c r="A451" s="200"/>
      <c r="D451" s="221"/>
      <c r="I451" s="195"/>
      <c r="L451" s="75"/>
      <c r="M451" s="194"/>
    </row>
    <row r="452">
      <c r="A452" s="200"/>
      <c r="D452" s="221"/>
      <c r="I452" s="195"/>
      <c r="L452" s="75"/>
      <c r="M452" s="194"/>
    </row>
    <row r="453">
      <c r="A453" s="200"/>
      <c r="D453" s="221"/>
      <c r="I453" s="195"/>
      <c r="L453" s="75"/>
      <c r="M453" s="194"/>
    </row>
    <row r="454">
      <c r="A454" s="200"/>
      <c r="D454" s="221"/>
      <c r="I454" s="195"/>
      <c r="L454" s="75"/>
      <c r="M454" s="194"/>
    </row>
    <row r="455">
      <c r="A455" s="200"/>
      <c r="D455" s="221"/>
      <c r="I455" s="195"/>
      <c r="L455" s="75"/>
      <c r="M455" s="194"/>
    </row>
    <row r="456">
      <c r="A456" s="200"/>
      <c r="D456" s="221"/>
      <c r="I456" s="195"/>
      <c r="L456" s="75"/>
      <c r="M456" s="194"/>
    </row>
    <row r="457">
      <c r="A457" s="200"/>
      <c r="D457" s="221"/>
      <c r="I457" s="195"/>
      <c r="L457" s="75"/>
      <c r="M457" s="194"/>
    </row>
    <row r="458">
      <c r="A458" s="200"/>
      <c r="D458" s="221"/>
      <c r="I458" s="195"/>
      <c r="L458" s="75"/>
      <c r="M458" s="194"/>
    </row>
    <row r="459">
      <c r="A459" s="200"/>
      <c r="D459" s="221"/>
      <c r="I459" s="195"/>
      <c r="L459" s="75"/>
      <c r="M459" s="194"/>
    </row>
    <row r="460">
      <c r="A460" s="200"/>
      <c r="D460" s="221"/>
      <c r="I460" s="195"/>
      <c r="L460" s="75"/>
      <c r="M460" s="194"/>
    </row>
    <row r="461">
      <c r="A461" s="200"/>
      <c r="D461" s="221"/>
      <c r="I461" s="195"/>
      <c r="L461" s="75"/>
      <c r="M461" s="194"/>
    </row>
    <row r="462">
      <c r="A462" s="200"/>
      <c r="D462" s="221"/>
      <c r="I462" s="195"/>
      <c r="L462" s="75"/>
      <c r="M462" s="194"/>
    </row>
    <row r="463">
      <c r="A463" s="200"/>
      <c r="D463" s="221"/>
      <c r="I463" s="195"/>
      <c r="L463" s="75"/>
      <c r="M463" s="194"/>
    </row>
    <row r="464">
      <c r="A464" s="200"/>
      <c r="D464" s="221"/>
      <c r="I464" s="195"/>
      <c r="L464" s="75"/>
      <c r="M464" s="194"/>
    </row>
    <row r="465">
      <c r="A465" s="200"/>
      <c r="D465" s="221"/>
      <c r="I465" s="195"/>
      <c r="L465" s="75"/>
      <c r="M465" s="194"/>
    </row>
    <row r="466">
      <c r="A466" s="200"/>
      <c r="D466" s="221"/>
      <c r="I466" s="195"/>
      <c r="L466" s="75"/>
      <c r="M466" s="194"/>
    </row>
    <row r="467">
      <c r="A467" s="200"/>
      <c r="D467" s="221"/>
      <c r="I467" s="195"/>
      <c r="L467" s="75"/>
      <c r="M467" s="194"/>
    </row>
    <row r="468">
      <c r="A468" s="200"/>
      <c r="D468" s="221"/>
      <c r="I468" s="195"/>
      <c r="L468" s="75"/>
      <c r="M468" s="194"/>
    </row>
    <row r="469">
      <c r="A469" s="200"/>
      <c r="D469" s="221"/>
      <c r="I469" s="195"/>
      <c r="L469" s="75"/>
      <c r="M469" s="194"/>
    </row>
    <row r="470">
      <c r="A470" s="200"/>
      <c r="D470" s="221"/>
      <c r="I470" s="195"/>
      <c r="L470" s="75"/>
      <c r="M470" s="194"/>
    </row>
    <row r="471">
      <c r="A471" s="200"/>
      <c r="D471" s="221"/>
      <c r="I471" s="195"/>
      <c r="L471" s="75"/>
      <c r="M471" s="194"/>
    </row>
    <row r="472">
      <c r="A472" s="200"/>
      <c r="D472" s="221"/>
      <c r="I472" s="195"/>
      <c r="L472" s="75"/>
      <c r="M472" s="194"/>
    </row>
    <row r="473">
      <c r="A473" s="200"/>
      <c r="D473" s="221"/>
      <c r="I473" s="195"/>
      <c r="L473" s="75"/>
      <c r="M473" s="194"/>
    </row>
    <row r="474">
      <c r="A474" s="200"/>
      <c r="D474" s="221"/>
      <c r="I474" s="195"/>
      <c r="L474" s="75"/>
      <c r="M474" s="194"/>
    </row>
    <row r="475">
      <c r="A475" s="200"/>
      <c r="D475" s="221"/>
      <c r="I475" s="195"/>
      <c r="L475" s="75"/>
      <c r="M475" s="194"/>
    </row>
    <row r="476">
      <c r="A476" s="200"/>
      <c r="D476" s="221"/>
      <c r="I476" s="195"/>
      <c r="L476" s="75"/>
      <c r="M476" s="194"/>
    </row>
    <row r="477">
      <c r="A477" s="200"/>
      <c r="D477" s="221"/>
      <c r="I477" s="195"/>
      <c r="L477" s="75"/>
      <c r="M477" s="194"/>
    </row>
    <row r="478">
      <c r="A478" s="200"/>
      <c r="D478" s="221"/>
      <c r="I478" s="195"/>
      <c r="L478" s="75"/>
      <c r="M478" s="194"/>
    </row>
    <row r="479">
      <c r="A479" s="200"/>
      <c r="D479" s="221"/>
      <c r="I479" s="195"/>
      <c r="L479" s="75"/>
      <c r="M479" s="194"/>
    </row>
    <row r="480">
      <c r="A480" s="200"/>
      <c r="D480" s="221"/>
      <c r="I480" s="195"/>
      <c r="L480" s="75"/>
      <c r="M480" s="194"/>
    </row>
    <row r="481">
      <c r="A481" s="200"/>
      <c r="D481" s="221"/>
      <c r="I481" s="195"/>
      <c r="L481" s="75"/>
      <c r="M481" s="194"/>
    </row>
    <row r="482">
      <c r="A482" s="200"/>
      <c r="D482" s="221"/>
      <c r="I482" s="195"/>
      <c r="L482" s="75"/>
      <c r="M482" s="194"/>
    </row>
    <row r="483">
      <c r="A483" s="200"/>
      <c r="D483" s="221"/>
      <c r="I483" s="195"/>
      <c r="L483" s="75"/>
      <c r="M483" s="194"/>
    </row>
    <row r="484">
      <c r="A484" s="200"/>
      <c r="D484" s="221"/>
      <c r="I484" s="195"/>
      <c r="L484" s="75"/>
      <c r="M484" s="194"/>
    </row>
    <row r="485">
      <c r="A485" s="200"/>
      <c r="D485" s="221"/>
      <c r="I485" s="195"/>
      <c r="L485" s="75"/>
      <c r="M485" s="194"/>
    </row>
    <row r="486">
      <c r="A486" s="200"/>
      <c r="D486" s="221"/>
      <c r="I486" s="195"/>
      <c r="L486" s="75"/>
      <c r="M486" s="194"/>
    </row>
    <row r="487">
      <c r="A487" s="200"/>
      <c r="D487" s="221"/>
      <c r="I487" s="195"/>
      <c r="L487" s="75"/>
      <c r="M487" s="194"/>
    </row>
    <row r="488">
      <c r="A488" s="200"/>
      <c r="D488" s="221"/>
      <c r="I488" s="195"/>
      <c r="L488" s="75"/>
      <c r="M488" s="194"/>
    </row>
    <row r="489">
      <c r="A489" s="200"/>
      <c r="D489" s="221"/>
      <c r="I489" s="195"/>
      <c r="L489" s="75"/>
      <c r="M489" s="194"/>
    </row>
    <row r="490">
      <c r="A490" s="200"/>
      <c r="D490" s="221"/>
      <c r="I490" s="195"/>
      <c r="L490" s="75"/>
      <c r="M490" s="194"/>
    </row>
    <row r="491">
      <c r="A491" s="200"/>
      <c r="D491" s="221"/>
      <c r="I491" s="195"/>
      <c r="L491" s="75"/>
      <c r="M491" s="194"/>
    </row>
    <row r="492">
      <c r="A492" s="200"/>
      <c r="D492" s="221"/>
      <c r="I492" s="195"/>
      <c r="L492" s="75"/>
      <c r="M492" s="194"/>
    </row>
    <row r="493">
      <c r="A493" s="200"/>
      <c r="D493" s="221"/>
      <c r="I493" s="195"/>
      <c r="L493" s="75"/>
      <c r="M493" s="194"/>
    </row>
    <row r="494">
      <c r="A494" s="200"/>
      <c r="D494" s="221"/>
      <c r="I494" s="195"/>
      <c r="L494" s="75"/>
      <c r="M494" s="194"/>
    </row>
    <row r="495">
      <c r="A495" s="200"/>
      <c r="D495" s="221"/>
      <c r="I495" s="195"/>
      <c r="L495" s="75"/>
      <c r="M495" s="194"/>
    </row>
    <row r="496">
      <c r="A496" s="200"/>
      <c r="D496" s="221"/>
      <c r="I496" s="195"/>
      <c r="L496" s="75"/>
      <c r="M496" s="194"/>
    </row>
    <row r="497">
      <c r="A497" s="200"/>
      <c r="D497" s="221"/>
      <c r="I497" s="195"/>
      <c r="L497" s="75"/>
      <c r="M497" s="194"/>
    </row>
    <row r="498">
      <c r="A498" s="200"/>
      <c r="D498" s="221"/>
      <c r="I498" s="195"/>
      <c r="L498" s="75"/>
      <c r="M498" s="194"/>
    </row>
    <row r="499">
      <c r="A499" s="200"/>
      <c r="D499" s="221"/>
      <c r="I499" s="195"/>
      <c r="L499" s="75"/>
      <c r="M499" s="194"/>
    </row>
    <row r="500">
      <c r="A500" s="200"/>
      <c r="D500" s="221"/>
      <c r="I500" s="195"/>
      <c r="L500" s="75"/>
      <c r="M500" s="194"/>
    </row>
    <row r="501">
      <c r="A501" s="200"/>
      <c r="D501" s="221"/>
      <c r="I501" s="195"/>
      <c r="L501" s="75"/>
      <c r="M501" s="194"/>
    </row>
    <row r="502">
      <c r="A502" s="200"/>
      <c r="D502" s="221"/>
      <c r="I502" s="195"/>
      <c r="L502" s="75"/>
      <c r="M502" s="194"/>
    </row>
    <row r="503">
      <c r="A503" s="200"/>
      <c r="D503" s="221"/>
      <c r="I503" s="195"/>
      <c r="L503" s="75"/>
      <c r="M503" s="194"/>
    </row>
    <row r="504">
      <c r="A504" s="200"/>
      <c r="D504" s="221"/>
      <c r="I504" s="195"/>
      <c r="L504" s="75"/>
      <c r="M504" s="194"/>
    </row>
    <row r="505">
      <c r="A505" s="200"/>
      <c r="D505" s="221"/>
      <c r="I505" s="195"/>
      <c r="L505" s="75"/>
      <c r="M505" s="194"/>
    </row>
    <row r="506">
      <c r="A506" s="200"/>
      <c r="D506" s="221"/>
      <c r="I506" s="195"/>
      <c r="L506" s="75"/>
      <c r="M506" s="194"/>
    </row>
    <row r="507">
      <c r="A507" s="200"/>
      <c r="D507" s="221"/>
      <c r="I507" s="195"/>
      <c r="L507" s="75"/>
      <c r="M507" s="194"/>
    </row>
    <row r="508">
      <c r="A508" s="200"/>
      <c r="D508" s="221"/>
      <c r="I508" s="195"/>
      <c r="L508" s="75"/>
      <c r="M508" s="194"/>
    </row>
    <row r="509">
      <c r="A509" s="200"/>
      <c r="D509" s="221"/>
      <c r="I509" s="195"/>
      <c r="L509" s="75"/>
      <c r="M509" s="194"/>
    </row>
    <row r="510">
      <c r="A510" s="200"/>
      <c r="D510" s="221"/>
      <c r="I510" s="195"/>
      <c r="L510" s="75"/>
      <c r="M510" s="194"/>
    </row>
    <row r="511">
      <c r="A511" s="200"/>
      <c r="D511" s="221"/>
      <c r="I511" s="195"/>
      <c r="L511" s="75"/>
      <c r="M511" s="194"/>
    </row>
    <row r="512">
      <c r="A512" s="200"/>
      <c r="D512" s="221"/>
      <c r="I512" s="195"/>
      <c r="L512" s="75"/>
      <c r="M512" s="194"/>
    </row>
    <row r="513">
      <c r="A513" s="200"/>
      <c r="D513" s="221"/>
      <c r="I513" s="195"/>
      <c r="L513" s="75"/>
      <c r="M513" s="194"/>
    </row>
    <row r="514">
      <c r="A514" s="200"/>
      <c r="D514" s="221"/>
      <c r="I514" s="195"/>
      <c r="L514" s="75"/>
      <c r="M514" s="194"/>
    </row>
    <row r="515">
      <c r="A515" s="200"/>
      <c r="D515" s="221"/>
      <c r="I515" s="195"/>
      <c r="L515" s="75"/>
      <c r="M515" s="194"/>
    </row>
    <row r="516">
      <c r="A516" s="200"/>
      <c r="D516" s="221"/>
      <c r="I516" s="195"/>
      <c r="L516" s="75"/>
      <c r="M516" s="194"/>
    </row>
    <row r="517">
      <c r="A517" s="200"/>
      <c r="D517" s="221"/>
      <c r="I517" s="195"/>
      <c r="L517" s="75"/>
      <c r="M517" s="194"/>
    </row>
    <row r="518">
      <c r="A518" s="200"/>
      <c r="D518" s="221"/>
      <c r="I518" s="195"/>
      <c r="L518" s="75"/>
      <c r="M518" s="194"/>
    </row>
    <row r="519">
      <c r="A519" s="200"/>
      <c r="D519" s="221"/>
      <c r="I519" s="195"/>
      <c r="L519" s="75"/>
      <c r="M519" s="194"/>
    </row>
    <row r="520">
      <c r="A520" s="200"/>
      <c r="D520" s="221"/>
      <c r="I520" s="195"/>
      <c r="L520" s="75"/>
      <c r="M520" s="194"/>
    </row>
    <row r="521">
      <c r="A521" s="200"/>
      <c r="D521" s="221"/>
      <c r="I521" s="195"/>
      <c r="L521" s="75"/>
      <c r="M521" s="194"/>
    </row>
    <row r="522">
      <c r="A522" s="200"/>
      <c r="D522" s="221"/>
      <c r="I522" s="195"/>
      <c r="L522" s="75"/>
      <c r="M522" s="194"/>
    </row>
    <row r="523">
      <c r="A523" s="200"/>
      <c r="D523" s="221"/>
      <c r="I523" s="195"/>
      <c r="L523" s="75"/>
      <c r="M523" s="194"/>
    </row>
    <row r="524">
      <c r="A524" s="200"/>
      <c r="D524" s="221"/>
      <c r="I524" s="195"/>
      <c r="L524" s="75"/>
      <c r="M524" s="194"/>
    </row>
    <row r="525">
      <c r="A525" s="200"/>
      <c r="D525" s="221"/>
      <c r="I525" s="195"/>
      <c r="L525" s="75"/>
      <c r="M525" s="194"/>
    </row>
    <row r="526">
      <c r="A526" s="200"/>
      <c r="D526" s="221"/>
      <c r="I526" s="195"/>
      <c r="L526" s="75"/>
      <c r="M526" s="194"/>
    </row>
    <row r="527">
      <c r="A527" s="200"/>
      <c r="D527" s="221"/>
      <c r="I527" s="195"/>
      <c r="L527" s="75"/>
      <c r="M527" s="194"/>
    </row>
    <row r="528">
      <c r="A528" s="200"/>
      <c r="D528" s="221"/>
      <c r="I528" s="195"/>
      <c r="L528" s="75"/>
      <c r="M528" s="194"/>
    </row>
    <row r="529">
      <c r="A529" s="200"/>
      <c r="D529" s="221"/>
      <c r="I529" s="195"/>
      <c r="L529" s="75"/>
      <c r="M529" s="194"/>
    </row>
    <row r="530">
      <c r="A530" s="200"/>
      <c r="D530" s="221"/>
      <c r="I530" s="195"/>
      <c r="L530" s="75"/>
      <c r="M530" s="194"/>
    </row>
    <row r="531">
      <c r="A531" s="200"/>
      <c r="D531" s="221"/>
      <c r="I531" s="195"/>
      <c r="L531" s="75"/>
      <c r="M531" s="194"/>
    </row>
    <row r="532">
      <c r="A532" s="200"/>
      <c r="D532" s="221"/>
      <c r="I532" s="195"/>
      <c r="L532" s="75"/>
      <c r="M532" s="194"/>
    </row>
    <row r="533">
      <c r="A533" s="200"/>
      <c r="D533" s="221"/>
      <c r="I533" s="195"/>
      <c r="L533" s="75"/>
      <c r="M533" s="194"/>
    </row>
    <row r="534">
      <c r="A534" s="200"/>
      <c r="D534" s="221"/>
      <c r="I534" s="195"/>
      <c r="L534" s="75"/>
      <c r="M534" s="194"/>
    </row>
    <row r="535">
      <c r="A535" s="200"/>
      <c r="D535" s="221"/>
      <c r="I535" s="195"/>
      <c r="L535" s="75"/>
      <c r="M535" s="194"/>
    </row>
    <row r="536">
      <c r="A536" s="200"/>
      <c r="D536" s="221"/>
      <c r="I536" s="195"/>
      <c r="L536" s="75"/>
      <c r="M536" s="194"/>
    </row>
    <row r="537">
      <c r="A537" s="200"/>
      <c r="D537" s="221"/>
      <c r="I537" s="195"/>
      <c r="L537" s="75"/>
      <c r="M537" s="194"/>
    </row>
    <row r="538">
      <c r="A538" s="200"/>
      <c r="D538" s="221"/>
      <c r="I538" s="195"/>
      <c r="L538" s="75"/>
      <c r="M538" s="194"/>
    </row>
    <row r="539">
      <c r="A539" s="200"/>
      <c r="D539" s="221"/>
      <c r="I539" s="195"/>
      <c r="L539" s="75"/>
      <c r="M539" s="194"/>
    </row>
    <row r="540">
      <c r="A540" s="200"/>
      <c r="D540" s="221"/>
      <c r="I540" s="195"/>
      <c r="L540" s="75"/>
      <c r="M540" s="194"/>
    </row>
    <row r="541">
      <c r="A541" s="200"/>
      <c r="D541" s="221"/>
      <c r="I541" s="195"/>
      <c r="L541" s="75"/>
      <c r="M541" s="194"/>
    </row>
    <row r="542">
      <c r="A542" s="200"/>
      <c r="D542" s="221"/>
      <c r="I542" s="195"/>
      <c r="L542" s="75"/>
      <c r="M542" s="194"/>
    </row>
    <row r="543">
      <c r="A543" s="200"/>
      <c r="D543" s="221"/>
      <c r="I543" s="195"/>
      <c r="L543" s="75"/>
      <c r="M543" s="194"/>
    </row>
    <row r="544">
      <c r="A544" s="200"/>
      <c r="D544" s="221"/>
      <c r="I544" s="195"/>
      <c r="L544" s="75"/>
      <c r="M544" s="194"/>
    </row>
    <row r="545">
      <c r="A545" s="200"/>
      <c r="D545" s="221"/>
      <c r="I545" s="195"/>
      <c r="L545" s="75"/>
      <c r="M545" s="194"/>
    </row>
    <row r="546">
      <c r="A546" s="200"/>
      <c r="D546" s="221"/>
      <c r="I546" s="195"/>
      <c r="L546" s="75"/>
      <c r="M546" s="194"/>
    </row>
    <row r="547">
      <c r="A547" s="200"/>
      <c r="D547" s="221"/>
      <c r="I547" s="195"/>
      <c r="L547" s="75"/>
      <c r="M547" s="194"/>
    </row>
    <row r="548">
      <c r="A548" s="200"/>
      <c r="D548" s="221"/>
      <c r="I548" s="195"/>
      <c r="L548" s="75"/>
      <c r="M548" s="194"/>
    </row>
    <row r="549">
      <c r="A549" s="200"/>
      <c r="D549" s="221"/>
      <c r="I549" s="195"/>
      <c r="L549" s="75"/>
      <c r="M549" s="194"/>
    </row>
    <row r="550">
      <c r="A550" s="200"/>
      <c r="D550" s="221"/>
      <c r="I550" s="195"/>
      <c r="L550" s="75"/>
      <c r="M550" s="194"/>
    </row>
    <row r="551">
      <c r="A551" s="200"/>
      <c r="D551" s="221"/>
      <c r="I551" s="195"/>
      <c r="L551" s="75"/>
      <c r="M551" s="194"/>
    </row>
    <row r="552">
      <c r="A552" s="200"/>
      <c r="D552" s="221"/>
      <c r="I552" s="195"/>
      <c r="L552" s="75"/>
      <c r="M552" s="194"/>
    </row>
    <row r="553">
      <c r="A553" s="200"/>
      <c r="D553" s="221"/>
      <c r="I553" s="195"/>
      <c r="L553" s="75"/>
      <c r="M553" s="194"/>
    </row>
    <row r="554">
      <c r="A554" s="200"/>
      <c r="D554" s="221"/>
      <c r="I554" s="195"/>
      <c r="L554" s="75"/>
      <c r="M554" s="194"/>
    </row>
    <row r="555">
      <c r="A555" s="200"/>
      <c r="D555" s="221"/>
      <c r="I555" s="195"/>
      <c r="L555" s="75"/>
      <c r="M555" s="194"/>
    </row>
    <row r="556">
      <c r="A556" s="200"/>
      <c r="D556" s="221"/>
      <c r="I556" s="195"/>
      <c r="L556" s="75"/>
      <c r="M556" s="194"/>
    </row>
    <row r="557">
      <c r="A557" s="200"/>
      <c r="D557" s="221"/>
      <c r="I557" s="195"/>
      <c r="L557" s="75"/>
      <c r="M557" s="194"/>
    </row>
    <row r="558">
      <c r="A558" s="200"/>
      <c r="D558" s="221"/>
      <c r="I558" s="195"/>
      <c r="L558" s="75"/>
      <c r="M558" s="194"/>
    </row>
    <row r="559">
      <c r="A559" s="200"/>
      <c r="D559" s="221"/>
      <c r="I559" s="195"/>
      <c r="L559" s="75"/>
      <c r="M559" s="194"/>
    </row>
    <row r="560">
      <c r="A560" s="200"/>
      <c r="D560" s="221"/>
      <c r="I560" s="195"/>
      <c r="L560" s="75"/>
      <c r="M560" s="194"/>
    </row>
    <row r="561">
      <c r="A561" s="200"/>
      <c r="D561" s="221"/>
      <c r="I561" s="195"/>
      <c r="L561" s="75"/>
      <c r="M561" s="194"/>
    </row>
    <row r="562">
      <c r="A562" s="200"/>
      <c r="D562" s="221"/>
      <c r="I562" s="195"/>
      <c r="L562" s="75"/>
      <c r="M562" s="194"/>
    </row>
    <row r="563">
      <c r="A563" s="200"/>
      <c r="D563" s="221"/>
      <c r="I563" s="195"/>
      <c r="L563" s="75"/>
      <c r="M563" s="194"/>
    </row>
    <row r="564">
      <c r="A564" s="200"/>
      <c r="D564" s="221"/>
      <c r="I564" s="195"/>
      <c r="L564" s="75"/>
      <c r="M564" s="194"/>
    </row>
    <row r="565">
      <c r="A565" s="200"/>
      <c r="D565" s="221"/>
      <c r="I565" s="195"/>
      <c r="L565" s="75"/>
      <c r="M565" s="194"/>
    </row>
    <row r="566">
      <c r="A566" s="200"/>
      <c r="D566" s="221"/>
      <c r="I566" s="195"/>
      <c r="L566" s="75"/>
      <c r="M566" s="194"/>
    </row>
    <row r="567">
      <c r="A567" s="200"/>
      <c r="D567" s="221"/>
      <c r="I567" s="195"/>
      <c r="L567" s="75"/>
      <c r="M567" s="194"/>
    </row>
    <row r="568">
      <c r="A568" s="200"/>
      <c r="D568" s="221"/>
      <c r="I568" s="195"/>
      <c r="L568" s="75"/>
      <c r="M568" s="194"/>
    </row>
    <row r="569">
      <c r="A569" s="200"/>
      <c r="D569" s="221"/>
      <c r="I569" s="195"/>
      <c r="L569" s="75"/>
      <c r="M569" s="194"/>
    </row>
    <row r="570">
      <c r="A570" s="200"/>
      <c r="D570" s="221"/>
      <c r="I570" s="195"/>
      <c r="L570" s="75"/>
      <c r="M570" s="194"/>
    </row>
    <row r="571">
      <c r="A571" s="200"/>
      <c r="D571" s="221"/>
      <c r="I571" s="195"/>
      <c r="L571" s="75"/>
      <c r="M571" s="194"/>
    </row>
    <row r="572">
      <c r="A572" s="200"/>
      <c r="D572" s="221"/>
      <c r="I572" s="195"/>
      <c r="L572" s="75"/>
      <c r="M572" s="194"/>
    </row>
    <row r="573">
      <c r="A573" s="200"/>
      <c r="D573" s="221"/>
      <c r="I573" s="195"/>
      <c r="L573" s="75"/>
      <c r="M573" s="194"/>
    </row>
    <row r="574">
      <c r="A574" s="200"/>
      <c r="D574" s="221"/>
      <c r="I574" s="195"/>
      <c r="L574" s="75"/>
      <c r="M574" s="194"/>
    </row>
    <row r="575">
      <c r="A575" s="200"/>
      <c r="D575" s="221"/>
      <c r="I575" s="195"/>
      <c r="L575" s="75"/>
      <c r="M575" s="194"/>
    </row>
    <row r="576">
      <c r="A576" s="200"/>
      <c r="D576" s="221"/>
      <c r="I576" s="195"/>
      <c r="L576" s="75"/>
      <c r="M576" s="194"/>
    </row>
    <row r="577">
      <c r="A577" s="200"/>
      <c r="D577" s="221"/>
      <c r="I577" s="195"/>
      <c r="L577" s="75"/>
      <c r="M577" s="194"/>
    </row>
    <row r="578">
      <c r="A578" s="200"/>
      <c r="D578" s="221"/>
      <c r="I578" s="195"/>
      <c r="L578" s="75"/>
      <c r="M578" s="194"/>
    </row>
    <row r="579">
      <c r="A579" s="200"/>
      <c r="D579" s="221"/>
      <c r="I579" s="195"/>
      <c r="L579" s="75"/>
      <c r="M579" s="194"/>
    </row>
    <row r="580">
      <c r="A580" s="200"/>
      <c r="D580" s="221"/>
      <c r="I580" s="195"/>
      <c r="L580" s="75"/>
      <c r="M580" s="194"/>
    </row>
    <row r="581">
      <c r="A581" s="200"/>
      <c r="D581" s="221"/>
      <c r="I581" s="195"/>
      <c r="L581" s="75"/>
      <c r="M581" s="194"/>
    </row>
    <row r="582">
      <c r="A582" s="200"/>
      <c r="D582" s="221"/>
      <c r="I582" s="195"/>
      <c r="L582" s="75"/>
      <c r="M582" s="194"/>
    </row>
    <row r="583">
      <c r="A583" s="200"/>
      <c r="D583" s="221"/>
      <c r="I583" s="195"/>
      <c r="L583" s="75"/>
      <c r="M583" s="194"/>
    </row>
    <row r="584">
      <c r="A584" s="200"/>
      <c r="D584" s="221"/>
      <c r="I584" s="195"/>
      <c r="L584" s="75"/>
      <c r="M584" s="194"/>
    </row>
    <row r="585">
      <c r="A585" s="200"/>
      <c r="D585" s="221"/>
      <c r="I585" s="195"/>
      <c r="L585" s="75"/>
      <c r="M585" s="194"/>
    </row>
    <row r="586">
      <c r="A586" s="200"/>
      <c r="D586" s="221"/>
      <c r="I586" s="195"/>
      <c r="L586" s="75"/>
      <c r="M586" s="194"/>
    </row>
    <row r="587">
      <c r="A587" s="200"/>
      <c r="D587" s="221"/>
      <c r="I587" s="195"/>
      <c r="L587" s="75"/>
      <c r="M587" s="194"/>
    </row>
    <row r="588">
      <c r="A588" s="200"/>
      <c r="D588" s="221"/>
      <c r="I588" s="195"/>
      <c r="L588" s="75"/>
      <c r="M588" s="194"/>
    </row>
    <row r="589">
      <c r="A589" s="200"/>
      <c r="D589" s="221"/>
      <c r="I589" s="195"/>
      <c r="L589" s="75"/>
      <c r="M589" s="194"/>
    </row>
    <row r="590">
      <c r="A590" s="200"/>
      <c r="D590" s="221"/>
      <c r="I590" s="195"/>
      <c r="L590" s="75"/>
      <c r="M590" s="194"/>
    </row>
    <row r="591">
      <c r="A591" s="200"/>
      <c r="D591" s="221"/>
      <c r="I591" s="195"/>
      <c r="L591" s="75"/>
      <c r="M591" s="194"/>
    </row>
    <row r="592">
      <c r="A592" s="200"/>
      <c r="D592" s="221"/>
      <c r="I592" s="195"/>
      <c r="L592" s="75"/>
      <c r="M592" s="194"/>
    </row>
    <row r="593">
      <c r="A593" s="200"/>
      <c r="D593" s="221"/>
      <c r="I593" s="195"/>
      <c r="L593" s="75"/>
      <c r="M593" s="194"/>
    </row>
    <row r="594">
      <c r="A594" s="200"/>
      <c r="D594" s="221"/>
      <c r="I594" s="195"/>
      <c r="L594" s="75"/>
      <c r="M594" s="194"/>
    </row>
    <row r="595">
      <c r="A595" s="200"/>
      <c r="D595" s="221"/>
      <c r="I595" s="195"/>
      <c r="L595" s="75"/>
      <c r="M595" s="194"/>
    </row>
    <row r="596">
      <c r="A596" s="200"/>
      <c r="D596" s="221"/>
      <c r="I596" s="195"/>
      <c r="L596" s="75"/>
      <c r="M596" s="194"/>
    </row>
    <row r="597">
      <c r="A597" s="200"/>
      <c r="D597" s="221"/>
      <c r="I597" s="195"/>
      <c r="L597" s="75"/>
      <c r="M597" s="194"/>
    </row>
    <row r="598">
      <c r="A598" s="200"/>
      <c r="D598" s="221"/>
      <c r="I598" s="195"/>
      <c r="L598" s="75"/>
      <c r="M598" s="194"/>
    </row>
    <row r="599">
      <c r="A599" s="200"/>
      <c r="D599" s="221"/>
      <c r="I599" s="195"/>
      <c r="L599" s="75"/>
      <c r="M599" s="194"/>
    </row>
    <row r="600">
      <c r="A600" s="200"/>
      <c r="D600" s="221"/>
      <c r="I600" s="195"/>
      <c r="L600" s="75"/>
      <c r="M600" s="194"/>
    </row>
    <row r="601">
      <c r="A601" s="200"/>
      <c r="D601" s="221"/>
      <c r="I601" s="195"/>
      <c r="L601" s="75"/>
      <c r="M601" s="194"/>
    </row>
    <row r="602">
      <c r="A602" s="200"/>
      <c r="D602" s="221"/>
      <c r="I602" s="195"/>
      <c r="L602" s="75"/>
      <c r="M602" s="194"/>
    </row>
    <row r="603">
      <c r="A603" s="200"/>
      <c r="D603" s="221"/>
      <c r="I603" s="195"/>
      <c r="L603" s="75"/>
      <c r="M603" s="194"/>
    </row>
    <row r="604">
      <c r="A604" s="200"/>
      <c r="D604" s="221"/>
      <c r="I604" s="195"/>
      <c r="L604" s="75"/>
      <c r="M604" s="194"/>
    </row>
    <row r="605">
      <c r="A605" s="200"/>
      <c r="D605" s="221"/>
      <c r="I605" s="195"/>
      <c r="L605" s="75"/>
      <c r="M605" s="194"/>
    </row>
    <row r="606">
      <c r="A606" s="200"/>
      <c r="D606" s="221"/>
      <c r="I606" s="195"/>
      <c r="L606" s="75"/>
      <c r="M606" s="194"/>
    </row>
    <row r="607">
      <c r="A607" s="200"/>
      <c r="D607" s="221"/>
      <c r="I607" s="195"/>
      <c r="L607" s="75"/>
      <c r="M607" s="194"/>
    </row>
    <row r="608">
      <c r="A608" s="200"/>
      <c r="D608" s="221"/>
      <c r="I608" s="195"/>
      <c r="L608" s="75"/>
      <c r="M608" s="194"/>
    </row>
    <row r="609">
      <c r="A609" s="200"/>
      <c r="D609" s="221"/>
      <c r="I609" s="195"/>
      <c r="L609" s="75"/>
      <c r="M609" s="194"/>
    </row>
    <row r="610">
      <c r="A610" s="200"/>
      <c r="D610" s="221"/>
      <c r="I610" s="195"/>
      <c r="L610" s="75"/>
      <c r="M610" s="194"/>
    </row>
    <row r="611">
      <c r="A611" s="200"/>
      <c r="D611" s="221"/>
      <c r="I611" s="195"/>
      <c r="L611" s="75"/>
      <c r="M611" s="194"/>
    </row>
    <row r="612">
      <c r="A612" s="200"/>
      <c r="D612" s="221"/>
      <c r="I612" s="195"/>
      <c r="L612" s="75"/>
      <c r="M612" s="194"/>
    </row>
    <row r="613">
      <c r="A613" s="200"/>
      <c r="D613" s="221"/>
      <c r="I613" s="195"/>
      <c r="L613" s="75"/>
      <c r="M613" s="194"/>
    </row>
    <row r="614">
      <c r="A614" s="200"/>
      <c r="D614" s="221"/>
      <c r="I614" s="195"/>
      <c r="L614" s="75"/>
      <c r="M614" s="194"/>
    </row>
    <row r="615">
      <c r="A615" s="200"/>
      <c r="D615" s="221"/>
      <c r="I615" s="195"/>
      <c r="L615" s="75"/>
      <c r="M615" s="194"/>
    </row>
    <row r="616">
      <c r="A616" s="200"/>
      <c r="D616" s="221"/>
      <c r="I616" s="195"/>
      <c r="L616" s="75"/>
      <c r="M616" s="194"/>
    </row>
    <row r="617">
      <c r="A617" s="200"/>
      <c r="D617" s="221"/>
      <c r="I617" s="195"/>
      <c r="L617" s="75"/>
      <c r="M617" s="194"/>
    </row>
    <row r="618">
      <c r="A618" s="200"/>
      <c r="D618" s="221"/>
      <c r="I618" s="195"/>
      <c r="L618" s="75"/>
      <c r="M618" s="194"/>
    </row>
    <row r="619">
      <c r="A619" s="200"/>
      <c r="D619" s="221"/>
      <c r="I619" s="195"/>
      <c r="L619" s="75"/>
      <c r="M619" s="194"/>
    </row>
    <row r="620">
      <c r="A620" s="200"/>
      <c r="D620" s="221"/>
      <c r="I620" s="195"/>
      <c r="L620" s="75"/>
      <c r="M620" s="194"/>
    </row>
    <row r="621">
      <c r="A621" s="200"/>
      <c r="D621" s="221"/>
      <c r="I621" s="195"/>
      <c r="L621" s="75"/>
      <c r="M621" s="194"/>
    </row>
    <row r="622">
      <c r="A622" s="200"/>
      <c r="D622" s="221"/>
      <c r="I622" s="195"/>
      <c r="L622" s="75"/>
      <c r="M622" s="194"/>
    </row>
    <row r="623">
      <c r="A623" s="200"/>
      <c r="D623" s="221"/>
      <c r="I623" s="195"/>
      <c r="L623" s="75"/>
      <c r="M623" s="194"/>
    </row>
    <row r="624">
      <c r="A624" s="200"/>
      <c r="D624" s="221"/>
      <c r="I624" s="195"/>
      <c r="L624" s="75"/>
      <c r="M624" s="194"/>
    </row>
    <row r="625">
      <c r="A625" s="200"/>
      <c r="D625" s="221"/>
      <c r="I625" s="195"/>
      <c r="L625" s="75"/>
      <c r="M625" s="194"/>
    </row>
    <row r="626">
      <c r="A626" s="200"/>
      <c r="D626" s="221"/>
      <c r="I626" s="195"/>
      <c r="L626" s="75"/>
      <c r="M626" s="194"/>
    </row>
    <row r="627">
      <c r="A627" s="200"/>
      <c r="D627" s="221"/>
      <c r="I627" s="195"/>
      <c r="L627" s="75"/>
      <c r="M627" s="194"/>
    </row>
    <row r="628">
      <c r="A628" s="200"/>
      <c r="D628" s="221"/>
      <c r="I628" s="195"/>
      <c r="L628" s="75"/>
      <c r="M628" s="194"/>
    </row>
    <row r="629">
      <c r="A629" s="200"/>
      <c r="D629" s="221"/>
      <c r="I629" s="195"/>
      <c r="L629" s="75"/>
      <c r="M629" s="194"/>
    </row>
    <row r="630">
      <c r="A630" s="200"/>
      <c r="D630" s="221"/>
      <c r="I630" s="195"/>
      <c r="L630" s="75"/>
      <c r="M630" s="194"/>
    </row>
    <row r="631">
      <c r="A631" s="200"/>
      <c r="D631" s="221"/>
      <c r="I631" s="195"/>
      <c r="L631" s="75"/>
      <c r="M631" s="194"/>
    </row>
    <row r="632">
      <c r="A632" s="200"/>
      <c r="D632" s="221"/>
      <c r="I632" s="195"/>
      <c r="L632" s="75"/>
      <c r="M632" s="194"/>
    </row>
    <row r="633">
      <c r="A633" s="200"/>
      <c r="D633" s="221"/>
      <c r="I633" s="195"/>
      <c r="L633" s="75"/>
      <c r="M633" s="194"/>
    </row>
    <row r="634">
      <c r="A634" s="200"/>
      <c r="D634" s="221"/>
      <c r="I634" s="195"/>
      <c r="L634" s="75"/>
      <c r="M634" s="194"/>
    </row>
    <row r="635">
      <c r="A635" s="200"/>
      <c r="D635" s="221"/>
      <c r="I635" s="195"/>
      <c r="L635" s="75"/>
      <c r="M635" s="194"/>
    </row>
    <row r="636">
      <c r="A636" s="200"/>
      <c r="D636" s="221"/>
      <c r="I636" s="195"/>
      <c r="L636" s="75"/>
      <c r="M636" s="194"/>
    </row>
    <row r="637">
      <c r="A637" s="200"/>
      <c r="D637" s="221"/>
      <c r="I637" s="195"/>
      <c r="L637" s="75"/>
      <c r="M637" s="194"/>
    </row>
    <row r="638">
      <c r="A638" s="200"/>
      <c r="D638" s="221"/>
      <c r="I638" s="195"/>
      <c r="L638" s="75"/>
      <c r="M638" s="194"/>
    </row>
    <row r="639">
      <c r="A639" s="200"/>
      <c r="D639" s="221"/>
      <c r="I639" s="195"/>
      <c r="L639" s="75"/>
      <c r="M639" s="194"/>
    </row>
    <row r="640">
      <c r="A640" s="200"/>
      <c r="D640" s="221"/>
      <c r="I640" s="195"/>
      <c r="L640" s="75"/>
      <c r="M640" s="194"/>
    </row>
    <row r="641">
      <c r="A641" s="200"/>
      <c r="D641" s="221"/>
      <c r="I641" s="195"/>
      <c r="L641" s="75"/>
      <c r="M641" s="194"/>
    </row>
    <row r="642">
      <c r="A642" s="200"/>
      <c r="D642" s="221"/>
      <c r="I642" s="195"/>
      <c r="L642" s="75"/>
      <c r="M642" s="194"/>
    </row>
    <row r="643">
      <c r="A643" s="200"/>
      <c r="D643" s="221"/>
      <c r="I643" s="195"/>
      <c r="L643" s="75"/>
      <c r="M643" s="194"/>
    </row>
    <row r="644">
      <c r="A644" s="200"/>
      <c r="D644" s="221"/>
      <c r="I644" s="195"/>
      <c r="L644" s="75"/>
      <c r="M644" s="194"/>
    </row>
    <row r="645">
      <c r="A645" s="200"/>
      <c r="D645" s="221"/>
      <c r="I645" s="195"/>
      <c r="L645" s="75"/>
      <c r="M645" s="194"/>
    </row>
    <row r="646">
      <c r="A646" s="200"/>
      <c r="D646" s="221"/>
      <c r="I646" s="195"/>
      <c r="L646" s="75"/>
      <c r="M646" s="194"/>
    </row>
    <row r="647">
      <c r="A647" s="200"/>
      <c r="D647" s="221"/>
      <c r="I647" s="195"/>
      <c r="L647" s="75"/>
      <c r="M647" s="194"/>
    </row>
    <row r="648">
      <c r="A648" s="200"/>
      <c r="D648" s="221"/>
      <c r="I648" s="195"/>
      <c r="L648" s="75"/>
      <c r="M648" s="194"/>
    </row>
    <row r="649">
      <c r="A649" s="200"/>
      <c r="D649" s="221"/>
      <c r="I649" s="195"/>
      <c r="L649" s="75"/>
      <c r="M649" s="194"/>
    </row>
    <row r="650">
      <c r="A650" s="200"/>
      <c r="D650" s="221"/>
      <c r="I650" s="195"/>
      <c r="L650" s="75"/>
      <c r="M650" s="194"/>
    </row>
    <row r="651">
      <c r="A651" s="200"/>
      <c r="D651" s="221"/>
      <c r="I651" s="195"/>
      <c r="L651" s="75"/>
      <c r="M651" s="194"/>
    </row>
    <row r="652">
      <c r="A652" s="200"/>
      <c r="D652" s="221"/>
      <c r="I652" s="195"/>
      <c r="L652" s="75"/>
      <c r="M652" s="194"/>
    </row>
    <row r="653">
      <c r="A653" s="200"/>
      <c r="D653" s="221"/>
      <c r="I653" s="195"/>
      <c r="L653" s="75"/>
      <c r="M653" s="194"/>
    </row>
    <row r="654">
      <c r="A654" s="200"/>
      <c r="D654" s="221"/>
      <c r="I654" s="195"/>
      <c r="L654" s="75"/>
      <c r="M654" s="194"/>
    </row>
    <row r="655">
      <c r="A655" s="200"/>
      <c r="D655" s="221"/>
      <c r="I655" s="195"/>
      <c r="L655" s="75"/>
      <c r="M655" s="194"/>
    </row>
    <row r="656">
      <c r="A656" s="200"/>
      <c r="D656" s="221"/>
      <c r="I656" s="195"/>
      <c r="L656" s="75"/>
      <c r="M656" s="194"/>
    </row>
    <row r="657">
      <c r="A657" s="200"/>
      <c r="D657" s="221"/>
      <c r="I657" s="195"/>
      <c r="L657" s="75"/>
      <c r="M657" s="194"/>
    </row>
    <row r="658">
      <c r="A658" s="200"/>
      <c r="D658" s="221"/>
      <c r="I658" s="195"/>
      <c r="L658" s="75"/>
      <c r="M658" s="194"/>
    </row>
    <row r="659">
      <c r="A659" s="200"/>
      <c r="D659" s="221"/>
      <c r="I659" s="195"/>
      <c r="L659" s="75"/>
      <c r="M659" s="194"/>
    </row>
    <row r="660">
      <c r="A660" s="200"/>
      <c r="D660" s="221"/>
      <c r="I660" s="195"/>
      <c r="L660" s="75"/>
      <c r="M660" s="194"/>
    </row>
    <row r="661">
      <c r="A661" s="200"/>
      <c r="D661" s="221"/>
      <c r="I661" s="195"/>
      <c r="L661" s="75"/>
      <c r="M661" s="194"/>
    </row>
    <row r="662">
      <c r="A662" s="200"/>
      <c r="D662" s="221"/>
      <c r="I662" s="195"/>
      <c r="L662" s="75"/>
      <c r="M662" s="194"/>
    </row>
    <row r="663">
      <c r="A663" s="200"/>
      <c r="D663" s="221"/>
      <c r="I663" s="195"/>
      <c r="L663" s="75"/>
      <c r="M663" s="194"/>
    </row>
    <row r="664">
      <c r="A664" s="200"/>
      <c r="D664" s="221"/>
      <c r="I664" s="195"/>
      <c r="L664" s="75"/>
      <c r="M664" s="194"/>
    </row>
    <row r="665">
      <c r="A665" s="200"/>
      <c r="D665" s="221"/>
      <c r="I665" s="195"/>
      <c r="L665" s="75"/>
      <c r="M665" s="194"/>
    </row>
    <row r="666">
      <c r="A666" s="200"/>
      <c r="D666" s="221"/>
      <c r="I666" s="195"/>
      <c r="L666" s="75"/>
      <c r="M666" s="194"/>
    </row>
    <row r="667">
      <c r="A667" s="200"/>
      <c r="D667" s="221"/>
      <c r="I667" s="195"/>
      <c r="L667" s="75"/>
      <c r="M667" s="194"/>
    </row>
    <row r="668">
      <c r="A668" s="200"/>
      <c r="D668" s="221"/>
      <c r="I668" s="195"/>
      <c r="L668" s="75"/>
      <c r="M668" s="194"/>
    </row>
    <row r="669">
      <c r="A669" s="200"/>
      <c r="D669" s="221"/>
      <c r="I669" s="195"/>
      <c r="L669" s="75"/>
      <c r="M669" s="194"/>
    </row>
    <row r="670">
      <c r="A670" s="200"/>
      <c r="D670" s="221"/>
      <c r="I670" s="195"/>
      <c r="L670" s="75"/>
      <c r="M670" s="194"/>
    </row>
    <row r="671">
      <c r="A671" s="200"/>
      <c r="D671" s="221"/>
      <c r="I671" s="195"/>
      <c r="L671" s="75"/>
      <c r="M671" s="194"/>
    </row>
    <row r="672">
      <c r="A672" s="200"/>
      <c r="D672" s="221"/>
      <c r="I672" s="195"/>
      <c r="L672" s="75"/>
      <c r="M672" s="194"/>
    </row>
    <row r="673">
      <c r="A673" s="200"/>
      <c r="D673" s="221"/>
      <c r="I673" s="195"/>
      <c r="L673" s="75"/>
      <c r="M673" s="194"/>
    </row>
    <row r="674">
      <c r="A674" s="200"/>
      <c r="D674" s="221"/>
      <c r="I674" s="195"/>
      <c r="L674" s="75"/>
      <c r="M674" s="194"/>
    </row>
    <row r="675">
      <c r="A675" s="200"/>
      <c r="D675" s="221"/>
      <c r="I675" s="195"/>
      <c r="L675" s="75"/>
      <c r="M675" s="194"/>
    </row>
    <row r="676">
      <c r="A676" s="200"/>
      <c r="D676" s="221"/>
      <c r="I676" s="195"/>
      <c r="L676" s="75"/>
      <c r="M676" s="194"/>
    </row>
    <row r="677">
      <c r="A677" s="200"/>
      <c r="D677" s="221"/>
      <c r="I677" s="195"/>
      <c r="L677" s="75"/>
      <c r="M677" s="194"/>
    </row>
    <row r="678">
      <c r="A678" s="200"/>
      <c r="D678" s="221"/>
      <c r="I678" s="195"/>
      <c r="L678" s="75"/>
      <c r="M678" s="194"/>
    </row>
    <row r="679">
      <c r="A679" s="200"/>
      <c r="D679" s="221"/>
      <c r="I679" s="195"/>
      <c r="L679" s="75"/>
      <c r="M679" s="194"/>
    </row>
    <row r="680">
      <c r="A680" s="200"/>
      <c r="D680" s="221"/>
      <c r="I680" s="195"/>
      <c r="L680" s="75"/>
      <c r="M680" s="194"/>
    </row>
    <row r="681">
      <c r="A681" s="200"/>
      <c r="D681" s="221"/>
      <c r="I681" s="195"/>
      <c r="L681" s="75"/>
      <c r="M681" s="194"/>
    </row>
    <row r="682">
      <c r="A682" s="200"/>
      <c r="D682" s="221"/>
      <c r="I682" s="195"/>
      <c r="L682" s="75"/>
      <c r="M682" s="194"/>
    </row>
    <row r="683">
      <c r="A683" s="200"/>
      <c r="D683" s="221"/>
      <c r="I683" s="195"/>
      <c r="L683" s="75"/>
      <c r="M683" s="194"/>
    </row>
    <row r="684">
      <c r="A684" s="200"/>
      <c r="D684" s="221"/>
      <c r="I684" s="195"/>
      <c r="L684" s="75"/>
      <c r="M684" s="194"/>
    </row>
    <row r="685">
      <c r="A685" s="200"/>
      <c r="D685" s="221"/>
      <c r="I685" s="195"/>
      <c r="L685" s="75"/>
      <c r="M685" s="194"/>
    </row>
    <row r="686">
      <c r="A686" s="200"/>
      <c r="D686" s="221"/>
      <c r="I686" s="195"/>
      <c r="L686" s="75"/>
      <c r="M686" s="194"/>
    </row>
    <row r="687">
      <c r="A687" s="200"/>
      <c r="D687" s="221"/>
      <c r="I687" s="195"/>
      <c r="L687" s="75"/>
      <c r="M687" s="194"/>
    </row>
    <row r="688">
      <c r="A688" s="200"/>
      <c r="D688" s="221"/>
      <c r="I688" s="195"/>
      <c r="L688" s="75"/>
      <c r="M688" s="194"/>
    </row>
    <row r="689">
      <c r="A689" s="200"/>
      <c r="D689" s="221"/>
      <c r="I689" s="195"/>
      <c r="L689" s="75"/>
      <c r="M689" s="194"/>
    </row>
    <row r="690">
      <c r="A690" s="200"/>
      <c r="D690" s="221"/>
      <c r="I690" s="195"/>
      <c r="L690" s="75"/>
      <c r="M690" s="194"/>
    </row>
    <row r="691">
      <c r="A691" s="200"/>
      <c r="D691" s="221"/>
      <c r="I691" s="195"/>
      <c r="L691" s="75"/>
      <c r="M691" s="194"/>
    </row>
    <row r="692">
      <c r="A692" s="200"/>
      <c r="D692" s="221"/>
      <c r="I692" s="195"/>
      <c r="L692" s="75"/>
      <c r="M692" s="194"/>
    </row>
    <row r="693">
      <c r="A693" s="200"/>
      <c r="D693" s="221"/>
      <c r="I693" s="195"/>
      <c r="L693" s="75"/>
      <c r="M693" s="194"/>
    </row>
    <row r="694">
      <c r="A694" s="200"/>
      <c r="D694" s="221"/>
      <c r="I694" s="195"/>
      <c r="L694" s="75"/>
      <c r="M694" s="194"/>
    </row>
    <row r="695">
      <c r="A695" s="200"/>
      <c r="D695" s="221"/>
      <c r="I695" s="195"/>
      <c r="L695" s="75"/>
      <c r="M695" s="194"/>
    </row>
    <row r="696">
      <c r="A696" s="200"/>
      <c r="D696" s="221"/>
      <c r="I696" s="195"/>
      <c r="L696" s="75"/>
      <c r="M696" s="194"/>
    </row>
    <row r="697">
      <c r="A697" s="200"/>
      <c r="D697" s="221"/>
      <c r="I697" s="195"/>
      <c r="L697" s="75"/>
      <c r="M697" s="194"/>
    </row>
    <row r="698">
      <c r="A698" s="200"/>
      <c r="D698" s="221"/>
      <c r="I698" s="195"/>
      <c r="L698" s="75"/>
      <c r="M698" s="194"/>
    </row>
    <row r="699">
      <c r="A699" s="200"/>
      <c r="D699" s="221"/>
      <c r="I699" s="195"/>
      <c r="L699" s="75"/>
      <c r="M699" s="194"/>
    </row>
    <row r="700">
      <c r="A700" s="200"/>
      <c r="D700" s="221"/>
      <c r="I700" s="195"/>
      <c r="L700" s="75"/>
      <c r="M700" s="194"/>
    </row>
    <row r="701">
      <c r="A701" s="200"/>
      <c r="D701" s="221"/>
      <c r="I701" s="195"/>
      <c r="L701" s="75"/>
      <c r="M701" s="194"/>
    </row>
    <row r="702">
      <c r="A702" s="200"/>
      <c r="D702" s="221"/>
      <c r="I702" s="195"/>
      <c r="L702" s="75"/>
      <c r="M702" s="194"/>
    </row>
    <row r="703">
      <c r="A703" s="200"/>
      <c r="D703" s="221"/>
      <c r="I703" s="195"/>
      <c r="L703" s="75"/>
      <c r="M703" s="194"/>
    </row>
    <row r="704">
      <c r="A704" s="200"/>
      <c r="D704" s="221"/>
      <c r="I704" s="195"/>
      <c r="L704" s="75"/>
      <c r="M704" s="194"/>
    </row>
    <row r="705">
      <c r="A705" s="200"/>
      <c r="D705" s="221"/>
      <c r="I705" s="195"/>
      <c r="L705" s="75"/>
      <c r="M705" s="194"/>
    </row>
    <row r="706">
      <c r="A706" s="200"/>
      <c r="D706" s="221"/>
      <c r="I706" s="195"/>
      <c r="L706" s="75"/>
      <c r="M706" s="194"/>
    </row>
    <row r="707">
      <c r="A707" s="200"/>
      <c r="D707" s="221"/>
      <c r="I707" s="195"/>
      <c r="L707" s="75"/>
      <c r="M707" s="194"/>
    </row>
    <row r="708">
      <c r="A708" s="200"/>
      <c r="D708" s="221"/>
      <c r="I708" s="195"/>
      <c r="L708" s="75"/>
      <c r="M708" s="194"/>
    </row>
    <row r="709">
      <c r="A709" s="200"/>
      <c r="D709" s="221"/>
      <c r="I709" s="195"/>
      <c r="L709" s="75"/>
      <c r="M709" s="194"/>
    </row>
    <row r="710">
      <c r="A710" s="200"/>
      <c r="D710" s="221"/>
      <c r="I710" s="195"/>
      <c r="L710" s="75"/>
      <c r="M710" s="194"/>
    </row>
    <row r="711">
      <c r="A711" s="200"/>
      <c r="D711" s="221"/>
      <c r="I711" s="195"/>
      <c r="L711" s="75"/>
      <c r="M711" s="194"/>
    </row>
    <row r="712">
      <c r="A712" s="200"/>
      <c r="D712" s="221"/>
      <c r="I712" s="195"/>
      <c r="L712" s="75"/>
      <c r="M712" s="194"/>
    </row>
    <row r="713">
      <c r="A713" s="200"/>
      <c r="D713" s="221"/>
      <c r="I713" s="195"/>
      <c r="L713" s="75"/>
      <c r="M713" s="194"/>
    </row>
    <row r="714">
      <c r="A714" s="200"/>
      <c r="D714" s="221"/>
      <c r="I714" s="195"/>
      <c r="L714" s="75"/>
      <c r="M714" s="194"/>
    </row>
    <row r="715">
      <c r="A715" s="200"/>
      <c r="D715" s="221"/>
      <c r="I715" s="195"/>
      <c r="L715" s="75"/>
      <c r="M715" s="194"/>
    </row>
    <row r="716">
      <c r="A716" s="200"/>
      <c r="D716" s="221"/>
      <c r="I716" s="195"/>
      <c r="L716" s="75"/>
      <c r="M716" s="194"/>
    </row>
    <row r="717">
      <c r="A717" s="200"/>
      <c r="D717" s="221"/>
      <c r="I717" s="195"/>
      <c r="L717" s="75"/>
      <c r="M717" s="194"/>
    </row>
    <row r="718">
      <c r="A718" s="200"/>
      <c r="D718" s="221"/>
      <c r="I718" s="195"/>
      <c r="L718" s="75"/>
      <c r="M718" s="194"/>
    </row>
    <row r="719">
      <c r="A719" s="200"/>
      <c r="D719" s="221"/>
      <c r="I719" s="195"/>
      <c r="L719" s="75"/>
      <c r="M719" s="194"/>
    </row>
    <row r="720">
      <c r="A720" s="200"/>
      <c r="D720" s="221"/>
      <c r="I720" s="195"/>
      <c r="L720" s="75"/>
      <c r="M720" s="194"/>
    </row>
    <row r="721">
      <c r="A721" s="200"/>
      <c r="D721" s="221"/>
      <c r="I721" s="195"/>
      <c r="L721" s="75"/>
      <c r="M721" s="194"/>
    </row>
    <row r="722">
      <c r="A722" s="200"/>
      <c r="D722" s="221"/>
      <c r="I722" s="195"/>
      <c r="L722" s="75"/>
      <c r="M722" s="194"/>
    </row>
    <row r="723">
      <c r="A723" s="200"/>
      <c r="D723" s="221"/>
      <c r="I723" s="195"/>
      <c r="L723" s="75"/>
      <c r="M723" s="194"/>
    </row>
    <row r="724">
      <c r="A724" s="200"/>
      <c r="D724" s="221"/>
      <c r="I724" s="195"/>
      <c r="L724" s="75"/>
      <c r="M724" s="194"/>
    </row>
    <row r="725">
      <c r="A725" s="200"/>
      <c r="D725" s="221"/>
      <c r="I725" s="195"/>
      <c r="L725" s="75"/>
      <c r="M725" s="194"/>
    </row>
    <row r="726">
      <c r="A726" s="200"/>
      <c r="D726" s="221"/>
      <c r="I726" s="195"/>
      <c r="L726" s="75"/>
      <c r="M726" s="194"/>
    </row>
    <row r="727">
      <c r="A727" s="200"/>
      <c r="D727" s="221"/>
      <c r="I727" s="195"/>
      <c r="L727" s="75"/>
      <c r="M727" s="194"/>
    </row>
    <row r="728">
      <c r="A728" s="200"/>
      <c r="D728" s="221"/>
      <c r="I728" s="195"/>
      <c r="L728" s="75"/>
      <c r="M728" s="194"/>
    </row>
    <row r="729">
      <c r="A729" s="200"/>
      <c r="D729" s="221"/>
      <c r="I729" s="195"/>
      <c r="L729" s="75"/>
      <c r="M729" s="194"/>
    </row>
    <row r="730">
      <c r="A730" s="200"/>
      <c r="D730" s="221"/>
      <c r="I730" s="195"/>
      <c r="L730" s="75"/>
      <c r="M730" s="194"/>
    </row>
    <row r="731">
      <c r="A731" s="200"/>
      <c r="D731" s="221"/>
      <c r="I731" s="195"/>
      <c r="L731" s="75"/>
      <c r="M731" s="194"/>
    </row>
    <row r="732">
      <c r="A732" s="200"/>
      <c r="D732" s="221"/>
      <c r="I732" s="195"/>
      <c r="L732" s="75"/>
      <c r="M732" s="194"/>
    </row>
    <row r="733">
      <c r="A733" s="200"/>
      <c r="D733" s="221"/>
      <c r="I733" s="195"/>
      <c r="L733" s="75"/>
      <c r="M733" s="194"/>
    </row>
    <row r="734">
      <c r="A734" s="200"/>
      <c r="D734" s="221"/>
      <c r="I734" s="195"/>
      <c r="L734" s="75"/>
      <c r="M734" s="194"/>
    </row>
    <row r="735">
      <c r="A735" s="200"/>
      <c r="D735" s="221"/>
      <c r="I735" s="195"/>
      <c r="L735" s="75"/>
      <c r="M735" s="194"/>
    </row>
    <row r="736">
      <c r="A736" s="200"/>
      <c r="D736" s="221"/>
      <c r="I736" s="195"/>
      <c r="L736" s="75"/>
      <c r="M736" s="194"/>
    </row>
    <row r="737">
      <c r="A737" s="200"/>
      <c r="D737" s="221"/>
      <c r="I737" s="195"/>
      <c r="L737" s="75"/>
      <c r="M737" s="194"/>
    </row>
    <row r="738">
      <c r="A738" s="200"/>
      <c r="D738" s="221"/>
      <c r="I738" s="195"/>
      <c r="L738" s="75"/>
      <c r="M738" s="194"/>
    </row>
    <row r="739">
      <c r="A739" s="200"/>
      <c r="D739" s="221"/>
      <c r="I739" s="195"/>
      <c r="L739" s="75"/>
      <c r="M739" s="194"/>
    </row>
    <row r="740">
      <c r="A740" s="200"/>
      <c r="D740" s="221"/>
      <c r="I740" s="195"/>
      <c r="L740" s="75"/>
      <c r="M740" s="194"/>
    </row>
    <row r="741">
      <c r="A741" s="200"/>
      <c r="D741" s="221"/>
      <c r="I741" s="195"/>
      <c r="L741" s="75"/>
      <c r="M741" s="194"/>
    </row>
    <row r="742">
      <c r="A742" s="200"/>
      <c r="D742" s="221"/>
      <c r="I742" s="195"/>
      <c r="L742" s="75"/>
      <c r="M742" s="194"/>
    </row>
    <row r="743">
      <c r="A743" s="200"/>
      <c r="D743" s="221"/>
      <c r="I743" s="195"/>
      <c r="L743" s="75"/>
      <c r="M743" s="194"/>
    </row>
    <row r="744">
      <c r="A744" s="200"/>
      <c r="D744" s="221"/>
      <c r="I744" s="195"/>
      <c r="L744" s="75"/>
      <c r="M744" s="194"/>
    </row>
    <row r="745">
      <c r="A745" s="200"/>
      <c r="D745" s="221"/>
      <c r="I745" s="195"/>
      <c r="L745" s="75"/>
      <c r="M745" s="194"/>
    </row>
    <row r="746">
      <c r="A746" s="200"/>
      <c r="D746" s="221"/>
      <c r="I746" s="195"/>
      <c r="L746" s="75"/>
      <c r="M746" s="194"/>
    </row>
    <row r="747">
      <c r="A747" s="200"/>
      <c r="D747" s="221"/>
      <c r="I747" s="195"/>
      <c r="L747" s="75"/>
      <c r="M747" s="194"/>
    </row>
    <row r="748">
      <c r="A748" s="200"/>
      <c r="D748" s="221"/>
      <c r="I748" s="195"/>
      <c r="L748" s="75"/>
      <c r="M748" s="194"/>
    </row>
    <row r="749">
      <c r="A749" s="200"/>
      <c r="D749" s="221"/>
      <c r="I749" s="195"/>
      <c r="L749" s="75"/>
      <c r="M749" s="194"/>
    </row>
    <row r="750">
      <c r="A750" s="200"/>
      <c r="D750" s="221"/>
      <c r="I750" s="195"/>
      <c r="L750" s="75"/>
      <c r="M750" s="194"/>
    </row>
    <row r="751">
      <c r="A751" s="200"/>
      <c r="D751" s="221"/>
      <c r="I751" s="195"/>
      <c r="L751" s="75"/>
      <c r="M751" s="194"/>
    </row>
    <row r="752">
      <c r="A752" s="200"/>
      <c r="D752" s="221"/>
      <c r="I752" s="195"/>
      <c r="L752" s="75"/>
      <c r="M752" s="194"/>
    </row>
    <row r="753">
      <c r="A753" s="200"/>
      <c r="D753" s="221"/>
      <c r="I753" s="195"/>
      <c r="L753" s="75"/>
      <c r="M753" s="194"/>
    </row>
    <row r="754">
      <c r="A754" s="200"/>
      <c r="D754" s="221"/>
      <c r="I754" s="195"/>
      <c r="L754" s="75"/>
      <c r="M754" s="194"/>
    </row>
    <row r="755">
      <c r="A755" s="200"/>
      <c r="D755" s="221"/>
      <c r="I755" s="195"/>
      <c r="L755" s="75"/>
      <c r="M755" s="194"/>
    </row>
    <row r="756">
      <c r="A756" s="200"/>
      <c r="D756" s="221"/>
      <c r="I756" s="195"/>
      <c r="L756" s="75"/>
      <c r="M756" s="194"/>
    </row>
    <row r="757">
      <c r="A757" s="200"/>
      <c r="D757" s="221"/>
      <c r="I757" s="195"/>
      <c r="L757" s="75"/>
      <c r="M757" s="194"/>
    </row>
    <row r="758">
      <c r="A758" s="200"/>
      <c r="D758" s="221"/>
      <c r="I758" s="195"/>
      <c r="L758" s="75"/>
      <c r="M758" s="194"/>
    </row>
    <row r="759">
      <c r="A759" s="200"/>
      <c r="D759" s="221"/>
      <c r="I759" s="195"/>
      <c r="L759" s="75"/>
      <c r="M759" s="194"/>
    </row>
    <row r="760">
      <c r="A760" s="200"/>
      <c r="D760" s="221"/>
      <c r="I760" s="195"/>
      <c r="L760" s="75"/>
      <c r="M760" s="194"/>
    </row>
    <row r="761">
      <c r="A761" s="200"/>
      <c r="D761" s="221"/>
      <c r="I761" s="195"/>
      <c r="L761" s="75"/>
      <c r="M761" s="194"/>
    </row>
    <row r="762">
      <c r="A762" s="200"/>
      <c r="D762" s="221"/>
      <c r="I762" s="195"/>
      <c r="L762" s="75"/>
      <c r="M762" s="194"/>
    </row>
    <row r="763">
      <c r="A763" s="200"/>
      <c r="D763" s="221"/>
      <c r="I763" s="195"/>
      <c r="L763" s="75"/>
      <c r="M763" s="194"/>
    </row>
    <row r="764">
      <c r="A764" s="200"/>
      <c r="D764" s="221"/>
      <c r="I764" s="195"/>
      <c r="L764" s="75"/>
      <c r="M764" s="194"/>
    </row>
    <row r="765">
      <c r="A765" s="200"/>
      <c r="D765" s="221"/>
      <c r="I765" s="195"/>
      <c r="L765" s="75"/>
      <c r="M765" s="194"/>
    </row>
    <row r="766">
      <c r="A766" s="200"/>
      <c r="D766" s="221"/>
      <c r="I766" s="195"/>
      <c r="L766" s="75"/>
      <c r="M766" s="194"/>
    </row>
    <row r="767">
      <c r="A767" s="200"/>
      <c r="D767" s="221"/>
      <c r="I767" s="195"/>
      <c r="L767" s="75"/>
      <c r="M767" s="194"/>
    </row>
    <row r="768">
      <c r="A768" s="200"/>
      <c r="D768" s="221"/>
      <c r="I768" s="195"/>
      <c r="L768" s="75"/>
      <c r="M768" s="194"/>
    </row>
    <row r="769">
      <c r="A769" s="200"/>
      <c r="D769" s="221"/>
      <c r="I769" s="195"/>
      <c r="L769" s="75"/>
      <c r="M769" s="194"/>
    </row>
    <row r="770">
      <c r="A770" s="200"/>
      <c r="D770" s="221"/>
      <c r="I770" s="195"/>
      <c r="L770" s="75"/>
      <c r="M770" s="194"/>
    </row>
    <row r="771">
      <c r="A771" s="200"/>
      <c r="D771" s="221"/>
      <c r="I771" s="195"/>
      <c r="L771" s="75"/>
      <c r="M771" s="194"/>
    </row>
    <row r="772">
      <c r="A772" s="200"/>
      <c r="D772" s="221"/>
      <c r="I772" s="195"/>
      <c r="L772" s="75"/>
      <c r="M772" s="194"/>
    </row>
    <row r="773">
      <c r="A773" s="200"/>
      <c r="D773" s="221"/>
      <c r="I773" s="195"/>
      <c r="L773" s="75"/>
      <c r="M773" s="194"/>
    </row>
    <row r="774">
      <c r="A774" s="200"/>
      <c r="D774" s="221"/>
      <c r="I774" s="195"/>
      <c r="L774" s="75"/>
      <c r="M774" s="194"/>
    </row>
    <row r="775">
      <c r="A775" s="200"/>
      <c r="D775" s="221"/>
      <c r="I775" s="195"/>
      <c r="L775" s="75"/>
      <c r="M775" s="194"/>
    </row>
    <row r="776">
      <c r="A776" s="200"/>
      <c r="D776" s="221"/>
      <c r="I776" s="195"/>
      <c r="L776" s="75"/>
      <c r="M776" s="194"/>
    </row>
    <row r="777">
      <c r="A777" s="200"/>
      <c r="D777" s="221"/>
      <c r="I777" s="195"/>
      <c r="L777" s="75"/>
      <c r="M777" s="194"/>
    </row>
    <row r="778">
      <c r="A778" s="200"/>
      <c r="D778" s="221"/>
      <c r="I778" s="195"/>
      <c r="L778" s="75"/>
      <c r="M778" s="194"/>
    </row>
    <row r="779">
      <c r="A779" s="200"/>
      <c r="D779" s="221"/>
      <c r="I779" s="195"/>
      <c r="L779" s="75"/>
      <c r="M779" s="194"/>
    </row>
    <row r="780">
      <c r="A780" s="200"/>
      <c r="D780" s="221"/>
      <c r="I780" s="195"/>
      <c r="L780" s="75"/>
      <c r="M780" s="194"/>
    </row>
    <row r="781">
      <c r="A781" s="200"/>
      <c r="D781" s="221"/>
      <c r="I781" s="195"/>
      <c r="L781" s="75"/>
      <c r="M781" s="194"/>
    </row>
    <row r="782">
      <c r="A782" s="200"/>
      <c r="D782" s="221"/>
      <c r="I782" s="195"/>
      <c r="L782" s="75"/>
      <c r="M782" s="194"/>
    </row>
    <row r="783">
      <c r="A783" s="200"/>
      <c r="D783" s="221"/>
      <c r="I783" s="195"/>
      <c r="L783" s="75"/>
      <c r="M783" s="194"/>
    </row>
    <row r="784">
      <c r="A784" s="200"/>
      <c r="D784" s="221"/>
      <c r="I784" s="195"/>
      <c r="L784" s="75"/>
      <c r="M784" s="194"/>
    </row>
    <row r="785">
      <c r="A785" s="200"/>
      <c r="D785" s="221"/>
      <c r="I785" s="195"/>
      <c r="L785" s="75"/>
      <c r="M785" s="194"/>
    </row>
    <row r="786">
      <c r="A786" s="200"/>
      <c r="D786" s="221"/>
      <c r="I786" s="195"/>
      <c r="L786" s="75"/>
      <c r="M786" s="194"/>
    </row>
    <row r="787">
      <c r="A787" s="200"/>
      <c r="D787" s="221"/>
      <c r="I787" s="195"/>
      <c r="L787" s="75"/>
      <c r="M787" s="194"/>
    </row>
    <row r="788">
      <c r="A788" s="200"/>
      <c r="D788" s="221"/>
      <c r="I788" s="195"/>
      <c r="L788" s="75"/>
      <c r="M788" s="194"/>
    </row>
    <row r="789">
      <c r="A789" s="200"/>
      <c r="D789" s="221"/>
      <c r="I789" s="195"/>
      <c r="L789" s="75"/>
      <c r="M789" s="194"/>
    </row>
    <row r="790">
      <c r="A790" s="200"/>
      <c r="D790" s="221"/>
      <c r="I790" s="195"/>
      <c r="L790" s="75"/>
      <c r="M790" s="194"/>
    </row>
    <row r="791">
      <c r="A791" s="200"/>
      <c r="D791" s="221"/>
      <c r="I791" s="195"/>
      <c r="L791" s="75"/>
      <c r="M791" s="194"/>
    </row>
    <row r="792">
      <c r="A792" s="200"/>
      <c r="D792" s="221"/>
      <c r="I792" s="195"/>
      <c r="L792" s="75"/>
      <c r="M792" s="194"/>
    </row>
    <row r="793">
      <c r="A793" s="200"/>
      <c r="D793" s="221"/>
      <c r="I793" s="195"/>
      <c r="L793" s="75"/>
      <c r="M793" s="194"/>
    </row>
    <row r="794">
      <c r="A794" s="200"/>
      <c r="D794" s="221"/>
      <c r="I794" s="195"/>
      <c r="L794" s="75"/>
      <c r="M794" s="194"/>
    </row>
    <row r="795">
      <c r="A795" s="200"/>
      <c r="D795" s="221"/>
      <c r="I795" s="195"/>
      <c r="L795" s="75"/>
      <c r="M795" s="194"/>
    </row>
    <row r="796">
      <c r="A796" s="200"/>
      <c r="D796" s="221"/>
      <c r="I796" s="195"/>
      <c r="L796" s="75"/>
      <c r="M796" s="194"/>
    </row>
    <row r="797">
      <c r="A797" s="200"/>
      <c r="D797" s="221"/>
      <c r="I797" s="195"/>
      <c r="L797" s="75"/>
      <c r="M797" s="194"/>
    </row>
    <row r="798">
      <c r="A798" s="200"/>
      <c r="D798" s="221"/>
      <c r="I798" s="195"/>
      <c r="L798" s="75"/>
      <c r="M798" s="194"/>
    </row>
    <row r="799">
      <c r="A799" s="200"/>
      <c r="D799" s="221"/>
      <c r="I799" s="195"/>
      <c r="L799" s="75"/>
      <c r="M799" s="194"/>
    </row>
    <row r="800">
      <c r="A800" s="200"/>
      <c r="D800" s="221"/>
      <c r="I800" s="195"/>
      <c r="L800" s="75"/>
      <c r="M800" s="194"/>
    </row>
    <row r="801">
      <c r="A801" s="200"/>
      <c r="D801" s="221"/>
      <c r="I801" s="195"/>
      <c r="L801" s="75"/>
      <c r="M801" s="194"/>
    </row>
    <row r="802">
      <c r="A802" s="200"/>
      <c r="D802" s="221"/>
      <c r="I802" s="195"/>
      <c r="L802" s="75"/>
      <c r="M802" s="194"/>
    </row>
    <row r="803">
      <c r="A803" s="200"/>
      <c r="D803" s="221"/>
      <c r="I803" s="195"/>
      <c r="L803" s="75"/>
      <c r="M803" s="194"/>
    </row>
    <row r="804">
      <c r="A804" s="200"/>
      <c r="D804" s="221"/>
      <c r="I804" s="195"/>
      <c r="L804" s="75"/>
      <c r="M804" s="194"/>
    </row>
    <row r="805">
      <c r="A805" s="200"/>
      <c r="D805" s="221"/>
      <c r="I805" s="195"/>
      <c r="L805" s="75"/>
      <c r="M805" s="194"/>
    </row>
    <row r="806">
      <c r="A806" s="200"/>
      <c r="D806" s="221"/>
      <c r="I806" s="195"/>
      <c r="L806" s="75"/>
      <c r="M806" s="194"/>
    </row>
    <row r="807">
      <c r="A807" s="200"/>
      <c r="D807" s="221"/>
      <c r="I807" s="195"/>
      <c r="L807" s="75"/>
      <c r="M807" s="194"/>
    </row>
    <row r="808">
      <c r="A808" s="200"/>
      <c r="D808" s="221"/>
      <c r="I808" s="195"/>
      <c r="L808" s="75"/>
      <c r="M808" s="194"/>
    </row>
    <row r="809">
      <c r="A809" s="200"/>
      <c r="D809" s="221"/>
      <c r="I809" s="195"/>
      <c r="L809" s="75"/>
      <c r="M809" s="194"/>
    </row>
    <row r="810">
      <c r="A810" s="200"/>
      <c r="D810" s="221"/>
      <c r="I810" s="195"/>
      <c r="L810" s="75"/>
      <c r="M810" s="194"/>
    </row>
    <row r="811">
      <c r="A811" s="200"/>
      <c r="D811" s="221"/>
      <c r="I811" s="195"/>
      <c r="L811" s="75"/>
      <c r="M811" s="194"/>
    </row>
    <row r="812">
      <c r="A812" s="200"/>
      <c r="D812" s="221"/>
      <c r="I812" s="195"/>
      <c r="L812" s="75"/>
      <c r="M812" s="194"/>
    </row>
    <row r="813">
      <c r="A813" s="200"/>
      <c r="D813" s="221"/>
      <c r="I813" s="195"/>
      <c r="L813" s="75"/>
      <c r="M813" s="194"/>
    </row>
    <row r="814">
      <c r="A814" s="200"/>
      <c r="D814" s="221"/>
      <c r="I814" s="195"/>
      <c r="L814" s="75"/>
      <c r="M814" s="194"/>
    </row>
    <row r="815">
      <c r="A815" s="200"/>
      <c r="D815" s="221"/>
      <c r="I815" s="195"/>
      <c r="L815" s="75"/>
      <c r="M815" s="194"/>
    </row>
    <row r="816">
      <c r="A816" s="200"/>
      <c r="D816" s="221"/>
      <c r="I816" s="195"/>
      <c r="L816" s="75"/>
      <c r="M816" s="194"/>
    </row>
    <row r="817">
      <c r="A817" s="200"/>
      <c r="D817" s="221"/>
      <c r="I817" s="195"/>
      <c r="L817" s="75"/>
      <c r="M817" s="194"/>
    </row>
    <row r="818">
      <c r="A818" s="200"/>
      <c r="D818" s="221"/>
      <c r="I818" s="195"/>
      <c r="L818" s="75"/>
      <c r="M818" s="194"/>
    </row>
    <row r="819">
      <c r="A819" s="200"/>
      <c r="D819" s="221"/>
      <c r="I819" s="195"/>
      <c r="L819" s="75"/>
      <c r="M819" s="194"/>
    </row>
    <row r="820">
      <c r="A820" s="200"/>
      <c r="D820" s="221"/>
      <c r="I820" s="195"/>
      <c r="L820" s="75"/>
      <c r="M820" s="194"/>
    </row>
    <row r="821">
      <c r="A821" s="200"/>
      <c r="D821" s="221"/>
      <c r="I821" s="195"/>
      <c r="L821" s="75"/>
      <c r="M821" s="194"/>
    </row>
    <row r="822">
      <c r="A822" s="200"/>
      <c r="D822" s="221"/>
      <c r="I822" s="195"/>
      <c r="L822" s="75"/>
      <c r="M822" s="194"/>
    </row>
    <row r="823">
      <c r="A823" s="200"/>
      <c r="D823" s="221"/>
      <c r="I823" s="195"/>
      <c r="L823" s="75"/>
      <c r="M823" s="194"/>
    </row>
    <row r="824">
      <c r="A824" s="200"/>
      <c r="D824" s="221"/>
      <c r="I824" s="195"/>
      <c r="L824" s="75"/>
      <c r="M824" s="194"/>
    </row>
    <row r="825">
      <c r="A825" s="200"/>
      <c r="D825" s="221"/>
      <c r="I825" s="195"/>
      <c r="L825" s="75"/>
      <c r="M825" s="194"/>
    </row>
    <row r="826">
      <c r="A826" s="200"/>
      <c r="D826" s="221"/>
      <c r="I826" s="195"/>
      <c r="L826" s="75"/>
      <c r="M826" s="194"/>
    </row>
    <row r="827">
      <c r="A827" s="200"/>
      <c r="D827" s="221"/>
      <c r="I827" s="195"/>
      <c r="L827" s="75"/>
      <c r="M827" s="194"/>
    </row>
    <row r="828">
      <c r="A828" s="200"/>
      <c r="D828" s="221"/>
      <c r="I828" s="195"/>
      <c r="L828" s="75"/>
      <c r="M828" s="194"/>
    </row>
    <row r="829">
      <c r="A829" s="200"/>
      <c r="D829" s="221"/>
      <c r="I829" s="195"/>
      <c r="L829" s="75"/>
      <c r="M829" s="194"/>
    </row>
    <row r="830">
      <c r="A830" s="200"/>
      <c r="D830" s="221"/>
      <c r="I830" s="195"/>
      <c r="L830" s="75"/>
      <c r="M830" s="194"/>
    </row>
    <row r="831">
      <c r="A831" s="200"/>
      <c r="D831" s="221"/>
      <c r="I831" s="195"/>
      <c r="L831" s="75"/>
      <c r="M831" s="194"/>
    </row>
    <row r="832">
      <c r="A832" s="200"/>
      <c r="D832" s="221"/>
      <c r="I832" s="195"/>
      <c r="L832" s="75"/>
      <c r="M832" s="194"/>
    </row>
    <row r="833">
      <c r="A833" s="200"/>
      <c r="D833" s="221"/>
      <c r="I833" s="195"/>
      <c r="L833" s="75"/>
      <c r="M833" s="194"/>
    </row>
    <row r="834">
      <c r="A834" s="200"/>
      <c r="D834" s="221"/>
      <c r="I834" s="195"/>
      <c r="L834" s="75"/>
      <c r="M834" s="194"/>
    </row>
    <row r="835">
      <c r="A835" s="200"/>
      <c r="D835" s="221"/>
      <c r="I835" s="195"/>
      <c r="L835" s="75"/>
      <c r="M835" s="194"/>
    </row>
    <row r="836">
      <c r="A836" s="200"/>
      <c r="D836" s="221"/>
      <c r="I836" s="195"/>
      <c r="L836" s="75"/>
      <c r="M836" s="194"/>
    </row>
    <row r="837">
      <c r="A837" s="200"/>
      <c r="D837" s="221"/>
      <c r="I837" s="195"/>
      <c r="L837" s="75"/>
      <c r="M837" s="194"/>
    </row>
    <row r="838">
      <c r="A838" s="200"/>
      <c r="D838" s="221"/>
      <c r="I838" s="195"/>
      <c r="L838" s="75"/>
      <c r="M838" s="194"/>
    </row>
    <row r="839">
      <c r="A839" s="200"/>
      <c r="D839" s="221"/>
      <c r="I839" s="195"/>
      <c r="L839" s="75"/>
      <c r="M839" s="194"/>
    </row>
    <row r="840">
      <c r="A840" s="200"/>
      <c r="D840" s="221"/>
      <c r="I840" s="195"/>
      <c r="L840" s="75"/>
      <c r="M840" s="194"/>
    </row>
    <row r="841">
      <c r="A841" s="200"/>
      <c r="D841" s="221"/>
      <c r="I841" s="195"/>
      <c r="L841" s="75"/>
      <c r="M841" s="194"/>
    </row>
    <row r="842">
      <c r="A842" s="200"/>
      <c r="D842" s="221"/>
      <c r="I842" s="195"/>
      <c r="L842" s="75"/>
      <c r="M842" s="194"/>
    </row>
    <row r="843">
      <c r="A843" s="200"/>
      <c r="D843" s="221"/>
      <c r="I843" s="195"/>
      <c r="L843" s="75"/>
      <c r="M843" s="194"/>
    </row>
    <row r="844">
      <c r="A844" s="200"/>
      <c r="D844" s="221"/>
      <c r="I844" s="195"/>
      <c r="L844" s="75"/>
      <c r="M844" s="194"/>
    </row>
    <row r="845">
      <c r="A845" s="200"/>
      <c r="D845" s="221"/>
      <c r="I845" s="195"/>
      <c r="L845" s="75"/>
      <c r="M845" s="194"/>
    </row>
    <row r="846">
      <c r="A846" s="200"/>
      <c r="D846" s="221"/>
      <c r="I846" s="195"/>
      <c r="L846" s="75"/>
      <c r="M846" s="194"/>
    </row>
    <row r="847">
      <c r="A847" s="200"/>
      <c r="D847" s="221"/>
      <c r="I847" s="195"/>
      <c r="L847" s="75"/>
      <c r="M847" s="194"/>
    </row>
    <row r="848">
      <c r="A848" s="200"/>
      <c r="D848" s="221"/>
      <c r="I848" s="195"/>
      <c r="L848" s="75"/>
      <c r="M848" s="194"/>
    </row>
    <row r="849">
      <c r="A849" s="200"/>
      <c r="D849" s="221"/>
      <c r="I849" s="195"/>
      <c r="L849" s="75"/>
      <c r="M849" s="194"/>
    </row>
    <row r="850">
      <c r="A850" s="200"/>
      <c r="D850" s="221"/>
      <c r="I850" s="195"/>
      <c r="L850" s="75"/>
      <c r="M850" s="194"/>
    </row>
    <row r="851">
      <c r="A851" s="200"/>
      <c r="D851" s="221"/>
      <c r="I851" s="195"/>
      <c r="L851" s="75"/>
      <c r="M851" s="194"/>
    </row>
    <row r="852">
      <c r="A852" s="200"/>
      <c r="D852" s="221"/>
      <c r="I852" s="195"/>
      <c r="L852" s="75"/>
      <c r="M852" s="194"/>
    </row>
    <row r="853">
      <c r="A853" s="200"/>
      <c r="D853" s="221"/>
      <c r="I853" s="195"/>
      <c r="L853" s="75"/>
      <c r="M853" s="194"/>
    </row>
    <row r="854">
      <c r="A854" s="200"/>
      <c r="D854" s="221"/>
      <c r="I854" s="195"/>
      <c r="L854" s="75"/>
      <c r="M854" s="194"/>
    </row>
    <row r="855">
      <c r="A855" s="200"/>
      <c r="D855" s="221"/>
      <c r="I855" s="195"/>
      <c r="L855" s="75"/>
      <c r="M855" s="194"/>
    </row>
    <row r="856">
      <c r="A856" s="200"/>
      <c r="D856" s="221"/>
      <c r="I856" s="195"/>
      <c r="L856" s="75"/>
      <c r="M856" s="194"/>
    </row>
    <row r="857">
      <c r="A857" s="200"/>
      <c r="D857" s="221"/>
      <c r="I857" s="195"/>
      <c r="L857" s="75"/>
      <c r="M857" s="194"/>
    </row>
    <row r="858">
      <c r="A858" s="200"/>
      <c r="D858" s="221"/>
      <c r="I858" s="195"/>
      <c r="L858" s="75"/>
      <c r="M858" s="194"/>
    </row>
    <row r="859">
      <c r="A859" s="200"/>
      <c r="D859" s="221"/>
      <c r="I859" s="195"/>
      <c r="L859" s="75"/>
      <c r="M859" s="194"/>
    </row>
    <row r="860">
      <c r="A860" s="200"/>
      <c r="D860" s="221"/>
      <c r="I860" s="195"/>
      <c r="L860" s="75"/>
      <c r="M860" s="194"/>
    </row>
    <row r="861">
      <c r="A861" s="200"/>
      <c r="D861" s="221"/>
      <c r="I861" s="195"/>
      <c r="L861" s="75"/>
      <c r="M861" s="194"/>
    </row>
    <row r="862">
      <c r="A862" s="200"/>
      <c r="D862" s="221"/>
      <c r="I862" s="195"/>
      <c r="L862" s="75"/>
      <c r="M862" s="194"/>
    </row>
    <row r="863">
      <c r="A863" s="200"/>
      <c r="D863" s="221"/>
      <c r="I863" s="195"/>
      <c r="L863" s="75"/>
      <c r="M863" s="194"/>
    </row>
    <row r="864">
      <c r="A864" s="200"/>
      <c r="D864" s="221"/>
      <c r="I864" s="195"/>
      <c r="L864" s="75"/>
      <c r="M864" s="194"/>
    </row>
    <row r="865">
      <c r="A865" s="200"/>
      <c r="D865" s="221"/>
      <c r="I865" s="195"/>
      <c r="L865" s="75"/>
      <c r="M865" s="194"/>
    </row>
    <row r="866">
      <c r="A866" s="200"/>
      <c r="D866" s="221"/>
      <c r="I866" s="195"/>
      <c r="L866" s="75"/>
      <c r="M866" s="194"/>
    </row>
    <row r="867">
      <c r="A867" s="200"/>
      <c r="D867" s="221"/>
      <c r="I867" s="195"/>
      <c r="L867" s="75"/>
      <c r="M867" s="194"/>
    </row>
    <row r="868">
      <c r="A868" s="200"/>
      <c r="D868" s="221"/>
      <c r="I868" s="195"/>
      <c r="L868" s="75"/>
      <c r="M868" s="194"/>
    </row>
    <row r="869">
      <c r="A869" s="200"/>
      <c r="D869" s="221"/>
      <c r="I869" s="195"/>
      <c r="L869" s="75"/>
      <c r="M869" s="194"/>
    </row>
    <row r="870">
      <c r="A870" s="200"/>
      <c r="D870" s="221"/>
      <c r="I870" s="195"/>
      <c r="L870" s="75"/>
      <c r="M870" s="194"/>
    </row>
    <row r="871">
      <c r="A871" s="200"/>
      <c r="D871" s="221"/>
      <c r="I871" s="195"/>
      <c r="L871" s="75"/>
      <c r="M871" s="194"/>
    </row>
    <row r="872">
      <c r="A872" s="200"/>
      <c r="D872" s="221"/>
      <c r="I872" s="195"/>
      <c r="L872" s="75"/>
      <c r="M872" s="194"/>
    </row>
    <row r="873">
      <c r="A873" s="200"/>
      <c r="D873" s="221"/>
      <c r="I873" s="195"/>
      <c r="L873" s="75"/>
      <c r="M873" s="194"/>
    </row>
    <row r="874">
      <c r="A874" s="200"/>
      <c r="D874" s="221"/>
      <c r="I874" s="195"/>
      <c r="L874" s="75"/>
      <c r="M874" s="194"/>
    </row>
    <row r="875">
      <c r="A875" s="200"/>
      <c r="D875" s="221"/>
      <c r="I875" s="195"/>
      <c r="L875" s="75"/>
      <c r="M875" s="194"/>
    </row>
    <row r="876">
      <c r="A876" s="200"/>
      <c r="D876" s="221"/>
      <c r="I876" s="195"/>
      <c r="L876" s="75"/>
      <c r="M876" s="194"/>
    </row>
    <row r="877">
      <c r="A877" s="200"/>
      <c r="D877" s="221"/>
      <c r="I877" s="195"/>
      <c r="L877" s="75"/>
      <c r="M877" s="194"/>
    </row>
    <row r="878">
      <c r="A878" s="200"/>
      <c r="D878" s="221"/>
      <c r="I878" s="195"/>
      <c r="L878" s="75"/>
      <c r="M878" s="194"/>
    </row>
    <row r="879">
      <c r="A879" s="200"/>
      <c r="D879" s="221"/>
      <c r="I879" s="195"/>
      <c r="L879" s="75"/>
      <c r="M879" s="194"/>
    </row>
    <row r="880">
      <c r="A880" s="200"/>
      <c r="D880" s="221"/>
      <c r="I880" s="195"/>
      <c r="L880" s="75"/>
      <c r="M880" s="194"/>
    </row>
    <row r="881">
      <c r="A881" s="200"/>
      <c r="D881" s="221"/>
      <c r="I881" s="195"/>
      <c r="L881" s="75"/>
      <c r="M881" s="194"/>
    </row>
    <row r="882">
      <c r="A882" s="200"/>
      <c r="D882" s="221"/>
      <c r="I882" s="195"/>
      <c r="L882" s="75"/>
      <c r="M882" s="194"/>
    </row>
    <row r="883">
      <c r="A883" s="200"/>
      <c r="D883" s="221"/>
      <c r="I883" s="195"/>
      <c r="L883" s="75"/>
      <c r="M883" s="194"/>
    </row>
    <row r="884">
      <c r="A884" s="200"/>
      <c r="D884" s="221"/>
      <c r="I884" s="195"/>
      <c r="L884" s="75"/>
      <c r="M884" s="194"/>
    </row>
    <row r="885">
      <c r="A885" s="200"/>
      <c r="D885" s="221"/>
      <c r="I885" s="195"/>
      <c r="L885" s="75"/>
      <c r="M885" s="194"/>
    </row>
    <row r="886">
      <c r="A886" s="200"/>
      <c r="D886" s="221"/>
      <c r="I886" s="195"/>
      <c r="L886" s="75"/>
      <c r="M886" s="194"/>
    </row>
    <row r="887">
      <c r="A887" s="200"/>
      <c r="D887" s="221"/>
      <c r="I887" s="195"/>
      <c r="L887" s="75"/>
      <c r="M887" s="194"/>
    </row>
    <row r="888">
      <c r="A888" s="200"/>
      <c r="D888" s="221"/>
      <c r="I888" s="195"/>
      <c r="L888" s="75"/>
      <c r="M888" s="194"/>
    </row>
    <row r="889">
      <c r="A889" s="200"/>
      <c r="D889" s="221"/>
      <c r="I889" s="195"/>
      <c r="L889" s="75"/>
      <c r="M889" s="194"/>
    </row>
    <row r="890">
      <c r="A890" s="200"/>
      <c r="D890" s="221"/>
      <c r="I890" s="195"/>
      <c r="L890" s="75"/>
      <c r="M890" s="194"/>
    </row>
    <row r="891">
      <c r="A891" s="200"/>
      <c r="D891" s="221"/>
      <c r="I891" s="195"/>
      <c r="L891" s="75"/>
      <c r="M891" s="194"/>
    </row>
    <row r="892">
      <c r="A892" s="200"/>
      <c r="D892" s="221"/>
      <c r="I892" s="195"/>
      <c r="L892" s="75"/>
      <c r="M892" s="194"/>
    </row>
    <row r="893">
      <c r="A893" s="200"/>
      <c r="D893" s="221"/>
      <c r="I893" s="195"/>
      <c r="L893" s="75"/>
      <c r="M893" s="194"/>
    </row>
    <row r="894">
      <c r="A894" s="200"/>
      <c r="D894" s="221"/>
      <c r="I894" s="195"/>
      <c r="L894" s="75"/>
      <c r="M894" s="194"/>
    </row>
    <row r="895">
      <c r="A895" s="200"/>
      <c r="D895" s="221"/>
      <c r="I895" s="195"/>
      <c r="L895" s="75"/>
      <c r="M895" s="194"/>
    </row>
    <row r="896">
      <c r="A896" s="200"/>
      <c r="D896" s="221"/>
      <c r="I896" s="195"/>
      <c r="L896" s="75"/>
      <c r="M896" s="194"/>
    </row>
    <row r="897">
      <c r="A897" s="200"/>
      <c r="D897" s="221"/>
      <c r="I897" s="195"/>
      <c r="L897" s="75"/>
      <c r="M897" s="194"/>
    </row>
    <row r="898">
      <c r="A898" s="200"/>
      <c r="D898" s="221"/>
      <c r="I898" s="195"/>
      <c r="L898" s="75"/>
      <c r="M898" s="194"/>
    </row>
    <row r="899">
      <c r="A899" s="200"/>
      <c r="D899" s="221"/>
      <c r="I899" s="195"/>
      <c r="L899" s="75"/>
      <c r="M899" s="194"/>
    </row>
    <row r="900">
      <c r="A900" s="200"/>
      <c r="D900" s="221"/>
      <c r="I900" s="195"/>
      <c r="L900" s="75"/>
      <c r="M900" s="194"/>
    </row>
    <row r="901">
      <c r="A901" s="200"/>
      <c r="D901" s="221"/>
      <c r="I901" s="195"/>
      <c r="L901" s="75"/>
      <c r="M901" s="194"/>
    </row>
    <row r="902">
      <c r="A902" s="200"/>
      <c r="D902" s="221"/>
      <c r="I902" s="195"/>
      <c r="L902" s="75"/>
      <c r="M902" s="194"/>
    </row>
    <row r="903">
      <c r="A903" s="200"/>
      <c r="D903" s="221"/>
      <c r="I903" s="195"/>
      <c r="L903" s="75"/>
      <c r="M903" s="194"/>
    </row>
    <row r="904">
      <c r="A904" s="200"/>
      <c r="D904" s="221"/>
      <c r="I904" s="195"/>
      <c r="L904" s="75"/>
      <c r="M904" s="194"/>
    </row>
    <row r="905">
      <c r="A905" s="200"/>
      <c r="D905" s="221"/>
      <c r="I905" s="195"/>
      <c r="L905" s="75"/>
      <c r="M905" s="194"/>
    </row>
    <row r="906">
      <c r="A906" s="200"/>
      <c r="D906" s="221"/>
      <c r="I906" s="195"/>
      <c r="L906" s="75"/>
      <c r="M906" s="194"/>
    </row>
    <row r="907">
      <c r="A907" s="200"/>
      <c r="D907" s="221"/>
      <c r="I907" s="195"/>
      <c r="L907" s="75"/>
      <c r="M907" s="194"/>
    </row>
    <row r="908">
      <c r="A908" s="200"/>
      <c r="D908" s="221"/>
      <c r="I908" s="195"/>
      <c r="L908" s="75"/>
      <c r="M908" s="194"/>
    </row>
    <row r="909">
      <c r="A909" s="200"/>
      <c r="D909" s="221"/>
      <c r="I909" s="195"/>
      <c r="L909" s="75"/>
      <c r="M909" s="194"/>
    </row>
    <row r="910">
      <c r="A910" s="200"/>
      <c r="D910" s="221"/>
      <c r="I910" s="195"/>
      <c r="L910" s="75"/>
      <c r="M910" s="194"/>
    </row>
    <row r="911">
      <c r="A911" s="200"/>
      <c r="D911" s="221"/>
      <c r="I911" s="195"/>
      <c r="L911" s="75"/>
      <c r="M911" s="194"/>
    </row>
    <row r="912">
      <c r="A912" s="200"/>
      <c r="D912" s="221"/>
      <c r="I912" s="195"/>
      <c r="L912" s="75"/>
      <c r="M912" s="194"/>
    </row>
    <row r="913">
      <c r="A913" s="200"/>
      <c r="D913" s="221"/>
      <c r="I913" s="195"/>
      <c r="L913" s="75"/>
      <c r="M913" s="194"/>
    </row>
    <row r="914">
      <c r="A914" s="200"/>
      <c r="D914" s="221"/>
      <c r="I914" s="195"/>
      <c r="L914" s="75"/>
      <c r="M914" s="194"/>
    </row>
    <row r="915">
      <c r="A915" s="200"/>
      <c r="D915" s="221"/>
      <c r="I915" s="195"/>
      <c r="L915" s="75"/>
      <c r="M915" s="194"/>
    </row>
    <row r="916">
      <c r="A916" s="200"/>
      <c r="D916" s="221"/>
      <c r="I916" s="195"/>
      <c r="L916" s="75"/>
      <c r="M916" s="194"/>
    </row>
    <row r="917">
      <c r="A917" s="200"/>
      <c r="D917" s="221"/>
      <c r="I917" s="195"/>
      <c r="L917" s="75"/>
      <c r="M917" s="194"/>
    </row>
    <row r="918">
      <c r="A918" s="200"/>
      <c r="D918" s="221"/>
      <c r="I918" s="195"/>
      <c r="L918" s="75"/>
      <c r="M918" s="194"/>
    </row>
    <row r="919">
      <c r="A919" s="200"/>
      <c r="D919" s="221"/>
      <c r="I919" s="195"/>
      <c r="L919" s="75"/>
      <c r="M919" s="194"/>
    </row>
    <row r="920">
      <c r="A920" s="200"/>
      <c r="D920" s="221"/>
      <c r="I920" s="195"/>
      <c r="L920" s="75"/>
      <c r="M920" s="194"/>
    </row>
    <row r="921">
      <c r="A921" s="200"/>
      <c r="D921" s="221"/>
      <c r="I921" s="195"/>
      <c r="L921" s="75"/>
      <c r="M921" s="194"/>
    </row>
    <row r="922">
      <c r="A922" s="200"/>
      <c r="D922" s="221"/>
      <c r="I922" s="195"/>
      <c r="L922" s="75"/>
      <c r="M922" s="194"/>
    </row>
    <row r="923">
      <c r="A923" s="200"/>
      <c r="D923" s="221"/>
      <c r="I923" s="195"/>
      <c r="L923" s="75"/>
      <c r="M923" s="194"/>
    </row>
    <row r="924">
      <c r="A924" s="200"/>
      <c r="D924" s="221"/>
      <c r="I924" s="195"/>
      <c r="L924" s="75"/>
      <c r="M924" s="194"/>
    </row>
    <row r="925">
      <c r="A925" s="200"/>
      <c r="D925" s="221"/>
      <c r="I925" s="195"/>
      <c r="L925" s="75"/>
      <c r="M925" s="194"/>
    </row>
    <row r="926">
      <c r="A926" s="200"/>
      <c r="D926" s="221"/>
      <c r="I926" s="195"/>
      <c r="L926" s="75"/>
      <c r="M926" s="194"/>
    </row>
    <row r="927">
      <c r="A927" s="200"/>
      <c r="D927" s="221"/>
      <c r="I927" s="195"/>
      <c r="L927" s="75"/>
      <c r="M927" s="194"/>
    </row>
    <row r="928">
      <c r="A928" s="200"/>
      <c r="D928" s="221"/>
      <c r="I928" s="195"/>
      <c r="L928" s="75"/>
      <c r="M928" s="194"/>
    </row>
    <row r="929">
      <c r="A929" s="200"/>
      <c r="D929" s="221"/>
      <c r="I929" s="195"/>
      <c r="L929" s="75"/>
      <c r="M929" s="194"/>
    </row>
    <row r="930">
      <c r="A930" s="200"/>
      <c r="D930" s="221"/>
      <c r="I930" s="195"/>
      <c r="L930" s="75"/>
      <c r="M930" s="194"/>
    </row>
    <row r="931">
      <c r="A931" s="200"/>
      <c r="D931" s="221"/>
      <c r="I931" s="195"/>
      <c r="L931" s="75"/>
      <c r="M931" s="194"/>
    </row>
    <row r="932">
      <c r="A932" s="200"/>
      <c r="D932" s="221"/>
      <c r="I932" s="195"/>
      <c r="L932" s="75"/>
      <c r="M932" s="194"/>
    </row>
    <row r="933">
      <c r="A933" s="200"/>
      <c r="D933" s="221"/>
      <c r="I933" s="195"/>
      <c r="L933" s="75"/>
      <c r="M933" s="194"/>
    </row>
    <row r="934">
      <c r="A934" s="200"/>
      <c r="D934" s="221"/>
      <c r="I934" s="195"/>
      <c r="L934" s="75"/>
      <c r="M934" s="194"/>
    </row>
    <row r="935">
      <c r="A935" s="200"/>
      <c r="D935" s="221"/>
      <c r="I935" s="195"/>
      <c r="L935" s="75"/>
      <c r="M935" s="194"/>
    </row>
    <row r="936">
      <c r="A936" s="200"/>
      <c r="D936" s="221"/>
      <c r="I936" s="195"/>
      <c r="L936" s="75"/>
      <c r="M936" s="194"/>
    </row>
    <row r="937">
      <c r="A937" s="200"/>
      <c r="D937" s="221"/>
      <c r="I937" s="195"/>
      <c r="L937" s="75"/>
      <c r="M937" s="194"/>
    </row>
    <row r="938">
      <c r="A938" s="200"/>
      <c r="D938" s="221"/>
      <c r="I938" s="195"/>
      <c r="L938" s="75"/>
      <c r="M938" s="194"/>
    </row>
    <row r="939">
      <c r="A939" s="200"/>
      <c r="D939" s="221"/>
      <c r="I939" s="195"/>
      <c r="L939" s="75"/>
      <c r="M939" s="194"/>
    </row>
    <row r="940">
      <c r="A940" s="200"/>
      <c r="D940" s="221"/>
      <c r="I940" s="195"/>
      <c r="L940" s="75"/>
      <c r="M940" s="194"/>
    </row>
    <row r="941">
      <c r="A941" s="200"/>
      <c r="D941" s="221"/>
      <c r="I941" s="195"/>
      <c r="L941" s="75"/>
      <c r="M941" s="194"/>
    </row>
    <row r="942">
      <c r="A942" s="200"/>
      <c r="D942" s="221"/>
      <c r="I942" s="195"/>
      <c r="L942" s="75"/>
      <c r="M942" s="194"/>
    </row>
    <row r="943">
      <c r="A943" s="200"/>
      <c r="D943" s="221"/>
      <c r="I943" s="195"/>
      <c r="L943" s="75"/>
      <c r="M943" s="194"/>
    </row>
    <row r="944">
      <c r="A944" s="200"/>
      <c r="D944" s="221"/>
      <c r="I944" s="195"/>
      <c r="L944" s="75"/>
      <c r="M944" s="194"/>
    </row>
    <row r="945">
      <c r="A945" s="200"/>
      <c r="D945" s="221"/>
      <c r="I945" s="195"/>
      <c r="L945" s="75"/>
      <c r="M945" s="194"/>
    </row>
    <row r="946">
      <c r="A946" s="200"/>
      <c r="D946" s="221"/>
      <c r="I946" s="195"/>
      <c r="L946" s="75"/>
      <c r="M946" s="194"/>
    </row>
    <row r="947">
      <c r="A947" s="200"/>
      <c r="D947" s="221"/>
      <c r="I947" s="195"/>
      <c r="L947" s="75"/>
      <c r="M947" s="194"/>
    </row>
    <row r="948">
      <c r="A948" s="200"/>
      <c r="D948" s="221"/>
      <c r="I948" s="195"/>
      <c r="L948" s="75"/>
      <c r="M948" s="194"/>
    </row>
    <row r="949">
      <c r="A949" s="200"/>
      <c r="D949" s="221"/>
      <c r="I949" s="195"/>
      <c r="L949" s="75"/>
      <c r="M949" s="194"/>
    </row>
    <row r="950">
      <c r="A950" s="200"/>
      <c r="D950" s="221"/>
      <c r="I950" s="195"/>
      <c r="L950" s="75"/>
      <c r="M950" s="194"/>
    </row>
    <row r="951">
      <c r="A951" s="200"/>
      <c r="D951" s="221"/>
      <c r="I951" s="195"/>
      <c r="L951" s="75"/>
      <c r="M951" s="194"/>
    </row>
    <row r="952">
      <c r="A952" s="200"/>
      <c r="D952" s="221"/>
      <c r="I952" s="195"/>
      <c r="L952" s="75"/>
      <c r="M952" s="194"/>
    </row>
    <row r="953">
      <c r="A953" s="200"/>
      <c r="D953" s="221"/>
      <c r="I953" s="195"/>
      <c r="L953" s="75"/>
      <c r="M953" s="194"/>
    </row>
    <row r="954">
      <c r="A954" s="200"/>
      <c r="D954" s="221"/>
      <c r="I954" s="195"/>
      <c r="L954" s="75"/>
      <c r="M954" s="194"/>
    </row>
    <row r="955">
      <c r="A955" s="200"/>
      <c r="D955" s="221"/>
      <c r="I955" s="195"/>
      <c r="L955" s="75"/>
      <c r="M955" s="194"/>
    </row>
    <row r="956">
      <c r="A956" s="200"/>
      <c r="D956" s="221"/>
      <c r="I956" s="195"/>
      <c r="L956" s="75"/>
      <c r="M956" s="194"/>
    </row>
    <row r="957">
      <c r="A957" s="200"/>
      <c r="D957" s="221"/>
      <c r="I957" s="195"/>
      <c r="L957" s="75"/>
      <c r="M957" s="194"/>
    </row>
    <row r="958">
      <c r="A958" s="200"/>
      <c r="D958" s="221"/>
      <c r="I958" s="195"/>
      <c r="L958" s="75"/>
      <c r="M958" s="194"/>
    </row>
    <row r="959">
      <c r="A959" s="200"/>
      <c r="D959" s="221"/>
      <c r="I959" s="195"/>
      <c r="L959" s="75"/>
      <c r="M959" s="194"/>
    </row>
    <row r="960">
      <c r="A960" s="200"/>
      <c r="D960" s="221"/>
      <c r="I960" s="195"/>
      <c r="L960" s="75"/>
      <c r="M960" s="194"/>
    </row>
    <row r="961">
      <c r="A961" s="200"/>
      <c r="D961" s="221"/>
      <c r="I961" s="195"/>
      <c r="L961" s="75"/>
      <c r="M961" s="194"/>
    </row>
    <row r="962">
      <c r="A962" s="200"/>
      <c r="D962" s="221"/>
      <c r="I962" s="195"/>
      <c r="L962" s="75"/>
      <c r="M962" s="194"/>
    </row>
    <row r="963">
      <c r="A963" s="200"/>
      <c r="D963" s="221"/>
      <c r="I963" s="195"/>
      <c r="L963" s="75"/>
      <c r="M963" s="194"/>
    </row>
    <row r="964">
      <c r="A964" s="200"/>
      <c r="D964" s="221"/>
      <c r="I964" s="195"/>
      <c r="L964" s="75"/>
      <c r="M964" s="194"/>
    </row>
    <row r="965">
      <c r="A965" s="200"/>
      <c r="D965" s="221"/>
      <c r="I965" s="195"/>
      <c r="L965" s="75"/>
      <c r="M965" s="194"/>
    </row>
    <row r="966">
      <c r="A966" s="200"/>
      <c r="D966" s="221"/>
      <c r="I966" s="195"/>
      <c r="L966" s="75"/>
      <c r="M966" s="194"/>
    </row>
    <row r="967">
      <c r="A967" s="200"/>
      <c r="D967" s="221"/>
      <c r="I967" s="195"/>
      <c r="L967" s="75"/>
      <c r="M967" s="194"/>
    </row>
    <row r="968">
      <c r="A968" s="200"/>
      <c r="D968" s="221"/>
      <c r="I968" s="195"/>
      <c r="L968" s="75"/>
      <c r="M968" s="194"/>
    </row>
    <row r="969">
      <c r="A969" s="200"/>
      <c r="D969" s="221"/>
      <c r="I969" s="195"/>
      <c r="L969" s="75"/>
      <c r="M969" s="194"/>
    </row>
    <row r="970">
      <c r="A970" s="200"/>
      <c r="D970" s="221"/>
      <c r="I970" s="195"/>
      <c r="L970" s="75"/>
      <c r="M970" s="194"/>
    </row>
    <row r="971">
      <c r="A971" s="200"/>
      <c r="D971" s="221"/>
      <c r="I971" s="195"/>
      <c r="L971" s="75"/>
      <c r="M971" s="194"/>
    </row>
    <row r="972">
      <c r="A972" s="200"/>
      <c r="D972" s="221"/>
      <c r="I972" s="195"/>
      <c r="L972" s="75"/>
      <c r="M972" s="194"/>
    </row>
    <row r="973">
      <c r="A973" s="200"/>
      <c r="D973" s="221"/>
      <c r="I973" s="195"/>
      <c r="L973" s="75"/>
      <c r="M973" s="194"/>
    </row>
    <row r="974">
      <c r="A974" s="200"/>
      <c r="D974" s="221"/>
      <c r="I974" s="195"/>
      <c r="L974" s="75"/>
      <c r="M974" s="194"/>
    </row>
    <row r="975">
      <c r="A975" s="200"/>
      <c r="D975" s="221"/>
      <c r="I975" s="195"/>
      <c r="L975" s="75"/>
      <c r="M975" s="194"/>
    </row>
    <row r="976">
      <c r="A976" s="200"/>
      <c r="D976" s="221"/>
      <c r="I976" s="195"/>
      <c r="L976" s="75"/>
      <c r="M976" s="194"/>
    </row>
    <row r="977">
      <c r="A977" s="200"/>
      <c r="D977" s="221"/>
      <c r="I977" s="195"/>
      <c r="L977" s="75"/>
      <c r="M977" s="194"/>
    </row>
    <row r="978">
      <c r="A978" s="200"/>
      <c r="D978" s="221"/>
      <c r="I978" s="195"/>
      <c r="L978" s="75"/>
      <c r="M978" s="194"/>
    </row>
    <row r="979">
      <c r="A979" s="200"/>
      <c r="D979" s="221"/>
      <c r="I979" s="195"/>
      <c r="L979" s="75"/>
      <c r="M979" s="194"/>
    </row>
    <row r="980">
      <c r="A980" s="200"/>
      <c r="D980" s="221"/>
      <c r="I980" s="195"/>
      <c r="L980" s="75"/>
      <c r="M980" s="194"/>
    </row>
    <row r="981">
      <c r="A981" s="200"/>
      <c r="D981" s="221"/>
      <c r="I981" s="195"/>
      <c r="L981" s="75"/>
      <c r="M981" s="194"/>
    </row>
    <row r="982">
      <c r="A982" s="200"/>
      <c r="D982" s="221"/>
      <c r="I982" s="195"/>
      <c r="L982" s="75"/>
      <c r="M982" s="194"/>
    </row>
    <row r="983">
      <c r="A983" s="200"/>
      <c r="D983" s="221"/>
      <c r="I983" s="195"/>
      <c r="L983" s="75"/>
      <c r="M983" s="194"/>
    </row>
    <row r="984">
      <c r="A984" s="200"/>
      <c r="D984" s="221"/>
      <c r="I984" s="195"/>
      <c r="L984" s="75"/>
      <c r="M984" s="194"/>
    </row>
    <row r="985">
      <c r="A985" s="200"/>
      <c r="D985" s="221"/>
      <c r="I985" s="195"/>
      <c r="L985" s="75"/>
      <c r="M985" s="194"/>
    </row>
    <row r="986">
      <c r="A986" s="200"/>
      <c r="D986" s="221"/>
      <c r="I986" s="195"/>
      <c r="L986" s="75"/>
      <c r="M986" s="194"/>
    </row>
    <row r="987">
      <c r="A987" s="200"/>
      <c r="D987" s="221"/>
      <c r="I987" s="195"/>
      <c r="L987" s="75"/>
      <c r="M987" s="194"/>
    </row>
    <row r="988">
      <c r="A988" s="200"/>
      <c r="D988" s="221"/>
      <c r="I988" s="195"/>
      <c r="L988" s="75"/>
      <c r="M988" s="194"/>
    </row>
    <row r="989">
      <c r="A989" s="200"/>
      <c r="D989" s="221"/>
      <c r="I989" s="195"/>
      <c r="L989" s="75"/>
      <c r="M989" s="194"/>
    </row>
    <row r="990">
      <c r="A990" s="200"/>
      <c r="D990" s="221"/>
      <c r="I990" s="195"/>
      <c r="L990" s="75"/>
      <c r="M990" s="194"/>
    </row>
    <row r="991">
      <c r="A991" s="200"/>
      <c r="D991" s="221"/>
      <c r="I991" s="195"/>
      <c r="L991" s="75"/>
      <c r="M991" s="194"/>
    </row>
    <row r="992">
      <c r="A992" s="200"/>
      <c r="D992" s="221"/>
      <c r="I992" s="195"/>
      <c r="L992" s="75"/>
      <c r="M992" s="194"/>
    </row>
    <row r="993">
      <c r="A993" s="200"/>
      <c r="D993" s="221"/>
      <c r="I993" s="195"/>
      <c r="L993" s="75"/>
      <c r="M993" s="194"/>
    </row>
    <row r="994">
      <c r="A994" s="200"/>
      <c r="D994" s="221"/>
      <c r="I994" s="195"/>
      <c r="L994" s="75"/>
      <c r="M994" s="194"/>
    </row>
    <row r="995">
      <c r="A995" s="200"/>
      <c r="D995" s="221"/>
      <c r="I995" s="195"/>
      <c r="L995" s="75"/>
      <c r="M995" s="194"/>
    </row>
    <row r="996">
      <c r="A996" s="200"/>
      <c r="D996" s="221"/>
      <c r="I996" s="195"/>
      <c r="L996" s="75"/>
      <c r="M996" s="194"/>
    </row>
    <row r="997">
      <c r="A997" s="200"/>
      <c r="D997" s="221"/>
      <c r="I997" s="195"/>
      <c r="L997" s="75"/>
      <c r="M997" s="194"/>
    </row>
    <row r="998">
      <c r="A998" s="200"/>
      <c r="D998" s="221"/>
      <c r="I998" s="195"/>
      <c r="L998" s="75"/>
      <c r="M998" s="194"/>
    </row>
    <row r="999">
      <c r="A999" s="200"/>
      <c r="D999" s="221"/>
      <c r="I999" s="195"/>
      <c r="L999" s="75"/>
      <c r="M999" s="194"/>
    </row>
    <row r="1000">
      <c r="A1000" s="200"/>
      <c r="D1000" s="221"/>
      <c r="I1000" s="196"/>
      <c r="J1000" s="197"/>
      <c r="K1000" s="197"/>
      <c r="L1000" s="197"/>
      <c r="M1000" s="198"/>
    </row>
  </sheetData>
  <drawing r:id="rId1"/>
</worksheet>
</file>