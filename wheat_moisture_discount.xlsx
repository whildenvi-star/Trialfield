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unt Schedule" sheetId="1" r:id="rId5"/>
  </sheets>
  <definedNames/>
  <calcPr/>
</workbook>
</file>

<file path=xl/sharedStrings.xml><?xml version="1.0" encoding="utf-8"?>
<sst xmlns="http://schemas.openxmlformats.org/spreadsheetml/2006/main" count="24" uniqueCount="23">
  <si>
    <t>Organic Wheat Moisture Discount Schedule</t>
  </si>
  <si>
    <t>Assumptions</t>
  </si>
  <si>
    <t>Base price ($/bu)</t>
  </si>
  <si>
    <t>Base moisture (%)</t>
  </si>
  <si>
    <t>Shrink per 0.1% over base</t>
  </si>
  <si>
    <t>Price discount per 0.1% over base ($/bu)</t>
  </si>
  <si>
    <t>Your Sample</t>
  </si>
  <si>
    <t>Sample moisture (%)</t>
  </si>
  <si>
    <t>Tenths over base</t>
  </si>
  <si>
    <t>Shrink (%)</t>
  </si>
  <si>
    <t>Price discount ($/bu)</t>
  </si>
  <si>
    <t>Net price after discount ($/bu)</t>
  </si>
  <si>
    <t>Effective price per delivered bu ($/bu)</t>
  </si>
  <si>
    <t>Total hit vs. base ($/bu)</t>
  </si>
  <si>
    <t>Full Schedule (per delivered/gross bushel)</t>
  </si>
  <si>
    <t>Moisture (%)</t>
  </si>
  <si>
    <t>Tenths Over</t>
  </si>
  <si>
    <t>Bu Factor</t>
  </si>
  <si>
    <t>Price Discount ($/bu)</t>
  </si>
  <si>
    <t>Net Price ($/bu)</t>
  </si>
  <si>
    <t>Effective $/Gross Bu</t>
  </si>
  <si>
    <t>Total Hit ($/bu)</t>
  </si>
  <si>
    <t>Notes: Shrink reduces payable bushels (Bu Factor × gross bu). Price discount reduces $/bu. Effective $/Gross Bu = Net Price × Bu Factor. Highlighted row = your 14.7% sample.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</si>
</sst>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"/>
    <numFmt numFmtId="165" formatCode="0.0%"/>
    <numFmt numFmtId="166" formatCode="\$0.000"/>
    <numFmt numFmtId="167" formatCode="\$#,##0.000"/>
    <numFmt numFmtId="168" formatCode="0.0000"/>
  </numFmts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0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1" fillId="2" fontId="4" numFmtId="165" xfId="0" applyAlignment="1" applyBorder="1" applyFill="1" applyFont="1" applyNumberFormat="1">
      <alignment readingOrder="0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2" fillId="3" fontId="3" numFmtId="0" xfId="0" applyAlignment="1" applyBorder="1" applyFill="1" applyFont="1">
      <alignment horizontal="center" shrinkToFit="0" vertical="bottom" wrapText="1"/>
    </xf>
    <xf borderId="2" fillId="0" fontId="4" numFmtId="165" xfId="0" applyAlignment="1" applyBorder="1" applyFont="1" applyNumberFormat="1">
      <alignment shrinkToFit="0" vertical="bottom" wrapText="0"/>
    </xf>
    <xf borderId="2" fillId="0" fontId="2" numFmtId="1" xfId="0" applyAlignment="1" applyBorder="1" applyFont="1" applyNumberFormat="1">
      <alignment shrinkToFit="0" vertical="bottom" wrapText="0"/>
    </xf>
    <xf borderId="2" fillId="0" fontId="2" numFmtId="10" xfId="0" applyAlignment="1" applyBorder="1" applyFont="1" applyNumberFormat="1">
      <alignment shrinkToFit="0" vertical="bottom" wrapText="0"/>
    </xf>
    <xf borderId="2" fillId="0" fontId="2" numFmtId="168" xfId="0" applyAlignment="1" applyBorder="1" applyFont="1" applyNumberFormat="1">
      <alignment shrinkToFit="0" vertical="bottom" wrapText="0"/>
    </xf>
    <xf borderId="2" fillId="0" fontId="2" numFmtId="166" xfId="0" applyAlignment="1" applyBorder="1" applyFont="1" applyNumberFormat="1">
      <alignment shrinkToFit="0" vertical="bottom" wrapText="0"/>
    </xf>
    <xf borderId="2" fillId="0" fontId="2" numFmtId="167" xfId="0" applyAlignment="1" applyBorder="1" applyFont="1" applyNumberFormat="1">
      <alignment shrinkToFit="0" vertical="bottom" wrapText="0"/>
    </xf>
    <xf borderId="2" fillId="2" fontId="4" numFmtId="165" xfId="0" applyAlignment="1" applyBorder="1" applyFont="1" applyNumberFormat="1">
      <alignment shrinkToFit="0" vertical="bottom" wrapText="0"/>
    </xf>
    <xf borderId="2" fillId="2" fontId="2" numFmtId="1" xfId="0" applyAlignment="1" applyBorder="1" applyFont="1" applyNumberFormat="1">
      <alignment shrinkToFit="0" vertical="bottom" wrapText="0"/>
    </xf>
    <xf borderId="2" fillId="2" fontId="2" numFmtId="10" xfId="0" applyAlignment="1" applyBorder="1" applyFont="1" applyNumberFormat="1">
      <alignment shrinkToFit="0" vertical="bottom" wrapText="0"/>
    </xf>
    <xf borderId="2" fillId="2" fontId="2" numFmtId="168" xfId="0" applyAlignment="1" applyBorder="1" applyFont="1" applyNumberFormat="1">
      <alignment shrinkToFit="0" vertical="bottom" wrapText="0"/>
    </xf>
    <xf borderId="2" fillId="2" fontId="2" numFmtId="166" xfId="0" applyAlignment="1" applyBorder="1" applyFont="1" applyNumberFormat="1">
      <alignment shrinkToFit="0" vertical="bottom" wrapText="0"/>
    </xf>
    <xf borderId="2" fillId="2" fontId="2" numFmtId="167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36.0"/>
    <col customWidth="1" min="2" max="8" width="1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1</v>
      </c>
      <c r="B3" s="2"/>
      <c r="C3" s="2"/>
      <c r="D3" s="2"/>
      <c r="E3" s="2"/>
      <c r="F3" s="2"/>
      <c r="G3" s="2"/>
      <c r="H3" s="2"/>
    </row>
    <row r="4">
      <c r="A4" s="2" t="s">
        <v>2</v>
      </c>
      <c r="B4" s="4">
        <v>9.5</v>
      </c>
      <c r="C4" s="2"/>
      <c r="D4" s="2"/>
      <c r="E4" s="2"/>
      <c r="F4" s="2"/>
      <c r="G4" s="2"/>
      <c r="H4" s="2"/>
    </row>
    <row r="5">
      <c r="A5" s="2" t="s">
        <v>3</v>
      </c>
      <c r="B5" s="5">
        <v>0.13</v>
      </c>
      <c r="C5" s="2"/>
      <c r="D5" s="2"/>
      <c r="E5" s="2"/>
      <c r="F5" s="2"/>
      <c r="G5" s="2"/>
      <c r="H5" s="2"/>
    </row>
    <row r="6">
      <c r="A6" s="2" t="s">
        <v>4</v>
      </c>
      <c r="B6" s="6">
        <v>0.0015</v>
      </c>
      <c r="C6" s="2"/>
      <c r="D6" s="2"/>
      <c r="E6" s="2"/>
      <c r="F6" s="2"/>
      <c r="G6" s="2"/>
      <c r="H6" s="2"/>
    </row>
    <row r="7">
      <c r="A7" s="2" t="s">
        <v>5</v>
      </c>
      <c r="B7" s="7">
        <v>0.008</v>
      </c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3" t="s">
        <v>6</v>
      </c>
      <c r="B9" s="2"/>
      <c r="C9" s="2"/>
      <c r="D9" s="2"/>
      <c r="E9" s="2"/>
      <c r="F9" s="2"/>
      <c r="G9" s="2"/>
      <c r="H9" s="2"/>
    </row>
    <row r="10">
      <c r="A10" s="2" t="s">
        <v>7</v>
      </c>
      <c r="B10" s="8">
        <v>0.165</v>
      </c>
      <c r="C10" s="2"/>
      <c r="D10" s="2"/>
      <c r="E10" s="2"/>
      <c r="F10" s="2"/>
      <c r="G10" s="2"/>
      <c r="H10" s="2"/>
    </row>
    <row r="11">
      <c r="A11" s="2" t="s">
        <v>8</v>
      </c>
      <c r="B11" s="9">
        <f>MAX(0,ROUND((B10-$B$5)/0.001,0))</f>
        <v>35</v>
      </c>
      <c r="C11" s="2"/>
      <c r="D11" s="2"/>
      <c r="E11" s="2"/>
      <c r="F11" s="2"/>
      <c r="G11" s="2"/>
      <c r="H11" s="2"/>
    </row>
    <row r="12">
      <c r="A12" s="2" t="s">
        <v>9</v>
      </c>
      <c r="B12" s="10">
        <f>B11*$B$6</f>
        <v>0.0525</v>
      </c>
      <c r="C12" s="2"/>
      <c r="D12" s="2"/>
      <c r="E12" s="2"/>
      <c r="F12" s="2"/>
      <c r="G12" s="2"/>
      <c r="H12" s="2"/>
    </row>
    <row r="13">
      <c r="A13" s="2" t="s">
        <v>10</v>
      </c>
      <c r="B13" s="11">
        <f>B11*$B$7</f>
        <v>0.28</v>
      </c>
      <c r="C13" s="2"/>
      <c r="D13" s="2"/>
      <c r="E13" s="2"/>
      <c r="F13" s="2"/>
      <c r="G13" s="2"/>
      <c r="H13" s="2"/>
    </row>
    <row r="14">
      <c r="A14" s="2" t="s">
        <v>11</v>
      </c>
      <c r="B14" s="12">
        <f>$B$4-B13</f>
        <v>9.22</v>
      </c>
      <c r="C14" s="2"/>
      <c r="D14" s="2"/>
      <c r="E14" s="2"/>
      <c r="F14" s="2"/>
      <c r="G14" s="2"/>
      <c r="H14" s="2"/>
    </row>
    <row r="15">
      <c r="A15" s="2" t="s">
        <v>12</v>
      </c>
      <c r="B15" s="12">
        <f>B14*(1-B12)</f>
        <v>8.73595</v>
      </c>
      <c r="C15" s="2"/>
      <c r="D15" s="2"/>
      <c r="E15" s="2"/>
      <c r="F15" s="2"/>
      <c r="G15" s="2"/>
      <c r="H15" s="2"/>
    </row>
    <row r="16">
      <c r="A16" s="2" t="s">
        <v>13</v>
      </c>
      <c r="B16" s="12">
        <f>$B$4-B15</f>
        <v>0.76405</v>
      </c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3" t="s">
        <v>14</v>
      </c>
      <c r="B18" s="2"/>
      <c r="C18" s="2"/>
      <c r="D18" s="2"/>
      <c r="E18" s="2"/>
      <c r="F18" s="2"/>
      <c r="G18" s="2"/>
      <c r="H18" s="2"/>
    </row>
    <row r="19">
      <c r="A19" s="13" t="s">
        <v>15</v>
      </c>
      <c r="B19" s="13" t="s">
        <v>16</v>
      </c>
      <c r="C19" s="13" t="s">
        <v>9</v>
      </c>
      <c r="D19" s="13" t="s">
        <v>17</v>
      </c>
      <c r="E19" s="13" t="s">
        <v>18</v>
      </c>
      <c r="F19" s="13" t="s">
        <v>19</v>
      </c>
      <c r="G19" s="13" t="s">
        <v>20</v>
      </c>
      <c r="H19" s="13" t="s">
        <v>21</v>
      </c>
    </row>
    <row r="20">
      <c r="A20" s="14">
        <v>0.13</v>
      </c>
      <c r="B20" s="15">
        <f t="shared" ref="B20:B70" si="1">ROUND((A20-$B$5)/0.001,0)</f>
        <v>0</v>
      </c>
      <c r="C20" s="16">
        <f t="shared" ref="C20:C70" si="2">B20*$B$6</f>
        <v>0</v>
      </c>
      <c r="D20" s="17">
        <f t="shared" ref="D20:D70" si="3">1-C20</f>
        <v>1</v>
      </c>
      <c r="E20" s="18">
        <f t="shared" ref="E20:E70" si="4">B20*$B$7</f>
        <v>0</v>
      </c>
      <c r="F20" s="19">
        <f t="shared" ref="F20:F70" si="5">$B$4-E20</f>
        <v>9.5</v>
      </c>
      <c r="G20" s="19">
        <f t="shared" ref="G20:G70" si="6">F20*D20</f>
        <v>9.5</v>
      </c>
      <c r="H20" s="19">
        <f t="shared" ref="H20:H70" si="7">$B$4-G20</f>
        <v>0</v>
      </c>
    </row>
    <row r="21" ht="15.75" customHeight="1">
      <c r="A21" s="14">
        <v>0.131</v>
      </c>
      <c r="B21" s="15">
        <f t="shared" si="1"/>
        <v>1</v>
      </c>
      <c r="C21" s="16">
        <f t="shared" si="2"/>
        <v>0.0015</v>
      </c>
      <c r="D21" s="17">
        <f t="shared" si="3"/>
        <v>0.9985</v>
      </c>
      <c r="E21" s="18">
        <f t="shared" si="4"/>
        <v>0.008</v>
      </c>
      <c r="F21" s="19">
        <f t="shared" si="5"/>
        <v>9.492</v>
      </c>
      <c r="G21" s="19">
        <f t="shared" si="6"/>
        <v>9.477762</v>
      </c>
      <c r="H21" s="19">
        <f t="shared" si="7"/>
        <v>0.022238</v>
      </c>
    </row>
    <row r="22" ht="15.75" customHeight="1">
      <c r="A22" s="14">
        <v>0.132</v>
      </c>
      <c r="B22" s="15">
        <f t="shared" si="1"/>
        <v>2</v>
      </c>
      <c r="C22" s="16">
        <f t="shared" si="2"/>
        <v>0.003</v>
      </c>
      <c r="D22" s="17">
        <f t="shared" si="3"/>
        <v>0.997</v>
      </c>
      <c r="E22" s="18">
        <f t="shared" si="4"/>
        <v>0.016</v>
      </c>
      <c r="F22" s="19">
        <f t="shared" si="5"/>
        <v>9.484</v>
      </c>
      <c r="G22" s="19">
        <f t="shared" si="6"/>
        <v>9.455548</v>
      </c>
      <c r="H22" s="19">
        <f t="shared" si="7"/>
        <v>0.044452</v>
      </c>
    </row>
    <row r="23" ht="15.75" customHeight="1">
      <c r="A23" s="14">
        <v>0.133</v>
      </c>
      <c r="B23" s="15">
        <f t="shared" si="1"/>
        <v>3</v>
      </c>
      <c r="C23" s="16">
        <f t="shared" si="2"/>
        <v>0.0045</v>
      </c>
      <c r="D23" s="17">
        <f t="shared" si="3"/>
        <v>0.9955</v>
      </c>
      <c r="E23" s="18">
        <f t="shared" si="4"/>
        <v>0.024</v>
      </c>
      <c r="F23" s="19">
        <f t="shared" si="5"/>
        <v>9.476</v>
      </c>
      <c r="G23" s="19">
        <f t="shared" si="6"/>
        <v>9.433358</v>
      </c>
      <c r="H23" s="19">
        <f t="shared" si="7"/>
        <v>0.066642</v>
      </c>
    </row>
    <row r="24" ht="15.75" customHeight="1">
      <c r="A24" s="14">
        <v>0.134</v>
      </c>
      <c r="B24" s="15">
        <f t="shared" si="1"/>
        <v>4</v>
      </c>
      <c r="C24" s="16">
        <f t="shared" si="2"/>
        <v>0.006</v>
      </c>
      <c r="D24" s="17">
        <f t="shared" si="3"/>
        <v>0.994</v>
      </c>
      <c r="E24" s="18">
        <f t="shared" si="4"/>
        <v>0.032</v>
      </c>
      <c r="F24" s="19">
        <f t="shared" si="5"/>
        <v>9.468</v>
      </c>
      <c r="G24" s="19">
        <f t="shared" si="6"/>
        <v>9.411192</v>
      </c>
      <c r="H24" s="19">
        <f t="shared" si="7"/>
        <v>0.088808</v>
      </c>
    </row>
    <row r="25" ht="15.75" customHeight="1">
      <c r="A25" s="14">
        <v>0.135</v>
      </c>
      <c r="B25" s="15">
        <f t="shared" si="1"/>
        <v>5</v>
      </c>
      <c r="C25" s="16">
        <f t="shared" si="2"/>
        <v>0.0075</v>
      </c>
      <c r="D25" s="17">
        <f t="shared" si="3"/>
        <v>0.9925</v>
      </c>
      <c r="E25" s="18">
        <f t="shared" si="4"/>
        <v>0.04</v>
      </c>
      <c r="F25" s="19">
        <f t="shared" si="5"/>
        <v>9.46</v>
      </c>
      <c r="G25" s="19">
        <f t="shared" si="6"/>
        <v>9.38905</v>
      </c>
      <c r="H25" s="19">
        <f t="shared" si="7"/>
        <v>0.11095</v>
      </c>
    </row>
    <row r="26" ht="15.75" customHeight="1">
      <c r="A26" s="14">
        <v>0.136</v>
      </c>
      <c r="B26" s="15">
        <f t="shared" si="1"/>
        <v>6</v>
      </c>
      <c r="C26" s="16">
        <f t="shared" si="2"/>
        <v>0.009</v>
      </c>
      <c r="D26" s="17">
        <f t="shared" si="3"/>
        <v>0.991</v>
      </c>
      <c r="E26" s="18">
        <f t="shared" si="4"/>
        <v>0.048</v>
      </c>
      <c r="F26" s="19">
        <f t="shared" si="5"/>
        <v>9.452</v>
      </c>
      <c r="G26" s="19">
        <f t="shared" si="6"/>
        <v>9.366932</v>
      </c>
      <c r="H26" s="19">
        <f t="shared" si="7"/>
        <v>0.133068</v>
      </c>
    </row>
    <row r="27" ht="15.75" customHeight="1">
      <c r="A27" s="14">
        <v>0.137</v>
      </c>
      <c r="B27" s="15">
        <f t="shared" si="1"/>
        <v>7</v>
      </c>
      <c r="C27" s="16">
        <f t="shared" si="2"/>
        <v>0.0105</v>
      </c>
      <c r="D27" s="17">
        <f t="shared" si="3"/>
        <v>0.9895</v>
      </c>
      <c r="E27" s="18">
        <f t="shared" si="4"/>
        <v>0.056</v>
      </c>
      <c r="F27" s="19">
        <f t="shared" si="5"/>
        <v>9.444</v>
      </c>
      <c r="G27" s="19">
        <f t="shared" si="6"/>
        <v>9.344838</v>
      </c>
      <c r="H27" s="19">
        <f t="shared" si="7"/>
        <v>0.155162</v>
      </c>
    </row>
    <row r="28" ht="15.75" customHeight="1">
      <c r="A28" s="14">
        <v>0.138</v>
      </c>
      <c r="B28" s="15">
        <f t="shared" si="1"/>
        <v>8</v>
      </c>
      <c r="C28" s="16">
        <f t="shared" si="2"/>
        <v>0.012</v>
      </c>
      <c r="D28" s="17">
        <f t="shared" si="3"/>
        <v>0.988</v>
      </c>
      <c r="E28" s="18">
        <f t="shared" si="4"/>
        <v>0.064</v>
      </c>
      <c r="F28" s="19">
        <f t="shared" si="5"/>
        <v>9.436</v>
      </c>
      <c r="G28" s="19">
        <f t="shared" si="6"/>
        <v>9.322768</v>
      </c>
      <c r="H28" s="19">
        <f t="shared" si="7"/>
        <v>0.177232</v>
      </c>
    </row>
    <row r="29" ht="15.75" customHeight="1">
      <c r="A29" s="14">
        <v>0.139</v>
      </c>
      <c r="B29" s="15">
        <f t="shared" si="1"/>
        <v>9</v>
      </c>
      <c r="C29" s="16">
        <f t="shared" si="2"/>
        <v>0.0135</v>
      </c>
      <c r="D29" s="17">
        <f t="shared" si="3"/>
        <v>0.9865</v>
      </c>
      <c r="E29" s="18">
        <f t="shared" si="4"/>
        <v>0.072</v>
      </c>
      <c r="F29" s="19">
        <f t="shared" si="5"/>
        <v>9.428</v>
      </c>
      <c r="G29" s="19">
        <f t="shared" si="6"/>
        <v>9.300722</v>
      </c>
      <c r="H29" s="19">
        <f t="shared" si="7"/>
        <v>0.199278</v>
      </c>
    </row>
    <row r="30" ht="15.75" customHeight="1">
      <c r="A30" s="14">
        <v>0.14</v>
      </c>
      <c r="B30" s="15">
        <f t="shared" si="1"/>
        <v>10</v>
      </c>
      <c r="C30" s="16">
        <f t="shared" si="2"/>
        <v>0.015</v>
      </c>
      <c r="D30" s="17">
        <f t="shared" si="3"/>
        <v>0.985</v>
      </c>
      <c r="E30" s="18">
        <f t="shared" si="4"/>
        <v>0.08</v>
      </c>
      <c r="F30" s="19">
        <f t="shared" si="5"/>
        <v>9.42</v>
      </c>
      <c r="G30" s="19">
        <f t="shared" si="6"/>
        <v>9.2787</v>
      </c>
      <c r="H30" s="19">
        <f t="shared" si="7"/>
        <v>0.2213</v>
      </c>
    </row>
    <row r="31" ht="15.75" customHeight="1">
      <c r="A31" s="14">
        <v>0.141</v>
      </c>
      <c r="B31" s="15">
        <f t="shared" si="1"/>
        <v>11</v>
      </c>
      <c r="C31" s="16">
        <f t="shared" si="2"/>
        <v>0.0165</v>
      </c>
      <c r="D31" s="17">
        <f t="shared" si="3"/>
        <v>0.9835</v>
      </c>
      <c r="E31" s="18">
        <f t="shared" si="4"/>
        <v>0.088</v>
      </c>
      <c r="F31" s="19">
        <f t="shared" si="5"/>
        <v>9.412</v>
      </c>
      <c r="G31" s="19">
        <f t="shared" si="6"/>
        <v>9.256702</v>
      </c>
      <c r="H31" s="19">
        <f t="shared" si="7"/>
        <v>0.243298</v>
      </c>
    </row>
    <row r="32" ht="15.75" customHeight="1">
      <c r="A32" s="14">
        <v>0.142</v>
      </c>
      <c r="B32" s="15">
        <f t="shared" si="1"/>
        <v>12</v>
      </c>
      <c r="C32" s="16">
        <f t="shared" si="2"/>
        <v>0.018</v>
      </c>
      <c r="D32" s="17">
        <f t="shared" si="3"/>
        <v>0.982</v>
      </c>
      <c r="E32" s="18">
        <f t="shared" si="4"/>
        <v>0.096</v>
      </c>
      <c r="F32" s="19">
        <f t="shared" si="5"/>
        <v>9.404</v>
      </c>
      <c r="G32" s="19">
        <f t="shared" si="6"/>
        <v>9.234728</v>
      </c>
      <c r="H32" s="19">
        <f t="shared" si="7"/>
        <v>0.265272</v>
      </c>
    </row>
    <row r="33" ht="15.75" customHeight="1">
      <c r="A33" s="14">
        <v>0.143</v>
      </c>
      <c r="B33" s="15">
        <f t="shared" si="1"/>
        <v>13</v>
      </c>
      <c r="C33" s="16">
        <f t="shared" si="2"/>
        <v>0.0195</v>
      </c>
      <c r="D33" s="17">
        <f t="shared" si="3"/>
        <v>0.9805</v>
      </c>
      <c r="E33" s="18">
        <f t="shared" si="4"/>
        <v>0.104</v>
      </c>
      <c r="F33" s="19">
        <f t="shared" si="5"/>
        <v>9.396</v>
      </c>
      <c r="G33" s="19">
        <f t="shared" si="6"/>
        <v>9.212778</v>
      </c>
      <c r="H33" s="19">
        <f t="shared" si="7"/>
        <v>0.287222</v>
      </c>
    </row>
    <row r="34" ht="15.75" customHeight="1">
      <c r="A34" s="14">
        <v>0.144</v>
      </c>
      <c r="B34" s="15">
        <f t="shared" si="1"/>
        <v>14</v>
      </c>
      <c r="C34" s="16">
        <f t="shared" si="2"/>
        <v>0.021</v>
      </c>
      <c r="D34" s="17">
        <f t="shared" si="3"/>
        <v>0.979</v>
      </c>
      <c r="E34" s="18">
        <f t="shared" si="4"/>
        <v>0.112</v>
      </c>
      <c r="F34" s="19">
        <f t="shared" si="5"/>
        <v>9.388</v>
      </c>
      <c r="G34" s="19">
        <f t="shared" si="6"/>
        <v>9.190852</v>
      </c>
      <c r="H34" s="19">
        <f t="shared" si="7"/>
        <v>0.309148</v>
      </c>
    </row>
    <row r="35" ht="15.75" customHeight="1">
      <c r="A35" s="14">
        <v>0.145</v>
      </c>
      <c r="B35" s="15">
        <f t="shared" si="1"/>
        <v>15</v>
      </c>
      <c r="C35" s="16">
        <f t="shared" si="2"/>
        <v>0.0225</v>
      </c>
      <c r="D35" s="17">
        <f t="shared" si="3"/>
        <v>0.9775</v>
      </c>
      <c r="E35" s="18">
        <f t="shared" si="4"/>
        <v>0.12</v>
      </c>
      <c r="F35" s="19">
        <f t="shared" si="5"/>
        <v>9.38</v>
      </c>
      <c r="G35" s="19">
        <f t="shared" si="6"/>
        <v>9.16895</v>
      </c>
      <c r="H35" s="19">
        <f t="shared" si="7"/>
        <v>0.33105</v>
      </c>
    </row>
    <row r="36" ht="15.75" customHeight="1">
      <c r="A36" s="14">
        <v>0.146</v>
      </c>
      <c r="B36" s="15">
        <f t="shared" si="1"/>
        <v>16</v>
      </c>
      <c r="C36" s="16">
        <f t="shared" si="2"/>
        <v>0.024</v>
      </c>
      <c r="D36" s="17">
        <f t="shared" si="3"/>
        <v>0.976</v>
      </c>
      <c r="E36" s="18">
        <f t="shared" si="4"/>
        <v>0.128</v>
      </c>
      <c r="F36" s="19">
        <f t="shared" si="5"/>
        <v>9.372</v>
      </c>
      <c r="G36" s="19">
        <f t="shared" si="6"/>
        <v>9.147072</v>
      </c>
      <c r="H36" s="19">
        <f t="shared" si="7"/>
        <v>0.352928</v>
      </c>
    </row>
    <row r="37" ht="15.75" customHeight="1">
      <c r="A37" s="20">
        <v>0.147</v>
      </c>
      <c r="B37" s="21">
        <f t="shared" si="1"/>
        <v>17</v>
      </c>
      <c r="C37" s="22">
        <f t="shared" si="2"/>
        <v>0.0255</v>
      </c>
      <c r="D37" s="23">
        <f t="shared" si="3"/>
        <v>0.9745</v>
      </c>
      <c r="E37" s="24">
        <f t="shared" si="4"/>
        <v>0.136</v>
      </c>
      <c r="F37" s="25">
        <f t="shared" si="5"/>
        <v>9.364</v>
      </c>
      <c r="G37" s="25">
        <f t="shared" si="6"/>
        <v>9.125218</v>
      </c>
      <c r="H37" s="25">
        <f t="shared" si="7"/>
        <v>0.374782</v>
      </c>
    </row>
    <row r="38" ht="15.75" customHeight="1">
      <c r="A38" s="14">
        <v>0.148</v>
      </c>
      <c r="B38" s="15">
        <f t="shared" si="1"/>
        <v>18</v>
      </c>
      <c r="C38" s="16">
        <f t="shared" si="2"/>
        <v>0.027</v>
      </c>
      <c r="D38" s="17">
        <f t="shared" si="3"/>
        <v>0.973</v>
      </c>
      <c r="E38" s="18">
        <f t="shared" si="4"/>
        <v>0.144</v>
      </c>
      <c r="F38" s="19">
        <f t="shared" si="5"/>
        <v>9.356</v>
      </c>
      <c r="G38" s="19">
        <f t="shared" si="6"/>
        <v>9.103388</v>
      </c>
      <c r="H38" s="19">
        <f t="shared" si="7"/>
        <v>0.396612</v>
      </c>
    </row>
    <row r="39" ht="15.75" customHeight="1">
      <c r="A39" s="14">
        <v>0.149</v>
      </c>
      <c r="B39" s="15">
        <f t="shared" si="1"/>
        <v>19</v>
      </c>
      <c r="C39" s="16">
        <f t="shared" si="2"/>
        <v>0.0285</v>
      </c>
      <c r="D39" s="17">
        <f t="shared" si="3"/>
        <v>0.9715</v>
      </c>
      <c r="E39" s="18">
        <f t="shared" si="4"/>
        <v>0.152</v>
      </c>
      <c r="F39" s="19">
        <f t="shared" si="5"/>
        <v>9.348</v>
      </c>
      <c r="G39" s="19">
        <f t="shared" si="6"/>
        <v>9.081582</v>
      </c>
      <c r="H39" s="19">
        <f t="shared" si="7"/>
        <v>0.418418</v>
      </c>
    </row>
    <row r="40" ht="15.75" customHeight="1">
      <c r="A40" s="14">
        <v>0.15</v>
      </c>
      <c r="B40" s="15">
        <f t="shared" si="1"/>
        <v>20</v>
      </c>
      <c r="C40" s="16">
        <f t="shared" si="2"/>
        <v>0.03</v>
      </c>
      <c r="D40" s="17">
        <f t="shared" si="3"/>
        <v>0.97</v>
      </c>
      <c r="E40" s="18">
        <f t="shared" si="4"/>
        <v>0.16</v>
      </c>
      <c r="F40" s="19">
        <f t="shared" si="5"/>
        <v>9.34</v>
      </c>
      <c r="G40" s="19">
        <f t="shared" si="6"/>
        <v>9.0598</v>
      </c>
      <c r="H40" s="19">
        <f t="shared" si="7"/>
        <v>0.4402</v>
      </c>
    </row>
    <row r="41" ht="15.75" customHeight="1">
      <c r="A41" s="14">
        <v>0.151</v>
      </c>
      <c r="B41" s="15">
        <f t="shared" si="1"/>
        <v>21</v>
      </c>
      <c r="C41" s="16">
        <f t="shared" si="2"/>
        <v>0.0315</v>
      </c>
      <c r="D41" s="17">
        <f t="shared" si="3"/>
        <v>0.9685</v>
      </c>
      <c r="E41" s="18">
        <f t="shared" si="4"/>
        <v>0.168</v>
      </c>
      <c r="F41" s="19">
        <f t="shared" si="5"/>
        <v>9.332</v>
      </c>
      <c r="G41" s="19">
        <f t="shared" si="6"/>
        <v>9.038042</v>
      </c>
      <c r="H41" s="19">
        <f t="shared" si="7"/>
        <v>0.461958</v>
      </c>
    </row>
    <row r="42" ht="15.75" customHeight="1">
      <c r="A42" s="14">
        <v>0.152</v>
      </c>
      <c r="B42" s="15">
        <f t="shared" si="1"/>
        <v>22</v>
      </c>
      <c r="C42" s="16">
        <f t="shared" si="2"/>
        <v>0.033</v>
      </c>
      <c r="D42" s="17">
        <f t="shared" si="3"/>
        <v>0.967</v>
      </c>
      <c r="E42" s="18">
        <f t="shared" si="4"/>
        <v>0.176</v>
      </c>
      <c r="F42" s="19">
        <f t="shared" si="5"/>
        <v>9.324</v>
      </c>
      <c r="G42" s="19">
        <f t="shared" si="6"/>
        <v>9.016308</v>
      </c>
      <c r="H42" s="19">
        <f t="shared" si="7"/>
        <v>0.483692</v>
      </c>
    </row>
    <row r="43" ht="15.75" customHeight="1">
      <c r="A43" s="14">
        <v>0.153</v>
      </c>
      <c r="B43" s="15">
        <f t="shared" si="1"/>
        <v>23</v>
      </c>
      <c r="C43" s="16">
        <f t="shared" si="2"/>
        <v>0.0345</v>
      </c>
      <c r="D43" s="17">
        <f t="shared" si="3"/>
        <v>0.9655</v>
      </c>
      <c r="E43" s="18">
        <f t="shared" si="4"/>
        <v>0.184</v>
      </c>
      <c r="F43" s="19">
        <f t="shared" si="5"/>
        <v>9.316</v>
      </c>
      <c r="G43" s="19">
        <f t="shared" si="6"/>
        <v>8.994598</v>
      </c>
      <c r="H43" s="19">
        <f t="shared" si="7"/>
        <v>0.505402</v>
      </c>
    </row>
    <row r="44" ht="15.75" customHeight="1">
      <c r="A44" s="14">
        <v>0.154</v>
      </c>
      <c r="B44" s="15">
        <f t="shared" si="1"/>
        <v>24</v>
      </c>
      <c r="C44" s="16">
        <f t="shared" si="2"/>
        <v>0.036</v>
      </c>
      <c r="D44" s="17">
        <f t="shared" si="3"/>
        <v>0.964</v>
      </c>
      <c r="E44" s="18">
        <f t="shared" si="4"/>
        <v>0.192</v>
      </c>
      <c r="F44" s="19">
        <f t="shared" si="5"/>
        <v>9.308</v>
      </c>
      <c r="G44" s="19">
        <f t="shared" si="6"/>
        <v>8.972912</v>
      </c>
      <c r="H44" s="19">
        <f t="shared" si="7"/>
        <v>0.527088</v>
      </c>
    </row>
    <row r="45" ht="15.75" customHeight="1">
      <c r="A45" s="14">
        <v>0.155</v>
      </c>
      <c r="B45" s="15">
        <f t="shared" si="1"/>
        <v>25</v>
      </c>
      <c r="C45" s="16">
        <f t="shared" si="2"/>
        <v>0.0375</v>
      </c>
      <c r="D45" s="17">
        <f t="shared" si="3"/>
        <v>0.9625</v>
      </c>
      <c r="E45" s="18">
        <f t="shared" si="4"/>
        <v>0.2</v>
      </c>
      <c r="F45" s="19">
        <f t="shared" si="5"/>
        <v>9.3</v>
      </c>
      <c r="G45" s="19">
        <f t="shared" si="6"/>
        <v>8.95125</v>
      </c>
      <c r="H45" s="19">
        <f t="shared" si="7"/>
        <v>0.54875</v>
      </c>
    </row>
    <row r="46" ht="15.75" customHeight="1">
      <c r="A46" s="14">
        <v>0.156</v>
      </c>
      <c r="B46" s="15">
        <f t="shared" si="1"/>
        <v>26</v>
      </c>
      <c r="C46" s="16">
        <f t="shared" si="2"/>
        <v>0.039</v>
      </c>
      <c r="D46" s="17">
        <f t="shared" si="3"/>
        <v>0.961</v>
      </c>
      <c r="E46" s="18">
        <f t="shared" si="4"/>
        <v>0.208</v>
      </c>
      <c r="F46" s="19">
        <f t="shared" si="5"/>
        <v>9.292</v>
      </c>
      <c r="G46" s="19">
        <f t="shared" si="6"/>
        <v>8.929612</v>
      </c>
      <c r="H46" s="19">
        <f t="shared" si="7"/>
        <v>0.570388</v>
      </c>
    </row>
    <row r="47" ht="15.75" customHeight="1">
      <c r="A47" s="14">
        <v>0.157</v>
      </c>
      <c r="B47" s="15">
        <f t="shared" si="1"/>
        <v>27</v>
      </c>
      <c r="C47" s="16">
        <f t="shared" si="2"/>
        <v>0.0405</v>
      </c>
      <c r="D47" s="17">
        <f t="shared" si="3"/>
        <v>0.9595</v>
      </c>
      <c r="E47" s="18">
        <f t="shared" si="4"/>
        <v>0.216</v>
      </c>
      <c r="F47" s="19">
        <f t="shared" si="5"/>
        <v>9.284</v>
      </c>
      <c r="G47" s="19">
        <f t="shared" si="6"/>
        <v>8.907998</v>
      </c>
      <c r="H47" s="19">
        <f t="shared" si="7"/>
        <v>0.592002</v>
      </c>
    </row>
    <row r="48" ht="15.75" customHeight="1">
      <c r="A48" s="14">
        <v>0.158</v>
      </c>
      <c r="B48" s="15">
        <f t="shared" si="1"/>
        <v>28</v>
      </c>
      <c r="C48" s="16">
        <f t="shared" si="2"/>
        <v>0.042</v>
      </c>
      <c r="D48" s="17">
        <f t="shared" si="3"/>
        <v>0.958</v>
      </c>
      <c r="E48" s="18">
        <f t="shared" si="4"/>
        <v>0.224</v>
      </c>
      <c r="F48" s="19">
        <f t="shared" si="5"/>
        <v>9.276</v>
      </c>
      <c r="G48" s="19">
        <f t="shared" si="6"/>
        <v>8.886408</v>
      </c>
      <c r="H48" s="19">
        <f t="shared" si="7"/>
        <v>0.613592</v>
      </c>
    </row>
    <row r="49" ht="15.75" customHeight="1">
      <c r="A49" s="14">
        <v>0.159</v>
      </c>
      <c r="B49" s="15">
        <f t="shared" si="1"/>
        <v>29</v>
      </c>
      <c r="C49" s="16">
        <f t="shared" si="2"/>
        <v>0.0435</v>
      </c>
      <c r="D49" s="17">
        <f t="shared" si="3"/>
        <v>0.9565</v>
      </c>
      <c r="E49" s="18">
        <f t="shared" si="4"/>
        <v>0.232</v>
      </c>
      <c r="F49" s="19">
        <f t="shared" si="5"/>
        <v>9.268</v>
      </c>
      <c r="G49" s="19">
        <f t="shared" si="6"/>
        <v>8.864842</v>
      </c>
      <c r="H49" s="19">
        <f t="shared" si="7"/>
        <v>0.635158</v>
      </c>
    </row>
    <row r="50" ht="15.75" customHeight="1">
      <c r="A50" s="14">
        <v>0.16</v>
      </c>
      <c r="B50" s="15">
        <f t="shared" si="1"/>
        <v>30</v>
      </c>
      <c r="C50" s="16">
        <f t="shared" si="2"/>
        <v>0.045</v>
      </c>
      <c r="D50" s="17">
        <f t="shared" si="3"/>
        <v>0.955</v>
      </c>
      <c r="E50" s="18">
        <f t="shared" si="4"/>
        <v>0.24</v>
      </c>
      <c r="F50" s="19">
        <f t="shared" si="5"/>
        <v>9.26</v>
      </c>
      <c r="G50" s="19">
        <f t="shared" si="6"/>
        <v>8.8433</v>
      </c>
      <c r="H50" s="19">
        <f t="shared" si="7"/>
        <v>0.6567</v>
      </c>
    </row>
    <row r="51" ht="15.75" customHeight="1">
      <c r="A51" s="14">
        <v>0.161</v>
      </c>
      <c r="B51" s="15">
        <f t="shared" si="1"/>
        <v>31</v>
      </c>
      <c r="C51" s="16">
        <f t="shared" si="2"/>
        <v>0.0465</v>
      </c>
      <c r="D51" s="17">
        <f t="shared" si="3"/>
        <v>0.9535</v>
      </c>
      <c r="E51" s="18">
        <f t="shared" si="4"/>
        <v>0.248</v>
      </c>
      <c r="F51" s="19">
        <f t="shared" si="5"/>
        <v>9.252</v>
      </c>
      <c r="G51" s="19">
        <f t="shared" si="6"/>
        <v>8.821782</v>
      </c>
      <c r="H51" s="19">
        <f t="shared" si="7"/>
        <v>0.678218</v>
      </c>
    </row>
    <row r="52" ht="15.75" customHeight="1">
      <c r="A52" s="14">
        <v>0.162</v>
      </c>
      <c r="B52" s="15">
        <f t="shared" si="1"/>
        <v>32</v>
      </c>
      <c r="C52" s="16">
        <f t="shared" si="2"/>
        <v>0.048</v>
      </c>
      <c r="D52" s="17">
        <f t="shared" si="3"/>
        <v>0.952</v>
      </c>
      <c r="E52" s="18">
        <f t="shared" si="4"/>
        <v>0.256</v>
      </c>
      <c r="F52" s="19">
        <f t="shared" si="5"/>
        <v>9.244</v>
      </c>
      <c r="G52" s="19">
        <f t="shared" si="6"/>
        <v>8.800288</v>
      </c>
      <c r="H52" s="19">
        <f t="shared" si="7"/>
        <v>0.699712</v>
      </c>
    </row>
    <row r="53" ht="15.75" customHeight="1">
      <c r="A53" s="14">
        <v>0.163</v>
      </c>
      <c r="B53" s="15">
        <f t="shared" si="1"/>
        <v>33</v>
      </c>
      <c r="C53" s="16">
        <f t="shared" si="2"/>
        <v>0.0495</v>
      </c>
      <c r="D53" s="17">
        <f t="shared" si="3"/>
        <v>0.9505</v>
      </c>
      <c r="E53" s="18">
        <f t="shared" si="4"/>
        <v>0.264</v>
      </c>
      <c r="F53" s="19">
        <f t="shared" si="5"/>
        <v>9.236</v>
      </c>
      <c r="G53" s="19">
        <f t="shared" si="6"/>
        <v>8.778818</v>
      </c>
      <c r="H53" s="19">
        <f t="shared" si="7"/>
        <v>0.721182</v>
      </c>
    </row>
    <row r="54" ht="15.75" customHeight="1">
      <c r="A54" s="14">
        <v>0.164</v>
      </c>
      <c r="B54" s="15">
        <f t="shared" si="1"/>
        <v>34</v>
      </c>
      <c r="C54" s="16">
        <f t="shared" si="2"/>
        <v>0.051</v>
      </c>
      <c r="D54" s="17">
        <f t="shared" si="3"/>
        <v>0.949</v>
      </c>
      <c r="E54" s="18">
        <f t="shared" si="4"/>
        <v>0.272</v>
      </c>
      <c r="F54" s="19">
        <f t="shared" si="5"/>
        <v>9.228</v>
      </c>
      <c r="G54" s="19">
        <f t="shared" si="6"/>
        <v>8.757372</v>
      </c>
      <c r="H54" s="19">
        <f t="shared" si="7"/>
        <v>0.742628</v>
      </c>
    </row>
    <row r="55" ht="15.75" customHeight="1">
      <c r="A55" s="14">
        <v>0.165</v>
      </c>
      <c r="B55" s="15">
        <f t="shared" si="1"/>
        <v>35</v>
      </c>
      <c r="C55" s="16">
        <f t="shared" si="2"/>
        <v>0.0525</v>
      </c>
      <c r="D55" s="17">
        <f t="shared" si="3"/>
        <v>0.9475</v>
      </c>
      <c r="E55" s="18">
        <f t="shared" si="4"/>
        <v>0.28</v>
      </c>
      <c r="F55" s="19">
        <f t="shared" si="5"/>
        <v>9.22</v>
      </c>
      <c r="G55" s="19">
        <f t="shared" si="6"/>
        <v>8.73595</v>
      </c>
      <c r="H55" s="19">
        <f t="shared" si="7"/>
        <v>0.76405</v>
      </c>
    </row>
    <row r="56" ht="15.75" customHeight="1">
      <c r="A56" s="14">
        <v>0.166</v>
      </c>
      <c r="B56" s="15">
        <f t="shared" si="1"/>
        <v>36</v>
      </c>
      <c r="C56" s="16">
        <f t="shared" si="2"/>
        <v>0.054</v>
      </c>
      <c r="D56" s="17">
        <f t="shared" si="3"/>
        <v>0.946</v>
      </c>
      <c r="E56" s="18">
        <f t="shared" si="4"/>
        <v>0.288</v>
      </c>
      <c r="F56" s="19">
        <f t="shared" si="5"/>
        <v>9.212</v>
      </c>
      <c r="G56" s="19">
        <f t="shared" si="6"/>
        <v>8.714552</v>
      </c>
      <c r="H56" s="19">
        <f t="shared" si="7"/>
        <v>0.785448</v>
      </c>
    </row>
    <row r="57" ht="15.75" customHeight="1">
      <c r="A57" s="14">
        <v>0.167</v>
      </c>
      <c r="B57" s="15">
        <f t="shared" si="1"/>
        <v>37</v>
      </c>
      <c r="C57" s="16">
        <f t="shared" si="2"/>
        <v>0.0555</v>
      </c>
      <c r="D57" s="17">
        <f t="shared" si="3"/>
        <v>0.9445</v>
      </c>
      <c r="E57" s="18">
        <f t="shared" si="4"/>
        <v>0.296</v>
      </c>
      <c r="F57" s="19">
        <f t="shared" si="5"/>
        <v>9.204</v>
      </c>
      <c r="G57" s="19">
        <f t="shared" si="6"/>
        <v>8.693178</v>
      </c>
      <c r="H57" s="19">
        <f t="shared" si="7"/>
        <v>0.806822</v>
      </c>
    </row>
    <row r="58" ht="15.75" customHeight="1">
      <c r="A58" s="14">
        <v>0.168</v>
      </c>
      <c r="B58" s="15">
        <f t="shared" si="1"/>
        <v>38</v>
      </c>
      <c r="C58" s="16">
        <f t="shared" si="2"/>
        <v>0.057</v>
      </c>
      <c r="D58" s="17">
        <f t="shared" si="3"/>
        <v>0.943</v>
      </c>
      <c r="E58" s="18">
        <f t="shared" si="4"/>
        <v>0.304</v>
      </c>
      <c r="F58" s="19">
        <f t="shared" si="5"/>
        <v>9.196</v>
      </c>
      <c r="G58" s="19">
        <f t="shared" si="6"/>
        <v>8.671828</v>
      </c>
      <c r="H58" s="19">
        <f t="shared" si="7"/>
        <v>0.828172</v>
      </c>
    </row>
    <row r="59" ht="15.75" customHeight="1">
      <c r="A59" s="14">
        <v>0.169</v>
      </c>
      <c r="B59" s="15">
        <f t="shared" si="1"/>
        <v>39</v>
      </c>
      <c r="C59" s="16">
        <f t="shared" si="2"/>
        <v>0.0585</v>
      </c>
      <c r="D59" s="17">
        <f t="shared" si="3"/>
        <v>0.9415</v>
      </c>
      <c r="E59" s="18">
        <f t="shared" si="4"/>
        <v>0.312</v>
      </c>
      <c r="F59" s="19">
        <f t="shared" si="5"/>
        <v>9.188</v>
      </c>
      <c r="G59" s="19">
        <f t="shared" si="6"/>
        <v>8.650502</v>
      </c>
      <c r="H59" s="19">
        <f t="shared" si="7"/>
        <v>0.849498</v>
      </c>
    </row>
    <row r="60" ht="15.75" customHeight="1">
      <c r="A60" s="14">
        <v>0.17</v>
      </c>
      <c r="B60" s="15">
        <f t="shared" si="1"/>
        <v>40</v>
      </c>
      <c r="C60" s="16">
        <f t="shared" si="2"/>
        <v>0.06</v>
      </c>
      <c r="D60" s="17">
        <f t="shared" si="3"/>
        <v>0.94</v>
      </c>
      <c r="E60" s="18">
        <f t="shared" si="4"/>
        <v>0.32</v>
      </c>
      <c r="F60" s="19">
        <f t="shared" si="5"/>
        <v>9.18</v>
      </c>
      <c r="G60" s="19">
        <f t="shared" si="6"/>
        <v>8.6292</v>
      </c>
      <c r="H60" s="19">
        <f t="shared" si="7"/>
        <v>0.8708</v>
      </c>
    </row>
    <row r="61" ht="15.75" customHeight="1">
      <c r="A61" s="14">
        <v>0.171</v>
      </c>
      <c r="B61" s="15">
        <f t="shared" si="1"/>
        <v>41</v>
      </c>
      <c r="C61" s="16">
        <f t="shared" si="2"/>
        <v>0.0615</v>
      </c>
      <c r="D61" s="17">
        <f t="shared" si="3"/>
        <v>0.9385</v>
      </c>
      <c r="E61" s="18">
        <f t="shared" si="4"/>
        <v>0.328</v>
      </c>
      <c r="F61" s="19">
        <f t="shared" si="5"/>
        <v>9.172</v>
      </c>
      <c r="G61" s="19">
        <f t="shared" si="6"/>
        <v>8.607922</v>
      </c>
      <c r="H61" s="19">
        <f t="shared" si="7"/>
        <v>0.892078</v>
      </c>
    </row>
    <row r="62" ht="15.75" customHeight="1">
      <c r="A62" s="14">
        <v>0.172</v>
      </c>
      <c r="B62" s="15">
        <f t="shared" si="1"/>
        <v>42</v>
      </c>
      <c r="C62" s="16">
        <f t="shared" si="2"/>
        <v>0.063</v>
      </c>
      <c r="D62" s="17">
        <f t="shared" si="3"/>
        <v>0.937</v>
      </c>
      <c r="E62" s="18">
        <f t="shared" si="4"/>
        <v>0.336</v>
      </c>
      <c r="F62" s="19">
        <f t="shared" si="5"/>
        <v>9.164</v>
      </c>
      <c r="G62" s="19">
        <f t="shared" si="6"/>
        <v>8.586668</v>
      </c>
      <c r="H62" s="19">
        <f t="shared" si="7"/>
        <v>0.913332</v>
      </c>
    </row>
    <row r="63" ht="15.75" customHeight="1">
      <c r="A63" s="14">
        <v>0.173</v>
      </c>
      <c r="B63" s="15">
        <f t="shared" si="1"/>
        <v>43</v>
      </c>
      <c r="C63" s="16">
        <f t="shared" si="2"/>
        <v>0.0645</v>
      </c>
      <c r="D63" s="17">
        <f t="shared" si="3"/>
        <v>0.9355</v>
      </c>
      <c r="E63" s="18">
        <f t="shared" si="4"/>
        <v>0.344</v>
      </c>
      <c r="F63" s="19">
        <f t="shared" si="5"/>
        <v>9.156</v>
      </c>
      <c r="G63" s="19">
        <f t="shared" si="6"/>
        <v>8.565438</v>
      </c>
      <c r="H63" s="19">
        <f t="shared" si="7"/>
        <v>0.934562</v>
      </c>
    </row>
    <row r="64" ht="15.75" customHeight="1">
      <c r="A64" s="14">
        <v>0.174</v>
      </c>
      <c r="B64" s="15">
        <f t="shared" si="1"/>
        <v>44</v>
      </c>
      <c r="C64" s="16">
        <f t="shared" si="2"/>
        <v>0.066</v>
      </c>
      <c r="D64" s="17">
        <f t="shared" si="3"/>
        <v>0.934</v>
      </c>
      <c r="E64" s="18">
        <f t="shared" si="4"/>
        <v>0.352</v>
      </c>
      <c r="F64" s="19">
        <f t="shared" si="5"/>
        <v>9.148</v>
      </c>
      <c r="G64" s="19">
        <f t="shared" si="6"/>
        <v>8.544232</v>
      </c>
      <c r="H64" s="19">
        <f t="shared" si="7"/>
        <v>0.955768</v>
      </c>
    </row>
    <row r="65" ht="15.75" customHeight="1">
      <c r="A65" s="14">
        <v>0.175</v>
      </c>
      <c r="B65" s="15">
        <f t="shared" si="1"/>
        <v>45</v>
      </c>
      <c r="C65" s="16">
        <f t="shared" si="2"/>
        <v>0.0675</v>
      </c>
      <c r="D65" s="17">
        <f t="shared" si="3"/>
        <v>0.9325</v>
      </c>
      <c r="E65" s="18">
        <f t="shared" si="4"/>
        <v>0.36</v>
      </c>
      <c r="F65" s="19">
        <f t="shared" si="5"/>
        <v>9.14</v>
      </c>
      <c r="G65" s="19">
        <f t="shared" si="6"/>
        <v>8.52305</v>
      </c>
      <c r="H65" s="19">
        <f t="shared" si="7"/>
        <v>0.97695</v>
      </c>
    </row>
    <row r="66" ht="15.75" customHeight="1">
      <c r="A66" s="14">
        <v>0.176</v>
      </c>
      <c r="B66" s="15">
        <f t="shared" si="1"/>
        <v>46</v>
      </c>
      <c r="C66" s="16">
        <f t="shared" si="2"/>
        <v>0.069</v>
      </c>
      <c r="D66" s="17">
        <f t="shared" si="3"/>
        <v>0.931</v>
      </c>
      <c r="E66" s="18">
        <f t="shared" si="4"/>
        <v>0.368</v>
      </c>
      <c r="F66" s="19">
        <f t="shared" si="5"/>
        <v>9.132</v>
      </c>
      <c r="G66" s="19">
        <f t="shared" si="6"/>
        <v>8.501892</v>
      </c>
      <c r="H66" s="19">
        <f t="shared" si="7"/>
        <v>0.998108</v>
      </c>
    </row>
    <row r="67" ht="15.75" customHeight="1">
      <c r="A67" s="14">
        <v>0.177</v>
      </c>
      <c r="B67" s="15">
        <f t="shared" si="1"/>
        <v>47</v>
      </c>
      <c r="C67" s="16">
        <f t="shared" si="2"/>
        <v>0.0705</v>
      </c>
      <c r="D67" s="17">
        <f t="shared" si="3"/>
        <v>0.9295</v>
      </c>
      <c r="E67" s="18">
        <f t="shared" si="4"/>
        <v>0.376</v>
      </c>
      <c r="F67" s="19">
        <f t="shared" si="5"/>
        <v>9.124</v>
      </c>
      <c r="G67" s="19">
        <f t="shared" si="6"/>
        <v>8.480758</v>
      </c>
      <c r="H67" s="19">
        <f t="shared" si="7"/>
        <v>1.019242</v>
      </c>
    </row>
    <row r="68" ht="15.75" customHeight="1">
      <c r="A68" s="14">
        <v>0.178</v>
      </c>
      <c r="B68" s="15">
        <f t="shared" si="1"/>
        <v>48</v>
      </c>
      <c r="C68" s="16">
        <f t="shared" si="2"/>
        <v>0.072</v>
      </c>
      <c r="D68" s="17">
        <f t="shared" si="3"/>
        <v>0.928</v>
      </c>
      <c r="E68" s="18">
        <f t="shared" si="4"/>
        <v>0.384</v>
      </c>
      <c r="F68" s="19">
        <f t="shared" si="5"/>
        <v>9.116</v>
      </c>
      <c r="G68" s="19">
        <f t="shared" si="6"/>
        <v>8.459648</v>
      </c>
      <c r="H68" s="19">
        <f t="shared" si="7"/>
        <v>1.040352</v>
      </c>
    </row>
    <row r="69" ht="15.75" customHeight="1">
      <c r="A69" s="14">
        <v>0.179</v>
      </c>
      <c r="B69" s="15">
        <f t="shared" si="1"/>
        <v>49</v>
      </c>
      <c r="C69" s="16">
        <f t="shared" si="2"/>
        <v>0.0735</v>
      </c>
      <c r="D69" s="17">
        <f t="shared" si="3"/>
        <v>0.9265</v>
      </c>
      <c r="E69" s="18">
        <f t="shared" si="4"/>
        <v>0.392</v>
      </c>
      <c r="F69" s="19">
        <f t="shared" si="5"/>
        <v>9.108</v>
      </c>
      <c r="G69" s="19">
        <f t="shared" si="6"/>
        <v>8.438562</v>
      </c>
      <c r="H69" s="19">
        <f t="shared" si="7"/>
        <v>1.061438</v>
      </c>
    </row>
    <row r="70" ht="15.75" customHeight="1">
      <c r="A70" s="14">
        <v>0.18</v>
      </c>
      <c r="B70" s="15">
        <f t="shared" si="1"/>
        <v>50</v>
      </c>
      <c r="C70" s="16">
        <f t="shared" si="2"/>
        <v>0.075</v>
      </c>
      <c r="D70" s="17">
        <f t="shared" si="3"/>
        <v>0.925</v>
      </c>
      <c r="E70" s="18">
        <f t="shared" si="4"/>
        <v>0.4</v>
      </c>
      <c r="F70" s="19">
        <f t="shared" si="5"/>
        <v>9.1</v>
      </c>
      <c r="G70" s="19">
        <f t="shared" si="6"/>
        <v>8.4175</v>
      </c>
      <c r="H70" s="19">
        <f t="shared" si="7"/>
        <v>1.0825</v>
      </c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6" t="s">
        <v>22</v>
      </c>
      <c r="B72" s="2"/>
      <c r="C72" s="2"/>
      <c r="D72" s="2"/>
      <c r="E72" s="2"/>
      <c r="F72" s="2"/>
      <c r="G72" s="2"/>
      <c r="H72" s="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