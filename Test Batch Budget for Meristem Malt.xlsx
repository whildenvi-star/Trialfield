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rew Budget" sheetId="1" r:id="rId5"/>
    <sheet state="visible" name="Batch Run Estimates" sheetId="2" r:id="rId6"/>
    <sheet state="visible" name="Sheet4" sheetId="3" r:id="rId7"/>
  </sheets>
  <definedNames/>
  <calcPr/>
</workbook>
</file>

<file path=xl/sharedStrings.xml><?xml version="1.0" encoding="utf-8"?>
<sst xmlns="http://schemas.openxmlformats.org/spreadsheetml/2006/main" count="82" uniqueCount="80">
  <si>
    <t>Requested Expenses</t>
  </si>
  <si>
    <t>Pay attached invoice with AAM6998 Hannah Francis / Meristem Malt - Karben4 Brewing - Invoice E-4902</t>
  </si>
  <si>
    <t>Description (Include who will be paid and for what services or goods)</t>
  </si>
  <si>
    <t>Approximate Date Expense Incurred</t>
  </si>
  <si>
    <t>Cost</t>
  </si>
  <si>
    <t>Date Expenses Incurred</t>
  </si>
  <si>
    <t>Karben4</t>
  </si>
  <si>
    <t>Giant Jones</t>
  </si>
  <si>
    <t>Beer brewing labor from Karben4 (Joe Walts) and Giant Jones (Jessica Jones) for $550 per batch, with option for two more test batches = $1100</t>
  </si>
  <si>
    <t>Cream Ale Pilot Batch released 03/23/2024</t>
  </si>
  <si>
    <t>Space Rental @ Giant Jones and Karben4 for sensory evaluation</t>
  </si>
  <si>
    <t>Brewery ingredients (hops, malt) to Karben4 and Giant Jones
 Hops at $5 per batch x 4 batches = $20. Our malt needs to sell at $3-5 per pound (Whilden Hughes’s barley, equipment, time). 450 lbs for all batches x $5 = $2250</t>
  </si>
  <si>
    <t xml:space="preserve">Need to pay Willie $2000 for Malt </t>
  </si>
  <si>
    <t>Extra $250 from malt labor (use $100 for Jessica's batch)</t>
  </si>
  <si>
    <t>Malting labor (Brian Atkinson and Willie Hughes) $25-35/hr at 14 active hours = $490</t>
  </si>
  <si>
    <t>Need to pay B &amp;W $490 for labor</t>
  </si>
  <si>
    <t>Grain testing analysis to MSU Barley Malt Lab OR USDA Malt Quality Lab in Madison, WI</t>
  </si>
  <si>
    <t>02/14/2024 got malt tested and analysed</t>
  </si>
  <si>
    <t>-</t>
  </si>
  <si>
    <t>Raw barley, food-grade (30 bushels at $17/bu)</t>
  </si>
  <si>
    <t>02/22/2024 Willie Hughes Grain</t>
  </si>
  <si>
    <t>Total $ 4700</t>
  </si>
  <si>
    <t>Paid:</t>
  </si>
  <si>
    <t>As of 05/20/2024 have paid</t>
  </si>
  <si>
    <t>Requested Jessica invoice $700 ($698.86) 05/22/2024</t>
  </si>
  <si>
    <t>Will pay Willie and Brian for labor and malt</t>
  </si>
  <si>
    <t>Leaves an extra $350</t>
  </si>
  <si>
    <t>Meristem Malt Budget 2025</t>
  </si>
  <si>
    <t>REVENUE</t>
  </si>
  <si>
    <t>Malt Type</t>
  </si>
  <si>
    <t>Organic corn</t>
  </si>
  <si>
    <t>Total Revenue</t>
  </si>
  <si>
    <t>EXPENSES</t>
  </si>
  <si>
    <t>Water</t>
  </si>
  <si>
    <t>per batch</t>
  </si>
  <si>
    <t>Immediate Needs</t>
  </si>
  <si>
    <t>Electrical</t>
  </si>
  <si>
    <t>Willie-- electrial costs of operating the machine</t>
  </si>
  <si>
    <t>Grain</t>
  </si>
  <si>
    <t>Willie-- reimbursing you for grain</t>
  </si>
  <si>
    <t>Labor (Brian, Willie, Hannah time)</t>
  </si>
  <si>
    <t>$35/hr</t>
  </si>
  <si>
    <t>Willie and Brian-- an appropriate hourly rate for everyone including the time getting to and from the operation</t>
  </si>
  <si>
    <t>Grain testing</t>
  </si>
  <si>
    <t>$150 for full analysis</t>
  </si>
  <si>
    <t>Hartwick college number</t>
  </si>
  <si>
    <t>Commercial Space</t>
  </si>
  <si>
    <t>$6/ft/year in 20x30 ft space ($3 low, $8 high)</t>
  </si>
  <si>
    <t>Estimate for commercial space triple net</t>
  </si>
  <si>
    <t>Test Batch</t>
  </si>
  <si>
    <t>Reimburse GJ</t>
  </si>
  <si>
    <t>8 Poly Pro Boxes</t>
  </si>
  <si>
    <t>$600 each</t>
  </si>
  <si>
    <t>seed probox used</t>
  </si>
  <si>
    <t>Data Loggers</t>
  </si>
  <si>
    <t>Recent quote from Thomas Scientific</t>
  </si>
  <si>
    <t>Moisture Balance</t>
  </si>
  <si>
    <t>on sale now $2,692.80</t>
  </si>
  <si>
    <t>50 lb sacks</t>
  </si>
  <si>
    <t>minimum order amount?</t>
  </si>
  <si>
    <t>Bag stitcher</t>
  </si>
  <si>
    <t>Whole system with conveyor is $7500</t>
  </si>
  <si>
    <t>Eventual Needs</t>
  </si>
  <si>
    <t>Packaging</t>
  </si>
  <si>
    <t>Marketing</t>
  </si>
  <si>
    <t>LLC?</t>
  </si>
  <si>
    <t>Education?</t>
  </si>
  <si>
    <t>New equipment?</t>
  </si>
  <si>
    <t>New facility?</t>
  </si>
  <si>
    <t>Total Expense</t>
  </si>
  <si>
    <t>Net</t>
  </si>
  <si>
    <t>Malt type</t>
  </si>
  <si>
    <t>Price per lb</t>
  </si>
  <si>
    <t>corn</t>
  </si>
  <si>
    <t>Barley</t>
  </si>
  <si>
    <t>wheat</t>
  </si>
  <si>
    <t>rye</t>
  </si>
  <si>
    <t>organic barley</t>
  </si>
  <si>
    <t>organic wheat</t>
  </si>
  <si>
    <t>organic rye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</si>
</sst>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m/dd/yyyy"/>
    <numFmt numFmtId="165" formatCode="&quot;$&quot;#,##0"/>
    <numFmt numFmtId="166" formatCode="&quot;$&quot;#,##0.00"/>
    <numFmt numFmtId="167" formatCode="_(&quot;$&quot;* #,##0.00_);_(&quot;$&quot;* \(#,##0.00\);_(&quot;$&quot;* &quot;-&quot;??_);_(@_)"/>
  </numFmts>
  <fonts count="9">
    <font>
      <sz val="10.0"/>
      <color rgb="FF000000"/>
      <name val="Arial"/>
      <scheme val="minor"/>
    </font>
    <font>
      <b/>
      <sz val="11.0"/>
      <color rgb="FF000000"/>
      <name val="Arial"/>
    </font>
    <font/>
    <font>
      <color theme="1"/>
      <name val="Arial"/>
      <scheme val="minor"/>
    </font>
    <font>
      <sz val="11.0"/>
      <color rgb="FF000000"/>
      <name val="Arial"/>
    </font>
    <font>
      <sz val="11.0"/>
      <color theme="1"/>
      <name val="Calibri"/>
    </font>
    <font>
      <color theme="1"/>
      <name val="Arial"/>
    </font>
    <font>
      <b/>
      <sz val="11.0"/>
      <color theme="1"/>
      <name val="Calibri"/>
    </font>
    <font>
      <strike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EF2CB"/>
        <bgColor rgb="FFFEF2CB"/>
      </patternFill>
    </fill>
    <fill>
      <patternFill patternType="solid">
        <fgColor rgb="FFDEEAF6"/>
        <bgColor rgb="FFDEEAF6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top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readingOrder="0"/>
    </xf>
    <xf borderId="4" fillId="0" fontId="4" numFmtId="0" xfId="0" applyAlignment="1" applyBorder="1" applyFont="1">
      <alignment horizontal="center" readingOrder="0" shrinkToFit="0" vertical="top" wrapText="1"/>
    </xf>
    <xf borderId="5" fillId="0" fontId="4" numFmtId="0" xfId="0" applyAlignment="1" applyBorder="1" applyFont="1">
      <alignment horizontal="center" readingOrder="0" vertical="top"/>
    </xf>
    <xf borderId="4" fillId="0" fontId="4" numFmtId="0" xfId="0" applyAlignment="1" applyBorder="1" applyFont="1">
      <alignment readingOrder="0" shrinkToFit="0" vertical="top" wrapText="1"/>
    </xf>
    <xf borderId="5" fillId="0" fontId="4" numFmtId="164" xfId="0" applyAlignment="1" applyBorder="1" applyFont="1" applyNumberFormat="1">
      <alignment horizontal="center" readingOrder="0" vertical="top"/>
    </xf>
    <xf borderId="5" fillId="0" fontId="4" numFmtId="165" xfId="0" applyAlignment="1" applyBorder="1" applyFont="1" applyNumberFormat="1">
      <alignment horizontal="center" readingOrder="0" vertical="top"/>
    </xf>
    <xf borderId="0" fillId="0" fontId="3" numFmtId="165" xfId="0" applyAlignment="1" applyFont="1" applyNumberFormat="1">
      <alignment readingOrder="0"/>
    </xf>
    <xf borderId="0" fillId="0" fontId="3" numFmtId="0" xfId="0" applyFont="1"/>
    <xf borderId="6" fillId="0" fontId="1" numFmtId="0" xfId="0" applyAlignment="1" applyBorder="1" applyFont="1">
      <alignment horizontal="center" readingOrder="0" vertical="top"/>
    </xf>
    <xf borderId="7" fillId="0" fontId="2" numFmtId="0" xfId="0" applyBorder="1" applyFont="1"/>
    <xf borderId="5" fillId="0" fontId="2" numFmtId="0" xfId="0" applyBorder="1" applyFont="1"/>
    <xf borderId="0" fillId="0" fontId="3" numFmtId="165" xfId="0" applyFont="1" applyNumberFormat="1"/>
    <xf borderId="0" fillId="0" fontId="3" numFmtId="166" xfId="0" applyFont="1" applyNumberFormat="1"/>
    <xf borderId="0" fillId="0" fontId="3" numFmtId="166" xfId="0" applyAlignment="1" applyFont="1" applyNumberFormat="1">
      <alignment readingOrder="0"/>
    </xf>
    <xf borderId="0" fillId="0" fontId="5" numFmtId="0" xfId="0" applyAlignment="1" applyFont="1">
      <alignment readingOrder="0" vertical="bottom"/>
    </xf>
    <xf borderId="0" fillId="0" fontId="6" numFmtId="0" xfId="0" applyAlignment="1" applyFont="1">
      <alignment vertical="bottom"/>
    </xf>
    <xf borderId="0" fillId="0" fontId="6" numFmtId="167" xfId="0" applyAlignment="1" applyFont="1" applyNumberFormat="1">
      <alignment vertical="bottom"/>
    </xf>
    <xf borderId="0" fillId="0" fontId="7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5" numFmtId="167" xfId="0" applyAlignment="1" applyFont="1" applyNumberForma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7" numFmtId="0" xfId="0" applyAlignment="1" applyFont="1">
      <alignment horizontal="right" vertical="bottom"/>
    </xf>
    <xf borderId="0" fillId="2" fontId="5" numFmtId="167" xfId="0" applyAlignment="1" applyFill="1" applyFont="1" applyNumberFormat="1">
      <alignment horizontal="right" vertical="bottom"/>
    </xf>
    <xf borderId="0" fillId="0" fontId="6" numFmtId="0" xfId="0" applyAlignment="1" applyFont="1">
      <alignment readingOrder="0" vertical="bottom"/>
    </xf>
    <xf borderId="0" fillId="0" fontId="5" numFmtId="166" xfId="0" applyAlignment="1" applyFont="1" applyNumberFormat="1">
      <alignment horizontal="right" vertical="bottom"/>
    </xf>
    <xf borderId="0" fillId="0" fontId="6" numFmtId="166" xfId="0" applyAlignment="1" applyFont="1" applyNumberFormat="1">
      <alignment vertical="bottom"/>
    </xf>
    <xf borderId="0" fillId="0" fontId="6" numFmtId="166" xfId="0" applyAlignment="1" applyFont="1" applyNumberFormat="1">
      <alignment horizontal="right" vertical="bottom"/>
    </xf>
    <xf borderId="0" fillId="0" fontId="6" numFmtId="165" xfId="0" applyAlignment="1" applyFont="1" applyNumberFormat="1">
      <alignment horizontal="right" vertical="bottom"/>
    </xf>
    <xf borderId="0" fillId="0" fontId="6" numFmtId="0" xfId="0" applyAlignment="1" applyFont="1">
      <alignment horizontal="right" vertical="bottom"/>
    </xf>
    <xf borderId="0" fillId="0" fontId="8" numFmtId="166" xfId="0" applyAlignment="1" applyFont="1" applyNumberFormat="1">
      <alignment horizontal="right" vertical="bottom"/>
    </xf>
    <xf borderId="0" fillId="3" fontId="5" numFmtId="167" xfId="0" applyAlignment="1" applyFill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5.75"/>
    <col customWidth="1" min="2" max="2" width="30.5"/>
    <col customWidth="1" min="4" max="4" width="38.13"/>
  </cols>
  <sheetData>
    <row r="1">
      <c r="A1" s="1" t="s">
        <v>0</v>
      </c>
      <c r="B1" s="2"/>
      <c r="C1" s="3"/>
      <c r="D1" s="4" t="s">
        <v>1</v>
      </c>
    </row>
    <row r="2">
      <c r="A2" s="5" t="s">
        <v>2</v>
      </c>
      <c r="B2" s="6" t="s">
        <v>3</v>
      </c>
      <c r="C2" s="6" t="s">
        <v>4</v>
      </c>
      <c r="D2" s="4" t="s">
        <v>5</v>
      </c>
      <c r="E2" s="4" t="s">
        <v>6</v>
      </c>
      <c r="F2" s="4" t="s">
        <v>7</v>
      </c>
    </row>
    <row r="3">
      <c r="A3" s="7" t="s">
        <v>8</v>
      </c>
      <c r="B3" s="8">
        <v>45363.0</v>
      </c>
      <c r="C3" s="9">
        <v>1100.0</v>
      </c>
      <c r="D3" s="4" t="s">
        <v>9</v>
      </c>
      <c r="E3" s="10">
        <v>500.0</v>
      </c>
      <c r="F3" s="11">
        <f>1100-500</f>
        <v>600</v>
      </c>
    </row>
    <row r="4">
      <c r="A4" s="7" t="s">
        <v>10</v>
      </c>
      <c r="B4" s="8">
        <v>45376.0</v>
      </c>
      <c r="C4" s="9">
        <v>0.0</v>
      </c>
    </row>
    <row r="5">
      <c r="A5" s="7" t="s">
        <v>11</v>
      </c>
      <c r="B5" s="8">
        <v>45363.0</v>
      </c>
      <c r="C5" s="9">
        <v>2240.0</v>
      </c>
      <c r="D5" s="4" t="s">
        <v>12</v>
      </c>
      <c r="F5" s="4" t="s">
        <v>13</v>
      </c>
    </row>
    <row r="6">
      <c r="A6" s="7" t="s">
        <v>14</v>
      </c>
      <c r="B6" s="8">
        <v>45352.0</v>
      </c>
      <c r="C6" s="9">
        <v>490.0</v>
      </c>
      <c r="D6" s="4" t="s">
        <v>15</v>
      </c>
    </row>
    <row r="7">
      <c r="A7" s="7" t="s">
        <v>16</v>
      </c>
      <c r="B7" s="8">
        <v>45361.0</v>
      </c>
      <c r="C7" s="9">
        <v>150.0</v>
      </c>
      <c r="D7" s="4" t="s">
        <v>17</v>
      </c>
      <c r="E7" s="10">
        <v>150.0</v>
      </c>
      <c r="F7" s="4" t="s">
        <v>18</v>
      </c>
    </row>
    <row r="8">
      <c r="A8" s="7" t="s">
        <v>19</v>
      </c>
      <c r="B8" s="8">
        <v>45346.0</v>
      </c>
      <c r="C8" s="9">
        <v>720.0</v>
      </c>
      <c r="D8" s="4" t="s">
        <v>20</v>
      </c>
      <c r="E8" s="10">
        <v>510.0</v>
      </c>
      <c r="F8" s="4" t="s">
        <v>18</v>
      </c>
    </row>
    <row r="9">
      <c r="A9" s="12" t="s">
        <v>21</v>
      </c>
      <c r="B9" s="13"/>
      <c r="C9" s="14"/>
    </row>
    <row r="10">
      <c r="E10" s="4" t="s">
        <v>22</v>
      </c>
    </row>
    <row r="11">
      <c r="C11" s="15">
        <f>SUM(C3,C5,C6)</f>
        <v>3830</v>
      </c>
      <c r="D11" s="4" t="s">
        <v>23</v>
      </c>
      <c r="E11" s="16">
        <f>E8+E7+E3</f>
        <v>1160</v>
      </c>
    </row>
    <row r="12">
      <c r="D12" s="4" t="s">
        <v>24</v>
      </c>
      <c r="E12" s="17">
        <v>700.0</v>
      </c>
    </row>
    <row r="13">
      <c r="D13" s="4" t="s">
        <v>25</v>
      </c>
      <c r="E13" s="17">
        <v>2700.0</v>
      </c>
    </row>
    <row r="14">
      <c r="D14" s="4" t="s">
        <v>26</v>
      </c>
    </row>
    <row r="16">
      <c r="E16" s="16">
        <f>SUM(E11:E13)</f>
        <v>4560</v>
      </c>
    </row>
  </sheetData>
  <mergeCells count="2">
    <mergeCell ref="A1:C1"/>
    <mergeCell ref="A9:C9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30.13"/>
    <col customWidth="1" min="3" max="3" width="23.13"/>
  </cols>
  <sheetData>
    <row r="1">
      <c r="A1" s="18" t="s">
        <v>27</v>
      </c>
      <c r="B1" s="19"/>
      <c r="C1" s="20"/>
      <c r="D1" s="19"/>
      <c r="E1" s="19"/>
    </row>
    <row r="2">
      <c r="A2" s="19"/>
      <c r="B2" s="21" t="s">
        <v>28</v>
      </c>
      <c r="C2" s="19"/>
      <c r="D2" s="20"/>
      <c r="E2" s="19"/>
    </row>
    <row r="3">
      <c r="A3" s="19"/>
      <c r="B3" s="22" t="s">
        <v>29</v>
      </c>
      <c r="C3" s="18" t="s">
        <v>30</v>
      </c>
      <c r="D3" s="23">
        <v>0.0</v>
      </c>
      <c r="E3" s="19"/>
    </row>
    <row r="4">
      <c r="A4" s="19"/>
      <c r="B4" s="24"/>
      <c r="C4" s="25"/>
      <c r="D4" s="23"/>
      <c r="E4" s="19"/>
    </row>
    <row r="5">
      <c r="A5" s="19"/>
      <c r="B5" s="24"/>
      <c r="C5" s="25"/>
      <c r="D5" s="23"/>
      <c r="E5" s="19"/>
    </row>
    <row r="6">
      <c r="A6" s="19"/>
      <c r="B6" s="24"/>
      <c r="C6" s="25"/>
      <c r="D6" s="23"/>
      <c r="E6" s="19"/>
    </row>
    <row r="7">
      <c r="A7" s="19"/>
      <c r="B7" s="24"/>
      <c r="C7" s="25"/>
      <c r="D7" s="23"/>
      <c r="E7" s="19"/>
    </row>
    <row r="8">
      <c r="A8" s="19"/>
      <c r="B8" s="24"/>
      <c r="C8" s="25"/>
      <c r="D8" s="23"/>
      <c r="E8" s="19"/>
    </row>
    <row r="9">
      <c r="A9" s="19"/>
      <c r="B9" s="24"/>
      <c r="C9" s="25"/>
      <c r="D9" s="23"/>
      <c r="E9" s="19"/>
    </row>
    <row r="10">
      <c r="A10" s="19"/>
      <c r="B10" s="19"/>
      <c r="C10" s="19"/>
      <c r="D10" s="20"/>
      <c r="E10" s="19"/>
    </row>
    <row r="11">
      <c r="A11" s="19"/>
      <c r="B11" s="26" t="s">
        <v>31</v>
      </c>
      <c r="C11" s="19"/>
      <c r="D11" s="27">
        <f>SUM(D3:D10)</f>
        <v>0</v>
      </c>
      <c r="E11" s="19"/>
    </row>
    <row r="12">
      <c r="A12" s="19"/>
      <c r="B12" s="19"/>
      <c r="C12" s="19"/>
      <c r="D12" s="20"/>
      <c r="E12" s="19"/>
    </row>
    <row r="13">
      <c r="A13" s="19"/>
      <c r="B13" s="21" t="s">
        <v>32</v>
      </c>
      <c r="C13" s="19"/>
      <c r="D13" s="20"/>
      <c r="E13" s="19"/>
    </row>
    <row r="14">
      <c r="A14" s="19"/>
      <c r="B14" s="24" t="s">
        <v>33</v>
      </c>
      <c r="C14" s="19"/>
      <c r="D14" s="23">
        <v>1.3</v>
      </c>
      <c r="E14" s="19" t="s">
        <v>34</v>
      </c>
    </row>
    <row r="15">
      <c r="A15" s="21" t="s">
        <v>35</v>
      </c>
      <c r="B15" s="24" t="s">
        <v>36</v>
      </c>
      <c r="C15" s="19"/>
      <c r="D15" s="23">
        <v>100.0</v>
      </c>
      <c r="E15" s="19" t="s">
        <v>37</v>
      </c>
    </row>
    <row r="16">
      <c r="A16" s="19"/>
      <c r="B16" s="24" t="s">
        <v>38</v>
      </c>
      <c r="C16" s="19"/>
      <c r="D16" s="23">
        <v>0.0</v>
      </c>
      <c r="E16" s="19" t="s">
        <v>39</v>
      </c>
    </row>
    <row r="17">
      <c r="A17" s="19"/>
      <c r="B17" s="25" t="s">
        <v>40</v>
      </c>
      <c r="C17" s="28" t="s">
        <v>41</v>
      </c>
      <c r="D17" s="23">
        <f>14*35</f>
        <v>490</v>
      </c>
      <c r="E17" s="28" t="s">
        <v>42</v>
      </c>
    </row>
    <row r="18">
      <c r="A18" s="19"/>
      <c r="B18" s="19" t="s">
        <v>43</v>
      </c>
      <c r="C18" s="19" t="s">
        <v>44</v>
      </c>
      <c r="D18" s="29">
        <v>150.0</v>
      </c>
      <c r="E18" s="19" t="s">
        <v>45</v>
      </c>
    </row>
    <row r="19">
      <c r="A19" s="19"/>
      <c r="B19" s="28" t="s">
        <v>46</v>
      </c>
      <c r="C19" s="28" t="s">
        <v>47</v>
      </c>
      <c r="D19" s="30">
        <f>6*(20*30)</f>
        <v>3600</v>
      </c>
      <c r="E19" s="28" t="s">
        <v>48</v>
      </c>
    </row>
    <row r="20">
      <c r="A20" s="19"/>
      <c r="B20" s="19" t="s">
        <v>49</v>
      </c>
      <c r="C20" s="19" t="s">
        <v>50</v>
      </c>
      <c r="D20" s="19"/>
      <c r="E20" s="19"/>
    </row>
    <row r="21">
      <c r="A21" s="19"/>
      <c r="B21" s="19" t="s">
        <v>51</v>
      </c>
      <c r="C21" s="19" t="s">
        <v>52</v>
      </c>
      <c r="D21" s="31">
        <f>8*600</f>
        <v>4800</v>
      </c>
      <c r="E21" s="19" t="s">
        <v>53</v>
      </c>
    </row>
    <row r="22">
      <c r="A22" s="19"/>
      <c r="B22" s="19" t="s">
        <v>54</v>
      </c>
      <c r="C22" s="19"/>
      <c r="D22" s="32">
        <v>924.73</v>
      </c>
      <c r="E22" s="19" t="s">
        <v>55</v>
      </c>
    </row>
    <row r="23">
      <c r="A23" s="19"/>
      <c r="B23" s="19" t="s">
        <v>56</v>
      </c>
      <c r="C23" s="19"/>
      <c r="D23" s="31">
        <v>4000.0</v>
      </c>
      <c r="E23" s="19" t="s">
        <v>57</v>
      </c>
    </row>
    <row r="24">
      <c r="A24" s="19"/>
      <c r="B24" s="19" t="s">
        <v>58</v>
      </c>
      <c r="C24" s="19"/>
      <c r="D24" s="32">
        <v>500.0</v>
      </c>
      <c r="E24" s="19" t="s">
        <v>59</v>
      </c>
    </row>
    <row r="25">
      <c r="A25" s="19"/>
      <c r="B25" s="19" t="s">
        <v>60</v>
      </c>
      <c r="C25" s="19" t="s">
        <v>61</v>
      </c>
      <c r="D25" s="33">
        <v>395.42</v>
      </c>
      <c r="E25" s="34">
        <v>7500.0</v>
      </c>
    </row>
    <row r="26">
      <c r="A26" s="19"/>
      <c r="B26" s="19"/>
      <c r="C26" s="19"/>
      <c r="D26" s="20"/>
      <c r="E26" s="19"/>
    </row>
    <row r="27">
      <c r="A27" s="21" t="s">
        <v>62</v>
      </c>
      <c r="B27" s="19" t="s">
        <v>63</v>
      </c>
      <c r="C27" s="19"/>
      <c r="D27" s="23">
        <v>0.0</v>
      </c>
      <c r="E27" s="19"/>
    </row>
    <row r="28">
      <c r="A28" s="19"/>
      <c r="B28" s="19" t="s">
        <v>64</v>
      </c>
      <c r="C28" s="19"/>
      <c r="D28" s="23">
        <v>0.0</v>
      </c>
      <c r="E28" s="19"/>
    </row>
    <row r="29">
      <c r="A29" s="19"/>
      <c r="B29" s="19" t="s">
        <v>65</v>
      </c>
      <c r="C29" s="19"/>
      <c r="D29" s="23">
        <v>0.0</v>
      </c>
      <c r="E29" s="19"/>
    </row>
    <row r="30">
      <c r="A30" s="19"/>
      <c r="B30" s="19" t="s">
        <v>66</v>
      </c>
      <c r="C30" s="19"/>
      <c r="D30" s="23">
        <v>0.0</v>
      </c>
      <c r="E30" s="19"/>
    </row>
    <row r="31">
      <c r="A31" s="19"/>
      <c r="B31" s="24" t="s">
        <v>67</v>
      </c>
      <c r="C31" s="19"/>
      <c r="D31" s="23">
        <v>0.0</v>
      </c>
      <c r="E31" s="19"/>
    </row>
    <row r="32">
      <c r="A32" s="19"/>
      <c r="B32" s="19" t="s">
        <v>68</v>
      </c>
      <c r="C32" s="19"/>
      <c r="D32" s="23">
        <v>0.0</v>
      </c>
      <c r="E32" s="19"/>
    </row>
    <row r="33">
      <c r="A33" s="19"/>
      <c r="B33" s="19"/>
      <c r="C33" s="19"/>
      <c r="D33" s="19"/>
      <c r="E33" s="19"/>
    </row>
    <row r="34">
      <c r="A34" s="19"/>
      <c r="B34" s="26" t="s">
        <v>69</v>
      </c>
      <c r="C34" s="19"/>
      <c r="D34" s="27">
        <f>SUM(D15:D31)</f>
        <v>14960.15</v>
      </c>
      <c r="E34" s="19"/>
    </row>
    <row r="35">
      <c r="A35" s="19"/>
      <c r="B35" s="19"/>
      <c r="C35" s="20"/>
      <c r="D35" s="19"/>
      <c r="E35" s="19"/>
    </row>
    <row r="36">
      <c r="A36" s="26" t="s">
        <v>70</v>
      </c>
      <c r="B36" s="19"/>
      <c r="C36" s="35">
        <f>D11-D34</f>
        <v>-14960.15</v>
      </c>
      <c r="D36" s="19"/>
      <c r="E36" s="19"/>
    </row>
  </sheetData>
  <dataValidations>
    <dataValidation type="list" allowBlank="1" showErrorMessage="1" sqref="C3">
      <formula1>Sheet4!$A$2:$A$9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71</v>
      </c>
      <c r="B1" s="4" t="s">
        <v>72</v>
      </c>
    </row>
    <row r="2">
      <c r="A2" s="4" t="s">
        <v>73</v>
      </c>
      <c r="B2" s="4">
        <v>3.0</v>
      </c>
    </row>
    <row r="3">
      <c r="A3" s="4" t="s">
        <v>74</v>
      </c>
      <c r="B3" s="4">
        <v>3.0</v>
      </c>
    </row>
    <row r="4">
      <c r="A4" s="4" t="s">
        <v>75</v>
      </c>
      <c r="B4" s="4">
        <v>3.0</v>
      </c>
    </row>
    <row r="5">
      <c r="A5" s="4" t="s">
        <v>76</v>
      </c>
      <c r="B5" s="4">
        <v>3.0</v>
      </c>
    </row>
    <row r="6">
      <c r="A6" s="4" t="s">
        <v>30</v>
      </c>
      <c r="B6" s="4">
        <v>5.0</v>
      </c>
    </row>
    <row r="7">
      <c r="A7" s="4" t="s">
        <v>77</v>
      </c>
      <c r="B7" s="4">
        <v>5.0</v>
      </c>
    </row>
    <row r="8">
      <c r="A8" s="4" t="s">
        <v>78</v>
      </c>
      <c r="B8" s="4">
        <v>5.0</v>
      </c>
    </row>
    <row r="9">
      <c r="A9" s="4" t="s">
        <v>79</v>
      </c>
      <c r="B9" s="4">
        <v>5.0</v>
      </c>
    </row>
  </sheetData>
  <drawing r:id="rId1"/>
</worksheet>
</file>