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4"/>
    <sheet state="visible" name="Farms" sheetId="2" r:id="rId5"/>
    <sheet state="visible" name="Data2" sheetId="3" r:id="rId6"/>
    <sheet state="visible" name="Data Lookup" sheetId="4" r:id="rId7"/>
    <sheet state="visible" name="Data" sheetId="5" r:id="rId8"/>
  </sheets>
  <definedNames/>
  <calcPr/>
</workbook>
</file>

<file path=xl/sharedStrings.xml><?xml version="1.0" encoding="utf-8"?>
<sst xmlns="http://schemas.openxmlformats.org/spreadsheetml/2006/main" count="2482" uniqueCount="1186">
  <si>
    <t xml:space="preserve"> </t>
  </si>
  <si>
    <r>
      <rPr>
        <rFont val="Old Standard TT"/>
        <b/>
        <color rgb="FF073763"/>
        <sz val="40.0"/>
      </rPr>
      <t xml:space="preserve">RANDY'S </t>
    </r>
    <r>
      <rPr>
        <rFont val="Old Standard TT"/>
        <b/>
        <color rgb="FFFFFF00"/>
        <sz val="40.0"/>
      </rPr>
      <t>2025</t>
    </r>
    <r>
      <rPr>
        <rFont val="Old Standard TT"/>
        <b/>
        <color rgb="FF073763"/>
        <sz val="40.0"/>
      </rPr>
      <t xml:space="preserve"> GRAIN TICKET ENTRY</t>
    </r>
  </si>
  <si>
    <t>/</t>
  </si>
  <si>
    <t>Dates:</t>
  </si>
  <si>
    <t>Farm</t>
  </si>
  <si>
    <t xml:space="preserve">Jones </t>
  </si>
  <si>
    <t>Net Weight</t>
  </si>
  <si>
    <t>Moisture %</t>
  </si>
  <si>
    <t>Crop</t>
  </si>
  <si>
    <t>Organic Blue Corn</t>
  </si>
  <si>
    <t>Ticket Number</t>
  </si>
  <si>
    <t>531-040638</t>
  </si>
  <si>
    <t>Notes</t>
  </si>
  <si>
    <t>HBT# 5314 Bob Trk# 3</t>
  </si>
  <si>
    <t>FM</t>
  </si>
  <si>
    <t xml:space="preserve">Total  </t>
  </si>
  <si>
    <t>unit</t>
  </si>
  <si>
    <t>Yield/AC</t>
  </si>
  <si>
    <t>Guarantee</t>
  </si>
  <si>
    <t>Coverage</t>
  </si>
  <si>
    <t>Claim threshhold</t>
  </si>
  <si>
    <t>Discount</t>
  </si>
  <si>
    <t>Test weight</t>
  </si>
  <si>
    <t>Drivers</t>
  </si>
  <si>
    <t>Trucks</t>
  </si>
  <si>
    <t xml:space="preserve">Rye </t>
  </si>
  <si>
    <t>Airport</t>
  </si>
  <si>
    <t>BU</t>
  </si>
  <si>
    <t>Conventional</t>
  </si>
  <si>
    <t>Randy H.</t>
  </si>
  <si>
    <t>Airport - Knilans</t>
  </si>
  <si>
    <t>Organic Rye &amp; VETCH</t>
  </si>
  <si>
    <t>Avalon Rd.</t>
  </si>
  <si>
    <t>Organic</t>
  </si>
  <si>
    <t>Randy S.</t>
  </si>
  <si>
    <t>Non-GMO Yellow Corn</t>
  </si>
  <si>
    <t>bakke</t>
  </si>
  <si>
    <t>Tim</t>
  </si>
  <si>
    <t>Hybrid Rye</t>
  </si>
  <si>
    <t xml:space="preserve">blue </t>
  </si>
  <si>
    <t>Robert</t>
  </si>
  <si>
    <t>Rye</t>
  </si>
  <si>
    <t>blue crop #2</t>
  </si>
  <si>
    <t>Lima Beans</t>
  </si>
  <si>
    <t>buchanon crop #1</t>
  </si>
  <si>
    <t>Tons</t>
  </si>
  <si>
    <t>Tristan</t>
  </si>
  <si>
    <t>Enlist Soybeans</t>
  </si>
  <si>
    <t>buchanon crop #2</t>
  </si>
  <si>
    <t>Organic Soybeans</t>
  </si>
  <si>
    <t xml:space="preserve">Caravilla </t>
  </si>
  <si>
    <t>Willie</t>
  </si>
  <si>
    <t>262 OR Seed beans</t>
  </si>
  <si>
    <t>carrol</t>
  </si>
  <si>
    <t>Julianne</t>
  </si>
  <si>
    <t>Non-GMO Seed Grade Beans</t>
  </si>
  <si>
    <t xml:space="preserve">Cuff </t>
  </si>
  <si>
    <t>Gary</t>
  </si>
  <si>
    <t>Cullen</t>
  </si>
  <si>
    <t>Daun</t>
  </si>
  <si>
    <t>delong avon</t>
  </si>
  <si>
    <t>delong christopherson</t>
  </si>
  <si>
    <t>delong meyer</t>
  </si>
  <si>
    <t>elwoods</t>
  </si>
  <si>
    <t>fagan</t>
  </si>
  <si>
    <t>Fletcher Cribben</t>
  </si>
  <si>
    <t>fox den</t>
  </si>
  <si>
    <t>fox kettle</t>
  </si>
  <si>
    <t xml:space="preserve">fox kettle little </t>
  </si>
  <si>
    <t>fox lemans</t>
  </si>
  <si>
    <t>gessley</t>
  </si>
  <si>
    <t>Organic Sweet Corn</t>
  </si>
  <si>
    <t>Goat Pasture</t>
  </si>
  <si>
    <t xml:space="preserve">Gessert </t>
  </si>
  <si>
    <t xml:space="preserve">hoff </t>
  </si>
  <si>
    <t>home</t>
  </si>
  <si>
    <t>inman</t>
  </si>
  <si>
    <t xml:space="preserve">Inman, Brads </t>
  </si>
  <si>
    <t xml:space="preserve">jehovah crop </t>
  </si>
  <si>
    <t>Organic Peas</t>
  </si>
  <si>
    <t>Kopp East Crop #1</t>
  </si>
  <si>
    <t>Kopp West Crop #1</t>
  </si>
  <si>
    <t>Organic Snap Beans</t>
  </si>
  <si>
    <t>Kopp East Crop #2-1</t>
  </si>
  <si>
    <t>Kopp East Crop #2-2</t>
  </si>
  <si>
    <t>Kopp West Crop #2</t>
  </si>
  <si>
    <t>Klug North</t>
  </si>
  <si>
    <t>lake</t>
  </si>
  <si>
    <t>DF EX25C2.5 Soybeans</t>
  </si>
  <si>
    <t>larson</t>
  </si>
  <si>
    <t>conventional</t>
  </si>
  <si>
    <t>murray</t>
  </si>
  <si>
    <t>New Life</t>
  </si>
  <si>
    <t>155 OR Seed beans</t>
  </si>
  <si>
    <t>Omni, OM1</t>
  </si>
  <si>
    <t>organic</t>
  </si>
  <si>
    <t>223 OR Seed Beans</t>
  </si>
  <si>
    <t>Omni, OM2</t>
  </si>
  <si>
    <t>Omni , Crop #1</t>
  </si>
  <si>
    <t>202 OR Seed Beans</t>
  </si>
  <si>
    <t>Omni , Crop #2</t>
  </si>
  <si>
    <t>Sweet Corn</t>
  </si>
  <si>
    <t>Philhower East</t>
  </si>
  <si>
    <t>Philhower West</t>
  </si>
  <si>
    <t>Pioneer 21A20 Food beans</t>
  </si>
  <si>
    <t xml:space="preserve">Schultz </t>
  </si>
  <si>
    <t>schwellenbach</t>
  </si>
  <si>
    <t>Organic Wheat</t>
  </si>
  <si>
    <t xml:space="preserve">Simpsons </t>
  </si>
  <si>
    <t>Lbs</t>
  </si>
  <si>
    <t>suiter</t>
  </si>
  <si>
    <t>Noss, Jeff</t>
  </si>
  <si>
    <t>Torkelson - East</t>
  </si>
  <si>
    <t>Noss, Jessie</t>
  </si>
  <si>
    <t>Noss, Sid</t>
  </si>
  <si>
    <t>Peas</t>
  </si>
  <si>
    <t>Townline North Crop 1</t>
  </si>
  <si>
    <t>Townline South Crop 1</t>
  </si>
  <si>
    <t>Snap Beans</t>
  </si>
  <si>
    <t>Townline N&amp;S Crop 2</t>
  </si>
  <si>
    <t xml:space="preserve">Turkey Deer </t>
  </si>
  <si>
    <t>Twist</t>
  </si>
  <si>
    <t>Wes Crop 1</t>
  </si>
  <si>
    <t>Wes crop 2</t>
  </si>
  <si>
    <t>As of 11/29/21</t>
  </si>
  <si>
    <t>Foreign Material</t>
  </si>
  <si>
    <t>Test Weight</t>
  </si>
  <si>
    <t>Moisture shrink</t>
  </si>
  <si>
    <t>Total Bu</t>
  </si>
  <si>
    <t>CROPS</t>
  </si>
  <si>
    <t>Non-GMO Blue Corn</t>
  </si>
  <si>
    <t>Non-GMO White Corn</t>
  </si>
  <si>
    <t>Shell Corn</t>
  </si>
  <si>
    <t>Organic Yellow Corn</t>
  </si>
  <si>
    <t>Organic Barley</t>
  </si>
  <si>
    <t>Organic Sorghum</t>
  </si>
  <si>
    <t>Organic Sunflowers</t>
  </si>
  <si>
    <t>Winter Camelina</t>
  </si>
  <si>
    <t>Hay</t>
  </si>
  <si>
    <t>Split crops</t>
  </si>
  <si>
    <t>Prevent plant</t>
  </si>
  <si>
    <t>bypassed</t>
  </si>
  <si>
    <t>Organic White Corn</t>
  </si>
  <si>
    <t>Organic Seed Corn</t>
  </si>
  <si>
    <t>Kernza</t>
  </si>
  <si>
    <t>Acre</t>
  </si>
  <si>
    <t>Each</t>
  </si>
  <si>
    <t>Gal</t>
  </si>
  <si>
    <t>FM Discount Factor</t>
  </si>
  <si>
    <t>GROSS BU</t>
  </si>
  <si>
    <t>NET BU IF SOLD</t>
  </si>
  <si>
    <t>Moisture Shrink</t>
  </si>
  <si>
    <t>r</t>
  </si>
  <si>
    <t>Ticket Data Lookup Form</t>
  </si>
  <si>
    <t>Date:</t>
  </si>
  <si>
    <t>Farm:</t>
  </si>
  <si>
    <t>OMNI</t>
  </si>
  <si>
    <t>Net Weight:</t>
  </si>
  <si>
    <t>Moisture:</t>
  </si>
  <si>
    <t>H053910</t>
  </si>
  <si>
    <t>Notes:</t>
  </si>
  <si>
    <t>Date</t>
  </si>
  <si>
    <t>FARM</t>
  </si>
  <si>
    <t>NET WEIGHT</t>
  </si>
  <si>
    <t>MOISTURE</t>
  </si>
  <si>
    <t>CROP</t>
  </si>
  <si>
    <t>TICKET NO.</t>
  </si>
  <si>
    <t>NOTES</t>
  </si>
  <si>
    <t>H066666</t>
  </si>
  <si>
    <t>HBT# 5652 WR Trk# 41</t>
  </si>
  <si>
    <t>H066668</t>
  </si>
  <si>
    <t>HBT# 3122 Bob Trk# 5</t>
  </si>
  <si>
    <t>H066671</t>
  </si>
  <si>
    <t>HBT# 4558 Bob Trk# 63</t>
  </si>
  <si>
    <t>H066672</t>
  </si>
  <si>
    <t>HBT# 5653 WR Trk# 41</t>
  </si>
  <si>
    <t>H066673</t>
  </si>
  <si>
    <t>HBT# 3124 Bob Trk# 5</t>
  </si>
  <si>
    <t>H066675</t>
  </si>
  <si>
    <t>HBT# 3125 Julianne Trk# 5</t>
  </si>
  <si>
    <t>H066676</t>
  </si>
  <si>
    <t>HBT# 5515 WR Trk# 5</t>
  </si>
  <si>
    <t>H066677</t>
  </si>
  <si>
    <t>HBT# 4559 Gary Trk#63</t>
  </si>
  <si>
    <t>H066679</t>
  </si>
  <si>
    <t>HBT# 5654 Gary Trk# 41</t>
  </si>
  <si>
    <t>H066689</t>
  </si>
  <si>
    <t>HBT# 3126 Julianne Trk# 5</t>
  </si>
  <si>
    <t>H066690</t>
  </si>
  <si>
    <t>HBT# 4560 Bob Trk# 63</t>
  </si>
  <si>
    <t>H066691</t>
  </si>
  <si>
    <t>HBT# 5516  Tanner Trk# 2</t>
  </si>
  <si>
    <t>H066693</t>
  </si>
  <si>
    <t>HBT# 4561  Bob Trk# 63</t>
  </si>
  <si>
    <t>H066694</t>
  </si>
  <si>
    <t>HBT# 4562  Bob Trk# 63</t>
  </si>
  <si>
    <t>H066695</t>
  </si>
  <si>
    <t>HBT# 4563  Bob Trk# 63</t>
  </si>
  <si>
    <t>H066696</t>
  </si>
  <si>
    <t>HBT# 5517 Tanner Trk# 2</t>
  </si>
  <si>
    <t>H066697</t>
  </si>
  <si>
    <t>HBT# 3127 4 Trk# 5 Julianne</t>
  </si>
  <si>
    <t>H066700</t>
  </si>
  <si>
    <t xml:space="preserve">Blue Ticket 5075 truck 3 Bob </t>
  </si>
  <si>
    <t>H066701</t>
  </si>
  <si>
    <t>HBT# 4564 Airport Hipps Truck # 5 Bob Blue</t>
  </si>
  <si>
    <t>H066702</t>
  </si>
  <si>
    <t>HBT#3128 Airport Hipps Truck # 5 Bob</t>
  </si>
  <si>
    <t>H066703</t>
  </si>
  <si>
    <t>Hipps and Jrs HBT # 5076 #3 Bob</t>
  </si>
  <si>
    <t>H066704</t>
  </si>
  <si>
    <t>Hipps Juniors HBT# 5518 Bob #2</t>
  </si>
  <si>
    <t>H066705</t>
  </si>
  <si>
    <t xml:space="preserve">HBT# 4565  Bob  # 63 trailer 4 last load of Rye </t>
  </si>
  <si>
    <t>0548919</t>
  </si>
  <si>
    <t>HBT# 5859 Bob Trk# 3</t>
  </si>
  <si>
    <t>0548922</t>
  </si>
  <si>
    <t>HBT#5534 Tanner Trk# 2</t>
  </si>
  <si>
    <t>0548924</t>
  </si>
  <si>
    <t xml:space="preserve">HBT#4575 Jack Trk# 63 </t>
  </si>
  <si>
    <t>0548928</t>
  </si>
  <si>
    <t>HBT#5754 WDH Trk# 4</t>
  </si>
  <si>
    <t>0548931</t>
  </si>
  <si>
    <t>HBT#5201  JB Trk# 5</t>
  </si>
  <si>
    <t>0548932</t>
  </si>
  <si>
    <t>HBT#5860 Bob Trk# 3 Last Load</t>
  </si>
  <si>
    <t>00130</t>
  </si>
  <si>
    <t>HBT#5070 Bob Trk # 3 1st load</t>
  </si>
  <si>
    <t>00131</t>
  </si>
  <si>
    <t>HBT# 5506  Bob Trk 2</t>
  </si>
  <si>
    <t>00136</t>
  </si>
  <si>
    <t>HBT#3117 Gary Trk 5</t>
  </si>
  <si>
    <t>00137</t>
  </si>
  <si>
    <t>HBT# 5071 Bob Trk # 3</t>
  </si>
  <si>
    <t>00140</t>
  </si>
  <si>
    <t>HBT# 5507 Tanner Trk # 2</t>
  </si>
  <si>
    <t>00141</t>
  </si>
  <si>
    <t>HBT# 4553 WDH Trk # 63</t>
  </si>
  <si>
    <t>00143</t>
  </si>
  <si>
    <t>HBT# 3118 Gary Trk # 5</t>
  </si>
  <si>
    <t>00144</t>
  </si>
  <si>
    <t>HBT# 5072 Bob Trk # 3</t>
  </si>
  <si>
    <t>00145</t>
  </si>
  <si>
    <t>HBT# 5508 Tanner Trk # 2</t>
  </si>
  <si>
    <t>00146</t>
  </si>
  <si>
    <t>HBT# 4380 Gary  Trk # 4</t>
  </si>
  <si>
    <t>00150</t>
  </si>
  <si>
    <t>HBT# 5701 Bob  Trk # 5</t>
  </si>
  <si>
    <t>00152</t>
  </si>
  <si>
    <t>HBT# 4554 Bob Trk# 5</t>
  </si>
  <si>
    <t>00156</t>
  </si>
  <si>
    <t>HBT# 5509 Tanner Trk# 2</t>
  </si>
  <si>
    <t>00158</t>
  </si>
  <si>
    <t>HBT# 4381 Bob Trk# 4</t>
  </si>
  <si>
    <t>00165</t>
  </si>
  <si>
    <t>HBT# 3119 Bob Trk# 5  Last Load</t>
  </si>
  <si>
    <t>H066664</t>
  </si>
  <si>
    <t>HBT# 1601   JB Trk Tandem - Clean out</t>
  </si>
  <si>
    <t>531-041005 - 9,16</t>
  </si>
  <si>
    <t>Seneca</t>
  </si>
  <si>
    <t>M038432</t>
  </si>
  <si>
    <t>Split Load HBT#5091 Bob Trk# 3</t>
  </si>
  <si>
    <t>262</t>
  </si>
  <si>
    <t>GR01 Ken Trucked</t>
  </si>
  <si>
    <t>67963</t>
  </si>
  <si>
    <t>Scoular</t>
  </si>
  <si>
    <t>76806</t>
  </si>
  <si>
    <t>0263</t>
  </si>
  <si>
    <t xml:space="preserve">HBT# 3132 WDH Trk # 5  </t>
  </si>
  <si>
    <t>0264</t>
  </si>
  <si>
    <t>HBT# 5081 Bob Trk # 5</t>
  </si>
  <si>
    <t>0281</t>
  </si>
  <si>
    <t xml:space="preserve">HBT# 5083 Bob Trk# 3 </t>
  </si>
  <si>
    <t>0282</t>
  </si>
  <si>
    <t>HBT#4567 5083 Bob Trk# 63</t>
  </si>
  <si>
    <t>0287</t>
  </si>
  <si>
    <t>HBT#3133 Bob Trk#5</t>
  </si>
  <si>
    <t>0320</t>
  </si>
  <si>
    <t>HBT#5084 Bob Trk# 5</t>
  </si>
  <si>
    <t>67962</t>
  </si>
  <si>
    <t>HBt#3134 WR Trk# 41 Scoular</t>
  </si>
  <si>
    <t>HBT# 4569 WR Trk# Bernies Scoular</t>
  </si>
  <si>
    <t>00331</t>
  </si>
  <si>
    <t xml:space="preserve">HBT# 5085 Bob  Trk# 5 </t>
  </si>
  <si>
    <t>00333</t>
  </si>
  <si>
    <t xml:space="preserve">HBT# 5657 Bob   Trk# 5 </t>
  </si>
  <si>
    <t>00334</t>
  </si>
  <si>
    <t xml:space="preserve">HBT# 5086 Bob  Trk# 5 </t>
  </si>
  <si>
    <t>00335</t>
  </si>
  <si>
    <t xml:space="preserve">HBT# 5558 WD Trk# 41 </t>
  </si>
  <si>
    <t>00336</t>
  </si>
  <si>
    <t>HBT# 50587 Bob  Trk# 3</t>
  </si>
  <si>
    <t>00337</t>
  </si>
  <si>
    <t>HBT# 4570 Bob  Trk# 63</t>
  </si>
  <si>
    <t>00338</t>
  </si>
  <si>
    <t>HBT# 5558 WD  Trk# 41</t>
  </si>
  <si>
    <t>0549093</t>
  </si>
  <si>
    <t>HBT#5543 TL Trk# 2</t>
  </si>
  <si>
    <t>2549100</t>
  </si>
  <si>
    <t>HBT#5763 WDH Trk# 4 Last Load</t>
  </si>
  <si>
    <t>B0118826</t>
  </si>
  <si>
    <t>HBT#5364 Jack Trk # 63</t>
  </si>
  <si>
    <t>B0118827</t>
  </si>
  <si>
    <t>HBT#5006 Bob  Trk # 3</t>
  </si>
  <si>
    <t>B0118829</t>
  </si>
  <si>
    <t>HBT#5789 BK Trk # 4</t>
  </si>
  <si>
    <t>B0118830</t>
  </si>
  <si>
    <t>HBT#5212 JB  Trk # 5</t>
  </si>
  <si>
    <t>B0118836</t>
  </si>
  <si>
    <t>HBT#5007 Bob Trk # 3</t>
  </si>
  <si>
    <t>B0118837</t>
  </si>
  <si>
    <t>HBT5365 Jack Trk # 63</t>
  </si>
  <si>
    <t>B0118843</t>
  </si>
  <si>
    <t>HBT#5790 BK Trk # 4</t>
  </si>
  <si>
    <t>B0118846</t>
  </si>
  <si>
    <t>HBT#5213 JB Trk #5</t>
  </si>
  <si>
    <t>B0118847</t>
  </si>
  <si>
    <t>HBT5586 WR Trk # 41 Last Load</t>
  </si>
  <si>
    <t>HBT# 5034 Bob Trk# 3 Split &amp; Last Load</t>
  </si>
  <si>
    <t>00255548</t>
  </si>
  <si>
    <t xml:space="preserve">HBT#5939 Mike  Trk# 2   </t>
  </si>
  <si>
    <t>00255556</t>
  </si>
  <si>
    <t xml:space="preserve">HBT#5813 BK  Trk# 4   </t>
  </si>
  <si>
    <t>00255561</t>
  </si>
  <si>
    <t xml:space="preserve">HBT#5030 Bob Trk# 3   </t>
  </si>
  <si>
    <t>00255565</t>
  </si>
  <si>
    <t>HBT# 5940  Mike Trk# 2</t>
  </si>
  <si>
    <t>00255571</t>
  </si>
  <si>
    <t>HBT# 5224 Jack Trk# 5</t>
  </si>
  <si>
    <t>00255576</t>
  </si>
  <si>
    <t>HBT# 5814 BK Trk# 4</t>
  </si>
  <si>
    <t>00255578</t>
  </si>
  <si>
    <t>HBT# 5031  Bob Trk# 3</t>
  </si>
  <si>
    <t>00255582</t>
  </si>
  <si>
    <t>HBT# 5941 Mike Trk# 2</t>
  </si>
  <si>
    <t>00255773</t>
  </si>
  <si>
    <t>HBT# 5385 Jack Trk# 63</t>
  </si>
  <si>
    <t>A072474</t>
  </si>
  <si>
    <t>HBT# 5032  Bob Trk# 3</t>
  </si>
  <si>
    <t>A072475</t>
  </si>
  <si>
    <t>HBT# 5815 BK Trk# 4</t>
  </si>
  <si>
    <t>A072476</t>
  </si>
  <si>
    <t>HBT# 5942 TL Trk# 2</t>
  </si>
  <si>
    <t>A072481</t>
  </si>
  <si>
    <t>HBT# 5225 JB Trk#  5</t>
  </si>
  <si>
    <t>B0119228</t>
  </si>
  <si>
    <t xml:space="preserve">HBT#5937 Mike  Trk# 2   </t>
  </si>
  <si>
    <t>00255781</t>
  </si>
  <si>
    <t>HBT# 5033 Bob Trk# 3 Split Load</t>
  </si>
  <si>
    <t>A072491</t>
  </si>
  <si>
    <t xml:space="preserve">HBT# 5386 Jack Trk# 63 </t>
  </si>
  <si>
    <t>A072494</t>
  </si>
  <si>
    <t>HBT# 5816 BK Trk# 4 1st Load</t>
  </si>
  <si>
    <t>HBT#943 TL Trk# 2</t>
  </si>
  <si>
    <t>A072497</t>
  </si>
  <si>
    <t>HBT#5226 JB Trk# 5</t>
  </si>
  <si>
    <t>A072501</t>
  </si>
  <si>
    <t>HBT#5818 BK Trk# 4</t>
  </si>
  <si>
    <t>A072503</t>
  </si>
  <si>
    <t>HBT#5035 Bob Trk# 3</t>
  </si>
  <si>
    <t>A072509</t>
  </si>
  <si>
    <t>HBT#5593 WDH Trk# 41</t>
  </si>
  <si>
    <t>A072511</t>
  </si>
  <si>
    <t>HBT#5387  Jack Trk# 63</t>
  </si>
  <si>
    <t>A072513</t>
  </si>
  <si>
    <t>HBT#5944 TL Trk# 2</t>
  </si>
  <si>
    <t>A072515</t>
  </si>
  <si>
    <t>HBT#5227 JB Trk# 5</t>
  </si>
  <si>
    <t>A072517</t>
  </si>
  <si>
    <t>HBT#5036 Bob Trk# 3</t>
  </si>
  <si>
    <t>A072518</t>
  </si>
  <si>
    <t>HBT#5817 BK Trk# 4</t>
  </si>
  <si>
    <t>A072525</t>
  </si>
  <si>
    <t>HBT#5594 WDH Trk# 41</t>
  </si>
  <si>
    <t>A072529</t>
  </si>
  <si>
    <t>HBT#5945 TL Trk#2 last Load</t>
  </si>
  <si>
    <t>M038474</t>
  </si>
  <si>
    <t>HBT# 5095  Bob Trk# 3</t>
  </si>
  <si>
    <t>M38542</t>
  </si>
  <si>
    <t>HBT# 5857 Jack  Trk# 3</t>
  </si>
  <si>
    <t>HBT# 4556 Bob Trk# 63</t>
  </si>
  <si>
    <t>00166</t>
  </si>
  <si>
    <t>HBT# 3120 Bob Trk# 5</t>
  </si>
  <si>
    <t>00168</t>
  </si>
  <si>
    <t xml:space="preserve">HBT#4555 Bob Trk#5 </t>
  </si>
  <si>
    <t>00169</t>
  </si>
  <si>
    <t xml:space="preserve">HBT#3121 Bob Trk#5 </t>
  </si>
  <si>
    <t>0548951</t>
  </si>
  <si>
    <t>HBT# 5861 Bob Trk# 3</t>
  </si>
  <si>
    <t>0548953</t>
  </si>
  <si>
    <t>HBT# 2502 Juliannte Trk# 5 Split Load</t>
  </si>
  <si>
    <t>0548957</t>
  </si>
  <si>
    <t>HBT#4577 Jack Trk# 63 Split &amp; Last Load</t>
  </si>
  <si>
    <t>M038503</t>
  </si>
  <si>
    <t>HBT# 5098  Tim Trk# 3 Split Load</t>
  </si>
  <si>
    <t>M038525</t>
  </si>
  <si>
    <t>HBT# 5099 Fox Lemans  Trk# 3</t>
  </si>
  <si>
    <t>00255530</t>
  </si>
  <si>
    <t>HBT#5938 Mike  Trk# 2 Last Load</t>
  </si>
  <si>
    <t>0549961</t>
  </si>
  <si>
    <t xml:space="preserve">HBT#5933 Mike  Trk# 2   </t>
  </si>
  <si>
    <t>218671</t>
  </si>
  <si>
    <t>HBT#5029 Bobk  Trk# 3</t>
  </si>
  <si>
    <t>218675</t>
  </si>
  <si>
    <t>HBT#5384 Jack  Trk# 63</t>
  </si>
  <si>
    <t>549936</t>
  </si>
  <si>
    <t>HBT#5223 Bob  Trk# 3</t>
  </si>
  <si>
    <t>549942</t>
  </si>
  <si>
    <t>HBT#5592 Jack  Trk# 41</t>
  </si>
  <si>
    <t>549950</t>
  </si>
  <si>
    <t>HBT#5378 Jack  Trk# 63</t>
  </si>
  <si>
    <t>670004339</t>
  </si>
  <si>
    <t>HBT # 5010 Bob Trk# 3</t>
  </si>
  <si>
    <t>670004351</t>
  </si>
  <si>
    <t>HBT#5369 Jack Trk # 63</t>
  </si>
  <si>
    <t>670004370</t>
  </si>
  <si>
    <t>HBT#5011 Bob Trk # 3</t>
  </si>
  <si>
    <t>670004548</t>
  </si>
  <si>
    <t>HBT#5016 Bob Trk  #3</t>
  </si>
  <si>
    <t>670004557</t>
  </si>
  <si>
    <t>HBT#5374 Jack Trk  #63</t>
  </si>
  <si>
    <t>670004569</t>
  </si>
  <si>
    <t>HBT#5017 Bob Trk  #3</t>
  </si>
  <si>
    <t>670004578</t>
  </si>
  <si>
    <t>HBT#5376 Jack Trk  #63</t>
  </si>
  <si>
    <t>670004590</t>
  </si>
  <si>
    <t>HBT#5018 bob Trk  #3</t>
  </si>
  <si>
    <t>670004606</t>
  </si>
  <si>
    <t>HBT#5377 Jack Trk  63</t>
  </si>
  <si>
    <t>670004734</t>
  </si>
  <si>
    <t>HBT#5805 BK  Trk# 4</t>
  </si>
  <si>
    <t>670004771</t>
  </si>
  <si>
    <t>HBT#5806 BK  Trk# 4</t>
  </si>
  <si>
    <t>670004775</t>
  </si>
  <si>
    <t>HBT#5023 Bob  Trk# 3</t>
  </si>
  <si>
    <t>670004796</t>
  </si>
  <si>
    <t>HBT5807 BK  Trk#4</t>
  </si>
  <si>
    <t>670004952</t>
  </si>
  <si>
    <t>HBT#5812 BK  Trk#4</t>
  </si>
  <si>
    <t>A072265</t>
  </si>
  <si>
    <t>HBT#5012  Bob Trk # 3</t>
  </si>
  <si>
    <t>A072266</t>
  </si>
  <si>
    <t>HBT#5219  Jack Trk # 5</t>
  </si>
  <si>
    <t>A072267</t>
  </si>
  <si>
    <t>HBT#5795 BK Trk # 4</t>
  </si>
  <si>
    <t>A072270</t>
  </si>
  <si>
    <t>HBT#5591   Jack Trk # 41</t>
  </si>
  <si>
    <t>A072276</t>
  </si>
  <si>
    <t>HBT#5370 Jack Trk #6 3</t>
  </si>
  <si>
    <t>A072341</t>
  </si>
  <si>
    <t>HBT#5022  Bob  Trk # 3</t>
  </si>
  <si>
    <t>B0118911</t>
  </si>
  <si>
    <t>HBT#5793  BK  Trk # 4</t>
  </si>
  <si>
    <t>B0118913</t>
  </si>
  <si>
    <t>HBT#5218  WDH Trk # 5</t>
  </si>
  <si>
    <t>B0118914</t>
  </si>
  <si>
    <t>HBT#5590 WR Trk  #41</t>
  </si>
  <si>
    <t>B0118919</t>
  </si>
  <si>
    <t>HBT#5794 BK Trk  #4</t>
  </si>
  <si>
    <t>B0118940</t>
  </si>
  <si>
    <t>HBT#5013 Bob  Trk # 3</t>
  </si>
  <si>
    <t>B0118944</t>
  </si>
  <si>
    <t>HBT#5014 Bob  Trk # 3</t>
  </si>
  <si>
    <t>B0119007</t>
  </si>
  <si>
    <t>HBT#5371 Jack  Trk # 63</t>
  </si>
  <si>
    <t>B0119008</t>
  </si>
  <si>
    <t>HBT#5796 BK Trk # 4</t>
  </si>
  <si>
    <t>B0119009</t>
  </si>
  <si>
    <t>HBT#5015 Bob  Trk # 3</t>
  </si>
  <si>
    <t>B0119012</t>
  </si>
  <si>
    <t>HBT#5923 TL  Trk # 2</t>
  </si>
  <si>
    <t>B0119014</t>
  </si>
  <si>
    <t>HBT#5372 Jack  Trk # 63</t>
  </si>
  <si>
    <t>B0119018</t>
  </si>
  <si>
    <t>HBT#5797 BK Trk # 4</t>
  </si>
  <si>
    <t>B0119021</t>
  </si>
  <si>
    <t>HBT#5924 TL Trk # 2</t>
  </si>
  <si>
    <t>B0119022</t>
  </si>
  <si>
    <t>HBT#5373 Jack  Trk # 63</t>
  </si>
  <si>
    <t>B0119024</t>
  </si>
  <si>
    <t>HBT#5798 BK Trk # 4</t>
  </si>
  <si>
    <t>B0119033</t>
  </si>
  <si>
    <t>HBT#5924 TLTrk # 2</t>
  </si>
  <si>
    <t>B0119035</t>
  </si>
  <si>
    <t>HBT#5799 BK Trk # 4</t>
  </si>
  <si>
    <t>B0119045</t>
  </si>
  <si>
    <t>HBT#5375  Jack  Trk # 63</t>
  </si>
  <si>
    <t>B0119046</t>
  </si>
  <si>
    <t>HBT#5926 TL Trk # 2</t>
  </si>
  <si>
    <t>B0119048</t>
  </si>
  <si>
    <t>HBT#5800 BK Trk # 4</t>
  </si>
  <si>
    <t>B0119052</t>
  </si>
  <si>
    <t>HBT#5927 TL Trk # 2</t>
  </si>
  <si>
    <t>B0119059</t>
  </si>
  <si>
    <t>HBT#5801 BK Trk # 4</t>
  </si>
  <si>
    <t>B0119064</t>
  </si>
  <si>
    <t>HBT#5928 TL Trk # 2</t>
  </si>
  <si>
    <t>B0119070</t>
  </si>
  <si>
    <t>HBT#5220 BK Trk # 5</t>
  </si>
  <si>
    <t>B0119073</t>
  </si>
  <si>
    <t>HBT#5929 TL Trk # 2</t>
  </si>
  <si>
    <t>B0119079</t>
  </si>
  <si>
    <t>HBT#5019 Bob Trk # 3</t>
  </si>
  <si>
    <t>B0119081</t>
  </si>
  <si>
    <t>HBT#5802 BK Trk # 4</t>
  </si>
  <si>
    <t>B0119084</t>
  </si>
  <si>
    <t>HBT#5930 TL Trk # 2</t>
  </si>
  <si>
    <t>B0119087</t>
  </si>
  <si>
    <t>HBT#5020 Bob Trk # 3</t>
  </si>
  <si>
    <t>B0119090</t>
  </si>
  <si>
    <t>HBT#5803 BK Trk # 4</t>
  </si>
  <si>
    <t>B0119096</t>
  </si>
  <si>
    <t>HBT#5931 TL Trk # 2</t>
  </si>
  <si>
    <t>B0119102</t>
  </si>
  <si>
    <t>HBT#5221 Bob Trk # 3</t>
  </si>
  <si>
    <t>B0119103</t>
  </si>
  <si>
    <t>HBT#5804 BK Trk # 4</t>
  </si>
  <si>
    <t>B0119108</t>
  </si>
  <si>
    <t>HBT#5932 TL Trk # 2</t>
  </si>
  <si>
    <t>B0119111</t>
  </si>
  <si>
    <t>HBT#5021 Bob Trk #3</t>
  </si>
  <si>
    <t>B0119118</t>
  </si>
  <si>
    <t>HBT#5222 BK Trk #5</t>
  </si>
  <si>
    <t>B0119147</t>
  </si>
  <si>
    <t>HBT#5024 Bob Trk 3</t>
  </si>
  <si>
    <t>B0119154</t>
  </si>
  <si>
    <t>HBT#5379 Jack  Trk 63</t>
  </si>
  <si>
    <t>B0119160</t>
  </si>
  <si>
    <t>HBT#5025 Bob Trk 63</t>
  </si>
  <si>
    <t>B0119166</t>
  </si>
  <si>
    <t>HBT#5808 BK Trk 4</t>
  </si>
  <si>
    <t>B0119169</t>
  </si>
  <si>
    <t>HBT#5380 Jack Trk 63</t>
  </si>
  <si>
    <t>B0119172</t>
  </si>
  <si>
    <t>HBT#5934 Mike  Trk# 2</t>
  </si>
  <si>
    <t>B0119173</t>
  </si>
  <si>
    <t>HBT#5026 Bob Trk 3</t>
  </si>
  <si>
    <t>B0119177</t>
  </si>
  <si>
    <t>HBT#5809 BK Trk 4</t>
  </si>
  <si>
    <t>B0119179</t>
  </si>
  <si>
    <t>HBT#5381 Jack  Trk# 63</t>
  </si>
  <si>
    <t>B0119192</t>
  </si>
  <si>
    <t>HBT#5810 BK  Trk# 4</t>
  </si>
  <si>
    <t>B0119193</t>
  </si>
  <si>
    <t>HBT#5027 Bob  Trk# 3</t>
  </si>
  <si>
    <t>B0119194</t>
  </si>
  <si>
    <t>HBT#5382 Jack  Trk# 63</t>
  </si>
  <si>
    <t>B01191960</t>
  </si>
  <si>
    <t>B0119204</t>
  </si>
  <si>
    <t>HBT#5936 Mike  Trk# 2</t>
  </si>
  <si>
    <t>B0119207</t>
  </si>
  <si>
    <t>HBT#5811 BK  Trk# 4</t>
  </si>
  <si>
    <t>B0119209</t>
  </si>
  <si>
    <t>HBT#5029 Bob  Trk# 3</t>
  </si>
  <si>
    <t>B0119213</t>
  </si>
  <si>
    <t>HBT#5383 Jack  Trk# 63</t>
  </si>
  <si>
    <t>0549511</t>
  </si>
  <si>
    <t>HBT#5206 JB Trk # 5</t>
  </si>
  <si>
    <t>0549514</t>
  </si>
  <si>
    <t>HBT#5357 WDH Trk # 63</t>
  </si>
  <si>
    <t>0549520</t>
  </si>
  <si>
    <t>HBT#5895 Bob Trk # 3</t>
  </si>
  <si>
    <t>0549527</t>
  </si>
  <si>
    <t>HBT#5915 TL Trk # 2</t>
  </si>
  <si>
    <t>0549529</t>
  </si>
  <si>
    <t>HBT#5580 WR Trk # 41</t>
  </si>
  <si>
    <t>0549531</t>
  </si>
  <si>
    <t>HBT#5207 JB Trk #5</t>
  </si>
  <si>
    <t>0549535</t>
  </si>
  <si>
    <t>HBT#5358 WDH Trk #63</t>
  </si>
  <si>
    <t>0549538</t>
  </si>
  <si>
    <t>HBT#5896 Bob Trk #3</t>
  </si>
  <si>
    <t>0549541</t>
  </si>
  <si>
    <t>HBT#5782 BK Trk #4</t>
  </si>
  <si>
    <t>0549546</t>
  </si>
  <si>
    <t>HBT#5916 TL Trk #2</t>
  </si>
  <si>
    <t>0549549</t>
  </si>
  <si>
    <t>HBT#5581 WR Trk #41</t>
  </si>
  <si>
    <t>0549550</t>
  </si>
  <si>
    <t>HBT#5208 JB Trk #5</t>
  </si>
  <si>
    <t>0549551</t>
  </si>
  <si>
    <t>HBT#5359 WDH  Trk #63</t>
  </si>
  <si>
    <t>0549553</t>
  </si>
  <si>
    <t>HBT#5897 Bob Trk #3</t>
  </si>
  <si>
    <t>0549558</t>
  </si>
  <si>
    <t>HBT#5783 BK Trk #4</t>
  </si>
  <si>
    <t>0549562</t>
  </si>
  <si>
    <t>HBT#5917 TL Trk # 2</t>
  </si>
  <si>
    <t>0549646</t>
  </si>
  <si>
    <t>HBT#5898 Bob Trk # 3</t>
  </si>
  <si>
    <t>0549650</t>
  </si>
  <si>
    <t>HBT#5582  Jack Trk # 41</t>
  </si>
  <si>
    <t>0549653</t>
  </si>
  <si>
    <t>HBT#5784 BKTrk # 4</t>
  </si>
  <si>
    <t>0549660</t>
  </si>
  <si>
    <t>HBT#5918 JB Trk # 2</t>
  </si>
  <si>
    <t>0549662</t>
  </si>
  <si>
    <t>HBT#5899 Bob Trk # 3</t>
  </si>
  <si>
    <t>0549663</t>
  </si>
  <si>
    <t>HBT#5209 BK Trk # 5</t>
  </si>
  <si>
    <t>0549664</t>
  </si>
  <si>
    <t>HBT#5900  Bob Trk # 3</t>
  </si>
  <si>
    <t>0549671</t>
  </si>
  <si>
    <t>HBT#5001  Bob Trk # 3</t>
  </si>
  <si>
    <t>A072139</t>
  </si>
  <si>
    <t>HBT#5919 TL Trk # 2</t>
  </si>
  <si>
    <t>A072142</t>
  </si>
  <si>
    <t>HBT#5785 BK Trk # 4</t>
  </si>
  <si>
    <t>A072143</t>
  </si>
  <si>
    <t>HBT#5360 Jack Trk # 63</t>
  </si>
  <si>
    <t>A072146</t>
  </si>
  <si>
    <t>HBT#5002 Bob  Trk # 3</t>
  </si>
  <si>
    <t>A072148</t>
  </si>
  <si>
    <t>HBT#5920 TL  Trk #2</t>
  </si>
  <si>
    <t>A072152</t>
  </si>
  <si>
    <t>HBT#5786 BK  Trk # 4</t>
  </si>
  <si>
    <t>A072153</t>
  </si>
  <si>
    <t>HBT#5361 Jack  Trk # 63</t>
  </si>
  <si>
    <t>A072158</t>
  </si>
  <si>
    <t>HBT#5003 Bob Trk # 3</t>
  </si>
  <si>
    <t>A072161</t>
  </si>
  <si>
    <t>HBT#5583 WR Trk # 41</t>
  </si>
  <si>
    <t>A072163</t>
  </si>
  <si>
    <t>HBT#5921 TL Trk # 2</t>
  </si>
  <si>
    <t>A072166</t>
  </si>
  <si>
    <t>HBT#5787 BK Trk # 4</t>
  </si>
  <si>
    <t>A072169</t>
  </si>
  <si>
    <t xml:space="preserve">HBT#5362  Jack Trk #63 </t>
  </si>
  <si>
    <t>A072171</t>
  </si>
  <si>
    <t xml:space="preserve">HBT#5004 Bob  Trk #3 </t>
  </si>
  <si>
    <t>A072175</t>
  </si>
  <si>
    <t xml:space="preserve">HBT#5210 JB  Trk # 5 </t>
  </si>
  <si>
    <t>A072176</t>
  </si>
  <si>
    <t>HBT#5584 WR Trk # 41</t>
  </si>
  <si>
    <t>A072177</t>
  </si>
  <si>
    <t>HBT#5788 BK Trk # 4</t>
  </si>
  <si>
    <t>A072179</t>
  </si>
  <si>
    <t>HBT#5922 Bob Trk # 2</t>
  </si>
  <si>
    <t>A072181</t>
  </si>
  <si>
    <t>HBT#5363 Jack Trk # 63</t>
  </si>
  <si>
    <t>A072183</t>
  </si>
  <si>
    <t>HBT#5005 Bob Trk #3</t>
  </si>
  <si>
    <t>A072184</t>
  </si>
  <si>
    <t>HBT#5211  Jack  Trk # 5</t>
  </si>
  <si>
    <t>HBT#5585 Bob  Trk #41 Last Load</t>
  </si>
  <si>
    <t>510-057075 - 88</t>
  </si>
  <si>
    <t xml:space="preserve">Seneca Picked </t>
  </si>
  <si>
    <t>670004263</t>
  </si>
  <si>
    <t>HBT#5008 Bob Trk # 3</t>
  </si>
  <si>
    <t>670004271</t>
  </si>
  <si>
    <t>HBT#5366  Bob Trk # 3</t>
  </si>
  <si>
    <t>670004275</t>
  </si>
  <si>
    <t>HBT#5791 BK Trk # 4</t>
  </si>
  <si>
    <t>670004292</t>
  </si>
  <si>
    <t>HBT#5009 Bob Trk # 3</t>
  </si>
  <si>
    <t>670004307</t>
  </si>
  <si>
    <t>HBT#5792 BK Trk # 4</t>
  </si>
  <si>
    <t>670004319</t>
  </si>
  <si>
    <t>HBT#5589 WR Trk # 41</t>
  </si>
  <si>
    <t>B0118861</t>
  </si>
  <si>
    <t>HBT5214 JB Trk #5</t>
  </si>
  <si>
    <t>B0118862</t>
  </si>
  <si>
    <t>HBT#5587 WR Trk #41</t>
  </si>
  <si>
    <t>B0118869</t>
  </si>
  <si>
    <t>HBT#5215 JB Trk #5</t>
  </si>
  <si>
    <t>B0118873</t>
  </si>
  <si>
    <t>HBT#5588 WR Trk  #41</t>
  </si>
  <si>
    <t>B0118880</t>
  </si>
  <si>
    <t>HBT#5367 Jack Trk  #63</t>
  </si>
  <si>
    <t>B0118881</t>
  </si>
  <si>
    <t>HBT#5216 JB Trk  #5</t>
  </si>
  <si>
    <t>B0118892</t>
  </si>
  <si>
    <t>HBT#5368 Jack Trk  #63</t>
  </si>
  <si>
    <t>B0118895</t>
  </si>
  <si>
    <t>HBT#5217 WDH Trk  #5</t>
  </si>
  <si>
    <t>A072700</t>
  </si>
  <si>
    <t xml:space="preserve">HBT#5310 Jack Trk# 1 </t>
  </si>
  <si>
    <t>A072702</t>
  </si>
  <si>
    <t>HBT#5046 Bob Trk# 3</t>
  </si>
  <si>
    <t>A072707</t>
  </si>
  <si>
    <t>HBT#5826 BK Trk#4</t>
  </si>
  <si>
    <t>A072710</t>
  </si>
  <si>
    <t>HBT#6504 Gary Trk# 2</t>
  </si>
  <si>
    <t>A072711</t>
  </si>
  <si>
    <t>HBT#5236 JB Trk#  5</t>
  </si>
  <si>
    <t>A072714</t>
  </si>
  <si>
    <t>HBT#5597 WDH Trk#  41</t>
  </si>
  <si>
    <t>A072715</t>
  </si>
  <si>
    <t>HBT#5311  Jack Trk#  1</t>
  </si>
  <si>
    <t>A072719</t>
  </si>
  <si>
    <t>HBT# 5047 Bob Trk# 3</t>
  </si>
  <si>
    <t>A072724</t>
  </si>
  <si>
    <t>HBT# 5827 BK Trk# 4</t>
  </si>
  <si>
    <t>A072728</t>
  </si>
  <si>
    <t>HBT# 6505 Gary Trk# 2</t>
  </si>
  <si>
    <t>A072729</t>
  </si>
  <si>
    <t>HBT# 5237 JB Trk# 5</t>
  </si>
  <si>
    <t>HBT#4577Jack Trk# 63 Split Load</t>
  </si>
  <si>
    <t>0548960</t>
  </si>
  <si>
    <t>HBT#5536 TannerTrk# 2</t>
  </si>
  <si>
    <t>0548961</t>
  </si>
  <si>
    <t>HBT#5756 WDHTrk# 4</t>
  </si>
  <si>
    <t>0548966</t>
  </si>
  <si>
    <t>HBT#5862 Bob Trk# 3</t>
  </si>
  <si>
    <t>0548974</t>
  </si>
  <si>
    <t>HBT#4578 Jack Trk# 63</t>
  </si>
  <si>
    <t>0548979</t>
  </si>
  <si>
    <t>HBT# 5757 WHD Trk# 4</t>
  </si>
  <si>
    <t>0548983</t>
  </si>
  <si>
    <t>HBT# 5537 tanner Trk# 2</t>
  </si>
  <si>
    <t>0548986</t>
  </si>
  <si>
    <t>HBT# 5864 Bob Trk# 3</t>
  </si>
  <si>
    <t>0548991</t>
  </si>
  <si>
    <t>HBT# 5560 WR Trk# 41</t>
  </si>
  <si>
    <t>0548993</t>
  </si>
  <si>
    <t>HBT#4579 Jack Trk# 63</t>
  </si>
  <si>
    <t>0548997</t>
  </si>
  <si>
    <t>HBT# 5758 WDH Trk# 4</t>
  </si>
  <si>
    <t>0549002</t>
  </si>
  <si>
    <t>HBT# 5538 Tanner Trk# 2</t>
  </si>
  <si>
    <t>0549003</t>
  </si>
  <si>
    <t>0549007</t>
  </si>
  <si>
    <t xml:space="preserve">HBT# 5865 Bob Trk# 3 </t>
  </si>
  <si>
    <t>0549011</t>
  </si>
  <si>
    <t>HBT#4580 Jack Trk# 63</t>
  </si>
  <si>
    <t>0549016</t>
  </si>
  <si>
    <t xml:space="preserve">HBT# 5866 Bob Trk# 3 </t>
  </si>
  <si>
    <t>0549019</t>
  </si>
  <si>
    <t>HBT#4581 Jack Trk# 63</t>
  </si>
  <si>
    <t>0549023</t>
  </si>
  <si>
    <t xml:space="preserve">HBT#3137 Bob Trk# 3 </t>
  </si>
  <si>
    <t>0549024</t>
  </si>
  <si>
    <t>HBT# 5539 Tanner Trk# 2</t>
  </si>
  <si>
    <t>0549025</t>
  </si>
  <si>
    <t>HBT# 5759 WR Trk# 41</t>
  </si>
  <si>
    <t>0549027</t>
  </si>
  <si>
    <t>HBT#4582 Jack Trk# 63</t>
  </si>
  <si>
    <t>0549029</t>
  </si>
  <si>
    <t xml:space="preserve">HBT# 5561 WR Trk#41 </t>
  </si>
  <si>
    <t>0549035</t>
  </si>
  <si>
    <t xml:space="preserve">HBT# 5867 Bob Trk# 3 </t>
  </si>
  <si>
    <t>0549036</t>
  </si>
  <si>
    <t>HBT# 5540 Tanner Trk# 2</t>
  </si>
  <si>
    <t>0549038</t>
  </si>
  <si>
    <t xml:space="preserve">HBT# 5760 WDH  Trk# 4 </t>
  </si>
  <si>
    <t>0549040</t>
  </si>
  <si>
    <t>HBT#4583 Jack Trk# 63</t>
  </si>
  <si>
    <t>0549043</t>
  </si>
  <si>
    <t>HBT# 3138 JB  Trk# 5</t>
  </si>
  <si>
    <t>0549046</t>
  </si>
  <si>
    <t>HBT#5562 WR Trk# 41</t>
  </si>
  <si>
    <t>0549050</t>
  </si>
  <si>
    <t>HBT#5868 WR Trk# 3</t>
  </si>
  <si>
    <t>0549052</t>
  </si>
  <si>
    <t>HBT#5541 TL Trk# 2</t>
  </si>
  <si>
    <t>0549055</t>
  </si>
  <si>
    <t>HBT#5761 WDH Trk# 4</t>
  </si>
  <si>
    <t>0549059</t>
  </si>
  <si>
    <t>HBT#4585 Jack Trk# 63 Split &amp; Last Load</t>
  </si>
  <si>
    <t>0549127</t>
  </si>
  <si>
    <t>HBT#3140 JB Trk# 5</t>
  </si>
  <si>
    <t>HBT# 4586 Jack Trk# 63  Split Load</t>
  </si>
  <si>
    <t>0549063</t>
  </si>
  <si>
    <t>HBT#3139JB Trk# 5</t>
  </si>
  <si>
    <t>0549064</t>
  </si>
  <si>
    <t>HBT#5563 WR Trk# 41</t>
  </si>
  <si>
    <t>0549068</t>
  </si>
  <si>
    <t>HBT#5869 Bob Trk# 3</t>
  </si>
  <si>
    <t>0549073</t>
  </si>
  <si>
    <t>HBT#5542 TL Trk# 2</t>
  </si>
  <si>
    <t>0549078</t>
  </si>
  <si>
    <t>HBT#5762 WDH Trk# 4</t>
  </si>
  <si>
    <t>0549086</t>
  </si>
  <si>
    <t>HBT#5564 WR Trk# 41</t>
  </si>
  <si>
    <t>0549088</t>
  </si>
  <si>
    <t>HBT#5870 Bob Trk# 3 Last Load</t>
  </si>
  <si>
    <t>0579082</t>
  </si>
  <si>
    <t>HBT#4587 Jack Trk# 63</t>
  </si>
  <si>
    <t>M038446</t>
  </si>
  <si>
    <t>HBT#5093 Bob Trk#3 First Load</t>
  </si>
  <si>
    <t>M038458</t>
  </si>
  <si>
    <t>HBT#5094 Bob Trk#3 Last Load</t>
  </si>
  <si>
    <t>0549342</t>
  </si>
  <si>
    <t>HBT#5906 TL  Trk# 2</t>
  </si>
  <si>
    <t>0549348</t>
  </si>
  <si>
    <t>HBT#5884 Bob Trk# 2</t>
  </si>
  <si>
    <t>0549350</t>
  </si>
  <si>
    <t>HBT#5775 Gary Trk# 4</t>
  </si>
  <si>
    <t>0549354</t>
  </si>
  <si>
    <t>HBT#5574 WDH  Trk# 41</t>
  </si>
  <si>
    <t>0549359</t>
  </si>
  <si>
    <t>HBT#5350 Jack  Trk# 63</t>
  </si>
  <si>
    <t>0549366</t>
  </si>
  <si>
    <t>HBT#5886 Bob Trk # 3</t>
  </si>
  <si>
    <t>0549377</t>
  </si>
  <si>
    <t>HBT#5586 Bob Trk # 3</t>
  </si>
  <si>
    <t>0549379</t>
  </si>
  <si>
    <t>HBT#5776586 Bob Trk # 4</t>
  </si>
  <si>
    <t>0549381</t>
  </si>
  <si>
    <t>HBT#5887 Bob Trk # 3</t>
  </si>
  <si>
    <t>0549384</t>
  </si>
  <si>
    <t>HBT#5907 TL Trk # 2</t>
  </si>
  <si>
    <t>0549385</t>
  </si>
  <si>
    <t>HBT#5888 Bob Trk # 3</t>
  </si>
  <si>
    <t>0549389</t>
  </si>
  <si>
    <t>HBT#5351 MJ Trk #63</t>
  </si>
  <si>
    <t>0549392</t>
  </si>
  <si>
    <t>HBT#5908 TL Trk #2</t>
  </si>
  <si>
    <t>0549394</t>
  </si>
  <si>
    <t>HBT#3148 JB  Trk # 5</t>
  </si>
  <si>
    <t>0549396</t>
  </si>
  <si>
    <t>HBT#5777 BK  Trk # 4</t>
  </si>
  <si>
    <t>0549399</t>
  </si>
  <si>
    <t>HBT#5889 Bob  Trk # 3</t>
  </si>
  <si>
    <t>0549401</t>
  </si>
  <si>
    <t>HBT#5575 WR  Trk # 41</t>
  </si>
  <si>
    <t>0549406</t>
  </si>
  <si>
    <t>HBT#5352 MJ  Trk # 63</t>
  </si>
  <si>
    <t>0549410</t>
  </si>
  <si>
    <t>HBT#5909 TL Trk # 2</t>
  </si>
  <si>
    <t>0549413</t>
  </si>
  <si>
    <t>HBT#5778 BK Trk # 4</t>
  </si>
  <si>
    <t>0549416</t>
  </si>
  <si>
    <t>HBT#3149 JB  Trk # 5</t>
  </si>
  <si>
    <t>0549419</t>
  </si>
  <si>
    <t>HBT#5890 Bob  Trk # 3</t>
  </si>
  <si>
    <t>0549424</t>
  </si>
  <si>
    <t>HBT#5576 WR  Trk # 41</t>
  </si>
  <si>
    <t>0549429</t>
  </si>
  <si>
    <t>HBT#5353 MJ  Trk # 63</t>
  </si>
  <si>
    <t>0549433</t>
  </si>
  <si>
    <t>HBT#5910 TL  Trk # 2</t>
  </si>
  <si>
    <t>0549435</t>
  </si>
  <si>
    <t>HBT#5779 BK Trk # 4</t>
  </si>
  <si>
    <t>0549437</t>
  </si>
  <si>
    <t>HBT#5203 JB Trk # 5</t>
  </si>
  <si>
    <t>0549440</t>
  </si>
  <si>
    <t>HBT#5891 Bob Trk # 3</t>
  </si>
  <si>
    <t>0549450</t>
  </si>
  <si>
    <t>HBT#5577 WRTrk # 41</t>
  </si>
  <si>
    <t>0549451</t>
  </si>
  <si>
    <t>HBT#5911 TL Trk # 2</t>
  </si>
  <si>
    <t>0549454</t>
  </si>
  <si>
    <t>HBT#5354 MJ Trk # 63</t>
  </si>
  <si>
    <t>0549460</t>
  </si>
  <si>
    <t>HBT#5780 BK Trk # 4</t>
  </si>
  <si>
    <t>0549464</t>
  </si>
  <si>
    <t>HBT#5892 Bob Trk # 3</t>
  </si>
  <si>
    <t>0549468</t>
  </si>
  <si>
    <t>HBT#5912 TL Trk # 2</t>
  </si>
  <si>
    <t>0549472</t>
  </si>
  <si>
    <t>HBT#5204 B Trk # 5</t>
  </si>
  <si>
    <t>0549474</t>
  </si>
  <si>
    <t>HBT#5355 WDH Trk # 63</t>
  </si>
  <si>
    <t>0549476</t>
  </si>
  <si>
    <t>HBT#5578 WR Trk # 41</t>
  </si>
  <si>
    <t>0549479</t>
  </si>
  <si>
    <t>HBT#5893 Bob Trk # 3</t>
  </si>
  <si>
    <t>0549483</t>
  </si>
  <si>
    <t>HBT#5913 TL Trk # 2</t>
  </si>
  <si>
    <t>0549487</t>
  </si>
  <si>
    <t>HBT#5205 JB Trk # 5</t>
  </si>
  <si>
    <t>0549489</t>
  </si>
  <si>
    <t>HBT#5356 WDH Trk # 63</t>
  </si>
  <si>
    <t>0549495</t>
  </si>
  <si>
    <t>HBT#5579 WR Trk # 41</t>
  </si>
  <si>
    <t>0549500</t>
  </si>
  <si>
    <t>HBT#5894 Bob Trk # 3</t>
  </si>
  <si>
    <t>0549505</t>
  </si>
  <si>
    <t>HBT#5914 TL Trk # 2 Last Load</t>
  </si>
  <si>
    <t>0549522</t>
  </si>
  <si>
    <t>HBT#5781 BK Trk # 4</t>
  </si>
  <si>
    <t>510-055188- 190</t>
  </si>
  <si>
    <t>Seneca - By Passed</t>
  </si>
  <si>
    <t>537-022073 - 75</t>
  </si>
  <si>
    <t>537-02265 - 72</t>
  </si>
  <si>
    <t>510-055191- 199</t>
  </si>
  <si>
    <t>537-02253 - 66</t>
  </si>
  <si>
    <t>0548936</t>
  </si>
  <si>
    <t>HBT#4576 Jack Trk# 63 1st Load</t>
  </si>
  <si>
    <t>0548939</t>
  </si>
  <si>
    <t>HBT# 5535 Tanner Trk# 2</t>
  </si>
  <si>
    <t>0548943</t>
  </si>
  <si>
    <t>HBT# 5755 WDH Trk# 4</t>
  </si>
  <si>
    <t>HBT# 2502 Julianne Trk# 5 Split Load</t>
  </si>
  <si>
    <t>424</t>
  </si>
  <si>
    <t>HBt# 5753 BobTrk# 4</t>
  </si>
  <si>
    <t>428</t>
  </si>
  <si>
    <t>HBt# 5858 Jack Trk# 3</t>
  </si>
  <si>
    <t>Gro1</t>
  </si>
  <si>
    <t>GRO1 Ken</t>
  </si>
  <si>
    <t>0549109</t>
  </si>
  <si>
    <t xml:space="preserve">HBT#5871 Bob Trk# 3 </t>
  </si>
  <si>
    <t>0549111</t>
  </si>
  <si>
    <t xml:space="preserve">HBT#4588 Jack Trk# 63 </t>
  </si>
  <si>
    <t>0549113</t>
  </si>
  <si>
    <t xml:space="preserve">HBT#5764 Gary Trk# 4 </t>
  </si>
  <si>
    <t>0549119</t>
  </si>
  <si>
    <t xml:space="preserve">HBT#5544 TL Trk# 2 </t>
  </si>
  <si>
    <t>0549121</t>
  </si>
  <si>
    <t>HBT#5872 Bob Trk# 3</t>
  </si>
  <si>
    <t>0549128</t>
  </si>
  <si>
    <t>HBT# 4589 Jack Trk# 63</t>
  </si>
  <si>
    <t>0549129</t>
  </si>
  <si>
    <t>HBT#5565 WR Trk# 41</t>
  </si>
  <si>
    <t>0549136</t>
  </si>
  <si>
    <t>HBT#5765 Gary Trk# 4</t>
  </si>
  <si>
    <t>0549139</t>
  </si>
  <si>
    <t>HBT#5545 TL Trk# 2</t>
  </si>
  <si>
    <t>0549142</t>
  </si>
  <si>
    <t>HBT#5873 Bob Trk# 3</t>
  </si>
  <si>
    <t>0549147</t>
  </si>
  <si>
    <t>HBT#4590 Jack Trk# 3</t>
  </si>
  <si>
    <t>0549150</t>
  </si>
  <si>
    <t>HBT#3141 JB Trk# 3</t>
  </si>
  <si>
    <t>0549152</t>
  </si>
  <si>
    <t>HBT#5566 WR Trk# 41</t>
  </si>
  <si>
    <t>0549158</t>
  </si>
  <si>
    <t>HBT#5766 gary Trk# 4</t>
  </si>
  <si>
    <t>0549162</t>
  </si>
  <si>
    <t>HBT#5546 TL Trk# 2</t>
  </si>
  <si>
    <t>0549164</t>
  </si>
  <si>
    <t>HBT#5874 Bob Trk# 3</t>
  </si>
  <si>
    <t>0549169</t>
  </si>
  <si>
    <t>HBT#4591 Jack Trk# 63</t>
  </si>
  <si>
    <t>0549174</t>
  </si>
  <si>
    <t>HBT#3145 JB Trk# 5</t>
  </si>
  <si>
    <t>0549175</t>
  </si>
  <si>
    <t>HBT#5567 WR Trk# 41</t>
  </si>
  <si>
    <t>0549177</t>
  </si>
  <si>
    <t>HBT#5767 Trk# 4</t>
  </si>
  <si>
    <t>0549185</t>
  </si>
  <si>
    <t>HBT#5875 Bob Trk# 3</t>
  </si>
  <si>
    <t>0549187</t>
  </si>
  <si>
    <t>HBT#5547 TL Trk# 2</t>
  </si>
  <si>
    <t>0549195</t>
  </si>
  <si>
    <t>HBT#4592 Jack Trk# 63</t>
  </si>
  <si>
    <t>0549201</t>
  </si>
  <si>
    <t>HBT#3143 Trk# 5</t>
  </si>
  <si>
    <t>0549202</t>
  </si>
  <si>
    <t>HBT#5768  Gary Trk# 4</t>
  </si>
  <si>
    <t>0549203</t>
  </si>
  <si>
    <t>HBT#5568 WR Trk# 41</t>
  </si>
  <si>
    <t>0549207</t>
  </si>
  <si>
    <t>HBT#5876 Bob Trk# 3</t>
  </si>
  <si>
    <t>0549212</t>
  </si>
  <si>
    <t>HBT#5548 TL Trk# 2 Last Load</t>
  </si>
  <si>
    <t>HBT# 5095  Bob Trk# 3 Split Load</t>
  </si>
  <si>
    <t>HBT# 5097  Tim Trk# 3 Split Load</t>
  </si>
  <si>
    <t>0549218</t>
  </si>
  <si>
    <t xml:space="preserve">HBT# 4593 Jack Trk# 63 1st Load </t>
  </si>
  <si>
    <t>0549224</t>
  </si>
  <si>
    <t>HBT# 5569 WR Trk# 41</t>
  </si>
  <si>
    <t>0549225</t>
  </si>
  <si>
    <t>HBT#5769 Gary Trk# 4</t>
  </si>
  <si>
    <t>0549227</t>
  </si>
  <si>
    <t>HBT# 5877 Bob Trk# 3</t>
  </si>
  <si>
    <t>0549232</t>
  </si>
  <si>
    <t>HBT# 5549 TL Trk# 2</t>
  </si>
  <si>
    <t>0549235</t>
  </si>
  <si>
    <t>HBT# 4594 Jack Trk# 63</t>
  </si>
  <si>
    <t>0549238</t>
  </si>
  <si>
    <t>HBT# 5878 Bob Trk# 3</t>
  </si>
  <si>
    <t>0549241</t>
  </si>
  <si>
    <t>HBT# 5901 TL Trk# 2</t>
  </si>
  <si>
    <t>0549244</t>
  </si>
  <si>
    <t>HBT# 5879 Bob Trk# 3</t>
  </si>
  <si>
    <t>0549253</t>
  </si>
  <si>
    <t>HBT# 4595 Jack Trk# 63</t>
  </si>
  <si>
    <t>0549258</t>
  </si>
  <si>
    <t>HBT#5902 TL Trk#  2</t>
  </si>
  <si>
    <t>0549260</t>
  </si>
  <si>
    <t>HBT#5880 Bob Trk#  3</t>
  </si>
  <si>
    <t>0549262</t>
  </si>
  <si>
    <t>HBT#5770 Gary Trk#  4</t>
  </si>
  <si>
    <t>0549265</t>
  </si>
  <si>
    <t>HBT#5570 WDH Trk# 41</t>
  </si>
  <si>
    <t>0549269</t>
  </si>
  <si>
    <t>HBT#3144 JB Trk#5</t>
  </si>
  <si>
    <t>0549271</t>
  </si>
  <si>
    <t>HBT# 4596 Jack Trk# 63</t>
  </si>
  <si>
    <t>0549276</t>
  </si>
  <si>
    <t>HBT# 5903 TL Trk#2</t>
  </si>
  <si>
    <t>0549278</t>
  </si>
  <si>
    <t>HBT# 5881 Bob Trk# 3</t>
  </si>
  <si>
    <t>0549283</t>
  </si>
  <si>
    <t>HBT#5771 Bob Trk # 4 Split Load</t>
  </si>
  <si>
    <t>A071503</t>
  </si>
  <si>
    <t>HBT# 5525 Jack Trk# 2 1st load</t>
  </si>
  <si>
    <t>A071506</t>
  </si>
  <si>
    <t xml:space="preserve">HBT#5526  Jack Trk# 2 </t>
  </si>
  <si>
    <t>A071507</t>
  </si>
  <si>
    <t xml:space="preserve">HBT# 4395 Gary Trk# 4 </t>
  </si>
  <si>
    <t>A071508</t>
  </si>
  <si>
    <t xml:space="preserve">HBT# 5527 Jack Trk# 2 </t>
  </si>
  <si>
    <t>A071509</t>
  </si>
  <si>
    <t xml:space="preserve">HBT# 4396 Gary Trk# 4 </t>
  </si>
  <si>
    <t>A071512</t>
  </si>
  <si>
    <t>HBT# 4397 Gary Trk# 4 Split Load</t>
  </si>
  <si>
    <t>341</t>
  </si>
  <si>
    <t>HBT# 5155 BobTrk# 3 Split Load</t>
  </si>
  <si>
    <t>342</t>
  </si>
  <si>
    <t>HBT# 4572 Jack Trk# 63</t>
  </si>
  <si>
    <t>343</t>
  </si>
  <si>
    <t>HBT# 5156 WR Trk# 4</t>
  </si>
  <si>
    <t>396</t>
  </si>
  <si>
    <t>HBT# 5751 Bob Trk# 4</t>
  </si>
  <si>
    <t>397</t>
  </si>
  <si>
    <t>HBt# 5530 Jack Trk# 2</t>
  </si>
  <si>
    <t>GRO1</t>
  </si>
  <si>
    <t>0259</t>
  </si>
  <si>
    <t>HBT# 5080 Bob O Trk 3 1st load</t>
  </si>
  <si>
    <t>0260</t>
  </si>
  <si>
    <t>HBT# 5520 Bob O Trk #2</t>
  </si>
  <si>
    <t>0261</t>
  </si>
  <si>
    <t>HBT# 4387 Gary Trk #4</t>
  </si>
  <si>
    <t>260</t>
  </si>
  <si>
    <t xml:space="preserve">HBT# 5520 Bob Trk# 2 </t>
  </si>
  <si>
    <t>261</t>
  </si>
  <si>
    <t xml:space="preserve">HBT# 4387 WR Trk# 2 </t>
  </si>
  <si>
    <t>510-057159 -78</t>
  </si>
  <si>
    <t>218859</t>
  </si>
  <si>
    <t>HBT#5307 Jack Trk# 1</t>
  </si>
  <si>
    <t>A072537</t>
  </si>
  <si>
    <t>HBT#5819 BK Trk# 4</t>
  </si>
  <si>
    <t>A072544</t>
  </si>
  <si>
    <t>HBT#57620 TL Trk#2</t>
  </si>
  <si>
    <t>A072548</t>
  </si>
  <si>
    <t>HBT# 5303 Jack Trk# 1</t>
  </si>
  <si>
    <t>A072553</t>
  </si>
  <si>
    <t>HBT# 5595 WDH Trk# 41</t>
  </si>
  <si>
    <t>A072556</t>
  </si>
  <si>
    <t>HBT# 5229 JB Trk# 5</t>
  </si>
  <si>
    <t>A072561</t>
  </si>
  <si>
    <t>HBT#5820 BK Trk# 4</t>
  </si>
  <si>
    <t>A072564</t>
  </si>
  <si>
    <t>HBT#5038 Bob Trk# 3</t>
  </si>
  <si>
    <t>A072568</t>
  </si>
  <si>
    <t>HBT#5947 TL Trk# 2</t>
  </si>
  <si>
    <t>A072572</t>
  </si>
  <si>
    <t>HBT#5304 Jack Trk# 1</t>
  </si>
  <si>
    <t>A072578</t>
  </si>
  <si>
    <t>HBT#520 JB Trk# 5</t>
  </si>
  <si>
    <t>A072580</t>
  </si>
  <si>
    <t>HBT#5821 BK Trk# 4</t>
  </si>
  <si>
    <t>A072584</t>
  </si>
  <si>
    <t>HBT#5039 Bob Trk# 3</t>
  </si>
  <si>
    <t>A072589</t>
  </si>
  <si>
    <t>HBT#5948 TL Trk# 2</t>
  </si>
  <si>
    <t>A072590</t>
  </si>
  <si>
    <t>HBT#5596 WDH Trk# 41</t>
  </si>
  <si>
    <t>A072597</t>
  </si>
  <si>
    <t>HBT#5305 Jack  Trk# 1</t>
  </si>
  <si>
    <t>A072612</t>
  </si>
  <si>
    <t>HBT# 5040 Bob Trk# 3</t>
  </si>
  <si>
    <t>A072614</t>
  </si>
  <si>
    <t>HBT#5949 TL Trk# 2</t>
  </si>
  <si>
    <t>A072617</t>
  </si>
  <si>
    <t>HBT#5231  JB Trk# 5</t>
  </si>
  <si>
    <t>A072620</t>
  </si>
  <si>
    <t>HBT#5822 BK Trk# 4</t>
  </si>
  <si>
    <t>A072638</t>
  </si>
  <si>
    <t>HBT# 5041 Bob Trk# 3</t>
  </si>
  <si>
    <t>A072640</t>
  </si>
  <si>
    <t>HBT# 5306 Jack Trk# 1</t>
  </si>
  <si>
    <t>A072644</t>
  </si>
  <si>
    <t>HBT# 5233 JB Trk# 5</t>
  </si>
  <si>
    <t>A072645</t>
  </si>
  <si>
    <t>HBT# 5823 BK Trk# 4</t>
  </si>
  <si>
    <t>A072647</t>
  </si>
  <si>
    <t>HBT# 6501 TL Trk# 2</t>
  </si>
  <si>
    <t>A072649</t>
  </si>
  <si>
    <t>HBT# 5042 Bob Trk# 3</t>
  </si>
  <si>
    <t>A072657</t>
  </si>
  <si>
    <t>HBT# 5223 JB  Trk#5</t>
  </si>
  <si>
    <t>A072660</t>
  </si>
  <si>
    <t>HBT# 5043 Bob Trk# 3</t>
  </si>
  <si>
    <t>A072668</t>
  </si>
  <si>
    <t>HBT#6502 TL Trk# 2</t>
  </si>
  <si>
    <t>A072673</t>
  </si>
  <si>
    <t>HBT#5308 Jack Trk# 1</t>
  </si>
  <si>
    <t>A075661</t>
  </si>
  <si>
    <t>HBT# 5824 BK Trk# 4</t>
  </si>
  <si>
    <t>0548286</t>
  </si>
  <si>
    <t>HBT# 4388 Gary Trk 4 1st Load</t>
  </si>
  <si>
    <t>0548288</t>
  </si>
  <si>
    <t xml:space="preserve">HBT# 4389 Gary Trk 4 </t>
  </si>
  <si>
    <t>0548292</t>
  </si>
  <si>
    <t xml:space="preserve">HBT# 5521 Gary Trk# 4 </t>
  </si>
  <si>
    <t>0548359</t>
  </si>
  <si>
    <t>HBt# 4390 Gary Trk# 4</t>
  </si>
  <si>
    <t>0548375</t>
  </si>
  <si>
    <t>HBt# 5522 Gary Trk# 2</t>
  </si>
  <si>
    <t>0548404</t>
  </si>
  <si>
    <t>HBt# 4391 GaryTrk# 4</t>
  </si>
  <si>
    <t>0548416</t>
  </si>
  <si>
    <t>HBt# 5523 Jack Trk# 2</t>
  </si>
  <si>
    <t>HBt# 4392 Gary Trk# 4 Split Load</t>
  </si>
  <si>
    <t>0548431</t>
  </si>
  <si>
    <t>HBT#4393  Gary  Trk # 4 Split Load</t>
  </si>
  <si>
    <t>A071504</t>
  </si>
  <si>
    <t>HBT#4394  Gary  Trk # 4Last Load</t>
  </si>
  <si>
    <t>F01641</t>
  </si>
  <si>
    <t xml:space="preserve">HBT#5524 Jack  Trk # 2 </t>
  </si>
  <si>
    <t>HBT# 5513 Gary Trk# 1</t>
  </si>
  <si>
    <t>036630</t>
  </si>
  <si>
    <t>HBT# 5655 Bob Trk 41 Bin 1  Meadowlark 844</t>
  </si>
  <si>
    <t>203</t>
  </si>
  <si>
    <t>Bin # 3 HBT# 3129 Truck 5  Bob -801</t>
  </si>
  <si>
    <t>204</t>
  </si>
  <si>
    <t>Bin # 3 HBT# 4566 Truck 5  Bob -801</t>
  </si>
  <si>
    <t>209</t>
  </si>
  <si>
    <t>HBT# 3127 4 Trk# 5 Julianne - 801</t>
  </si>
  <si>
    <t>21990</t>
  </si>
  <si>
    <t>HBT# 5601 Bob Trk # Bernie's Super Soy -844</t>
  </si>
  <si>
    <t>223</t>
  </si>
  <si>
    <t>From Bin #3 HBT# 5077 Trk# 35 Bob #844</t>
  </si>
  <si>
    <t>241</t>
  </si>
  <si>
    <t>HBT# 5078 Bob Trk # 5  - 844 Front Hopper</t>
  </si>
  <si>
    <t>283</t>
  </si>
  <si>
    <t>HBT# 5074 Bob Trk# 5 - 844</t>
  </si>
  <si>
    <t>285</t>
  </si>
  <si>
    <t>HBT# 3123 Bob Trk# 4 - 844</t>
  </si>
  <si>
    <t>547646</t>
  </si>
  <si>
    <t>HBT# 5510 Gary Trk# 2  1st Load</t>
  </si>
  <si>
    <t>547647</t>
  </si>
  <si>
    <t xml:space="preserve">HBT#4382 WR  Trk# 4 </t>
  </si>
  <si>
    <t>547660</t>
  </si>
  <si>
    <t xml:space="preserve">HBT#5513  Gary Trk# 1 </t>
  </si>
  <si>
    <t>547664</t>
  </si>
  <si>
    <t xml:space="preserve">HBT#4384  WR Trk# 4 </t>
  </si>
  <si>
    <t>547677</t>
  </si>
  <si>
    <t>HBT# 5512 Tanner Trk #4</t>
  </si>
  <si>
    <t>547680</t>
  </si>
  <si>
    <t>HBT# 5514 Tanner Trk #2</t>
  </si>
  <si>
    <t>A072536</t>
  </si>
  <si>
    <t>HBT#5228 JB Trk#5</t>
  </si>
  <si>
    <t>A072540</t>
  </si>
  <si>
    <t>HBT#5037 Bob Trk# 3</t>
  </si>
  <si>
    <t>HBT#5772 Bob Trk # 4 Split Load</t>
  </si>
  <si>
    <t>0549286</t>
  </si>
  <si>
    <t>HBT#5571 WDH Trk # 41</t>
  </si>
  <si>
    <t>0549290</t>
  </si>
  <si>
    <t>HBT#3145 JB Trk #51</t>
  </si>
  <si>
    <t>0549292</t>
  </si>
  <si>
    <t>HBT#4597 Jack Trk #63</t>
  </si>
  <si>
    <t>0549297</t>
  </si>
  <si>
    <t>HBT#5904 TL Trk # 2</t>
  </si>
  <si>
    <t>0549300</t>
  </si>
  <si>
    <t>HBT#5882 Bob Trk # 3</t>
  </si>
  <si>
    <t>0549302</t>
  </si>
  <si>
    <t>HBT#5773 Gary Trk # 4</t>
  </si>
  <si>
    <t>0549306</t>
  </si>
  <si>
    <t>HBT#5572  WDH Trk # 41</t>
  </si>
  <si>
    <t>0549311</t>
  </si>
  <si>
    <t>HBT#3146 JB Trk # 3</t>
  </si>
  <si>
    <t>0549314</t>
  </si>
  <si>
    <t>HBT#4598 Jack Trk # 63</t>
  </si>
  <si>
    <t>0549320</t>
  </si>
  <si>
    <t>HBT#5905 TL Trk # 2</t>
  </si>
  <si>
    <t>0549324</t>
  </si>
  <si>
    <t>HBT#5883 Bob Trk # 3</t>
  </si>
  <si>
    <t>0549327</t>
  </si>
  <si>
    <t>HBT#5774 gary Trk # 4</t>
  </si>
  <si>
    <t>0549330</t>
  </si>
  <si>
    <t>HBT#5573 WDH  Trk # 41</t>
  </si>
  <si>
    <t>0549334</t>
  </si>
  <si>
    <t>HBT#4599 Jack  Trk # 63</t>
  </si>
  <si>
    <t>0549378</t>
  </si>
  <si>
    <t>HBT#3147 BK  Trk # 5</t>
  </si>
  <si>
    <t>533-017148 - 77</t>
  </si>
  <si>
    <t>A072676</t>
  </si>
  <si>
    <t>HBT#5243 JB Trk# 5</t>
  </si>
  <si>
    <t>A072678</t>
  </si>
  <si>
    <t>HBT#5044 Bob Trk# 3</t>
  </si>
  <si>
    <t>A072683</t>
  </si>
  <si>
    <t>HBT#5825 BK Trk# 4</t>
  </si>
  <si>
    <t>A072688</t>
  </si>
  <si>
    <t>HBT#6503 TL Trk# 2</t>
  </si>
  <si>
    <t>A072690</t>
  </si>
  <si>
    <t>HBT#5309 Jack Trk# 1</t>
  </si>
  <si>
    <t>A072693</t>
  </si>
  <si>
    <t>HBT#5235 JB Trk# 5</t>
  </si>
  <si>
    <t>A072694</t>
  </si>
  <si>
    <t>HBT#5045 Bob Trk# 3 Last Load</t>
  </si>
  <si>
    <t>Wes Crop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</si>
</sst>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"/>
    <numFmt numFmtId="166" formatCode="mm/dd/yy"/>
  </numFmts>
  <fonts count="28">
    <font>
      <sz val="10.0"/>
      <color rgb="FF000000"/>
      <name val="Arial"/>
    </font>
    <font>
      <sz val="16.0"/>
      <name val="Old Standard TT"/>
    </font>
    <font>
      <b/>
      <sz val="40.0"/>
      <color rgb="FF073763"/>
      <name val="Old Standard TT"/>
    </font>
    <font/>
    <font>
      <sz val="20.0"/>
      <name val="Old Standard TT"/>
    </font>
    <font>
      <sz val="20.0"/>
      <name val="Arial"/>
    </font>
    <font>
      <sz val="14.0"/>
      <name val="Old Standard TT"/>
    </font>
    <font>
      <sz val="14.0"/>
      <name val="Arial"/>
    </font>
    <font>
      <b/>
      <sz val="14.0"/>
      <name val="Arial"/>
    </font>
    <font>
      <b/>
      <sz val="14.0"/>
    </font>
    <font>
      <b/>
      <sz val="11.0"/>
    </font>
    <font>
      <b/>
    </font>
    <font>
      <name val="Arial"/>
    </font>
    <font>
      <sz val="11.0"/>
      <color rgb="FF000000"/>
      <name val="Inconsolata"/>
    </font>
    <font>
      <strike/>
    </font>
    <font>
      <strike/>
      <name val="Arial"/>
    </font>
    <font>
      <b/>
      <strike/>
      <sz val="11.0"/>
    </font>
    <font>
      <strike/>
      <sz val="11.0"/>
      <color rgb="FF000000"/>
      <name val="Inconsolata"/>
    </font>
    <font>
      <sz val="11.0"/>
      <color rgb="FF000000"/>
      <name val="Arial"/>
    </font>
    <font>
      <sz val="10.0"/>
      <name val="Arial"/>
    </font>
    <font>
      <b/>
      <sz val="18.0"/>
      <name val="Old Standard TT"/>
    </font>
    <font>
      <sz val="11.0"/>
      <color rgb="FF1155CC"/>
      <name val="Inconsolata"/>
    </font>
    <font>
      <color rgb="FF000000"/>
    </font>
    <font>
      <sz val="11.0"/>
      <name val="Inconsolata"/>
    </font>
    <font>
      <color rgb="FF434343"/>
    </font>
    <font>
      <b/>
      <sz val="40.0"/>
      <color rgb="FFFFFFFF"/>
      <name val="Old Standard TT"/>
    </font>
    <font>
      <b/>
      <i/>
      <sz val="11.0"/>
      <name val="Old Standard TT"/>
    </font>
    <font>
      <name val="Old Standard TT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</fills>
  <borders count="2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7" fillId="2" fontId="1" numFmtId="0" xfId="0" applyBorder="1" applyFont="1"/>
    <xf borderId="0" fillId="2" fontId="4" numFmtId="0" xfId="0" applyAlignment="1" applyFont="1">
      <alignment readingOrder="0" vertical="center"/>
    </xf>
    <xf borderId="8" fillId="2" fontId="5" numFmtId="164" xfId="0" applyAlignment="1" applyBorder="1" applyFont="1" applyNumberFormat="1">
      <alignment horizontal="left" readingOrder="0" vertical="center"/>
    </xf>
    <xf borderId="9" fillId="0" fontId="3" numFmtId="0" xfId="0" applyBorder="1" applyFont="1"/>
    <xf borderId="10" fillId="2" fontId="1" numFmtId="0" xfId="0" applyBorder="1" applyFont="1"/>
    <xf borderId="0" fillId="2" fontId="1" numFmtId="0" xfId="0" applyAlignment="1" applyFont="1">
      <alignment vertical="center"/>
    </xf>
    <xf borderId="8" fillId="2" fontId="5" numFmtId="0" xfId="0" applyAlignment="1" applyBorder="1" applyFont="1">
      <alignment horizontal="left" readingOrder="0" vertical="center"/>
    </xf>
    <xf borderId="0" fillId="2" fontId="1" numFmtId="0" xfId="0" applyAlignment="1" applyFont="1">
      <alignment readingOrder="0" vertical="center"/>
    </xf>
    <xf borderId="10" fillId="2" fontId="1" numFmtId="0" xfId="0" applyAlignment="1" applyBorder="1" applyFont="1">
      <alignment readingOrder="0"/>
    </xf>
    <xf borderId="8" fillId="2" fontId="5" numFmtId="3" xfId="0" applyAlignment="1" applyBorder="1" applyFont="1" applyNumberFormat="1">
      <alignment horizontal="left" readingOrder="0" vertical="center"/>
    </xf>
    <xf borderId="8" fillId="2" fontId="5" numFmtId="165" xfId="0" applyAlignment="1" applyBorder="1" applyFont="1" applyNumberFormat="1">
      <alignment horizontal="left" readingOrder="0" vertical="center"/>
    </xf>
    <xf borderId="0" fillId="2" fontId="6" numFmtId="0" xfId="0" applyFont="1"/>
    <xf borderId="0" fillId="2" fontId="4" numFmtId="0" xfId="0" applyAlignment="1" applyFont="1">
      <alignment horizontal="left" readingOrder="0" vertical="center"/>
    </xf>
    <xf borderId="8" fillId="2" fontId="7" numFmtId="49" xfId="0" applyAlignment="1" applyBorder="1" applyFont="1" applyNumberFormat="1">
      <alignment readingOrder="0"/>
    </xf>
    <xf borderId="9" fillId="2" fontId="3" numFmtId="0" xfId="0" applyAlignment="1" applyBorder="1" applyFont="1">
      <alignment readingOrder="0"/>
    </xf>
    <xf borderId="0" fillId="2" fontId="3" numFmtId="0" xfId="0" applyFont="1"/>
    <xf borderId="11" fillId="2" fontId="3" numFmtId="0" xfId="0" applyAlignment="1" applyBorder="1" applyFont="1">
      <alignment readingOrder="0"/>
    </xf>
    <xf borderId="9" fillId="2" fontId="6" numFmtId="4" xfId="0" applyAlignment="1" applyBorder="1" applyFont="1" applyNumberFormat="1">
      <alignment horizontal="left" readingOrder="0" vertical="center"/>
    </xf>
    <xf borderId="0" fillId="2" fontId="4" numFmtId="0" xfId="0" applyAlignment="1" applyFont="1">
      <alignment readingOrder="0"/>
    </xf>
    <xf borderId="12" fillId="2" fontId="3" numFmtId="0" xfId="0" applyAlignment="1" applyBorder="1" applyFont="1">
      <alignment readingOrder="0"/>
    </xf>
    <xf borderId="4" fillId="2" fontId="1" numFmtId="0" xfId="0" applyBorder="1" applyFont="1"/>
    <xf borderId="5" fillId="2" fontId="1" numFmtId="0" xfId="0" applyBorder="1" applyFont="1"/>
    <xf borderId="5" fillId="2" fontId="1" numFmtId="0" xfId="0" applyAlignment="1" applyBorder="1" applyFont="1">
      <alignment readingOrder="0"/>
    </xf>
    <xf borderId="6" fillId="2" fontId="1" numFmtId="0" xfId="0" applyBorder="1" applyFont="1"/>
    <xf borderId="0" fillId="4" fontId="8" numFmtId="0" xfId="0" applyAlignment="1" applyFill="1" applyFont="1">
      <alignment readingOrder="0" vertical="bottom"/>
    </xf>
    <xf borderId="0" fillId="4" fontId="9" numFmtId="0" xfId="0" applyAlignment="1" applyFont="1">
      <alignment readingOrder="0"/>
    </xf>
    <xf borderId="0" fillId="4" fontId="8" numFmtId="0" xfId="0" applyAlignment="1" applyFont="1">
      <alignment vertical="bottom"/>
    </xf>
    <xf borderId="0" fillId="5" fontId="9" numFmtId="0" xfId="0" applyAlignment="1" applyFill="1" applyFont="1">
      <alignment readingOrder="0"/>
    </xf>
    <xf borderId="0" fillId="4" fontId="9" numFmtId="2" xfId="0" applyAlignment="1" applyFont="1" applyNumberFormat="1">
      <alignment readingOrder="0"/>
    </xf>
    <xf borderId="1" fillId="6" fontId="10" numFmtId="0" xfId="0" applyAlignment="1" applyBorder="1" applyFill="1" applyFont="1">
      <alignment readingOrder="0"/>
    </xf>
    <xf borderId="2" fillId="6" fontId="10" numFmtId="0" xfId="0" applyAlignment="1" applyBorder="1" applyFont="1">
      <alignment readingOrder="0"/>
    </xf>
    <xf borderId="3" fillId="6" fontId="11" numFmtId="0" xfId="0" applyAlignment="1" applyBorder="1" applyFont="1">
      <alignment readingOrder="0"/>
    </xf>
    <xf borderId="0" fillId="7" fontId="3" numFmtId="0" xfId="0" applyAlignment="1" applyFill="1" applyFont="1">
      <alignment readingOrder="0"/>
    </xf>
    <xf borderId="10" fillId="7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vertical="bottom"/>
    </xf>
    <xf borderId="0" fillId="5" fontId="3" numFmtId="2" xfId="0" applyFont="1" applyNumberFormat="1"/>
    <xf borderId="0" fillId="0" fontId="3" numFmtId="2" xfId="0" applyFont="1" applyNumberFormat="1"/>
    <xf borderId="0" fillId="0" fontId="12" numFmtId="0" xfId="0" applyAlignment="1" applyFont="1">
      <alignment horizontal="right" vertical="bottom"/>
    </xf>
    <xf borderId="7" fillId="8" fontId="10" numFmtId="0" xfId="0" applyAlignment="1" applyBorder="1" applyFill="1" applyFont="1">
      <alignment readingOrder="0"/>
    </xf>
    <xf borderId="0" fillId="8" fontId="10" numFmtId="9" xfId="0" applyAlignment="1" applyFont="1" applyNumberFormat="1">
      <alignment readingOrder="0"/>
    </xf>
    <xf borderId="10" fillId="8" fontId="3" numFmtId="0" xfId="0" applyBorder="1" applyFont="1"/>
    <xf borderId="0" fillId="9" fontId="13" numFmtId="0" xfId="0" applyFill="1" applyFont="1"/>
    <xf borderId="10" fillId="9" fontId="3" numFmtId="0" xfId="0" applyBorder="1" applyFont="1"/>
    <xf borderId="0" fillId="0" fontId="3" numFmtId="3" xfId="0" applyAlignment="1" applyFont="1" applyNumberFormat="1">
      <alignment readingOrder="0"/>
    </xf>
    <xf borderId="0" fillId="0" fontId="12" numFmtId="0" xfId="0" applyAlignment="1" applyFont="1">
      <alignment readingOrder="0" vertical="bottom"/>
    </xf>
    <xf borderId="7" fillId="8" fontId="10" numFmtId="0" xfId="0" applyBorder="1" applyFont="1"/>
    <xf borderId="0" fillId="10" fontId="3" numFmtId="0" xfId="0" applyFill="1" applyFont="1"/>
    <xf borderId="0" fillId="0" fontId="3" numFmtId="0" xfId="0" applyFont="1"/>
    <xf borderId="13" fillId="0" fontId="3" numFmtId="0" xfId="0" applyAlignment="1" applyBorder="1" applyFont="1">
      <alignment horizontal="right"/>
    </xf>
    <xf borderId="0" fillId="8" fontId="3" numFmtId="0" xfId="0" applyFont="1"/>
    <xf borderId="0" fillId="8" fontId="3" numFmtId="9" xfId="0" applyFont="1" applyNumberFormat="1"/>
    <xf borderId="13" fillId="8" fontId="3" numFmtId="0" xfId="0" applyBorder="1" applyFont="1"/>
    <xf borderId="14" fillId="8" fontId="3" numFmtId="0" xfId="0" applyBorder="1" applyFont="1"/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3" xfId="0" applyAlignment="1" applyFont="1" applyNumberFormat="1">
      <alignment readingOrder="0"/>
    </xf>
    <xf borderId="0" fillId="5" fontId="3" numFmtId="0" xfId="0" applyAlignment="1" applyFont="1">
      <alignment readingOrder="0"/>
    </xf>
    <xf borderId="10" fillId="9" fontId="3" numFmtId="0" xfId="0" applyAlignment="1" applyBorder="1" applyFont="1">
      <alignment readingOrder="0"/>
    </xf>
    <xf borderId="0" fillId="9" fontId="13" numFmtId="0" xfId="0" applyAlignment="1" applyFont="1">
      <alignment readingOrder="0"/>
    </xf>
    <xf borderId="0" fillId="5" fontId="12" numFmtId="0" xfId="0" applyAlignment="1" applyFont="1">
      <alignment readingOrder="0" vertical="bottom"/>
    </xf>
    <xf borderId="0" fillId="8" fontId="10" numFmtId="9" xfId="0" applyFont="1" applyNumberFormat="1"/>
    <xf borderId="0" fillId="0" fontId="3" numFmtId="9" xfId="0" applyAlignment="1" applyFont="1" applyNumberFormat="1">
      <alignment readingOrder="0"/>
    </xf>
    <xf borderId="0" fillId="0" fontId="15" numFmtId="0" xfId="0" applyAlignment="1" applyFont="1">
      <alignment horizontal="right" vertical="bottom"/>
    </xf>
    <xf borderId="0" fillId="5" fontId="14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5" fontId="14" numFmtId="2" xfId="0" applyFont="1" applyNumberFormat="1"/>
    <xf borderId="0" fillId="0" fontId="14" numFmtId="2" xfId="0" applyFont="1" applyNumberFormat="1"/>
    <xf borderId="7" fillId="8" fontId="16" numFmtId="0" xfId="0" applyBorder="1" applyFont="1"/>
    <xf borderId="0" fillId="8" fontId="16" numFmtId="9" xfId="0" applyFont="1" applyNumberFormat="1"/>
    <xf borderId="10" fillId="8" fontId="14" numFmtId="0" xfId="0" applyBorder="1" applyFont="1"/>
    <xf borderId="0" fillId="9" fontId="17" numFmtId="0" xfId="0" applyFont="1"/>
    <xf borderId="10" fillId="9" fontId="14" numFmtId="0" xfId="0" applyBorder="1" applyFont="1"/>
    <xf borderId="0" fillId="0" fontId="14" numFmtId="9" xfId="0" applyAlignment="1" applyFont="1" applyNumberFormat="1">
      <alignment readingOrder="0"/>
    </xf>
    <xf borderId="0" fillId="5" fontId="3" numFmtId="0" xfId="0" applyFont="1"/>
    <xf borderId="0" fillId="9" fontId="18" numFmtId="0" xfId="0" applyAlignment="1" applyFont="1">
      <alignment readingOrder="0"/>
    </xf>
    <xf borderId="0" fillId="5" fontId="3" numFmtId="1" xfId="0" applyFont="1" applyNumberFormat="1"/>
    <xf borderId="0" fillId="5" fontId="12" numFmtId="0" xfId="0" applyAlignment="1" applyFont="1">
      <alignment horizontal="right" readingOrder="0" vertical="bottom"/>
    </xf>
    <xf borderId="0" fillId="0" fontId="19" numFmtId="0" xfId="0" applyAlignment="1" applyFont="1">
      <alignment readingOrder="0"/>
    </xf>
    <xf borderId="10" fillId="8" fontId="3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8" fontId="10" numFmtId="0" xfId="0" applyFont="1"/>
    <xf borderId="0" fillId="9" fontId="3" numFmtId="0" xfId="0" applyFont="1"/>
    <xf borderId="15" fillId="0" fontId="11" numFmtId="0" xfId="0" applyBorder="1" applyFont="1"/>
    <xf borderId="16" fillId="0" fontId="11" numFmtId="0" xfId="0" applyAlignment="1" applyBorder="1" applyFont="1">
      <alignment readingOrder="0"/>
    </xf>
    <xf borderId="15" fillId="5" fontId="11" numFmtId="0" xfId="0" applyAlignment="1" applyBorder="1" applyFont="1">
      <alignment readingOrder="0"/>
    </xf>
    <xf borderId="15" fillId="0" fontId="11" numFmtId="0" xfId="0" applyAlignment="1" applyBorder="1" applyFont="1">
      <alignment readingOrder="0"/>
    </xf>
    <xf borderId="15" fillId="0" fontId="11" numFmtId="2" xfId="0" applyAlignment="1" applyBorder="1" applyFont="1" applyNumberFormat="1">
      <alignment readingOrder="0"/>
    </xf>
    <xf borderId="0" fillId="0" fontId="11" numFmtId="0" xfId="0" applyAlignment="1" applyFont="1">
      <alignment readingOrder="0"/>
    </xf>
    <xf borderId="17" fillId="0" fontId="11" numFmtId="0" xfId="0" applyAlignment="1" applyBorder="1" applyFont="1">
      <alignment readingOrder="0"/>
    </xf>
    <xf borderId="0" fillId="5" fontId="11" numFmtId="0" xfId="0" applyFont="1"/>
    <xf borderId="0" fillId="0" fontId="11" numFmtId="0" xfId="0" applyFont="1"/>
    <xf borderId="0" fillId="0" fontId="11" numFmtId="2" xfId="0" applyFont="1" applyNumberFormat="1"/>
    <xf borderId="17" fillId="0" fontId="3" numFmtId="0" xfId="0" applyBorder="1" applyFont="1"/>
    <xf borderId="1" fillId="0" fontId="10" numFmtId="9" xfId="0" applyAlignment="1" applyBorder="1" applyFont="1" applyNumberFormat="1">
      <alignment readingOrder="0"/>
    </xf>
    <xf borderId="16" fillId="0" fontId="3" numFmtId="2" xfId="0" applyAlignment="1" applyBorder="1" applyFont="1" applyNumberFormat="1">
      <alignment horizontal="center" readingOrder="0"/>
    </xf>
    <xf borderId="16" fillId="0" fontId="3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2" xfId="0" applyAlignment="1" applyBorder="1" applyFont="1" applyNumberFormat="1">
      <alignment readingOrder="0"/>
    </xf>
    <xf borderId="3" fillId="0" fontId="3" numFmtId="0" xfId="0" applyAlignment="1" applyBorder="1" applyFont="1">
      <alignment readingOrder="0"/>
    </xf>
    <xf borderId="7" fillId="0" fontId="10" numFmtId="9" xfId="0" applyAlignment="1" applyBorder="1" applyFont="1" applyNumberFormat="1">
      <alignment readingOrder="0"/>
    </xf>
    <xf borderId="17" fillId="0" fontId="3" numFmtId="2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0" fillId="0" fontId="3" numFmtId="2" xfId="0" applyAlignment="1" applyFont="1" applyNumberFormat="1">
      <alignment readingOrder="0"/>
    </xf>
    <xf borderId="17" fillId="0" fontId="3" numFmtId="0" xfId="0" applyAlignment="1" applyBorder="1" applyFont="1">
      <alignment horizontal="left"/>
    </xf>
    <xf borderId="4" fillId="0" fontId="10" numFmtId="9" xfId="0" applyAlignment="1" applyBorder="1" applyFont="1" applyNumberFormat="1">
      <alignment readingOrder="0"/>
    </xf>
    <xf borderId="18" fillId="0" fontId="3" numFmtId="2" xfId="0" applyAlignment="1" applyBorder="1" applyFont="1" applyNumberFormat="1">
      <alignment horizontal="center" readingOrder="0"/>
    </xf>
    <xf borderId="18" fillId="0" fontId="3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5" fillId="0" fontId="3" numFmtId="2" xfId="0" applyAlignment="1" applyBorder="1" applyFont="1" applyNumberFormat="1">
      <alignment readingOrder="0"/>
    </xf>
    <xf borderId="6" fillId="0" fontId="3" numFmtId="0" xfId="0" applyAlignment="1" applyBorder="1" applyFont="1">
      <alignment readingOrder="0"/>
    </xf>
    <xf borderId="19" fillId="8" fontId="12" numFmtId="0" xfId="0" applyAlignment="1" applyBorder="1" applyFont="1">
      <alignment vertical="bottom"/>
    </xf>
    <xf borderId="19" fillId="9" fontId="3" numFmtId="0" xfId="0" applyAlignment="1" applyBorder="1" applyFont="1">
      <alignment readingOrder="0"/>
    </xf>
    <xf borderId="0" fillId="5" fontId="3" numFmtId="4" xfId="0" applyFont="1" applyNumberFormat="1"/>
    <xf borderId="0" fillId="5" fontId="3" numFmtId="0" xfId="0" applyAlignment="1" applyFont="1">
      <alignment horizontal="right"/>
    </xf>
    <xf borderId="0" fillId="11" fontId="3" numFmtId="2" xfId="0" applyFill="1" applyFont="1" applyNumberFormat="1"/>
    <xf borderId="0" fillId="11" fontId="3" numFmtId="0" xfId="0" applyAlignment="1" applyFont="1">
      <alignment readingOrder="0"/>
    </xf>
    <xf borderId="0" fillId="11" fontId="20" numFmtId="0" xfId="0" applyAlignment="1" applyFont="1">
      <alignment horizontal="center" readingOrder="0" vertical="center"/>
    </xf>
    <xf borderId="0" fillId="11" fontId="20" numFmtId="2" xfId="0" applyAlignment="1" applyFont="1" applyNumberFormat="1">
      <alignment horizontal="center" readingOrder="0" vertical="center"/>
    </xf>
    <xf borderId="0" fillId="11" fontId="3" numFmtId="0" xfId="0" applyFont="1"/>
    <xf borderId="0" fillId="0" fontId="3" numFmtId="14" xfId="0" applyFont="1" applyNumberFormat="1"/>
    <xf borderId="0" fillId="0" fontId="3" numFmtId="4" xfId="0" applyFont="1" applyNumberFormat="1"/>
    <xf borderId="0" fillId="0" fontId="3" numFmtId="0" xfId="0" applyAlignment="1" applyFont="1">
      <alignment horizontal="right"/>
    </xf>
    <xf borderId="0" fillId="0" fontId="3" numFmtId="49" xfId="0" applyAlignment="1" applyFont="1" applyNumberFormat="1">
      <alignment horizontal="right"/>
    </xf>
    <xf borderId="0" fillId="5" fontId="21" numFmtId="0" xfId="0" applyFont="1"/>
    <xf borderId="0" fillId="5" fontId="13" numFmtId="2" xfId="0" applyFont="1" applyNumberFormat="1"/>
    <xf borderId="0" fillId="5" fontId="13" numFmtId="0" xfId="0" applyFont="1"/>
    <xf borderId="0" fillId="5" fontId="13" numFmtId="0" xfId="0" applyAlignment="1" applyFont="1">
      <alignment readingOrder="0"/>
    </xf>
    <xf borderId="0" fillId="9" fontId="3" numFmtId="14" xfId="0" applyFont="1" applyNumberFormat="1"/>
    <xf borderId="0" fillId="9" fontId="3" numFmtId="4" xfId="0" applyFont="1" applyNumberFormat="1"/>
    <xf borderId="0" fillId="9" fontId="3" numFmtId="0" xfId="0" applyAlignment="1" applyFont="1">
      <alignment horizontal="right"/>
    </xf>
    <xf borderId="0" fillId="9" fontId="3" numFmtId="49" xfId="0" applyAlignment="1" applyFont="1" applyNumberFormat="1">
      <alignment horizontal="right"/>
    </xf>
    <xf borderId="0" fillId="9" fontId="3" numFmtId="2" xfId="0" applyFont="1" applyNumberFormat="1"/>
    <xf borderId="0" fillId="5" fontId="21" numFmtId="0" xfId="0" applyAlignment="1" applyFont="1">
      <alignment readingOrder="0"/>
    </xf>
    <xf borderId="0" fillId="5" fontId="18" numFmtId="0" xfId="0" applyAlignment="1" applyFont="1">
      <alignment readingOrder="0"/>
    </xf>
    <xf borderId="0" fillId="5" fontId="22" numFmtId="0" xfId="0" applyFont="1"/>
    <xf borderId="0" fillId="5" fontId="3" numFmtId="14" xfId="0" applyFont="1" applyNumberFormat="1"/>
    <xf borderId="0" fillId="5" fontId="3" numFmtId="49" xfId="0" applyAlignment="1" applyFont="1" applyNumberFormat="1">
      <alignment horizontal="right"/>
    </xf>
    <xf borderId="0" fillId="5" fontId="23" numFmtId="0" xfId="0" applyAlignment="1" applyFont="1">
      <alignment horizontal="right" readingOrder="0" vertical="center"/>
    </xf>
    <xf borderId="0" fillId="5" fontId="24" numFmtId="0" xfId="0" applyFont="1"/>
    <xf borderId="0" fillId="0" fontId="3" numFmtId="0" xfId="0" applyAlignment="1" applyFont="1">
      <alignment horizontal="right" readingOrder="0"/>
    </xf>
    <xf borderId="0" fillId="5" fontId="12" numFmtId="0" xfId="0" applyAlignment="1" applyFont="1">
      <alignment vertical="bottom"/>
    </xf>
    <xf borderId="0" fillId="0" fontId="3" numFmtId="164" xfId="0" applyFont="1" applyNumberFormat="1"/>
    <xf borderId="0" fillId="5" fontId="13" numFmtId="2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0" fillId="12" fontId="1" numFmtId="0" xfId="0" applyFill="1" applyFont="1"/>
    <xf borderId="0" fillId="12" fontId="1" numFmtId="0" xfId="0" applyAlignment="1" applyFont="1">
      <alignment readingOrder="0"/>
    </xf>
    <xf borderId="1" fillId="13" fontId="25" numFmtId="0" xfId="0" applyAlignment="1" applyBorder="1" applyFill="1" applyFont="1">
      <alignment horizontal="center" readingOrder="0" vertical="center"/>
    </xf>
    <xf borderId="1" fillId="12" fontId="1" numFmtId="0" xfId="0" applyBorder="1" applyFont="1"/>
    <xf borderId="2" fillId="12" fontId="1" numFmtId="0" xfId="0" applyBorder="1" applyFont="1"/>
    <xf borderId="3" fillId="12" fontId="1" numFmtId="0" xfId="0" applyBorder="1" applyFont="1"/>
    <xf borderId="7" fillId="12" fontId="1" numFmtId="0" xfId="0" applyBorder="1" applyFont="1"/>
    <xf borderId="0" fillId="12" fontId="4" numFmtId="0" xfId="0" applyAlignment="1" applyFont="1">
      <alignment readingOrder="0" vertical="center"/>
    </xf>
    <xf borderId="8" fillId="12" fontId="4" numFmtId="166" xfId="0" applyAlignment="1" applyBorder="1" applyFont="1" applyNumberFormat="1">
      <alignment horizontal="left" readingOrder="0" vertical="center"/>
    </xf>
    <xf borderId="10" fillId="12" fontId="1" numFmtId="0" xfId="0" applyBorder="1" applyFont="1"/>
    <xf borderId="0" fillId="12" fontId="1" numFmtId="0" xfId="0" applyAlignment="1" applyFont="1">
      <alignment vertical="center"/>
    </xf>
    <xf borderId="8" fillId="12" fontId="4" numFmtId="0" xfId="0" applyAlignment="1" applyBorder="1" applyFont="1">
      <alignment horizontal="left" readingOrder="0" vertical="center"/>
    </xf>
    <xf borderId="4" fillId="12" fontId="1" numFmtId="0" xfId="0" applyBorder="1" applyFont="1"/>
    <xf borderId="5" fillId="12" fontId="1" numFmtId="0" xfId="0" applyBorder="1" applyFont="1"/>
    <xf borderId="5" fillId="12" fontId="1" numFmtId="0" xfId="0" applyAlignment="1" applyBorder="1" applyFont="1">
      <alignment vertical="center"/>
    </xf>
    <xf borderId="6" fillId="12" fontId="1" numFmtId="0" xfId="0" applyBorder="1" applyFont="1"/>
    <xf borderId="0" fillId="12" fontId="26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9" fontId="6" numFmtId="0" xfId="0" applyAlignment="1" applyFont="1">
      <alignment horizontal="center" readingOrder="0"/>
    </xf>
    <xf borderId="0" fillId="5" fontId="6" numFmtId="4" xfId="0" applyAlignment="1" applyFont="1" applyNumberFormat="1">
      <alignment horizontal="center" readingOrder="0"/>
    </xf>
    <xf borderId="0" fillId="0" fontId="6" numFmtId="2" xfId="0" applyAlignment="1" applyFont="1" applyNumberFormat="1">
      <alignment readingOrder="0"/>
    </xf>
    <xf borderId="0" fillId="0" fontId="6" numFmtId="0" xfId="0" applyFont="1"/>
    <xf borderId="0" fillId="5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9" fontId="6" numFmtId="0" xfId="0" applyAlignment="1" applyFont="1">
      <alignment readingOrder="0"/>
    </xf>
    <xf borderId="0" fillId="5" fontId="6" numFmtId="4" xfId="0" applyAlignment="1" applyFont="1" applyNumberFormat="1">
      <alignment readingOrder="0"/>
    </xf>
    <xf borderId="0" fillId="0" fontId="6" numFmtId="49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0" fillId="0" fontId="6" numFmtId="2" xfId="0" applyFont="1" applyNumberFormat="1"/>
    <xf borderId="0" fillId="9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5" fontId="6" numFmtId="1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9" fontId="6" numFmtId="0" xfId="0" applyAlignment="1" applyFont="1">
      <alignment horizontal="right" readingOrder="0" vertical="bottom"/>
    </xf>
    <xf borderId="0" fillId="5" fontId="6" numFmtId="4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5" fontId="6" numFmtId="0" xfId="0" applyAlignment="1" applyFont="1">
      <alignment readingOrder="0"/>
    </xf>
    <xf borderId="0" fillId="5" fontId="6" numFmtId="49" xfId="0" applyAlignment="1" applyFont="1" applyNumberFormat="1">
      <alignment horizontal="right" readingOrder="0"/>
    </xf>
    <xf borderId="0" fillId="5" fontId="6" numFmtId="16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0" fillId="0" fontId="27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11</xdr:row>
      <xdr:rowOff>152400</xdr:rowOff>
    </xdr:from>
    <xdr:ext cx="2362200" cy="581025"/>
    <xdr:sp>
      <xdr:nvSpPr>
        <xdr:cNvPr id="3" name="Shape 3"/>
        <xdr:cNvSpPr/>
      </xdr:nvSpPr>
      <xdr:spPr>
        <a:xfrm>
          <a:off x="2142925" y="944850"/>
          <a:ext cx="2347500" cy="564900"/>
        </a:xfrm>
        <a:prstGeom prst="roundRect">
          <a:avLst>
            <a:gd fmla="val 16667" name="adj"/>
          </a:avLst>
        </a:prstGeom>
        <a:solidFill>
          <a:srgbClr val="38761D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FFFF"/>
              </a:solidFill>
              <a:latin typeface="Old Standard TT"/>
              <a:ea typeface="Old Standard TT"/>
              <a:cs typeface="Old Standard TT"/>
              <a:sym typeface="Old Standard TT"/>
            </a:rPr>
            <a:t>Save Data</a:t>
          </a:r>
          <a:endParaRPr b="1" sz="2400">
            <a:solidFill>
              <a:srgbClr val="FFFFFF"/>
            </a:solidFill>
            <a:latin typeface="Old Standard TT"/>
            <a:ea typeface="Old Standard TT"/>
            <a:cs typeface="Old Standard TT"/>
            <a:sym typeface="Old Standard TT"/>
          </a:endParaRPr>
        </a:p>
      </xdr:txBody>
    </xdr:sp>
    <xdr:clientData fLocksWithSheet="0"/>
  </xdr:oneCellAnchor>
  <xdr:oneCellAnchor>
    <xdr:from>
      <xdr:col>8</xdr:col>
      <xdr:colOff>133350</xdr:colOff>
      <xdr:row>13</xdr:row>
      <xdr:rowOff>361950</xdr:rowOff>
    </xdr:from>
    <xdr:ext cx="2362200" cy="581025"/>
    <xdr:sp>
      <xdr:nvSpPr>
        <xdr:cNvPr id="4" name="Shape 4"/>
        <xdr:cNvSpPr/>
      </xdr:nvSpPr>
      <xdr:spPr>
        <a:xfrm>
          <a:off x="2142925" y="944850"/>
          <a:ext cx="2347500" cy="564900"/>
        </a:xfrm>
        <a:prstGeom prst="roundRect">
          <a:avLst>
            <a:gd fmla="val 16667" name="adj"/>
          </a:avLst>
        </a:prstGeom>
        <a:solidFill>
          <a:srgbClr val="990000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FFFF"/>
              </a:solidFill>
              <a:latin typeface="Old Standard TT"/>
              <a:ea typeface="Old Standard TT"/>
              <a:cs typeface="Old Standard TT"/>
              <a:sym typeface="Old Standard TT"/>
            </a:rPr>
            <a:t>Clear</a:t>
          </a:r>
          <a:r>
            <a:rPr b="1" lang="en-US" sz="2400">
              <a:solidFill>
                <a:srgbClr val="FFFFFF"/>
              </a:solidFill>
              <a:latin typeface="Old Standard TT"/>
              <a:ea typeface="Old Standard TT"/>
              <a:cs typeface="Old Standard TT"/>
              <a:sym typeface="Old Standard TT"/>
            </a:rPr>
            <a:t> Data</a:t>
          </a:r>
          <a:endParaRPr b="1" sz="2400">
            <a:solidFill>
              <a:srgbClr val="FFFFFF"/>
            </a:solidFill>
            <a:latin typeface="Old Standard TT"/>
            <a:ea typeface="Old Standard TT"/>
            <a:cs typeface="Old Standard TT"/>
            <a:sym typeface="Old Standard TT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0"/>
    <col customWidth="1" min="3" max="3" width="7.25"/>
    <col customWidth="1" min="4" max="7" width="18.88"/>
    <col customWidth="1" min="8" max="8" width="5.63"/>
    <col customWidth="1" min="9" max="9" width="36.63"/>
    <col customWidth="1" min="10" max="10" width="5.0"/>
  </cols>
  <sheetData>
    <row r="1" ht="27.0" customHeight="1">
      <c r="A1" s="1" t="s">
        <v>0</v>
      </c>
      <c r="B1" s="2"/>
      <c r="C1" s="1"/>
      <c r="D1" s="2"/>
      <c r="E1" s="2"/>
      <c r="F1" s="2"/>
      <c r="G1" s="2"/>
      <c r="H1" s="2"/>
      <c r="I1" s="2"/>
      <c r="J1" s="2"/>
    </row>
    <row r="2" ht="36.75" customHeight="1">
      <c r="A2" s="2"/>
      <c r="B2" s="3" t="s">
        <v>1</v>
      </c>
      <c r="C2" s="4"/>
      <c r="D2" s="4"/>
      <c r="E2" s="4"/>
      <c r="F2" s="4"/>
      <c r="G2" s="4"/>
      <c r="H2" s="4"/>
      <c r="I2" s="5"/>
      <c r="J2" s="2"/>
    </row>
    <row r="3" ht="44.25" customHeight="1">
      <c r="A3" s="2"/>
      <c r="B3" s="6"/>
      <c r="C3" s="7"/>
      <c r="D3" s="7"/>
      <c r="E3" s="7"/>
      <c r="F3" s="7"/>
      <c r="G3" s="7"/>
      <c r="H3" s="7"/>
      <c r="I3" s="8"/>
      <c r="J3" s="2"/>
    </row>
    <row r="4" ht="24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22.5" customHeight="1">
      <c r="A5" s="2"/>
      <c r="B5" s="9"/>
      <c r="C5" s="10"/>
      <c r="D5" s="10"/>
      <c r="E5" s="10"/>
      <c r="F5" s="10"/>
      <c r="G5" s="10"/>
      <c r="H5" s="10"/>
      <c r="I5" s="11"/>
      <c r="J5" s="1" t="s">
        <v>2</v>
      </c>
    </row>
    <row r="6" ht="37.5" customHeight="1">
      <c r="A6" s="2"/>
      <c r="B6" s="12"/>
      <c r="C6" s="2"/>
      <c r="D6" s="13" t="s">
        <v>3</v>
      </c>
      <c r="F6" s="14">
        <v>45978.0</v>
      </c>
      <c r="G6" s="15"/>
      <c r="H6" s="1"/>
      <c r="I6" s="16"/>
      <c r="J6" s="1" t="s">
        <v>2</v>
      </c>
    </row>
    <row r="7" ht="11.25" customHeight="1">
      <c r="A7" s="2"/>
      <c r="B7" s="12"/>
      <c r="C7" s="2"/>
      <c r="D7" s="17"/>
      <c r="E7" s="17"/>
      <c r="F7" s="17"/>
      <c r="G7" s="17"/>
      <c r="H7" s="2"/>
      <c r="I7" s="16"/>
      <c r="J7" s="1"/>
    </row>
    <row r="8" ht="37.5" customHeight="1">
      <c r="A8" s="2"/>
      <c r="B8" s="12"/>
      <c r="C8" s="2"/>
      <c r="D8" s="13" t="s">
        <v>4</v>
      </c>
      <c r="F8" s="18" t="s">
        <v>5</v>
      </c>
      <c r="G8" s="15"/>
      <c r="H8" s="2"/>
      <c r="I8" s="16"/>
      <c r="J8" s="2"/>
    </row>
    <row r="9" ht="11.25" customHeight="1">
      <c r="A9" s="2"/>
      <c r="B9" s="12"/>
      <c r="C9" s="2"/>
      <c r="D9" s="17"/>
      <c r="E9" s="17"/>
      <c r="F9" s="19"/>
      <c r="G9" s="17"/>
      <c r="H9" s="2"/>
      <c r="I9" s="20"/>
      <c r="J9" s="2"/>
    </row>
    <row r="10" ht="37.5" customHeight="1">
      <c r="A10" s="2"/>
      <c r="B10" s="12"/>
      <c r="C10" s="2"/>
      <c r="D10" s="13" t="s">
        <v>6</v>
      </c>
      <c r="F10" s="21">
        <v>37560.0</v>
      </c>
      <c r="G10" s="15"/>
      <c r="H10" s="2"/>
      <c r="I10" s="20"/>
      <c r="J10" s="2"/>
    </row>
    <row r="11" ht="11.25" customHeight="1">
      <c r="A11" s="2"/>
      <c r="B11" s="12"/>
      <c r="C11" s="2"/>
      <c r="D11" s="17"/>
      <c r="E11" s="17"/>
      <c r="F11" s="19"/>
      <c r="G11" s="19"/>
      <c r="H11" s="2"/>
      <c r="I11" s="16"/>
      <c r="J11" s="2"/>
    </row>
    <row r="12" ht="37.5" customHeight="1">
      <c r="A12" s="2"/>
      <c r="B12" s="12"/>
      <c r="C12" s="2"/>
      <c r="D12" s="13" t="s">
        <v>7</v>
      </c>
      <c r="F12" s="22">
        <v>18.0</v>
      </c>
      <c r="G12" s="15"/>
      <c r="H12" s="2"/>
      <c r="I12" s="16"/>
      <c r="J12" s="23"/>
    </row>
    <row r="13" ht="11.25" customHeight="1">
      <c r="A13" s="2"/>
      <c r="B13" s="12"/>
      <c r="C13" s="2"/>
      <c r="D13" s="17"/>
      <c r="E13" s="17"/>
      <c r="F13" s="19"/>
      <c r="G13" s="17"/>
      <c r="H13" s="2"/>
      <c r="I13" s="16"/>
      <c r="J13" s="2"/>
    </row>
    <row r="14" ht="37.5" customHeight="1">
      <c r="A14" s="2"/>
      <c r="B14" s="12"/>
      <c r="C14" s="2"/>
      <c r="D14" s="13" t="s">
        <v>8</v>
      </c>
      <c r="F14" s="18" t="s">
        <v>9</v>
      </c>
      <c r="G14" s="15"/>
      <c r="H14" s="2"/>
      <c r="I14" s="16"/>
      <c r="J14" s="2"/>
    </row>
    <row r="15" ht="11.25" customHeight="1">
      <c r="A15" s="2"/>
      <c r="B15" s="12"/>
      <c r="C15" s="2"/>
      <c r="D15" s="17"/>
      <c r="E15" s="17"/>
      <c r="F15" s="24"/>
      <c r="H15" s="2"/>
      <c r="I15" s="16"/>
      <c r="J15" s="2"/>
    </row>
    <row r="16" ht="37.5" customHeight="1">
      <c r="A16" s="2"/>
      <c r="B16" s="12"/>
      <c r="C16" s="2"/>
      <c r="D16" s="13" t="s">
        <v>10</v>
      </c>
      <c r="F16" s="25" t="s">
        <v>11</v>
      </c>
      <c r="G16" s="26"/>
      <c r="H16" s="27"/>
      <c r="I16" s="16"/>
      <c r="J16" s="2"/>
    </row>
    <row r="17" ht="12.75" customHeight="1">
      <c r="A17" s="2"/>
      <c r="B17" s="12"/>
      <c r="C17" s="2"/>
      <c r="D17" s="13"/>
      <c r="E17" s="13"/>
      <c r="F17" s="24"/>
      <c r="G17" s="24"/>
      <c r="H17" s="2"/>
      <c r="I17" s="16"/>
      <c r="J17" s="2"/>
    </row>
    <row r="18" ht="37.5" customHeight="1">
      <c r="A18" s="2"/>
      <c r="B18" s="12"/>
      <c r="C18" s="2"/>
      <c r="D18" s="13" t="s">
        <v>12</v>
      </c>
      <c r="F18" s="28" t="s">
        <v>13</v>
      </c>
      <c r="G18" s="29"/>
      <c r="H18" s="1"/>
      <c r="I18" s="16"/>
      <c r="J18" s="2"/>
    </row>
    <row r="19" ht="22.5" customHeight="1">
      <c r="A19" s="2"/>
      <c r="B19" s="12"/>
      <c r="C19" s="2"/>
      <c r="D19" s="2"/>
      <c r="E19" s="2"/>
      <c r="F19" s="1"/>
      <c r="G19" s="2"/>
      <c r="H19" s="2"/>
      <c r="I19" s="16"/>
      <c r="J19" s="2"/>
    </row>
    <row r="20" ht="22.5" customHeight="1">
      <c r="A20" s="2"/>
      <c r="B20" s="12"/>
      <c r="C20" s="2"/>
      <c r="D20" s="30" t="s">
        <v>14</v>
      </c>
      <c r="E20" s="1"/>
      <c r="F20" s="28"/>
      <c r="G20" s="31"/>
      <c r="H20" s="2"/>
      <c r="I20" s="16"/>
      <c r="J20" s="2"/>
    </row>
    <row r="21" ht="22.5" customHeight="1">
      <c r="A21" s="2"/>
      <c r="B21" s="32"/>
      <c r="C21" s="33"/>
      <c r="D21" s="33"/>
      <c r="E21" s="33"/>
      <c r="F21" s="34"/>
      <c r="G21" s="27"/>
      <c r="H21" s="33"/>
      <c r="I21" s="35"/>
      <c r="J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mergeCells count="14">
    <mergeCell ref="D12:E12"/>
    <mergeCell ref="F12:G12"/>
    <mergeCell ref="D14:E14"/>
    <mergeCell ref="F14:G14"/>
    <mergeCell ref="F15:G15"/>
    <mergeCell ref="D16:E16"/>
    <mergeCell ref="D18:E18"/>
    <mergeCell ref="B2:I3"/>
    <mergeCell ref="D6:E6"/>
    <mergeCell ref="F6:G6"/>
    <mergeCell ref="D8:E8"/>
    <mergeCell ref="F8:G8"/>
    <mergeCell ref="D10:E10"/>
    <mergeCell ref="F10:G10"/>
  </mergeCells>
  <dataValidations>
    <dataValidation type="custom" allowBlank="1" showDropDown="1" sqref="F6">
      <formula1>OR(NOT(ISERROR(DATEVALUE(F6))), AND(ISNUMBER(F6), LEFT(CELL("format", F6))="D"))</formula1>
    </dataValidation>
    <dataValidation type="list" allowBlank="1" showErrorMessage="1" sqref="F8">
      <formula1>Farms!$C$2:$C$64</formula1>
    </dataValidation>
    <dataValidation type="list" allowBlank="1" showErrorMessage="1" sqref="F14">
      <formula1>Farms!$C$68:$C$1011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6.0"/>
    <col customWidth="1" min="4" max="4" width="10.88"/>
    <col customWidth="1" min="5" max="5" width="13.88"/>
    <col customWidth="1" min="7" max="7" width="13.63"/>
    <col customWidth="1" min="10" max="10" width="14.75"/>
  </cols>
  <sheetData>
    <row r="1">
      <c r="A1" s="36">
        <v>11.5</v>
      </c>
      <c r="B1" s="37" t="s">
        <v>8</v>
      </c>
      <c r="C1" s="38" t="s">
        <v>4</v>
      </c>
      <c r="D1" s="39" t="s">
        <v>15</v>
      </c>
      <c r="E1" s="37" t="s">
        <v>16</v>
      </c>
      <c r="F1" s="40" t="s">
        <v>17</v>
      </c>
      <c r="G1" s="38"/>
      <c r="H1" s="41" t="s">
        <v>18</v>
      </c>
      <c r="I1" s="42" t="s">
        <v>19</v>
      </c>
      <c r="J1" s="43" t="s">
        <v>20</v>
      </c>
      <c r="K1" s="44" t="s">
        <v>21</v>
      </c>
      <c r="L1" s="45" t="s">
        <v>22</v>
      </c>
      <c r="O1" s="46" t="s">
        <v>23</v>
      </c>
      <c r="P1" s="46" t="s">
        <v>24</v>
      </c>
    </row>
    <row r="2">
      <c r="A2" s="47">
        <v>212.6</v>
      </c>
      <c r="B2" s="46" t="s">
        <v>25</v>
      </c>
      <c r="C2" s="48" t="s">
        <v>26</v>
      </c>
      <c r="D2" s="49">
        <f>SUMIF(Data2!$B$3:$B1011,C2,Data2!$K$3:$K1011)</f>
        <v>20647.5</v>
      </c>
      <c r="E2" s="46" t="s">
        <v>27</v>
      </c>
      <c r="F2" s="50">
        <f t="shared" ref="F2:F64" si="1">D2/A2</f>
        <v>97.11900282</v>
      </c>
      <c r="G2" s="51" t="s">
        <v>28</v>
      </c>
      <c r="H2" s="52"/>
      <c r="I2" s="53">
        <f t="shared" ref="I2:I36" si="2">sumif($C$68:$C$100,B2,$A$68:$A$100)</f>
        <v>0</v>
      </c>
      <c r="J2" s="54">
        <f t="shared" ref="J2:J36" si="3">H2*I2</f>
        <v>0</v>
      </c>
      <c r="K2" s="55">
        <f t="shared" ref="K2:K5" si="4">sumif($C$68:$C$97,B2,$D$68:$D$97)</f>
        <v>0</v>
      </c>
      <c r="L2" s="56">
        <f t="shared" ref="L2:L4" si="5">sumif($C$68:$C$97,B2,$F$68:$F$97)</f>
        <v>56</v>
      </c>
      <c r="O2" s="46" t="s">
        <v>29</v>
      </c>
      <c r="P2" s="57">
        <v>1.0</v>
      </c>
    </row>
    <row r="3">
      <c r="A3" s="47">
        <v>6.4</v>
      </c>
      <c r="B3" s="46" t="s">
        <v>25</v>
      </c>
      <c r="C3" s="58" t="s">
        <v>30</v>
      </c>
      <c r="D3" s="49">
        <f>SUMIF(Data2!$B$3:$B1011,C3,Data2!$K$3:$K1011)</f>
        <v>303.2142857</v>
      </c>
      <c r="E3" s="46" t="s">
        <v>27</v>
      </c>
      <c r="F3" s="50">
        <f t="shared" si="1"/>
        <v>47.37723214</v>
      </c>
      <c r="G3" s="51" t="s">
        <v>28</v>
      </c>
      <c r="H3" s="59"/>
      <c r="I3" s="53">
        <f t="shared" si="2"/>
        <v>0</v>
      </c>
      <c r="J3" s="54">
        <f t="shared" si="3"/>
        <v>0</v>
      </c>
      <c r="K3" s="55">
        <f t="shared" si="4"/>
        <v>0</v>
      </c>
      <c r="L3" s="56">
        <f t="shared" si="5"/>
        <v>56</v>
      </c>
      <c r="O3" s="46"/>
      <c r="P3" s="57"/>
    </row>
    <row r="4">
      <c r="A4" s="46">
        <v>30.5</v>
      </c>
      <c r="B4" s="46" t="s">
        <v>31</v>
      </c>
      <c r="C4" t="s">
        <v>32</v>
      </c>
      <c r="D4" s="60">
        <f>SUMIF(Data2!$B$3:$B1011,C4,Data2!$K$3:$K1011)</f>
        <v>0</v>
      </c>
      <c r="E4" s="61" t="s">
        <v>27</v>
      </c>
      <c r="F4" s="50">
        <f t="shared" si="1"/>
        <v>0</v>
      </c>
      <c r="G4" s="62" t="s">
        <v>33</v>
      </c>
      <c r="H4" s="63"/>
      <c r="I4" s="64">
        <f t="shared" si="2"/>
        <v>0</v>
      </c>
      <c r="J4" s="65">
        <f t="shared" si="3"/>
        <v>0</v>
      </c>
      <c r="K4" s="63">
        <f t="shared" si="4"/>
        <v>0</v>
      </c>
      <c r="L4" s="66">
        <f t="shared" si="5"/>
        <v>0</v>
      </c>
      <c r="M4" s="67"/>
      <c r="N4" s="67"/>
      <c r="O4" s="68" t="s">
        <v>34</v>
      </c>
      <c r="P4" s="69">
        <v>2.0</v>
      </c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>
      <c r="A5" s="47">
        <v>28.1</v>
      </c>
      <c r="B5" s="70" t="s">
        <v>35</v>
      </c>
      <c r="C5" s="48" t="s">
        <v>36</v>
      </c>
      <c r="D5" s="49">
        <f>SUMIF(Data2!$B$3:$B1011,C5,Data2!$K$3:$K1011)</f>
        <v>5923.70375</v>
      </c>
      <c r="E5" s="46" t="s">
        <v>27</v>
      </c>
      <c r="F5" s="50">
        <f t="shared" si="1"/>
        <v>210.8079626</v>
      </c>
      <c r="G5" s="51" t="s">
        <v>28</v>
      </c>
      <c r="H5" s="59"/>
      <c r="I5" s="53">
        <f t="shared" si="2"/>
        <v>0</v>
      </c>
      <c r="J5" s="54">
        <f t="shared" si="3"/>
        <v>0</v>
      </c>
      <c r="K5" s="55">
        <f t="shared" si="4"/>
        <v>1.5</v>
      </c>
      <c r="L5" s="71">
        <v>49.0</v>
      </c>
      <c r="O5" s="46" t="s">
        <v>37</v>
      </c>
      <c r="P5" s="57">
        <v>3.0</v>
      </c>
    </row>
    <row r="6">
      <c r="A6" s="47">
        <v>134.6</v>
      </c>
      <c r="B6" s="46" t="s">
        <v>38</v>
      </c>
      <c r="C6" s="58" t="s">
        <v>39</v>
      </c>
      <c r="D6" s="49">
        <f>SUMIF(Data2!$B$3:$B1011,C6,Data2!$K$3:$K1011)</f>
        <v>14858.35714</v>
      </c>
      <c r="E6" s="46" t="s">
        <v>27</v>
      </c>
      <c r="F6" s="50">
        <f t="shared" si="1"/>
        <v>110.3889832</v>
      </c>
      <c r="G6" s="51" t="s">
        <v>28</v>
      </c>
      <c r="H6" s="52"/>
      <c r="I6" s="53">
        <f t="shared" si="2"/>
        <v>0</v>
      </c>
      <c r="J6" s="54">
        <f t="shared" si="3"/>
        <v>0</v>
      </c>
      <c r="K6" s="72">
        <v>0.0</v>
      </c>
      <c r="L6" s="71">
        <v>51.0</v>
      </c>
      <c r="O6" s="46" t="s">
        <v>40</v>
      </c>
      <c r="P6" s="57">
        <v>4.0</v>
      </c>
    </row>
    <row r="7">
      <c r="A7" s="47">
        <v>5.0</v>
      </c>
      <c r="B7" s="46" t="s">
        <v>41</v>
      </c>
      <c r="C7" s="58" t="s">
        <v>42</v>
      </c>
      <c r="D7" s="49">
        <f>SUMIF(Data2!$B$3:$B1011,C7,Data2!$K$3:$K1011)</f>
        <v>339</v>
      </c>
      <c r="E7" s="46" t="s">
        <v>27</v>
      </c>
      <c r="F7" s="50">
        <f t="shared" si="1"/>
        <v>67.8</v>
      </c>
      <c r="G7" s="51" t="s">
        <v>28</v>
      </c>
      <c r="H7" s="52"/>
      <c r="I7" s="53">
        <f t="shared" si="2"/>
        <v>0</v>
      </c>
      <c r="J7" s="54">
        <f t="shared" si="3"/>
        <v>0</v>
      </c>
      <c r="K7" s="72">
        <v>0.0</v>
      </c>
      <c r="L7" s="71">
        <v>51.0</v>
      </c>
      <c r="O7" s="46"/>
      <c r="P7" s="57"/>
    </row>
    <row r="8">
      <c r="A8" s="47">
        <v>39.0</v>
      </c>
      <c r="B8" s="46" t="s">
        <v>43</v>
      </c>
      <c r="C8" s="58" t="s">
        <v>44</v>
      </c>
      <c r="D8" s="49">
        <f>SUMIF(Data2!$B$3:$B1011,C8,Data2!$K$3:$K1011)</f>
        <v>49.8125</v>
      </c>
      <c r="E8" s="46" t="s">
        <v>45</v>
      </c>
      <c r="F8" s="50">
        <f t="shared" si="1"/>
        <v>1.27724359</v>
      </c>
      <c r="G8" s="51" t="s">
        <v>28</v>
      </c>
      <c r="H8" s="52"/>
      <c r="I8" s="53">
        <f t="shared" si="2"/>
        <v>0</v>
      </c>
      <c r="J8" s="54">
        <f t="shared" si="3"/>
        <v>0</v>
      </c>
      <c r="K8" s="55">
        <f>sumif($C$68:$C$97,B8,$D$68:$D$97)</f>
        <v>0</v>
      </c>
      <c r="L8" s="56">
        <f t="shared" ref="L8:L9" si="6">sumif($C$68:$C$97,B8,$F$68:$F$97)</f>
        <v>2000</v>
      </c>
      <c r="O8" s="46" t="s">
        <v>46</v>
      </c>
      <c r="P8" s="57">
        <v>5.0</v>
      </c>
    </row>
    <row r="9">
      <c r="A9" s="47">
        <v>9.3</v>
      </c>
      <c r="B9" s="46" t="s">
        <v>47</v>
      </c>
      <c r="C9" s="73" t="s">
        <v>48</v>
      </c>
      <c r="D9" s="49">
        <f>SUMIF(Data2!$B$3:$B1011,C9,Data2!$K$3:$K1011)</f>
        <v>538.9117333</v>
      </c>
      <c r="E9" s="46" t="s">
        <v>27</v>
      </c>
      <c r="F9" s="50">
        <f t="shared" si="1"/>
        <v>57.94749821</v>
      </c>
      <c r="G9" s="51" t="s">
        <v>28</v>
      </c>
      <c r="H9" s="59"/>
      <c r="I9" s="53">
        <f t="shared" si="2"/>
        <v>0</v>
      </c>
      <c r="J9" s="54">
        <f t="shared" si="3"/>
        <v>0</v>
      </c>
      <c r="K9" s="72">
        <v>0.0</v>
      </c>
      <c r="L9" s="56">
        <f t="shared" si="6"/>
        <v>56</v>
      </c>
      <c r="O9" s="46"/>
      <c r="P9" s="57"/>
    </row>
    <row r="10">
      <c r="A10" s="47">
        <v>14.0</v>
      </c>
      <c r="B10" s="46" t="s">
        <v>49</v>
      </c>
      <c r="C10" s="73" t="s">
        <v>50</v>
      </c>
      <c r="D10" s="49">
        <f>SUMIF(Data2!$B$3:$B1011,C10,Data2!$K$3:$K1011)</f>
        <v>0</v>
      </c>
      <c r="E10" s="46" t="s">
        <v>27</v>
      </c>
      <c r="F10" s="50">
        <f t="shared" si="1"/>
        <v>0</v>
      </c>
      <c r="G10" s="51" t="s">
        <v>33</v>
      </c>
      <c r="H10" s="59"/>
      <c r="I10" s="74">
        <f t="shared" si="2"/>
        <v>0</v>
      </c>
      <c r="J10" s="54">
        <f t="shared" si="3"/>
        <v>0</v>
      </c>
      <c r="K10" s="72">
        <v>0.0</v>
      </c>
      <c r="L10" s="71">
        <v>0.0</v>
      </c>
      <c r="O10" s="46" t="s">
        <v>51</v>
      </c>
      <c r="P10" s="57">
        <v>63.0</v>
      </c>
    </row>
    <row r="11">
      <c r="A11" s="47">
        <v>150.0</v>
      </c>
      <c r="B11" s="46" t="s">
        <v>52</v>
      </c>
      <c r="C11" s="48" t="s">
        <v>53</v>
      </c>
      <c r="D11" s="49">
        <f>SUMIF(Data2!$B$3:$B1011,C11,Data2!$K$3:$K1011)</f>
        <v>9640.4155</v>
      </c>
      <c r="E11" s="46" t="s">
        <v>27</v>
      </c>
      <c r="F11" s="50">
        <f t="shared" si="1"/>
        <v>64.26943667</v>
      </c>
      <c r="G11" s="51" t="s">
        <v>28</v>
      </c>
      <c r="H11" s="52"/>
      <c r="I11" s="74">
        <f t="shared" si="2"/>
        <v>0</v>
      </c>
      <c r="J11" s="54">
        <f t="shared" si="3"/>
        <v>0</v>
      </c>
      <c r="K11" s="55">
        <f t="shared" ref="K11:K13" si="7">sumif($C$68:$C$97,B11,$D$68:$D$97)</f>
        <v>1.5</v>
      </c>
      <c r="L11" s="56">
        <f t="shared" ref="L11:L21" si="8">sumif($C$68:$C$97,B11,$F$68:$F$97)</f>
        <v>60</v>
      </c>
      <c r="O11" s="46" t="s">
        <v>54</v>
      </c>
      <c r="P11" s="57">
        <v>41.0</v>
      </c>
    </row>
    <row r="12">
      <c r="A12" s="47">
        <v>148.0</v>
      </c>
      <c r="B12" s="46" t="s">
        <v>55</v>
      </c>
      <c r="C12" s="58" t="s">
        <v>56</v>
      </c>
      <c r="D12" s="49">
        <f>SUMIF(Data2!$B$3:$B1011,C12,Data2!$K$3:$K1011)</f>
        <v>10075.41667</v>
      </c>
      <c r="E12" s="46" t="s">
        <v>27</v>
      </c>
      <c r="F12" s="50">
        <f t="shared" si="1"/>
        <v>68.07713964</v>
      </c>
      <c r="G12" s="51" t="s">
        <v>28</v>
      </c>
      <c r="H12" s="59"/>
      <c r="I12" s="74">
        <f t="shared" si="2"/>
        <v>0</v>
      </c>
      <c r="J12" s="54">
        <f t="shared" si="3"/>
        <v>0</v>
      </c>
      <c r="K12" s="55">
        <f t="shared" si="7"/>
        <v>1.5</v>
      </c>
      <c r="L12" s="56">
        <f t="shared" si="8"/>
        <v>60</v>
      </c>
      <c r="O12" s="46" t="s">
        <v>57</v>
      </c>
      <c r="P12" s="75"/>
    </row>
    <row r="13">
      <c r="A13" s="76">
        <v>12.0</v>
      </c>
      <c r="B13" s="77"/>
      <c r="C13" s="78" t="s">
        <v>58</v>
      </c>
      <c r="D13" s="79">
        <f>SUMIF(Data2!$B$3:$B1011,C13,Data2!$K$3:$K1011)</f>
        <v>0</v>
      </c>
      <c r="E13" s="68" t="s">
        <v>27</v>
      </c>
      <c r="F13" s="80">
        <f t="shared" si="1"/>
        <v>0</v>
      </c>
      <c r="G13" s="76" t="s">
        <v>33</v>
      </c>
      <c r="H13" s="81"/>
      <c r="I13" s="82">
        <f t="shared" si="2"/>
        <v>0</v>
      </c>
      <c r="J13" s="83">
        <f t="shared" si="3"/>
        <v>0</v>
      </c>
      <c r="K13" s="84">
        <f t="shared" si="7"/>
        <v>0</v>
      </c>
      <c r="L13" s="85">
        <f t="shared" si="8"/>
        <v>0</v>
      </c>
      <c r="M13" s="67"/>
      <c r="N13" s="67"/>
      <c r="O13" s="67"/>
      <c r="P13" s="8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</row>
    <row r="14">
      <c r="A14" s="47">
        <v>11.9</v>
      </c>
      <c r="B14" s="70" t="s">
        <v>35</v>
      </c>
      <c r="C14" s="48" t="s">
        <v>59</v>
      </c>
      <c r="D14" s="49">
        <f>SUMIF(Data2!$B$3:$B1011,C14,Data2!$K$3:$K1011)</f>
        <v>2004.192679</v>
      </c>
      <c r="E14" s="46" t="s">
        <v>27</v>
      </c>
      <c r="F14" s="50">
        <f t="shared" si="1"/>
        <v>168.4195528</v>
      </c>
      <c r="G14" s="47" t="s">
        <v>28</v>
      </c>
      <c r="H14" s="59"/>
      <c r="I14" s="74">
        <f t="shared" si="2"/>
        <v>0</v>
      </c>
      <c r="J14" s="54">
        <f t="shared" si="3"/>
        <v>0</v>
      </c>
      <c r="K14" s="72">
        <v>0.0</v>
      </c>
      <c r="L14" s="56">
        <f t="shared" si="8"/>
        <v>56</v>
      </c>
    </row>
    <row r="15">
      <c r="A15" s="47">
        <v>42.0</v>
      </c>
      <c r="B15" s="70" t="s">
        <v>35</v>
      </c>
      <c r="C15" s="48" t="s">
        <v>60</v>
      </c>
      <c r="D15" s="87">
        <f>SUMIF(Data2!$B$3:$B1011,C15,Data2!$K$3:$K1011)</f>
        <v>8574.188571</v>
      </c>
      <c r="E15" s="46" t="s">
        <v>27</v>
      </c>
      <c r="F15" s="50">
        <f t="shared" si="1"/>
        <v>204.1473469</v>
      </c>
      <c r="G15" s="51" t="s">
        <v>28</v>
      </c>
      <c r="H15" s="52"/>
      <c r="I15" s="74">
        <f t="shared" si="2"/>
        <v>0</v>
      </c>
      <c r="J15" s="54">
        <f t="shared" si="3"/>
        <v>0</v>
      </c>
      <c r="K15" s="55">
        <f t="shared" ref="K15:K16" si="9">sumif($C$68:$C$97,B15,$D$68:$D$97)</f>
        <v>1.5</v>
      </c>
      <c r="L15" s="56">
        <f t="shared" si="8"/>
        <v>56</v>
      </c>
    </row>
    <row r="16">
      <c r="A16" s="47">
        <v>60.0</v>
      </c>
      <c r="B16" s="70" t="s">
        <v>35</v>
      </c>
      <c r="C16" s="48" t="s">
        <v>61</v>
      </c>
      <c r="D16" s="87">
        <f>SUMIF(Data2!$B$3:$B1011,C16,Data2!$K$3:$K1011)</f>
        <v>14120.90527</v>
      </c>
      <c r="E16" s="46" t="s">
        <v>27</v>
      </c>
      <c r="F16" s="50">
        <f t="shared" si="1"/>
        <v>235.3484211</v>
      </c>
      <c r="G16" s="51" t="s">
        <v>28</v>
      </c>
      <c r="H16" s="52"/>
      <c r="I16" s="74">
        <f t="shared" si="2"/>
        <v>0</v>
      </c>
      <c r="J16" s="54">
        <f t="shared" si="3"/>
        <v>0</v>
      </c>
      <c r="K16" s="55">
        <f t="shared" si="9"/>
        <v>1.5</v>
      </c>
      <c r="L16" s="56">
        <f t="shared" si="8"/>
        <v>56</v>
      </c>
    </row>
    <row r="17">
      <c r="A17" s="47">
        <v>56.9</v>
      </c>
      <c r="B17" s="70" t="s">
        <v>35</v>
      </c>
      <c r="C17" s="48" t="s">
        <v>62</v>
      </c>
      <c r="D17" s="87">
        <f>SUMIF(Data2!$B$3:$B1011,C17,Data2!$K$3:$K1011)</f>
        <v>14510.57545</v>
      </c>
      <c r="E17" s="46" t="s">
        <v>27</v>
      </c>
      <c r="F17" s="50">
        <f t="shared" si="1"/>
        <v>255.0189006</v>
      </c>
      <c r="G17" s="51" t="s">
        <v>28</v>
      </c>
      <c r="H17" s="52"/>
      <c r="I17" s="74">
        <f t="shared" si="2"/>
        <v>0</v>
      </c>
      <c r="J17" s="54">
        <f t="shared" si="3"/>
        <v>0</v>
      </c>
      <c r="K17" s="88">
        <v>1.5</v>
      </c>
      <c r="L17" s="56">
        <f t="shared" si="8"/>
        <v>56</v>
      </c>
    </row>
    <row r="18">
      <c r="A18" s="47">
        <v>69.0</v>
      </c>
      <c r="B18" s="70" t="s">
        <v>43</v>
      </c>
      <c r="C18" s="48" t="s">
        <v>63</v>
      </c>
      <c r="D18" s="87">
        <f>SUMIF(Data2!$B$3:$B1011,C18,Data2!$K$3:$K1011)</f>
        <v>148.24</v>
      </c>
      <c r="E18" s="46" t="s">
        <v>45</v>
      </c>
      <c r="F18" s="50">
        <f t="shared" si="1"/>
        <v>2.148405797</v>
      </c>
      <c r="G18" s="51" t="s">
        <v>28</v>
      </c>
      <c r="H18" s="52"/>
      <c r="I18" s="74">
        <f t="shared" si="2"/>
        <v>0</v>
      </c>
      <c r="J18" s="54">
        <f t="shared" si="3"/>
        <v>0</v>
      </c>
      <c r="K18" s="55">
        <f t="shared" ref="K18:K19" si="10">sumif($C$68:$C$97,B18,$D$68:$D$97)</f>
        <v>0</v>
      </c>
      <c r="L18" s="56">
        <f t="shared" si="8"/>
        <v>2000</v>
      </c>
    </row>
    <row r="19">
      <c r="A19" s="47">
        <v>10.9</v>
      </c>
      <c r="B19" s="70" t="s">
        <v>47</v>
      </c>
      <c r="C19" s="48" t="s">
        <v>64</v>
      </c>
      <c r="D19" s="49">
        <f>SUMIF(Data2!$B$3:$B1011,C19,Data2!$K$3:$K1011)</f>
        <v>800.9754286</v>
      </c>
      <c r="E19" s="46" t="s">
        <v>27</v>
      </c>
      <c r="F19" s="50">
        <f t="shared" si="1"/>
        <v>73.48398427</v>
      </c>
      <c r="G19" s="51" t="s">
        <v>28</v>
      </c>
      <c r="H19" s="52"/>
      <c r="I19" s="74">
        <f t="shared" si="2"/>
        <v>0</v>
      </c>
      <c r="J19" s="54">
        <f t="shared" si="3"/>
        <v>0</v>
      </c>
      <c r="K19" s="55">
        <f t="shared" si="10"/>
        <v>1.4</v>
      </c>
      <c r="L19" s="56">
        <f t="shared" si="8"/>
        <v>56</v>
      </c>
    </row>
    <row r="20">
      <c r="A20" s="47">
        <v>116.0</v>
      </c>
      <c r="B20" s="70" t="s">
        <v>49</v>
      </c>
      <c r="C20" s="48" t="s">
        <v>65</v>
      </c>
      <c r="D20" s="89">
        <f>SUMIF(Data2!$B$3:$B1011,C20,Data2!$K$3:$K1011)</f>
        <v>0</v>
      </c>
      <c r="E20" s="46" t="s">
        <v>27</v>
      </c>
      <c r="F20" s="50">
        <f t="shared" si="1"/>
        <v>0</v>
      </c>
      <c r="G20" s="51" t="s">
        <v>33</v>
      </c>
      <c r="H20" s="59"/>
      <c r="I20" s="74">
        <f t="shared" si="2"/>
        <v>0</v>
      </c>
      <c r="J20" s="54">
        <f t="shared" si="3"/>
        <v>0</v>
      </c>
      <c r="K20" s="72">
        <v>1.01</v>
      </c>
      <c r="L20" s="56">
        <f t="shared" si="8"/>
        <v>60</v>
      </c>
    </row>
    <row r="21">
      <c r="A21" s="47">
        <v>9.0</v>
      </c>
      <c r="B21" s="70" t="s">
        <v>47</v>
      </c>
      <c r="C21" s="48" t="s">
        <v>66</v>
      </c>
      <c r="D21" s="49">
        <f>SUMIF(Data2!$B$3:$B1011,C21,Data2!$K$3:$K1011)</f>
        <v>571.535</v>
      </c>
      <c r="E21" s="46" t="s">
        <v>27</v>
      </c>
      <c r="F21" s="50">
        <f t="shared" si="1"/>
        <v>63.50388889</v>
      </c>
      <c r="G21" s="51" t="s">
        <v>28</v>
      </c>
      <c r="H21" s="52"/>
      <c r="I21" s="74">
        <f t="shared" si="2"/>
        <v>0</v>
      </c>
      <c r="J21" s="54">
        <f t="shared" si="3"/>
        <v>0</v>
      </c>
      <c r="K21" s="55">
        <f t="shared" ref="K21:K22" si="11">sumif($C$68:$C$97,B21,$D$68:$D$97)</f>
        <v>1.4</v>
      </c>
      <c r="L21" s="56">
        <f t="shared" si="8"/>
        <v>56</v>
      </c>
    </row>
    <row r="22">
      <c r="A22" s="47">
        <v>40.0</v>
      </c>
      <c r="B22" s="70" t="s">
        <v>38</v>
      </c>
      <c r="C22" s="58" t="s">
        <v>67</v>
      </c>
      <c r="D22" s="87">
        <f>SUMIF(Data2!$B$3:$B1011,C22,Data2!$K$3:$K1011)</f>
        <v>4141.473214</v>
      </c>
      <c r="E22" s="46" t="s">
        <v>27</v>
      </c>
      <c r="F22" s="50">
        <f t="shared" si="1"/>
        <v>103.5368304</v>
      </c>
      <c r="G22" s="51" t="s">
        <v>28</v>
      </c>
      <c r="H22" s="52"/>
      <c r="I22" s="74">
        <f t="shared" si="2"/>
        <v>0</v>
      </c>
      <c r="J22" s="54">
        <f t="shared" si="3"/>
        <v>0</v>
      </c>
      <c r="K22" s="55">
        <f t="shared" si="11"/>
        <v>0</v>
      </c>
      <c r="L22" s="71">
        <v>60.0</v>
      </c>
    </row>
    <row r="23">
      <c r="A23" s="47">
        <v>8.8</v>
      </c>
      <c r="B23" s="70" t="s">
        <v>35</v>
      </c>
      <c r="C23" s="58" t="s">
        <v>68</v>
      </c>
      <c r="D23" s="49">
        <f>SUMIF(Data2!$B$3:$B1011,C23,Data2!$K$3:$K1011)</f>
        <v>1799.794196</v>
      </c>
      <c r="E23" s="46" t="s">
        <v>27</v>
      </c>
      <c r="F23" s="50">
        <f t="shared" si="1"/>
        <v>204.5220678</v>
      </c>
      <c r="G23" s="51" t="s">
        <v>28</v>
      </c>
      <c r="H23" s="52"/>
      <c r="I23" s="74">
        <f t="shared" si="2"/>
        <v>0</v>
      </c>
      <c r="J23" s="54">
        <f t="shared" si="3"/>
        <v>0</v>
      </c>
      <c r="K23" s="72">
        <v>0.0</v>
      </c>
      <c r="L23" s="71">
        <v>60.0</v>
      </c>
    </row>
    <row r="24">
      <c r="A24" s="47">
        <v>14.0</v>
      </c>
      <c r="B24" s="70" t="s">
        <v>47</v>
      </c>
      <c r="C24" s="48" t="s">
        <v>69</v>
      </c>
      <c r="D24" s="87">
        <f>SUMIF(Data2!$B$3:$B1011,C24,Data2!$K$3:$K1011)</f>
        <v>1068.413068</v>
      </c>
      <c r="E24" s="46" t="s">
        <v>27</v>
      </c>
      <c r="F24" s="50">
        <f t="shared" si="1"/>
        <v>76.31521913</v>
      </c>
      <c r="G24" s="51" t="s">
        <v>28</v>
      </c>
      <c r="H24" s="52"/>
      <c r="I24" s="74">
        <f t="shared" si="2"/>
        <v>0</v>
      </c>
      <c r="J24" s="54">
        <f t="shared" si="3"/>
        <v>0</v>
      </c>
      <c r="K24" s="55">
        <f t="shared" ref="K24:K33" si="12">sumif($C$68:$C$97,B24,$D$68:$D$97)</f>
        <v>1.4</v>
      </c>
      <c r="L24" s="71">
        <v>11.0</v>
      </c>
    </row>
    <row r="25">
      <c r="A25" s="47">
        <v>196.3</v>
      </c>
      <c r="B25" s="70" t="s">
        <v>35</v>
      </c>
      <c r="C25" s="58" t="s">
        <v>70</v>
      </c>
      <c r="D25" s="87">
        <f>SUMIF(Data2!$B$3:$B1011,C25,Data2!$K$3:$K1011)</f>
        <v>45374.83661</v>
      </c>
      <c r="E25" s="46" t="s">
        <v>27</v>
      </c>
      <c r="F25" s="50">
        <f t="shared" si="1"/>
        <v>231.1504667</v>
      </c>
      <c r="G25" s="51" t="s">
        <v>28</v>
      </c>
      <c r="H25" s="52"/>
      <c r="I25" s="74">
        <f t="shared" si="2"/>
        <v>0</v>
      </c>
      <c r="J25" s="54">
        <f t="shared" si="3"/>
        <v>0</v>
      </c>
      <c r="K25" s="55">
        <f t="shared" si="12"/>
        <v>1.5</v>
      </c>
      <c r="L25" s="56">
        <f t="shared" ref="L25:L33" si="13">sumif($C$68:$C$97,B25,$F$68:$F$97)</f>
        <v>56</v>
      </c>
    </row>
    <row r="26">
      <c r="A26" s="47">
        <v>104.0</v>
      </c>
      <c r="B26" s="70" t="s">
        <v>71</v>
      </c>
      <c r="C26" s="58" t="s">
        <v>72</v>
      </c>
      <c r="D26" s="49">
        <f>sumif(Data2!$B$3:$B1011,C26,Data2!$K$3:$K1011)</f>
        <v>137.87</v>
      </c>
      <c r="E26" s="46" t="s">
        <v>45</v>
      </c>
      <c r="F26" s="50">
        <f t="shared" si="1"/>
        <v>1.325673077</v>
      </c>
      <c r="G26" s="51" t="s">
        <v>33</v>
      </c>
      <c r="H26" s="59"/>
      <c r="I26" s="74">
        <f t="shared" si="2"/>
        <v>0</v>
      </c>
      <c r="J26" s="54">
        <f t="shared" si="3"/>
        <v>0</v>
      </c>
      <c r="K26" s="55">
        <f t="shared" si="12"/>
        <v>0</v>
      </c>
      <c r="L26" s="56">
        <f t="shared" si="13"/>
        <v>2000</v>
      </c>
    </row>
    <row r="27">
      <c r="A27" s="47">
        <v>362.1</v>
      </c>
      <c r="B27" s="70" t="s">
        <v>35</v>
      </c>
      <c r="C27" s="58" t="s">
        <v>73</v>
      </c>
      <c r="D27" s="49">
        <f>SUMIF(Data2!$B$3:$B1011,C27,Data2!$K$3:$K1011)</f>
        <v>81039.56071</v>
      </c>
      <c r="E27" s="46" t="s">
        <v>27</v>
      </c>
      <c r="F27" s="50">
        <f t="shared" si="1"/>
        <v>223.8043654</v>
      </c>
      <c r="G27" s="47" t="s">
        <v>28</v>
      </c>
      <c r="H27" s="52"/>
      <c r="I27" s="74">
        <f t="shared" si="2"/>
        <v>0</v>
      </c>
      <c r="J27" s="54">
        <f t="shared" si="3"/>
        <v>0</v>
      </c>
      <c r="K27" s="55">
        <f t="shared" si="12"/>
        <v>1.5</v>
      </c>
      <c r="L27" s="56">
        <f t="shared" si="13"/>
        <v>56</v>
      </c>
    </row>
    <row r="28">
      <c r="A28" s="47">
        <v>73.7</v>
      </c>
      <c r="B28" s="70" t="s">
        <v>35</v>
      </c>
      <c r="C28" s="58" t="s">
        <v>74</v>
      </c>
      <c r="D28" s="49">
        <f>SUMIF(Data2!$B$3:$B1011,C28,Data2!$K$3:$K1011)</f>
        <v>14534.19214</v>
      </c>
      <c r="E28" s="46" t="s">
        <v>27</v>
      </c>
      <c r="F28" s="50">
        <f t="shared" si="1"/>
        <v>197.2074918</v>
      </c>
      <c r="G28" s="51" t="s">
        <v>28</v>
      </c>
      <c r="H28" s="52"/>
      <c r="I28" s="74">
        <f t="shared" si="2"/>
        <v>0</v>
      </c>
      <c r="J28" s="54">
        <f t="shared" si="3"/>
        <v>0</v>
      </c>
      <c r="K28" s="55">
        <f t="shared" si="12"/>
        <v>1.5</v>
      </c>
      <c r="L28" s="56">
        <f t="shared" si="13"/>
        <v>56</v>
      </c>
    </row>
    <row r="29">
      <c r="A29" s="47">
        <v>37.6</v>
      </c>
      <c r="B29" s="70" t="s">
        <v>35</v>
      </c>
      <c r="C29" s="48" t="s">
        <v>75</v>
      </c>
      <c r="D29" s="49">
        <f>SUMIF(Data2!$B$3:$B1011,C29,Data2!$K$3:$K1011)</f>
        <v>9653.61008</v>
      </c>
      <c r="E29" s="46" t="s">
        <v>27</v>
      </c>
      <c r="F29" s="50">
        <f t="shared" si="1"/>
        <v>256.7449489</v>
      </c>
      <c r="G29" s="51" t="s">
        <v>28</v>
      </c>
      <c r="H29" s="52"/>
      <c r="I29" s="74">
        <f t="shared" si="2"/>
        <v>0</v>
      </c>
      <c r="J29" s="54">
        <f t="shared" si="3"/>
        <v>0</v>
      </c>
      <c r="K29" s="55">
        <f t="shared" si="12"/>
        <v>1.5</v>
      </c>
      <c r="L29" s="56">
        <f t="shared" si="13"/>
        <v>56</v>
      </c>
    </row>
    <row r="30">
      <c r="A30" s="90">
        <v>154.9</v>
      </c>
      <c r="B30" s="70" t="s">
        <v>35</v>
      </c>
      <c r="C30" s="58" t="s">
        <v>76</v>
      </c>
      <c r="D30" s="49">
        <f>SUMIF(Data2!$B$3:$B1011,C30,Data2!$K$3:$K1011)</f>
        <v>32410.97413</v>
      </c>
      <c r="E30" s="46" t="s">
        <v>27</v>
      </c>
      <c r="F30" s="50">
        <f t="shared" si="1"/>
        <v>209.2380512</v>
      </c>
      <c r="G30" s="51" t="s">
        <v>28</v>
      </c>
      <c r="H30" s="52"/>
      <c r="I30" s="74">
        <f t="shared" si="2"/>
        <v>0</v>
      </c>
      <c r="J30" s="54">
        <f t="shared" si="3"/>
        <v>0</v>
      </c>
      <c r="K30" s="55">
        <f t="shared" si="12"/>
        <v>1.5</v>
      </c>
      <c r="L30" s="56">
        <f t="shared" si="13"/>
        <v>56</v>
      </c>
    </row>
    <row r="31">
      <c r="A31" s="47">
        <v>48.1</v>
      </c>
      <c r="B31" s="70" t="s">
        <v>35</v>
      </c>
      <c r="C31" s="58" t="s">
        <v>77</v>
      </c>
      <c r="D31" s="49">
        <f>SUMIF(Data2!$B$3:$B1011,C31,Data2!$K$3:$K1011)</f>
        <v>7877.013393</v>
      </c>
      <c r="E31" s="46" t="s">
        <v>27</v>
      </c>
      <c r="F31" s="50">
        <f t="shared" si="1"/>
        <v>163.7632722</v>
      </c>
      <c r="G31" s="51" t="s">
        <v>28</v>
      </c>
      <c r="H31" s="59"/>
      <c r="I31" s="74">
        <f t="shared" si="2"/>
        <v>0</v>
      </c>
      <c r="J31" s="54">
        <f t="shared" si="3"/>
        <v>0</v>
      </c>
      <c r="K31" s="55">
        <f t="shared" si="12"/>
        <v>1.5</v>
      </c>
      <c r="L31" s="56">
        <f t="shared" si="13"/>
        <v>56</v>
      </c>
    </row>
    <row r="32">
      <c r="A32" s="47">
        <v>22.8</v>
      </c>
      <c r="B32" s="70" t="s">
        <v>47</v>
      </c>
      <c r="C32" s="58" t="s">
        <v>78</v>
      </c>
      <c r="D32" s="49">
        <f>SUMIF(Data2!$B$3:$B1011,C32,Data2!$K$3:$K1011)</f>
        <v>1628.058571</v>
      </c>
      <c r="E32" s="46" t="s">
        <v>27</v>
      </c>
      <c r="F32" s="50">
        <f t="shared" si="1"/>
        <v>71.40607769</v>
      </c>
      <c r="G32" s="51" t="s">
        <v>28</v>
      </c>
      <c r="H32" s="52"/>
      <c r="I32" s="74">
        <f t="shared" si="2"/>
        <v>0</v>
      </c>
      <c r="J32" s="54">
        <f t="shared" si="3"/>
        <v>0</v>
      </c>
      <c r="K32" s="55">
        <f t="shared" si="12"/>
        <v>1.4</v>
      </c>
      <c r="L32" s="56">
        <f t="shared" si="13"/>
        <v>56</v>
      </c>
    </row>
    <row r="33">
      <c r="A33" s="47">
        <v>92.25</v>
      </c>
      <c r="B33" s="70" t="s">
        <v>9</v>
      </c>
      <c r="C33" s="58" t="s">
        <v>5</v>
      </c>
      <c r="D33" s="49">
        <f>SUMIF(Data2!$B$3:$B1011,C33,Data2!$K$3:$K1011)</f>
        <v>0</v>
      </c>
      <c r="E33" s="46" t="s">
        <v>27</v>
      </c>
      <c r="F33" s="50">
        <f t="shared" si="1"/>
        <v>0</v>
      </c>
      <c r="G33" s="47" t="s">
        <v>33</v>
      </c>
      <c r="H33" s="59"/>
      <c r="I33" s="74">
        <f t="shared" si="2"/>
        <v>0</v>
      </c>
      <c r="J33" s="54">
        <f t="shared" si="3"/>
        <v>0</v>
      </c>
      <c r="K33" s="55">
        <f t="shared" si="12"/>
        <v>1.5</v>
      </c>
      <c r="L33" s="56">
        <f t="shared" si="13"/>
        <v>56</v>
      </c>
    </row>
    <row r="34">
      <c r="A34" s="47">
        <v>91.0</v>
      </c>
      <c r="B34" s="70" t="s">
        <v>79</v>
      </c>
      <c r="C34" s="91" t="s">
        <v>80</v>
      </c>
      <c r="D34" s="49">
        <f>SUMIF(Data2!$B$3:$B1011,C34,Data2!$K$3:$K1011)</f>
        <v>4323.484375</v>
      </c>
      <c r="E34" s="46" t="s">
        <v>27</v>
      </c>
      <c r="F34" s="50">
        <f t="shared" si="1"/>
        <v>47.51081731</v>
      </c>
      <c r="G34" s="47" t="s">
        <v>33</v>
      </c>
      <c r="H34" s="52"/>
      <c r="I34" s="74">
        <f t="shared" si="2"/>
        <v>0</v>
      </c>
      <c r="J34" s="54">
        <f t="shared" si="3"/>
        <v>0</v>
      </c>
      <c r="K34" s="72">
        <v>1.5</v>
      </c>
      <c r="L34" s="71">
        <v>56.0</v>
      </c>
    </row>
    <row r="35">
      <c r="A35" s="47">
        <v>124.0</v>
      </c>
      <c r="B35" s="70" t="s">
        <v>79</v>
      </c>
      <c r="C35" s="58" t="s">
        <v>81</v>
      </c>
      <c r="D35" s="49">
        <f>SUMIF(Data2!$B$3:$B1011,C35,Data2!$K$3:$K1011)</f>
        <v>13387.71875</v>
      </c>
      <c r="E35" s="46" t="s">
        <v>27</v>
      </c>
      <c r="F35" s="50">
        <f t="shared" si="1"/>
        <v>107.9654738</v>
      </c>
      <c r="G35" s="47" t="s">
        <v>33</v>
      </c>
      <c r="H35" s="52"/>
      <c r="I35" s="74">
        <f t="shared" si="2"/>
        <v>0</v>
      </c>
      <c r="J35" s="54">
        <f t="shared" si="3"/>
        <v>0</v>
      </c>
      <c r="K35" s="72">
        <v>1.5</v>
      </c>
      <c r="L35" s="71">
        <v>56.0</v>
      </c>
    </row>
    <row r="36">
      <c r="A36" s="47">
        <v>21.0</v>
      </c>
      <c r="B36" s="70" t="s">
        <v>82</v>
      </c>
      <c r="C36" s="58" t="s">
        <v>83</v>
      </c>
      <c r="D36" s="49">
        <f>SUMIF(Data2!$B$3:$B1011,C36,Data2!$K$3:$K1011)</f>
        <v>4450.578125</v>
      </c>
      <c r="E36" s="46" t="s">
        <v>27</v>
      </c>
      <c r="F36" s="50">
        <f t="shared" si="1"/>
        <v>211.9322917</v>
      </c>
      <c r="G36" s="47" t="s">
        <v>33</v>
      </c>
      <c r="H36" s="52"/>
      <c r="I36" s="74">
        <f t="shared" si="2"/>
        <v>0</v>
      </c>
      <c r="J36" s="54">
        <f t="shared" si="3"/>
        <v>0</v>
      </c>
      <c r="K36" s="72">
        <v>1.5</v>
      </c>
      <c r="L36" s="71">
        <v>56.0</v>
      </c>
    </row>
    <row r="37">
      <c r="A37" s="47">
        <v>63.0</v>
      </c>
      <c r="B37" s="70" t="s">
        <v>82</v>
      </c>
      <c r="C37" s="58" t="s">
        <v>84</v>
      </c>
      <c r="D37" s="49">
        <f>SUMIF(Data2!$B$3:$B1011,C37,Data2!$K$3:$K1011)</f>
        <v>14279.67188</v>
      </c>
      <c r="E37" s="46" t="s">
        <v>27</v>
      </c>
      <c r="F37" s="50">
        <f t="shared" si="1"/>
        <v>226.6614583</v>
      </c>
      <c r="G37" s="47" t="s">
        <v>33</v>
      </c>
      <c r="H37" s="52"/>
      <c r="I37" s="74"/>
      <c r="J37" s="54"/>
      <c r="K37" s="72"/>
      <c r="L37" s="71"/>
    </row>
    <row r="38">
      <c r="A38" s="47">
        <v>124.0</v>
      </c>
      <c r="B38" s="70" t="s">
        <v>82</v>
      </c>
      <c r="C38" s="58" t="s">
        <v>85</v>
      </c>
      <c r="D38" s="49">
        <f>SUMIF(Data2!$B$3:$B1011,C38,Data2!$K$3:$K1011)</f>
        <v>27172.03125</v>
      </c>
      <c r="E38" s="46" t="s">
        <v>27</v>
      </c>
      <c r="F38" s="50">
        <f t="shared" si="1"/>
        <v>219.1292843</v>
      </c>
      <c r="G38" s="47" t="s">
        <v>33</v>
      </c>
      <c r="H38" s="52"/>
      <c r="I38" s="74">
        <f t="shared" ref="I38:I39" si="14">sumif($C$68:$C$100,B38,$A$68:$A$100)</f>
        <v>0</v>
      </c>
      <c r="J38" s="54">
        <f t="shared" ref="J38:J49" si="15">H38*I38</f>
        <v>0</v>
      </c>
      <c r="K38" s="72">
        <v>1.5</v>
      </c>
      <c r="L38" s="71">
        <v>56.0</v>
      </c>
    </row>
    <row r="39">
      <c r="A39" s="47">
        <v>214.0</v>
      </c>
      <c r="B39" s="70" t="s">
        <v>35</v>
      </c>
      <c r="C39" s="58" t="s">
        <v>86</v>
      </c>
      <c r="D39" s="49">
        <f>SUMIF(Data2!$B$3:$B1011,C39,Data2!$K$3:$K1011)</f>
        <v>45867.70857</v>
      </c>
      <c r="E39" s="46" t="s">
        <v>27</v>
      </c>
      <c r="F39" s="50">
        <f t="shared" si="1"/>
        <v>214.3350868</v>
      </c>
      <c r="G39" s="51" t="s">
        <v>28</v>
      </c>
      <c r="H39" s="52"/>
      <c r="I39" s="74">
        <f t="shared" si="14"/>
        <v>0</v>
      </c>
      <c r="J39" s="54">
        <f t="shared" si="15"/>
        <v>0</v>
      </c>
      <c r="K39" s="72">
        <v>1.5</v>
      </c>
      <c r="L39" s="71">
        <v>56.0</v>
      </c>
    </row>
    <row r="40">
      <c r="A40" s="47">
        <v>18.2</v>
      </c>
      <c r="B40" s="70" t="s">
        <v>35</v>
      </c>
      <c r="C40" s="48" t="s">
        <v>87</v>
      </c>
      <c r="D40" s="49">
        <f>SUMIF(Data2!$B$3:$B1011,C40,Data2!$K$3:$K1011)</f>
        <v>3769.992411</v>
      </c>
      <c r="E40" s="46" t="s">
        <v>27</v>
      </c>
      <c r="F40" s="50">
        <f t="shared" si="1"/>
        <v>207.1424401</v>
      </c>
      <c r="G40" s="47" t="s">
        <v>28</v>
      </c>
      <c r="H40" s="52"/>
      <c r="I40" s="74">
        <f>sumif($C$68:$C$100,B41,$A$68:$A$100)</f>
        <v>0</v>
      </c>
      <c r="J40" s="54">
        <f t="shared" si="15"/>
        <v>0</v>
      </c>
      <c r="K40" s="72">
        <v>1.5</v>
      </c>
      <c r="L40" s="71">
        <v>56.0</v>
      </c>
    </row>
    <row r="41">
      <c r="A41" s="47">
        <v>56.0</v>
      </c>
      <c r="B41" s="70" t="s">
        <v>88</v>
      </c>
      <c r="C41" s="48" t="s">
        <v>89</v>
      </c>
      <c r="D41" s="49">
        <f>SUMIF(Data2!$B$3:$B1011,C41,Data2!$K$3:$K1011)</f>
        <v>2537.704918</v>
      </c>
      <c r="E41" s="46" t="s">
        <v>27</v>
      </c>
      <c r="F41" s="50">
        <f t="shared" si="1"/>
        <v>45.31615925</v>
      </c>
      <c r="G41" s="51" t="s">
        <v>90</v>
      </c>
      <c r="H41" s="59"/>
      <c r="I41" s="74">
        <f>sumif($C$68:$C$100,D41,$A$68:$A$100)</f>
        <v>0</v>
      </c>
      <c r="J41" s="54">
        <f t="shared" si="15"/>
        <v>0</v>
      </c>
      <c r="K41" s="55">
        <f>sumif($C$68:$C$97,D41,$D$68:$D$97)</f>
        <v>0</v>
      </c>
      <c r="L41" s="56">
        <f>sumif($C$68:$C$97,D41,$F$68:$F$97)</f>
        <v>0</v>
      </c>
    </row>
    <row r="42">
      <c r="A42" s="90">
        <v>131.2</v>
      </c>
      <c r="B42" s="70" t="s">
        <v>35</v>
      </c>
      <c r="C42" s="48" t="s">
        <v>91</v>
      </c>
      <c r="D42" s="49">
        <f>SUMIF(Data2!$B$3:$B1011,C42,Data2!$K$3:$K1011)</f>
        <v>28716.64911</v>
      </c>
      <c r="E42" s="46" t="s">
        <v>27</v>
      </c>
      <c r="F42" s="50">
        <f t="shared" si="1"/>
        <v>218.8768987</v>
      </c>
      <c r="G42" s="51" t="s">
        <v>90</v>
      </c>
      <c r="H42" s="59"/>
      <c r="I42" s="74">
        <f t="shared" ref="I42:I64" si="16">sumif($C$68:$C$100,B42,$A$68:$A$100)</f>
        <v>0</v>
      </c>
      <c r="J42" s="54">
        <f t="shared" si="15"/>
        <v>0</v>
      </c>
      <c r="K42" s="55">
        <f t="shared" ref="K42:K47" si="17">sumif($C$68:$C$97,B42,$D$68:$D$97)</f>
        <v>1.5</v>
      </c>
      <c r="L42" s="71">
        <v>56.0</v>
      </c>
    </row>
    <row r="43">
      <c r="A43" s="90">
        <v>8.4</v>
      </c>
      <c r="B43" s="70" t="s">
        <v>47</v>
      </c>
      <c r="C43" s="58" t="s">
        <v>92</v>
      </c>
      <c r="D43" s="49">
        <f>SUMIF(Data2!$B$3:$B1011,C43,Data2!$K$3:$K1011)</f>
        <v>667.4266036</v>
      </c>
      <c r="E43" s="46" t="s">
        <v>27</v>
      </c>
      <c r="F43" s="50">
        <f t="shared" si="1"/>
        <v>79.45554804</v>
      </c>
      <c r="G43" s="51" t="s">
        <v>90</v>
      </c>
      <c r="H43" s="52"/>
      <c r="I43" s="74">
        <f t="shared" si="16"/>
        <v>0</v>
      </c>
      <c r="J43" s="54">
        <f t="shared" si="15"/>
        <v>0</v>
      </c>
      <c r="K43" s="55">
        <f t="shared" si="17"/>
        <v>1.4</v>
      </c>
      <c r="L43" s="56">
        <f t="shared" ref="L43:L47" si="18">sumif($C$68:$C$97,B43,$F$68:$F$97)</f>
        <v>56</v>
      </c>
    </row>
    <row r="44">
      <c r="A44" s="47">
        <v>33.9</v>
      </c>
      <c r="B44" s="70" t="s">
        <v>93</v>
      </c>
      <c r="C44" s="48" t="s">
        <v>94</v>
      </c>
      <c r="D44" s="49">
        <f>SUMIF(Data2!$B$3:$B1011,C44,Data2!$K$3:$K1011)</f>
        <v>1917.3775</v>
      </c>
      <c r="E44" s="46" t="s">
        <v>27</v>
      </c>
      <c r="F44" s="50">
        <f t="shared" si="1"/>
        <v>56.55980826</v>
      </c>
      <c r="G44" s="51" t="s">
        <v>95</v>
      </c>
      <c r="H44" s="59"/>
      <c r="I44" s="74">
        <f t="shared" si="16"/>
        <v>0</v>
      </c>
      <c r="J44" s="54">
        <f t="shared" si="15"/>
        <v>0</v>
      </c>
      <c r="K44" s="55">
        <f t="shared" si="17"/>
        <v>1.5</v>
      </c>
      <c r="L44" s="56">
        <f t="shared" si="18"/>
        <v>60</v>
      </c>
    </row>
    <row r="45">
      <c r="A45" s="47">
        <v>48.3</v>
      </c>
      <c r="B45" s="70" t="s">
        <v>96</v>
      </c>
      <c r="C45" s="48" t="s">
        <v>97</v>
      </c>
      <c r="D45" s="49">
        <f>SUMIF(Data2!$B$3:$B1011,C45,Data2!$K$3:$K1011)</f>
        <v>5156.425</v>
      </c>
      <c r="E45" s="46" t="s">
        <v>27</v>
      </c>
      <c r="F45" s="50">
        <f t="shared" si="1"/>
        <v>106.7582816</v>
      </c>
      <c r="G45" s="51" t="s">
        <v>95</v>
      </c>
      <c r="H45" s="59"/>
      <c r="I45" s="74">
        <f t="shared" si="16"/>
        <v>0</v>
      </c>
      <c r="J45" s="54">
        <f t="shared" si="15"/>
        <v>0</v>
      </c>
      <c r="K45" s="55">
        <f t="shared" si="17"/>
        <v>1.5</v>
      </c>
      <c r="L45" s="56">
        <f t="shared" si="18"/>
        <v>60</v>
      </c>
    </row>
    <row r="46">
      <c r="A46" s="47">
        <v>34.68</v>
      </c>
      <c r="B46" s="70" t="s">
        <v>93</v>
      </c>
      <c r="C46" s="58" t="s">
        <v>98</v>
      </c>
      <c r="D46" s="49">
        <f>SUMIF(Data2!$B$3:$B1011,C46,Data2!$K$3:$K1011)</f>
        <v>1879.535833</v>
      </c>
      <c r="E46" s="46" t="s">
        <v>27</v>
      </c>
      <c r="F46" s="50">
        <f t="shared" si="1"/>
        <v>54.19653499</v>
      </c>
      <c r="G46" s="51" t="s">
        <v>95</v>
      </c>
      <c r="H46" s="52"/>
      <c r="I46" s="74">
        <f t="shared" si="16"/>
        <v>0</v>
      </c>
      <c r="J46" s="54">
        <f t="shared" si="15"/>
        <v>0</v>
      </c>
      <c r="K46" s="55">
        <f t="shared" si="17"/>
        <v>1.5</v>
      </c>
      <c r="L46" s="56">
        <f t="shared" si="18"/>
        <v>60</v>
      </c>
    </row>
    <row r="47">
      <c r="A47" s="47">
        <v>117.55</v>
      </c>
      <c r="B47" s="70" t="s">
        <v>99</v>
      </c>
      <c r="C47" s="58" t="s">
        <v>100</v>
      </c>
      <c r="D47" s="49">
        <f>SUMIF(Data2!$B$3:$B1011,C47,Data2!$K$3:$K1011)</f>
        <v>2474.845</v>
      </c>
      <c r="E47" s="46" t="s">
        <v>27</v>
      </c>
      <c r="F47" s="50">
        <f t="shared" si="1"/>
        <v>21.05355168</v>
      </c>
      <c r="G47" s="51" t="s">
        <v>95</v>
      </c>
      <c r="H47" s="52"/>
      <c r="I47" s="74">
        <f t="shared" si="16"/>
        <v>0</v>
      </c>
      <c r="J47" s="54">
        <f t="shared" si="15"/>
        <v>0</v>
      </c>
      <c r="K47" s="55">
        <f t="shared" si="17"/>
        <v>1.5</v>
      </c>
      <c r="L47" s="56">
        <f t="shared" si="18"/>
        <v>60</v>
      </c>
    </row>
    <row r="48">
      <c r="A48" s="47">
        <v>135.2</v>
      </c>
      <c r="B48" s="70" t="s">
        <v>101</v>
      </c>
      <c r="C48" s="58" t="s">
        <v>102</v>
      </c>
      <c r="D48" s="49">
        <f>SUMIF(Data2!$B$3:$B1011,C48,Data2!$K$3:$K1011)</f>
        <v>1092.8</v>
      </c>
      <c r="E48" s="46" t="s">
        <v>45</v>
      </c>
      <c r="F48" s="50">
        <f t="shared" si="1"/>
        <v>8.082840237</v>
      </c>
      <c r="G48" s="47" t="s">
        <v>90</v>
      </c>
      <c r="H48" s="52"/>
      <c r="I48" s="74">
        <f t="shared" si="16"/>
        <v>0</v>
      </c>
      <c r="J48" s="54">
        <f t="shared" si="15"/>
        <v>0</v>
      </c>
      <c r="K48" s="72">
        <v>1.5</v>
      </c>
      <c r="L48" s="71">
        <v>60.0</v>
      </c>
    </row>
    <row r="49">
      <c r="A49" s="47">
        <v>157.9</v>
      </c>
      <c r="B49" s="70" t="s">
        <v>35</v>
      </c>
      <c r="C49" s="58" t="s">
        <v>103</v>
      </c>
      <c r="D49" s="49">
        <f>SUMIF(Data2!$B$3:$B1011,C49,Data2!$K$3:$K1011)</f>
        <v>31305.53125</v>
      </c>
      <c r="E49" s="46" t="s">
        <v>27</v>
      </c>
      <c r="F49" s="50">
        <f t="shared" si="1"/>
        <v>198.2617559</v>
      </c>
      <c r="G49" s="47" t="s">
        <v>90</v>
      </c>
      <c r="H49" s="52"/>
      <c r="I49" s="74">
        <f t="shared" si="16"/>
        <v>0</v>
      </c>
      <c r="J49" s="54">
        <f t="shared" si="15"/>
        <v>0</v>
      </c>
      <c r="K49" s="72">
        <v>1.5</v>
      </c>
      <c r="L49" s="71">
        <v>60.0</v>
      </c>
    </row>
    <row r="50">
      <c r="A50" s="47">
        <v>98.0</v>
      </c>
      <c r="B50" s="70" t="s">
        <v>104</v>
      </c>
      <c r="C50" s="58" t="s">
        <v>105</v>
      </c>
      <c r="D50" s="49">
        <f>SUMIF(Data2!$B$3:$B1011,C50,Data2!$K$3:$K1011)</f>
        <v>6683.728167</v>
      </c>
      <c r="E50" s="46" t="s">
        <v>27</v>
      </c>
      <c r="F50" s="50">
        <f t="shared" si="1"/>
        <v>68.20130782</v>
      </c>
      <c r="G50" s="51" t="s">
        <v>90</v>
      </c>
      <c r="H50" s="52"/>
      <c r="I50" s="74">
        <f t="shared" si="16"/>
        <v>0</v>
      </c>
      <c r="J50" s="92">
        <v>0.0</v>
      </c>
      <c r="K50" s="72">
        <v>0.0</v>
      </c>
      <c r="L50" s="71">
        <v>60.0</v>
      </c>
    </row>
    <row r="51">
      <c r="A51" s="47">
        <v>28.6</v>
      </c>
      <c r="B51" s="70" t="s">
        <v>104</v>
      </c>
      <c r="C51" s="48" t="s">
        <v>106</v>
      </c>
      <c r="D51" s="49">
        <f>SUMIF(Data2!$B$3:$B1011,C51,Data2!$K$3:$K1011)</f>
        <v>2831.661429</v>
      </c>
      <c r="E51" s="46" t="s">
        <v>27</v>
      </c>
      <c r="F51" s="50">
        <f t="shared" si="1"/>
        <v>99.00914086</v>
      </c>
      <c r="G51" s="51" t="s">
        <v>90</v>
      </c>
      <c r="H51" s="52"/>
      <c r="I51" s="74">
        <f t="shared" si="16"/>
        <v>0</v>
      </c>
      <c r="J51" s="54">
        <f t="shared" ref="J51:J64" si="19">H51*I51</f>
        <v>0</v>
      </c>
      <c r="K51" s="72">
        <v>1.5</v>
      </c>
      <c r="L51" s="56">
        <f>sumif($C$68:$C$97,B51,$F$68:$F$97)</f>
        <v>60</v>
      </c>
    </row>
    <row r="52">
      <c r="A52" s="47">
        <v>209.4</v>
      </c>
      <c r="B52" s="70" t="s">
        <v>107</v>
      </c>
      <c r="C52" s="58" t="s">
        <v>108</v>
      </c>
      <c r="D52" s="49">
        <f>SUMIF(Data2!$B$3:$B1011,C52,Data2!$K$3:$K1011)</f>
        <v>13825.17241</v>
      </c>
      <c r="E52" s="46" t="s">
        <v>109</v>
      </c>
      <c r="F52" s="50">
        <f t="shared" si="1"/>
        <v>66.0227909</v>
      </c>
      <c r="G52" s="51" t="s">
        <v>95</v>
      </c>
      <c r="H52" s="59"/>
      <c r="I52" s="74">
        <f t="shared" si="16"/>
        <v>0</v>
      </c>
      <c r="J52" s="54">
        <f t="shared" si="19"/>
        <v>0</v>
      </c>
      <c r="K52" s="72">
        <v>1.5</v>
      </c>
      <c r="L52" s="71">
        <v>56.0</v>
      </c>
    </row>
    <row r="53">
      <c r="A53" s="47">
        <v>12.8</v>
      </c>
      <c r="B53" s="70" t="s">
        <v>35</v>
      </c>
      <c r="C53" s="48" t="s">
        <v>110</v>
      </c>
      <c r="D53" s="49">
        <f>SUMIF(Data2!$B$3:$B1011,C53,Data2!$K$3:$K1011)</f>
        <v>1627.23875</v>
      </c>
      <c r="E53" s="46" t="s">
        <v>27</v>
      </c>
      <c r="F53" s="50">
        <f t="shared" si="1"/>
        <v>127.1280273</v>
      </c>
      <c r="G53" s="51" t="s">
        <v>90</v>
      </c>
      <c r="H53" s="52"/>
      <c r="I53" s="74">
        <f t="shared" si="16"/>
        <v>0</v>
      </c>
      <c r="J53" s="54">
        <f t="shared" si="19"/>
        <v>0</v>
      </c>
      <c r="K53" s="55">
        <f t="shared" ref="K53:K64" si="20">sumif($C$68:$C$97,B53,$D$68:$D$97)</f>
        <v>1.5</v>
      </c>
      <c r="L53" s="71">
        <v>57.6</v>
      </c>
    </row>
    <row r="54">
      <c r="A54" s="47">
        <v>31.2</v>
      </c>
      <c r="B54" s="70" t="s">
        <v>104</v>
      </c>
      <c r="C54" s="87" t="s">
        <v>111</v>
      </c>
      <c r="D54" s="49">
        <f>SUMIF(Data2!$B$3:$B1011,C54,Data2!$K$3:$K1011)</f>
        <v>0</v>
      </c>
      <c r="E54" s="46" t="s">
        <v>27</v>
      </c>
      <c r="F54" s="50">
        <f t="shared" si="1"/>
        <v>0</v>
      </c>
      <c r="G54" s="51" t="s">
        <v>90</v>
      </c>
      <c r="H54" s="59"/>
      <c r="I54" s="74">
        <f t="shared" si="16"/>
        <v>0</v>
      </c>
      <c r="J54" s="54">
        <f t="shared" si="19"/>
        <v>0</v>
      </c>
      <c r="K54" s="55">
        <f t="shared" si="20"/>
        <v>1.5</v>
      </c>
      <c r="L54" s="56">
        <f t="shared" ref="L54:L57" si="21">sumif($C$68:$C$97,B54,$F$68:$F$97)</f>
        <v>60</v>
      </c>
    </row>
    <row r="55">
      <c r="A55" s="47">
        <v>76.4</v>
      </c>
      <c r="B55" s="70" t="s">
        <v>35</v>
      </c>
      <c r="C55" s="58" t="s">
        <v>112</v>
      </c>
      <c r="D55" s="49">
        <f>SUMIF(Data2!$B$3:$B1011,C55,Data2!$K$3:$K1011)</f>
        <v>15496.39734</v>
      </c>
      <c r="E55" s="46" t="s">
        <v>27</v>
      </c>
      <c r="F55" s="50">
        <f t="shared" si="1"/>
        <v>202.8324259</v>
      </c>
      <c r="G55" s="51" t="s">
        <v>90</v>
      </c>
      <c r="H55" s="59"/>
      <c r="I55" s="74">
        <f t="shared" si="16"/>
        <v>0</v>
      </c>
      <c r="J55" s="54">
        <f t="shared" si="19"/>
        <v>0</v>
      </c>
      <c r="K55" s="55">
        <f t="shared" si="20"/>
        <v>1.5</v>
      </c>
      <c r="L55" s="56">
        <f t="shared" si="21"/>
        <v>56</v>
      </c>
    </row>
    <row r="56">
      <c r="A56" s="47">
        <v>82.6</v>
      </c>
      <c r="B56" s="70" t="s">
        <v>35</v>
      </c>
      <c r="C56" s="48" t="s">
        <v>113</v>
      </c>
      <c r="D56" s="49">
        <f>SUMIF(Data2!$B$3:$B1011,C56,Data2!$K$3:$K1011)</f>
        <v>19199.68373</v>
      </c>
      <c r="E56" s="46" t="s">
        <v>27</v>
      </c>
      <c r="F56" s="50">
        <f t="shared" si="1"/>
        <v>232.4416917</v>
      </c>
      <c r="G56" s="51" t="s">
        <v>90</v>
      </c>
      <c r="H56" s="59"/>
      <c r="I56" s="74">
        <f t="shared" si="16"/>
        <v>0</v>
      </c>
      <c r="J56" s="54">
        <f t="shared" si="19"/>
        <v>0</v>
      </c>
      <c r="K56" s="55">
        <f t="shared" si="20"/>
        <v>1.5</v>
      </c>
      <c r="L56" s="56">
        <f t="shared" si="21"/>
        <v>56</v>
      </c>
    </row>
    <row r="57">
      <c r="A57" s="47">
        <v>98.7</v>
      </c>
      <c r="B57" s="70" t="s">
        <v>104</v>
      </c>
      <c r="C57" s="48" t="s">
        <v>114</v>
      </c>
      <c r="D57" s="49">
        <f>SUMIF(Data2!$B$3:$B1011,C57,Data2!$K$3:$K1011)</f>
        <v>5415.753565</v>
      </c>
      <c r="E57" s="46" t="s">
        <v>27</v>
      </c>
      <c r="F57" s="50">
        <f t="shared" si="1"/>
        <v>54.87085679</v>
      </c>
      <c r="G57" s="51" t="s">
        <v>90</v>
      </c>
      <c r="H57" s="59"/>
      <c r="I57" s="74">
        <f t="shared" si="16"/>
        <v>0</v>
      </c>
      <c r="J57" s="54">
        <f t="shared" si="19"/>
        <v>0</v>
      </c>
      <c r="K57" s="55">
        <f t="shared" si="20"/>
        <v>1.5</v>
      </c>
      <c r="L57" s="56">
        <f t="shared" si="21"/>
        <v>60</v>
      </c>
    </row>
    <row r="58">
      <c r="A58" s="47">
        <v>145.6</v>
      </c>
      <c r="B58" s="46" t="s">
        <v>115</v>
      </c>
      <c r="C58" s="58" t="s">
        <v>116</v>
      </c>
      <c r="D58" s="49">
        <f>SUMIF(Data2!$B$3:$B1011,C58,Data2!$K$3:$K1011)</f>
        <v>0</v>
      </c>
      <c r="E58" s="46" t="s">
        <v>45</v>
      </c>
      <c r="F58" s="50">
        <f t="shared" si="1"/>
        <v>0</v>
      </c>
      <c r="G58" s="51" t="s">
        <v>90</v>
      </c>
      <c r="H58" s="52"/>
      <c r="I58" s="74">
        <f t="shared" si="16"/>
        <v>0</v>
      </c>
      <c r="J58" s="54">
        <f t="shared" si="19"/>
        <v>0</v>
      </c>
      <c r="K58" s="55">
        <f t="shared" si="20"/>
        <v>0</v>
      </c>
      <c r="L58" s="56"/>
    </row>
    <row r="59">
      <c r="A59" s="47">
        <v>121.6</v>
      </c>
      <c r="B59" s="46" t="s">
        <v>115</v>
      </c>
      <c r="C59" s="58" t="s">
        <v>117</v>
      </c>
      <c r="D59" s="49">
        <f>SUMIF(Data2!$B$3:$B1011,C59,Data2!$K$3:$K1011)</f>
        <v>0</v>
      </c>
      <c r="E59" s="46" t="s">
        <v>45</v>
      </c>
      <c r="F59" s="50">
        <f t="shared" si="1"/>
        <v>0</v>
      </c>
      <c r="G59" s="51" t="s">
        <v>90</v>
      </c>
      <c r="H59" s="52"/>
      <c r="I59" s="74">
        <f t="shared" si="16"/>
        <v>0</v>
      </c>
      <c r="J59" s="54">
        <f t="shared" si="19"/>
        <v>0</v>
      </c>
      <c r="K59" s="55">
        <f t="shared" si="20"/>
        <v>0</v>
      </c>
      <c r="L59" s="56">
        <f t="shared" ref="L59:L63" si="22">sumif($C$68:$C$97,B59,$F$68:$F$97)</f>
        <v>2000</v>
      </c>
    </row>
    <row r="60">
      <c r="A60" s="47">
        <v>233.0</v>
      </c>
      <c r="B60" s="46" t="s">
        <v>118</v>
      </c>
      <c r="C60" s="58" t="s">
        <v>119</v>
      </c>
      <c r="D60" s="49">
        <f>SUMIF(Data2!$B$3:$B1011,C60,Data2!$K$3:$K1011)</f>
        <v>846.4</v>
      </c>
      <c r="E60" s="46" t="s">
        <v>45</v>
      </c>
      <c r="F60" s="50">
        <f t="shared" si="1"/>
        <v>3.632618026</v>
      </c>
      <c r="G60" s="47" t="s">
        <v>90</v>
      </c>
      <c r="H60" s="52"/>
      <c r="I60" s="74">
        <f t="shared" si="16"/>
        <v>0</v>
      </c>
      <c r="J60" s="54">
        <f t="shared" si="19"/>
        <v>0</v>
      </c>
      <c r="K60" s="55">
        <f t="shared" si="20"/>
        <v>0</v>
      </c>
      <c r="L60" s="56">
        <f t="shared" si="22"/>
        <v>2000</v>
      </c>
    </row>
    <row r="61">
      <c r="A61" s="47">
        <v>40.0</v>
      </c>
      <c r="B61" s="46" t="s">
        <v>49</v>
      </c>
      <c r="C61" s="58" t="s">
        <v>120</v>
      </c>
      <c r="D61" s="49">
        <f>SUMIF(Data2!$B$3:$B1011,C61,Data2!$K$3:$K1011)</f>
        <v>0</v>
      </c>
      <c r="E61" s="46" t="s">
        <v>27</v>
      </c>
      <c r="F61" s="50">
        <f t="shared" si="1"/>
        <v>0</v>
      </c>
      <c r="G61" s="51" t="s">
        <v>95</v>
      </c>
      <c r="H61" s="52"/>
      <c r="I61" s="53">
        <f t="shared" si="16"/>
        <v>0</v>
      </c>
      <c r="J61" s="54">
        <f t="shared" si="19"/>
        <v>0</v>
      </c>
      <c r="K61" s="55">
        <f t="shared" si="20"/>
        <v>1.5</v>
      </c>
      <c r="L61" s="56">
        <f t="shared" si="22"/>
        <v>60</v>
      </c>
    </row>
    <row r="62">
      <c r="A62" s="47">
        <v>30.3</v>
      </c>
      <c r="B62" s="46" t="s">
        <v>35</v>
      </c>
      <c r="C62" s="58" t="s">
        <v>121</v>
      </c>
      <c r="D62" s="49">
        <f>SUMIF(Data2!$B$3:$B1011,C62,Data2!$K$3:$K1011)</f>
        <v>6234.543036</v>
      </c>
      <c r="E62" s="46" t="s">
        <v>27</v>
      </c>
      <c r="F62" s="50">
        <f t="shared" si="1"/>
        <v>205.7604962</v>
      </c>
      <c r="G62" s="47" t="s">
        <v>90</v>
      </c>
      <c r="H62" s="59"/>
      <c r="I62" s="53">
        <f t="shared" si="16"/>
        <v>0</v>
      </c>
      <c r="J62" s="54">
        <f t="shared" si="19"/>
        <v>0</v>
      </c>
      <c r="K62" s="55">
        <f t="shared" si="20"/>
        <v>1.5</v>
      </c>
      <c r="L62" s="56">
        <f t="shared" si="22"/>
        <v>56</v>
      </c>
    </row>
    <row r="63">
      <c r="A63" s="47">
        <v>98.0</v>
      </c>
      <c r="B63" s="93" t="s">
        <v>43</v>
      </c>
      <c r="C63" s="87" t="s">
        <v>122</v>
      </c>
      <c r="D63" s="49">
        <f>SUMIF(Data2!$B$3:$B1011,C63,Data2!$K$3:$K1011)</f>
        <v>110.7195</v>
      </c>
      <c r="E63" s="46" t="s">
        <v>45</v>
      </c>
      <c r="F63" s="50">
        <f t="shared" si="1"/>
        <v>1.129790816</v>
      </c>
      <c r="G63" s="47" t="s">
        <v>90</v>
      </c>
      <c r="H63" s="59"/>
      <c r="I63" s="53">
        <f t="shared" si="16"/>
        <v>0</v>
      </c>
      <c r="J63" s="54">
        <f t="shared" si="19"/>
        <v>0</v>
      </c>
      <c r="K63" s="55">
        <f t="shared" si="20"/>
        <v>0</v>
      </c>
      <c r="L63" s="56">
        <f t="shared" si="22"/>
        <v>2000</v>
      </c>
    </row>
    <row r="64">
      <c r="A64" s="47">
        <v>1.5</v>
      </c>
      <c r="B64" s="46" t="s">
        <v>47</v>
      </c>
      <c r="C64" s="58" t="s">
        <v>123</v>
      </c>
      <c r="D64" s="49">
        <f>SUMIF(Data2!$B$3:$B1011,C64,Data2!$K$3:$K1011)</f>
        <v>71.37102857</v>
      </c>
      <c r="E64" s="46" t="s">
        <v>27</v>
      </c>
      <c r="F64" s="50">
        <f t="shared" si="1"/>
        <v>47.58068571</v>
      </c>
      <c r="G64" s="51" t="s">
        <v>90</v>
      </c>
      <c r="H64" s="59"/>
      <c r="I64" s="74">
        <f t="shared" si="16"/>
        <v>0</v>
      </c>
      <c r="J64" s="54">
        <f t="shared" si="19"/>
        <v>0</v>
      </c>
      <c r="K64" s="55">
        <f t="shared" si="20"/>
        <v>1.4</v>
      </c>
      <c r="L64" s="71">
        <v>56.0</v>
      </c>
    </row>
    <row r="65">
      <c r="D65" s="87"/>
      <c r="F65" s="50"/>
      <c r="H65" s="94"/>
      <c r="I65" s="94"/>
      <c r="J65" s="63"/>
      <c r="K65" s="95"/>
      <c r="L65" s="56"/>
    </row>
    <row r="66">
      <c r="A66" s="96"/>
      <c r="B66" s="97"/>
      <c r="C66" s="97" t="s">
        <v>124</v>
      </c>
      <c r="D66" s="98" t="s">
        <v>21</v>
      </c>
      <c r="E66" s="99" t="s">
        <v>125</v>
      </c>
      <c r="F66" s="100" t="s">
        <v>126</v>
      </c>
      <c r="G66" s="97" t="s">
        <v>127</v>
      </c>
      <c r="H66" s="94"/>
      <c r="I66" s="94"/>
      <c r="J66" s="63"/>
      <c r="K66" s="95"/>
      <c r="L66" s="56"/>
    </row>
    <row r="67">
      <c r="A67" s="101" t="s">
        <v>19</v>
      </c>
      <c r="B67" s="102" t="s">
        <v>128</v>
      </c>
      <c r="C67" s="102" t="s">
        <v>129</v>
      </c>
      <c r="D67" s="103"/>
      <c r="E67" s="104"/>
      <c r="F67" s="105"/>
      <c r="G67" s="106"/>
      <c r="H67" s="94"/>
      <c r="I67" s="94"/>
      <c r="J67" s="63"/>
      <c r="K67" s="95"/>
      <c r="L67" s="56"/>
    </row>
    <row r="68">
      <c r="A68" s="107">
        <v>0.0</v>
      </c>
      <c r="B68" s="108">
        <f>sumif(Data2!$E$3:$E1011,C68,Data2!$J$3:$J1011)</f>
        <v>392918.6601</v>
      </c>
      <c r="C68" s="109" t="s">
        <v>35</v>
      </c>
      <c r="D68" s="110">
        <v>1.5</v>
      </c>
      <c r="E68" s="111"/>
      <c r="F68" s="112">
        <v>56.0</v>
      </c>
      <c r="G68" s="113">
        <v>15.0</v>
      </c>
      <c r="H68" s="94"/>
      <c r="I68" s="94"/>
      <c r="J68" s="63"/>
      <c r="K68" s="95"/>
      <c r="L68" s="56"/>
    </row>
    <row r="69">
      <c r="A69" s="114">
        <v>0.0</v>
      </c>
      <c r="B69" s="115">
        <f>sumif(Data2!$E$3:$E1011,C69,Data2!$J$3:$J1011)</f>
        <v>0</v>
      </c>
      <c r="C69" s="116" t="s">
        <v>130</v>
      </c>
      <c r="D69" s="70">
        <v>1.5</v>
      </c>
      <c r="E69" s="46"/>
      <c r="F69" s="112">
        <v>56.0</v>
      </c>
      <c r="G69" s="117">
        <v>15.0</v>
      </c>
      <c r="H69" s="94"/>
      <c r="I69" s="94"/>
      <c r="J69" s="63"/>
      <c r="K69" s="95"/>
      <c r="L69" s="56"/>
    </row>
    <row r="70">
      <c r="A70" s="114">
        <v>0.0</v>
      </c>
      <c r="B70" s="115">
        <f>sumif(Data2!$E$3:$E1011,C70,Data2!$J$3:$J1011)</f>
        <v>0</v>
      </c>
      <c r="C70" s="116" t="s">
        <v>131</v>
      </c>
      <c r="D70" s="70">
        <v>1.5</v>
      </c>
      <c r="E70" s="46"/>
      <c r="F70" s="112">
        <v>56.0</v>
      </c>
      <c r="G70" s="117">
        <v>15.0</v>
      </c>
      <c r="H70" s="94"/>
      <c r="I70" s="94"/>
      <c r="J70" s="63"/>
      <c r="K70" s="95"/>
      <c r="L70" s="56"/>
    </row>
    <row r="71">
      <c r="A71" s="114">
        <v>0.0</v>
      </c>
      <c r="B71" s="115">
        <f>sumif(Data2!$E$3:$E1011,C71,Data2!$K$3:$K1011)</f>
        <v>12099.48173</v>
      </c>
      <c r="C71" s="116" t="s">
        <v>104</v>
      </c>
      <c r="D71" s="70">
        <v>1.5</v>
      </c>
      <c r="E71" s="46"/>
      <c r="F71" s="118">
        <v>60.0</v>
      </c>
      <c r="G71" s="117">
        <v>13.0</v>
      </c>
      <c r="H71" s="94"/>
      <c r="I71" s="94"/>
      <c r="J71" s="63"/>
      <c r="K71" s="95"/>
      <c r="L71" s="56"/>
    </row>
    <row r="72">
      <c r="A72" s="114">
        <v>0.0</v>
      </c>
      <c r="B72" s="115">
        <f>sumif(Data2!$E$3:$E1011,C72,Data2!$K$3:$K1011)</f>
        <v>3796.913333</v>
      </c>
      <c r="C72" s="116" t="s">
        <v>93</v>
      </c>
      <c r="D72" s="70">
        <v>1.5</v>
      </c>
      <c r="E72" s="46"/>
      <c r="F72" s="118">
        <v>60.0</v>
      </c>
      <c r="G72" s="117">
        <v>13.0</v>
      </c>
      <c r="H72" s="94"/>
      <c r="I72" s="94"/>
      <c r="J72" s="63"/>
      <c r="K72" s="95"/>
      <c r="L72" s="56"/>
    </row>
    <row r="73">
      <c r="A73" s="114">
        <v>0.0</v>
      </c>
      <c r="B73" s="115"/>
      <c r="C73" s="116" t="s">
        <v>99</v>
      </c>
      <c r="D73" s="70">
        <v>1.5</v>
      </c>
      <c r="E73" s="46"/>
      <c r="F73" s="118">
        <v>60.0</v>
      </c>
      <c r="G73" s="117">
        <v>13.0</v>
      </c>
      <c r="H73" s="94"/>
      <c r="I73" s="94"/>
      <c r="J73" s="63"/>
      <c r="K73" s="95"/>
      <c r="L73" s="56"/>
    </row>
    <row r="74">
      <c r="A74" s="114">
        <v>0.0</v>
      </c>
      <c r="B74" s="115">
        <f>sumif(Data2!$E$3:$E1011,C74,Data2!$K$3:$K1011)</f>
        <v>19715.83217</v>
      </c>
      <c r="C74" s="116" t="s">
        <v>52</v>
      </c>
      <c r="D74" s="70">
        <v>1.5</v>
      </c>
      <c r="E74" s="46"/>
      <c r="F74" s="118">
        <v>60.0</v>
      </c>
      <c r="G74" s="117">
        <v>13.0</v>
      </c>
      <c r="H74" s="94"/>
      <c r="I74" s="94"/>
      <c r="J74" s="63"/>
      <c r="K74" s="95"/>
      <c r="L74" s="56"/>
    </row>
    <row r="75">
      <c r="A75" s="114">
        <v>0.0</v>
      </c>
      <c r="B75" s="115"/>
      <c r="C75" s="116" t="s">
        <v>96</v>
      </c>
      <c r="D75" s="70">
        <v>1.5</v>
      </c>
      <c r="E75" s="46"/>
      <c r="F75" s="118">
        <v>60.0</v>
      </c>
      <c r="G75" s="117">
        <v>13.0</v>
      </c>
      <c r="H75" s="94"/>
      <c r="I75" s="94"/>
      <c r="J75" s="63"/>
      <c r="K75" s="95"/>
      <c r="L75" s="56"/>
    </row>
    <row r="76">
      <c r="A76" s="114">
        <v>0.0</v>
      </c>
      <c r="B76" s="115">
        <f>sumif(Data2!$E$3:$E1011,C76,Data2!$K$3:$K1011)</f>
        <v>0</v>
      </c>
      <c r="C76" s="116" t="s">
        <v>55</v>
      </c>
      <c r="D76" s="70">
        <v>1.5</v>
      </c>
      <c r="E76" s="46"/>
      <c r="F76" s="118">
        <v>60.0</v>
      </c>
      <c r="G76" s="117">
        <v>13.0</v>
      </c>
      <c r="H76" s="94"/>
      <c r="I76" s="94"/>
      <c r="J76" s="63"/>
      <c r="K76" s="95"/>
      <c r="L76" s="56"/>
    </row>
    <row r="77">
      <c r="A77" s="114">
        <v>0.0</v>
      </c>
      <c r="B77" s="115">
        <f>sumif(Data2!$E$3:$E1011,C77,Data2!$J$3:$J1011)</f>
        <v>5346.691433</v>
      </c>
      <c r="C77" s="116" t="s">
        <v>47</v>
      </c>
      <c r="D77" s="70">
        <v>1.4</v>
      </c>
      <c r="E77" s="46"/>
      <c r="F77" s="118">
        <v>56.0</v>
      </c>
      <c r="G77" s="117">
        <v>13.0</v>
      </c>
      <c r="H77" s="94"/>
      <c r="I77" s="94"/>
      <c r="J77" s="63"/>
      <c r="K77" s="95"/>
      <c r="L77" s="56"/>
    </row>
    <row r="78">
      <c r="A78" s="114">
        <v>0.0</v>
      </c>
      <c r="B78" s="115">
        <f>sumif(Data2!$E$3:$E1011,C78,Data2!$J$3:$J1011)</f>
        <v>2537.704918</v>
      </c>
      <c r="C78" s="116" t="s">
        <v>88</v>
      </c>
      <c r="D78" s="70">
        <v>1.8</v>
      </c>
      <c r="E78" s="46"/>
      <c r="F78" s="118">
        <v>61.0</v>
      </c>
      <c r="G78" s="117">
        <v>13.0</v>
      </c>
      <c r="H78" s="94"/>
      <c r="I78" s="94"/>
      <c r="J78" s="63"/>
      <c r="K78" s="95"/>
      <c r="L78" s="56"/>
    </row>
    <row r="79">
      <c r="A79" s="114">
        <v>0.0</v>
      </c>
      <c r="B79" s="115">
        <f>sumif(Data2!$E$3:$E1011,C79,Data2!$J$3:$J1011)</f>
        <v>18999.83036</v>
      </c>
      <c r="C79" s="116" t="s">
        <v>38</v>
      </c>
      <c r="D79" s="70">
        <v>0.0</v>
      </c>
      <c r="E79" s="46"/>
      <c r="F79" s="118">
        <v>56.0</v>
      </c>
      <c r="G79" s="117">
        <v>13.0</v>
      </c>
      <c r="H79" s="94"/>
      <c r="I79" s="94"/>
      <c r="J79" s="63"/>
      <c r="K79" s="95"/>
      <c r="L79" s="56"/>
    </row>
    <row r="80">
      <c r="A80" s="114">
        <v>0.0</v>
      </c>
      <c r="B80" s="115">
        <f>sumif(Data2!$E$3:$E1011,C80,Data2!$J$3:$J1011)</f>
        <v>21289.71429</v>
      </c>
      <c r="C80" s="116" t="s">
        <v>25</v>
      </c>
      <c r="D80" s="70">
        <v>0.0</v>
      </c>
      <c r="E80" s="46"/>
      <c r="F80" s="118">
        <v>56.0</v>
      </c>
      <c r="G80" s="117">
        <v>13.0</v>
      </c>
      <c r="H80" s="94"/>
      <c r="I80" s="94"/>
      <c r="J80" s="63"/>
      <c r="K80" s="95"/>
      <c r="L80" s="56"/>
    </row>
    <row r="81">
      <c r="A81" s="114">
        <v>0.0</v>
      </c>
      <c r="B81" s="115">
        <f>sumif(Data2!$E$3:$E1011,C81,Data2!$J$3:$J1011)</f>
        <v>13825.17241</v>
      </c>
      <c r="C81" s="116" t="s">
        <v>107</v>
      </c>
      <c r="D81" s="70">
        <v>0.0</v>
      </c>
      <c r="E81" s="46"/>
      <c r="F81" s="118">
        <v>58.0</v>
      </c>
      <c r="G81" s="117">
        <v>0.0</v>
      </c>
      <c r="H81" s="94"/>
      <c r="I81" s="94"/>
      <c r="J81" s="63"/>
      <c r="K81" s="95"/>
      <c r="L81" s="56"/>
    </row>
    <row r="82">
      <c r="A82" s="114">
        <v>0.0</v>
      </c>
      <c r="B82" s="115">
        <f>sumif(Data2!$E$3:$E1011,C82,Data2!$J$3:$J1011)</f>
        <v>0</v>
      </c>
      <c r="C82" s="116" t="s">
        <v>132</v>
      </c>
      <c r="D82" s="70">
        <v>1.5</v>
      </c>
      <c r="E82" s="46"/>
      <c r="F82" s="118">
        <v>56.0</v>
      </c>
      <c r="G82" s="117">
        <v>15.0</v>
      </c>
      <c r="H82" s="94"/>
      <c r="I82" s="94"/>
      <c r="J82" s="63"/>
      <c r="K82" s="95"/>
      <c r="L82" s="56"/>
    </row>
    <row r="83">
      <c r="A83" s="114">
        <v>0.0</v>
      </c>
      <c r="B83" s="115">
        <f>sumif(Data2!$E$3:$E1011,C83,Data2!$J$3:$J1011)</f>
        <v>0</v>
      </c>
      <c r="C83" s="116" t="s">
        <v>133</v>
      </c>
      <c r="D83" s="70">
        <v>1.5</v>
      </c>
      <c r="E83" s="46"/>
      <c r="F83" s="112">
        <v>56.0</v>
      </c>
      <c r="G83" s="117">
        <v>0.0</v>
      </c>
      <c r="H83" s="94"/>
      <c r="I83" s="94"/>
      <c r="J83" s="63"/>
      <c r="K83" s="95"/>
      <c r="L83" s="56"/>
    </row>
    <row r="84">
      <c r="A84" s="114">
        <v>0.0</v>
      </c>
      <c r="B84" s="115">
        <f>sumif(Data2!$E$3:$E1011,C84,Data2!$J$3:$J1011)</f>
        <v>0</v>
      </c>
      <c r="C84" s="116" t="s">
        <v>9</v>
      </c>
      <c r="D84" s="70">
        <v>1.5</v>
      </c>
      <c r="E84" s="46"/>
      <c r="F84" s="112">
        <v>56.0</v>
      </c>
      <c r="G84" s="117">
        <v>15.0</v>
      </c>
      <c r="H84" s="94"/>
      <c r="I84" s="94"/>
      <c r="J84" s="63"/>
      <c r="K84" s="95"/>
      <c r="L84" s="56"/>
    </row>
    <row r="85">
      <c r="A85" s="114">
        <v>0.0</v>
      </c>
      <c r="B85" s="115">
        <f>sumif(Data2!$E$3:$E1011,C85,Data2!$J$3:$J1011)</f>
        <v>3144.045</v>
      </c>
      <c r="C85" s="116" t="s">
        <v>49</v>
      </c>
      <c r="D85" s="70">
        <v>1.5</v>
      </c>
      <c r="E85" s="46"/>
      <c r="F85" s="118">
        <v>60.0</v>
      </c>
      <c r="G85" s="117">
        <v>13.0</v>
      </c>
      <c r="H85" s="94"/>
      <c r="I85" s="94"/>
      <c r="J85" s="63"/>
      <c r="K85" s="95"/>
      <c r="L85" s="56"/>
    </row>
    <row r="86">
      <c r="A86" s="114">
        <v>0.0</v>
      </c>
      <c r="B86" s="115">
        <f>sumif(Data2!$E$3:$E1011,C86,Data2!$J$3:$J1011)</f>
        <v>0</v>
      </c>
      <c r="C86" s="116" t="s">
        <v>134</v>
      </c>
      <c r="D86" s="70">
        <v>0.0</v>
      </c>
      <c r="E86" s="46"/>
      <c r="F86" s="118">
        <v>48.0</v>
      </c>
      <c r="G86" s="117">
        <v>0.0</v>
      </c>
      <c r="H86" s="94"/>
      <c r="I86" s="94"/>
      <c r="J86" s="63"/>
      <c r="K86" s="95"/>
      <c r="L86" s="56"/>
    </row>
    <row r="87">
      <c r="A87" s="114">
        <v>0.0</v>
      </c>
      <c r="B87" s="115">
        <f>sumif(Data2!$E$3:$E1011,C87,Data2!$J$3:$J1011)</f>
        <v>0</v>
      </c>
      <c r="C87" s="116" t="s">
        <v>135</v>
      </c>
      <c r="D87" s="70">
        <v>0.0</v>
      </c>
      <c r="E87" s="46"/>
      <c r="F87" s="118">
        <v>56.0</v>
      </c>
      <c r="G87" s="117">
        <v>15.0</v>
      </c>
      <c r="H87" s="94"/>
      <c r="I87" s="94"/>
      <c r="J87" s="63"/>
      <c r="K87" s="95"/>
      <c r="L87" s="56"/>
    </row>
    <row r="88">
      <c r="A88" s="114">
        <v>0.0</v>
      </c>
      <c r="B88" s="115">
        <f>sumif(Data2!$E$3:$E1011,C88,Data2!$J$3:$J1011)</f>
        <v>0</v>
      </c>
      <c r="C88" s="116" t="s">
        <v>136</v>
      </c>
      <c r="D88" s="70">
        <v>1.5</v>
      </c>
      <c r="F88" s="118">
        <v>32.0</v>
      </c>
      <c r="G88" s="117">
        <v>15.0</v>
      </c>
      <c r="H88" s="94"/>
      <c r="I88" s="94"/>
      <c r="J88" s="63"/>
      <c r="K88" s="95"/>
      <c r="L88" s="56"/>
    </row>
    <row r="89">
      <c r="A89" s="114">
        <v>0.0</v>
      </c>
      <c r="B89" s="115">
        <f>sumif(Data2!$E$3:$E1011,C89,Data2!$J$3:$J1011)</f>
        <v>137.87</v>
      </c>
      <c r="C89" s="116" t="s">
        <v>71</v>
      </c>
      <c r="D89" s="70">
        <v>0.0</v>
      </c>
      <c r="F89" s="118">
        <v>2000.0</v>
      </c>
      <c r="G89" s="117">
        <v>15.0</v>
      </c>
      <c r="H89" s="94"/>
      <c r="I89" s="94"/>
      <c r="J89" s="63"/>
      <c r="K89" s="95"/>
      <c r="L89" s="56"/>
    </row>
    <row r="90">
      <c r="A90" s="114">
        <v>0.0</v>
      </c>
      <c r="B90" s="115">
        <f>sumif(Data2!$E$3:$E1011,C90,Data2!$J$3:$J1011)</f>
        <v>45902.28125</v>
      </c>
      <c r="C90" s="116" t="s">
        <v>82</v>
      </c>
      <c r="D90" s="70">
        <v>1.5</v>
      </c>
      <c r="F90" s="118">
        <v>32.0</v>
      </c>
      <c r="G90" s="117">
        <v>15.0</v>
      </c>
      <c r="H90" s="94"/>
      <c r="I90" s="94"/>
      <c r="J90" s="63"/>
      <c r="K90" s="95"/>
      <c r="L90" s="56"/>
    </row>
    <row r="91">
      <c r="A91" s="114">
        <v>0.0</v>
      </c>
      <c r="B91" s="115">
        <f>sumif(Data2!$E$3:$E1011,C91,Data2!$J$3:$J1011)</f>
        <v>17711.20313</v>
      </c>
      <c r="C91" s="116" t="s">
        <v>79</v>
      </c>
      <c r="D91" s="70">
        <v>1.5</v>
      </c>
      <c r="F91" s="118">
        <v>32.0</v>
      </c>
      <c r="G91" s="117">
        <v>15.0</v>
      </c>
      <c r="H91" s="94"/>
      <c r="I91" s="94"/>
      <c r="J91" s="63"/>
      <c r="K91" s="95"/>
      <c r="L91" s="56"/>
    </row>
    <row r="92">
      <c r="A92" s="114">
        <v>0.0</v>
      </c>
      <c r="B92" s="115">
        <f>sumif(Data2!$E$3:$E1011,C92,Data2!$J$3:$J1011)</f>
        <v>1092.8</v>
      </c>
      <c r="C92" s="116" t="s">
        <v>101</v>
      </c>
      <c r="D92" s="70">
        <v>0.0</v>
      </c>
      <c r="F92" s="118">
        <v>2000.0</v>
      </c>
      <c r="G92" s="117">
        <v>15.0</v>
      </c>
      <c r="H92" s="94"/>
      <c r="I92" s="94"/>
      <c r="J92" s="63"/>
      <c r="K92" s="95"/>
      <c r="L92" s="56"/>
    </row>
    <row r="93">
      <c r="A93" s="114">
        <v>0.0</v>
      </c>
      <c r="B93" s="115">
        <f>sumif(Data2!$E$3:$E1011,C93,Data2!$J$3:$J1011)</f>
        <v>308.772</v>
      </c>
      <c r="C93" s="116" t="s">
        <v>43</v>
      </c>
      <c r="D93" s="70">
        <v>0.0</v>
      </c>
      <c r="F93" s="118">
        <v>2000.0</v>
      </c>
      <c r="G93" s="117">
        <v>0.0</v>
      </c>
      <c r="H93" s="94"/>
      <c r="I93" s="94"/>
      <c r="J93" s="63"/>
      <c r="K93" s="95"/>
      <c r="L93" s="56"/>
    </row>
    <row r="94">
      <c r="A94" s="114">
        <v>0.0</v>
      </c>
      <c r="B94" s="115">
        <f>sumif(Data2!$E$3:$E1011,C94,Data2!$J$3:$J1011)</f>
        <v>846.4</v>
      </c>
      <c r="C94" s="116" t="s">
        <v>118</v>
      </c>
      <c r="D94" s="70">
        <v>0.0</v>
      </c>
      <c r="F94" s="118">
        <v>2000.0</v>
      </c>
      <c r="G94" s="117">
        <v>15.0</v>
      </c>
      <c r="H94" s="94"/>
      <c r="I94" s="94"/>
      <c r="J94" s="63"/>
      <c r="K94" s="95"/>
      <c r="L94" s="56"/>
    </row>
    <row r="95">
      <c r="A95" s="114">
        <v>0.0</v>
      </c>
      <c r="B95" s="115">
        <f>sumif(Data2!$E$3:$E1011,C95,Data2!$J$3:$J1011)</f>
        <v>0</v>
      </c>
      <c r="C95" s="116" t="s">
        <v>137</v>
      </c>
      <c r="D95" s="70">
        <v>0.0</v>
      </c>
      <c r="F95" s="118">
        <v>1.0</v>
      </c>
      <c r="G95" s="117">
        <v>0.0</v>
      </c>
      <c r="H95" s="94"/>
      <c r="I95" s="94"/>
      <c r="J95" s="63"/>
      <c r="K95" s="95"/>
      <c r="L95" s="56"/>
    </row>
    <row r="96">
      <c r="A96" s="114">
        <v>0.0</v>
      </c>
      <c r="B96" s="115">
        <f>sumif(Data2!$E$3:$E1011,C96,Data2!$J$3:$J1011)</f>
        <v>0</v>
      </c>
      <c r="C96" s="116" t="s">
        <v>115</v>
      </c>
      <c r="D96" s="70">
        <v>0.0</v>
      </c>
      <c r="F96" s="118">
        <v>2000.0</v>
      </c>
      <c r="G96" s="117">
        <v>0.0</v>
      </c>
      <c r="H96" s="94"/>
      <c r="I96" s="94"/>
      <c r="J96" s="63"/>
      <c r="K96" s="95"/>
      <c r="L96" s="56"/>
    </row>
    <row r="97">
      <c r="A97" s="114">
        <v>0.0</v>
      </c>
      <c r="B97" s="115">
        <f>sumif(Data2!$E$3:$E1011,C97,Data2!$J$3:$J1011)</f>
        <v>0</v>
      </c>
      <c r="C97" s="116" t="s">
        <v>138</v>
      </c>
      <c r="D97" s="70">
        <v>0.0</v>
      </c>
      <c r="F97" s="118">
        <v>1.0</v>
      </c>
      <c r="G97" s="117">
        <v>0.0</v>
      </c>
      <c r="H97" s="94"/>
      <c r="I97" s="94"/>
      <c r="J97" s="63"/>
      <c r="K97" s="95"/>
      <c r="L97" s="56"/>
    </row>
    <row r="98">
      <c r="A98" s="114">
        <v>0.0</v>
      </c>
      <c r="B98" s="115">
        <f>sumif(Data2!$E$3:$E1011,C98,Data2!$J$3:$J1011)</f>
        <v>0</v>
      </c>
      <c r="C98" s="116" t="s">
        <v>139</v>
      </c>
      <c r="D98" s="70">
        <v>1.5</v>
      </c>
      <c r="F98" s="118">
        <v>56.0</v>
      </c>
      <c r="G98" s="117">
        <v>15.0</v>
      </c>
      <c r="H98" s="94"/>
      <c r="I98" s="94"/>
      <c r="J98" s="63"/>
      <c r="K98" s="95"/>
      <c r="L98" s="56"/>
    </row>
    <row r="99">
      <c r="A99" s="114">
        <v>0.0</v>
      </c>
      <c r="B99" s="115">
        <f>sumif(Data2!$E$3:$E1011,C99,Data2!$J$3:$J1011)</f>
        <v>0</v>
      </c>
      <c r="C99" s="116" t="s">
        <v>140</v>
      </c>
      <c r="D99" s="70">
        <v>1.5</v>
      </c>
      <c r="F99" s="118">
        <v>56.0</v>
      </c>
      <c r="G99" s="117">
        <v>15.0</v>
      </c>
      <c r="H99" s="94"/>
      <c r="I99" s="94"/>
      <c r="J99" s="63"/>
      <c r="K99" s="95"/>
      <c r="L99" s="56"/>
    </row>
    <row r="100">
      <c r="A100" s="114">
        <v>0.0</v>
      </c>
      <c r="B100" s="115">
        <f>sumif(Data2!$E$3:$E1011,C100,Data2!$J$3:$J1011)</f>
        <v>0</v>
      </c>
      <c r="C100" s="116" t="s">
        <v>141</v>
      </c>
      <c r="D100" s="70">
        <v>0.0</v>
      </c>
      <c r="F100" s="118">
        <v>1.0</v>
      </c>
      <c r="G100" s="117">
        <v>0.0</v>
      </c>
      <c r="H100" s="94"/>
      <c r="I100" s="94"/>
      <c r="J100" s="63"/>
      <c r="K100" s="95"/>
      <c r="L100" s="56"/>
    </row>
    <row r="101">
      <c r="A101" s="114">
        <v>0.0</v>
      </c>
      <c r="B101" s="115">
        <f>sumif(Data2!$E$3:$E1011,C101,Data2!$J$3:$J1011)</f>
        <v>0</v>
      </c>
      <c r="C101" s="119" t="s">
        <v>31</v>
      </c>
      <c r="D101" s="70">
        <v>0.0</v>
      </c>
      <c r="F101" s="118">
        <v>1.0</v>
      </c>
      <c r="G101" s="117">
        <v>0.0</v>
      </c>
      <c r="H101" s="94"/>
      <c r="I101" s="94"/>
      <c r="J101" s="63"/>
      <c r="K101" s="95"/>
      <c r="L101" s="56"/>
    </row>
    <row r="102">
      <c r="A102" s="114">
        <v>0.0</v>
      </c>
      <c r="B102" s="115">
        <f>sumif(Data2!$E$3:$E1011,C102,Data2!$J$3:$J1011)</f>
        <v>0</v>
      </c>
      <c r="C102" s="116" t="s">
        <v>142</v>
      </c>
      <c r="D102" s="70">
        <v>1.521</v>
      </c>
      <c r="F102" s="118">
        <v>56.0</v>
      </c>
      <c r="G102" s="117">
        <v>15.0</v>
      </c>
      <c r="H102" s="94"/>
      <c r="I102" s="94"/>
      <c r="J102" s="63"/>
      <c r="K102" s="95"/>
      <c r="L102" s="56"/>
    </row>
    <row r="103">
      <c r="A103" s="114">
        <v>0.0</v>
      </c>
      <c r="B103" s="115">
        <f>sumif(Data2!$E$3:$E1011,C103,Data2!$J$3:$J1011)</f>
        <v>0</v>
      </c>
      <c r="C103" s="116" t="s">
        <v>143</v>
      </c>
      <c r="D103" s="70">
        <v>1.5</v>
      </c>
      <c r="F103" s="118">
        <v>56.0</v>
      </c>
      <c r="G103" s="117">
        <v>15.0</v>
      </c>
      <c r="H103" s="94"/>
      <c r="I103" s="94"/>
      <c r="J103" s="63"/>
      <c r="K103" s="95"/>
      <c r="L103" s="56"/>
    </row>
    <row r="104">
      <c r="A104" s="120">
        <v>0.0</v>
      </c>
      <c r="B104" s="121">
        <f>sumif(Data2!$E$3:$E1011,C104,Data2!$J$3:$J1011)</f>
        <v>0</v>
      </c>
      <c r="C104" s="122" t="s">
        <v>144</v>
      </c>
      <c r="D104" s="123">
        <v>1.5</v>
      </c>
      <c r="E104" s="7"/>
      <c r="F104" s="124">
        <v>38.0</v>
      </c>
      <c r="G104" s="125">
        <v>13.0</v>
      </c>
      <c r="H104" s="94"/>
      <c r="I104" s="94"/>
      <c r="J104" s="63"/>
      <c r="K104" s="95"/>
      <c r="L104" s="56"/>
    </row>
    <row r="105">
      <c r="D105" s="87"/>
      <c r="F105" s="50"/>
      <c r="H105" s="94"/>
      <c r="I105" s="94"/>
      <c r="J105" s="63"/>
      <c r="K105" s="95"/>
      <c r="L105" s="56"/>
    </row>
    <row r="106">
      <c r="C106" s="126" t="s">
        <v>145</v>
      </c>
      <c r="D106" s="87"/>
      <c r="F106" s="50"/>
      <c r="H106" s="94"/>
      <c r="I106" s="94"/>
      <c r="J106" s="63"/>
      <c r="K106" s="95"/>
      <c r="L106" s="56"/>
    </row>
    <row r="107">
      <c r="C107" s="126" t="s">
        <v>146</v>
      </c>
      <c r="D107" s="87"/>
      <c r="F107" s="50"/>
      <c r="H107" s="94"/>
      <c r="I107" s="94"/>
      <c r="J107" s="63"/>
      <c r="K107" s="95"/>
      <c r="L107" s="56"/>
    </row>
    <row r="108">
      <c r="C108" s="126" t="s">
        <v>147</v>
      </c>
      <c r="D108" s="87"/>
      <c r="F108" s="50"/>
      <c r="H108" s="94"/>
      <c r="I108" s="94"/>
      <c r="J108" s="63"/>
      <c r="K108" s="95"/>
      <c r="L108" s="56"/>
    </row>
    <row r="109">
      <c r="C109" s="126" t="s">
        <v>109</v>
      </c>
      <c r="D109" s="87"/>
      <c r="F109" s="50"/>
      <c r="H109" s="94"/>
      <c r="I109" s="94"/>
      <c r="J109" s="63"/>
      <c r="K109" s="95"/>
      <c r="L109" s="56"/>
    </row>
    <row r="110">
      <c r="C110" s="126" t="s">
        <v>45</v>
      </c>
      <c r="D110" s="87"/>
      <c r="F110" s="50"/>
      <c r="H110" s="94"/>
      <c r="I110" s="94"/>
      <c r="J110" s="63"/>
      <c r="K110" s="95"/>
      <c r="L110" s="56"/>
    </row>
    <row r="111">
      <c r="C111" s="127" t="s">
        <v>27</v>
      </c>
      <c r="D111" s="87"/>
      <c r="F111" s="50"/>
      <c r="H111" s="94"/>
      <c r="I111" s="94"/>
      <c r="J111" s="63"/>
      <c r="K111" s="95"/>
      <c r="L111" s="56"/>
    </row>
    <row r="112">
      <c r="D112" s="87"/>
      <c r="F112" s="50"/>
      <c r="H112" s="94"/>
      <c r="I112" s="94"/>
      <c r="J112" s="63"/>
      <c r="K112" s="95"/>
      <c r="L112" s="56"/>
    </row>
    <row r="113">
      <c r="D113" s="87"/>
      <c r="F113" s="50"/>
      <c r="H113" s="94"/>
      <c r="I113" s="94"/>
      <c r="J113" s="63"/>
      <c r="K113" s="95"/>
      <c r="L113" s="56"/>
    </row>
    <row r="114">
      <c r="D114" s="87"/>
      <c r="F114" s="50"/>
      <c r="H114" s="94"/>
      <c r="I114" s="94"/>
      <c r="J114" s="63"/>
      <c r="K114" s="95"/>
      <c r="L114" s="56"/>
    </row>
    <row r="115">
      <c r="D115" s="87"/>
      <c r="F115" s="50"/>
      <c r="H115" s="94"/>
      <c r="I115" s="94"/>
      <c r="J115" s="63"/>
      <c r="K115" s="95"/>
      <c r="L115" s="56"/>
    </row>
    <row r="116">
      <c r="D116" s="87"/>
      <c r="F116" s="50"/>
      <c r="H116" s="94"/>
      <c r="I116" s="94"/>
      <c r="J116" s="63"/>
      <c r="K116" s="95"/>
      <c r="L116" s="56"/>
    </row>
    <row r="117">
      <c r="D117" s="87"/>
      <c r="F117" s="50"/>
      <c r="H117" s="94"/>
      <c r="I117" s="94"/>
      <c r="J117" s="63"/>
      <c r="K117" s="95"/>
      <c r="L117" s="56"/>
    </row>
    <row r="118">
      <c r="D118" s="87"/>
      <c r="F118" s="50"/>
      <c r="H118" s="94"/>
      <c r="I118" s="94"/>
      <c r="J118" s="63"/>
      <c r="K118" s="95"/>
      <c r="L118" s="56"/>
    </row>
    <row r="119">
      <c r="D119" s="87"/>
      <c r="F119" s="50"/>
      <c r="H119" s="94"/>
      <c r="I119" s="94"/>
      <c r="J119" s="63"/>
      <c r="K119" s="95"/>
      <c r="L119" s="56"/>
    </row>
    <row r="120">
      <c r="D120" s="87"/>
      <c r="F120" s="50"/>
      <c r="H120" s="94"/>
      <c r="I120" s="94"/>
      <c r="J120" s="63"/>
      <c r="K120" s="95"/>
      <c r="L120" s="56"/>
    </row>
    <row r="121">
      <c r="D121" s="87"/>
      <c r="F121" s="50"/>
      <c r="H121" s="94"/>
      <c r="I121" s="94"/>
      <c r="J121" s="63"/>
      <c r="K121" s="95"/>
      <c r="L121" s="56"/>
    </row>
    <row r="122">
      <c r="D122" s="87"/>
      <c r="F122" s="50"/>
      <c r="H122" s="94"/>
      <c r="I122" s="94"/>
      <c r="J122" s="63"/>
      <c r="K122" s="95"/>
      <c r="L122" s="56"/>
    </row>
    <row r="123">
      <c r="D123" s="87"/>
      <c r="F123" s="50"/>
      <c r="H123" s="94"/>
      <c r="I123" s="94"/>
      <c r="J123" s="63"/>
      <c r="K123" s="95"/>
      <c r="L123" s="56"/>
    </row>
    <row r="124">
      <c r="D124" s="87"/>
      <c r="F124" s="50"/>
      <c r="H124" s="94"/>
      <c r="I124" s="94"/>
      <c r="J124" s="63"/>
      <c r="K124" s="95"/>
      <c r="L124" s="56"/>
    </row>
    <row r="125">
      <c r="D125" s="87"/>
      <c r="F125" s="50"/>
      <c r="H125" s="94"/>
      <c r="I125" s="94"/>
      <c r="J125" s="63"/>
      <c r="K125" s="95"/>
      <c r="L125" s="56"/>
    </row>
    <row r="126">
      <c r="D126" s="87"/>
      <c r="F126" s="50"/>
      <c r="H126" s="94"/>
      <c r="I126" s="94"/>
      <c r="J126" s="63"/>
      <c r="K126" s="95"/>
      <c r="L126" s="56"/>
    </row>
    <row r="127">
      <c r="D127" s="87"/>
      <c r="F127" s="50"/>
      <c r="H127" s="94"/>
      <c r="I127" s="94"/>
      <c r="J127" s="63"/>
      <c r="K127" s="95"/>
      <c r="L127" s="56"/>
    </row>
    <row r="128">
      <c r="D128" s="87"/>
      <c r="F128" s="50"/>
      <c r="H128" s="94"/>
      <c r="I128" s="94"/>
      <c r="J128" s="63"/>
      <c r="K128" s="95"/>
      <c r="L128" s="56"/>
    </row>
    <row r="129">
      <c r="D129" s="87"/>
      <c r="F129" s="50"/>
      <c r="H129" s="94"/>
      <c r="I129" s="94"/>
      <c r="J129" s="63"/>
      <c r="K129" s="95"/>
      <c r="L129" s="56"/>
    </row>
    <row r="130">
      <c r="D130" s="87"/>
      <c r="F130" s="50"/>
      <c r="H130" s="94"/>
      <c r="I130" s="94"/>
      <c r="J130" s="63"/>
      <c r="K130" s="95"/>
      <c r="L130" s="56"/>
    </row>
    <row r="131">
      <c r="D131" s="87"/>
      <c r="F131" s="50"/>
      <c r="H131" s="94"/>
      <c r="I131" s="94"/>
      <c r="J131" s="63"/>
      <c r="K131" s="95"/>
      <c r="L131" s="56"/>
    </row>
    <row r="132">
      <c r="D132" s="87"/>
      <c r="F132" s="50"/>
      <c r="H132" s="94"/>
      <c r="I132" s="94"/>
      <c r="J132" s="63"/>
      <c r="K132" s="95"/>
      <c r="L132" s="56"/>
    </row>
    <row r="133">
      <c r="D133" s="87"/>
      <c r="F133" s="50"/>
      <c r="H133" s="94"/>
      <c r="I133" s="94"/>
      <c r="J133" s="63"/>
      <c r="K133" s="95"/>
      <c r="L133" s="56"/>
    </row>
    <row r="134">
      <c r="D134" s="87"/>
      <c r="F134" s="50"/>
      <c r="H134" s="94"/>
      <c r="I134" s="94"/>
      <c r="J134" s="63"/>
      <c r="K134" s="95"/>
      <c r="L134" s="56"/>
    </row>
    <row r="135">
      <c r="D135" s="87"/>
      <c r="F135" s="50"/>
      <c r="H135" s="94"/>
      <c r="I135" s="94"/>
      <c r="J135" s="63"/>
      <c r="K135" s="95"/>
      <c r="L135" s="56"/>
    </row>
    <row r="136">
      <c r="D136" s="87"/>
      <c r="F136" s="50"/>
      <c r="H136" s="94"/>
      <c r="I136" s="94"/>
      <c r="J136" s="63"/>
      <c r="K136" s="95"/>
      <c r="L136" s="56"/>
    </row>
    <row r="137">
      <c r="D137" s="87"/>
      <c r="F137" s="50"/>
      <c r="H137" s="94"/>
      <c r="I137" s="94"/>
      <c r="J137" s="63"/>
      <c r="K137" s="95"/>
      <c r="L137" s="56"/>
    </row>
    <row r="138">
      <c r="D138" s="87"/>
      <c r="F138" s="50"/>
      <c r="H138" s="94"/>
      <c r="I138" s="94"/>
      <c r="J138" s="63"/>
      <c r="K138" s="95"/>
      <c r="L138" s="56"/>
    </row>
    <row r="139">
      <c r="D139" s="87"/>
      <c r="F139" s="50"/>
      <c r="H139" s="94"/>
      <c r="I139" s="94"/>
      <c r="J139" s="63"/>
      <c r="K139" s="95"/>
      <c r="L139" s="56"/>
    </row>
    <row r="140">
      <c r="D140" s="87"/>
      <c r="F140" s="50"/>
      <c r="H140" s="94"/>
      <c r="I140" s="94"/>
      <c r="J140" s="63"/>
      <c r="K140" s="95"/>
      <c r="L140" s="56"/>
    </row>
    <row r="141">
      <c r="D141" s="87"/>
      <c r="F141" s="50"/>
      <c r="H141" s="94"/>
      <c r="I141" s="94"/>
      <c r="J141" s="63"/>
      <c r="K141" s="95"/>
      <c r="L141" s="56"/>
    </row>
    <row r="142">
      <c r="D142" s="87"/>
      <c r="F142" s="50"/>
      <c r="H142" s="94"/>
      <c r="I142" s="94"/>
      <c r="J142" s="63"/>
      <c r="K142" s="95"/>
      <c r="L142" s="56"/>
    </row>
    <row r="143">
      <c r="D143" s="87"/>
      <c r="F143" s="50"/>
      <c r="H143" s="94"/>
      <c r="I143" s="94"/>
      <c r="J143" s="63"/>
      <c r="K143" s="95"/>
      <c r="L143" s="56"/>
    </row>
    <row r="144">
      <c r="D144" s="87"/>
      <c r="F144" s="50"/>
      <c r="H144" s="94"/>
      <c r="I144" s="94"/>
      <c r="J144" s="63"/>
      <c r="K144" s="95"/>
      <c r="L144" s="56"/>
    </row>
    <row r="145">
      <c r="D145" s="87"/>
      <c r="F145" s="50"/>
      <c r="H145" s="94"/>
      <c r="I145" s="94"/>
      <c r="J145" s="63"/>
      <c r="K145" s="95"/>
      <c r="L145" s="56"/>
    </row>
    <row r="146">
      <c r="D146" s="87"/>
      <c r="F146" s="50"/>
      <c r="H146" s="94"/>
      <c r="I146" s="94"/>
      <c r="J146" s="63"/>
      <c r="K146" s="95"/>
      <c r="L146" s="56"/>
    </row>
    <row r="147">
      <c r="D147" s="87"/>
      <c r="F147" s="50"/>
      <c r="H147" s="94"/>
      <c r="I147" s="94"/>
      <c r="J147" s="63"/>
      <c r="K147" s="95"/>
      <c r="L147" s="56"/>
    </row>
    <row r="148">
      <c r="D148" s="87"/>
      <c r="F148" s="50"/>
      <c r="H148" s="94"/>
      <c r="I148" s="94"/>
      <c r="J148" s="63"/>
      <c r="K148" s="95"/>
      <c r="L148" s="56"/>
    </row>
    <row r="149">
      <c r="D149" s="87"/>
      <c r="F149" s="50"/>
      <c r="H149" s="94"/>
      <c r="I149" s="94"/>
      <c r="J149" s="63"/>
      <c r="K149" s="95"/>
      <c r="L149" s="56"/>
    </row>
    <row r="150">
      <c r="D150" s="87"/>
      <c r="F150" s="50"/>
      <c r="H150" s="94"/>
      <c r="I150" s="94"/>
      <c r="J150" s="63"/>
      <c r="K150" s="95"/>
      <c r="L150" s="56"/>
    </row>
    <row r="151">
      <c r="D151" s="87"/>
      <c r="F151" s="50"/>
      <c r="H151" s="94"/>
      <c r="I151" s="94"/>
      <c r="J151" s="63"/>
      <c r="K151" s="95"/>
      <c r="L151" s="56"/>
    </row>
    <row r="152">
      <c r="D152" s="87"/>
      <c r="F152" s="50"/>
      <c r="H152" s="94"/>
      <c r="I152" s="94"/>
      <c r="J152" s="63"/>
      <c r="K152" s="95"/>
      <c r="L152" s="56"/>
    </row>
    <row r="153">
      <c r="D153" s="87"/>
      <c r="F153" s="50"/>
      <c r="H153" s="94"/>
      <c r="I153" s="94"/>
      <c r="J153" s="63"/>
      <c r="K153" s="95"/>
      <c r="L153" s="56"/>
    </row>
    <row r="154">
      <c r="D154" s="87"/>
      <c r="F154" s="50"/>
      <c r="H154" s="94"/>
      <c r="I154" s="94"/>
      <c r="J154" s="63"/>
      <c r="K154" s="95"/>
      <c r="L154" s="56"/>
    </row>
    <row r="155">
      <c r="D155" s="87"/>
      <c r="F155" s="50"/>
      <c r="H155" s="94"/>
      <c r="I155" s="94"/>
      <c r="J155" s="63"/>
      <c r="K155" s="95"/>
      <c r="L155" s="56"/>
    </row>
    <row r="156">
      <c r="D156" s="87"/>
      <c r="F156" s="50"/>
      <c r="H156" s="94"/>
      <c r="I156" s="94"/>
      <c r="J156" s="63"/>
      <c r="K156" s="95"/>
      <c r="L156" s="56"/>
    </row>
    <row r="157">
      <c r="D157" s="87"/>
      <c r="F157" s="50"/>
      <c r="H157" s="94"/>
      <c r="I157" s="94"/>
      <c r="J157" s="63"/>
      <c r="K157" s="95"/>
      <c r="L157" s="56"/>
    </row>
    <row r="158">
      <c r="D158" s="87"/>
      <c r="F158" s="50"/>
      <c r="H158" s="94"/>
      <c r="I158" s="94"/>
      <c r="J158" s="63"/>
      <c r="K158" s="95"/>
      <c r="L158" s="56"/>
    </row>
    <row r="159">
      <c r="D159" s="87"/>
      <c r="F159" s="50"/>
      <c r="H159" s="94"/>
      <c r="I159" s="94"/>
      <c r="J159" s="63"/>
      <c r="K159" s="95"/>
      <c r="L159" s="56"/>
    </row>
    <row r="160">
      <c r="D160" s="87"/>
      <c r="F160" s="50"/>
      <c r="H160" s="94"/>
      <c r="I160" s="94"/>
      <c r="J160" s="63"/>
      <c r="K160" s="95"/>
      <c r="L160" s="56"/>
    </row>
    <row r="161">
      <c r="D161" s="87"/>
      <c r="F161" s="50"/>
      <c r="H161" s="94"/>
      <c r="I161" s="94"/>
      <c r="J161" s="63"/>
      <c r="K161" s="95"/>
      <c r="L161" s="56"/>
    </row>
    <row r="162">
      <c r="D162" s="87"/>
      <c r="F162" s="50"/>
      <c r="H162" s="94"/>
      <c r="I162" s="94"/>
      <c r="J162" s="63"/>
      <c r="K162" s="95"/>
      <c r="L162" s="56"/>
    </row>
    <row r="163">
      <c r="D163" s="87"/>
      <c r="F163" s="50"/>
      <c r="H163" s="94"/>
      <c r="I163" s="94"/>
      <c r="J163" s="63"/>
      <c r="K163" s="95"/>
      <c r="L163" s="56"/>
    </row>
    <row r="164">
      <c r="D164" s="87"/>
      <c r="F164" s="50"/>
      <c r="H164" s="94"/>
      <c r="I164" s="94"/>
      <c r="J164" s="63"/>
      <c r="K164" s="95"/>
      <c r="L164" s="56"/>
    </row>
    <row r="165">
      <c r="D165" s="87"/>
      <c r="F165" s="50"/>
      <c r="H165" s="94"/>
      <c r="I165" s="94"/>
      <c r="J165" s="63"/>
      <c r="K165" s="95"/>
      <c r="L165" s="56"/>
    </row>
    <row r="166">
      <c r="D166" s="87"/>
      <c r="F166" s="50"/>
      <c r="H166" s="94"/>
      <c r="I166" s="94"/>
      <c r="J166" s="63"/>
      <c r="K166" s="95"/>
      <c r="L166" s="56"/>
    </row>
    <row r="167">
      <c r="D167" s="87"/>
      <c r="F167" s="50"/>
      <c r="H167" s="94"/>
      <c r="I167" s="94"/>
      <c r="J167" s="63"/>
      <c r="K167" s="95"/>
      <c r="L167" s="56"/>
    </row>
    <row r="168">
      <c r="D168" s="87"/>
      <c r="F168" s="50"/>
      <c r="H168" s="94"/>
      <c r="I168" s="94"/>
      <c r="J168" s="63"/>
      <c r="K168" s="95"/>
      <c r="L168" s="56"/>
    </row>
    <row r="169">
      <c r="D169" s="87"/>
      <c r="F169" s="50"/>
      <c r="H169" s="94"/>
      <c r="I169" s="94"/>
      <c r="J169" s="63"/>
      <c r="K169" s="95"/>
      <c r="L169" s="56"/>
    </row>
    <row r="170">
      <c r="D170" s="87"/>
      <c r="F170" s="50"/>
      <c r="H170" s="94"/>
      <c r="I170" s="94"/>
      <c r="J170" s="63"/>
      <c r="K170" s="95"/>
      <c r="L170" s="56"/>
    </row>
    <row r="171">
      <c r="D171" s="87"/>
      <c r="F171" s="50"/>
      <c r="H171" s="94"/>
      <c r="I171" s="94"/>
      <c r="J171" s="63"/>
      <c r="K171" s="95"/>
      <c r="L171" s="56"/>
    </row>
    <row r="172">
      <c r="D172" s="87"/>
      <c r="F172" s="50"/>
      <c r="H172" s="94"/>
      <c r="I172" s="94"/>
      <c r="J172" s="63"/>
      <c r="K172" s="95"/>
      <c r="L172" s="56"/>
    </row>
    <row r="173">
      <c r="D173" s="87"/>
      <c r="F173" s="50"/>
      <c r="H173" s="94"/>
      <c r="I173" s="94"/>
      <c r="J173" s="63"/>
      <c r="K173" s="95"/>
      <c r="L173" s="56"/>
    </row>
    <row r="174">
      <c r="D174" s="87"/>
      <c r="F174" s="50"/>
      <c r="H174" s="94"/>
      <c r="I174" s="94"/>
      <c r="J174" s="63"/>
      <c r="K174" s="95"/>
      <c r="L174" s="56"/>
    </row>
    <row r="175">
      <c r="D175" s="87"/>
      <c r="F175" s="50"/>
      <c r="H175" s="94"/>
      <c r="I175" s="94"/>
      <c r="J175" s="63"/>
      <c r="K175" s="95"/>
      <c r="L175" s="56"/>
    </row>
    <row r="176">
      <c r="D176" s="87"/>
      <c r="F176" s="50"/>
      <c r="H176" s="94"/>
      <c r="I176" s="94"/>
      <c r="J176" s="63"/>
      <c r="K176" s="95"/>
      <c r="L176" s="56"/>
    </row>
    <row r="177">
      <c r="D177" s="87"/>
      <c r="F177" s="50"/>
      <c r="H177" s="94"/>
      <c r="I177" s="94"/>
      <c r="J177" s="63"/>
      <c r="K177" s="95"/>
      <c r="L177" s="56"/>
    </row>
    <row r="178">
      <c r="D178" s="87"/>
      <c r="F178" s="50"/>
      <c r="H178" s="94"/>
      <c r="I178" s="94"/>
      <c r="J178" s="63"/>
      <c r="K178" s="95"/>
      <c r="L178" s="56"/>
    </row>
    <row r="179">
      <c r="D179" s="87"/>
      <c r="F179" s="50"/>
      <c r="H179" s="94"/>
      <c r="I179" s="94"/>
      <c r="J179" s="63"/>
      <c r="K179" s="95"/>
      <c r="L179" s="56"/>
    </row>
    <row r="180">
      <c r="D180" s="87"/>
      <c r="F180" s="50"/>
      <c r="H180" s="94"/>
      <c r="I180" s="94"/>
      <c r="J180" s="63"/>
      <c r="K180" s="95"/>
      <c r="L180" s="56"/>
    </row>
    <row r="181">
      <c r="D181" s="87"/>
      <c r="F181" s="50"/>
      <c r="H181" s="94"/>
      <c r="I181" s="94"/>
      <c r="J181" s="63"/>
      <c r="K181" s="95"/>
      <c r="L181" s="56"/>
    </row>
    <row r="182">
      <c r="D182" s="87"/>
      <c r="F182" s="50"/>
      <c r="H182" s="94"/>
      <c r="I182" s="94"/>
      <c r="J182" s="63"/>
      <c r="K182" s="95"/>
      <c r="L182" s="56"/>
    </row>
    <row r="183">
      <c r="D183" s="87"/>
      <c r="F183" s="50"/>
      <c r="H183" s="94"/>
      <c r="I183" s="94"/>
      <c r="J183" s="63"/>
      <c r="K183" s="95"/>
      <c r="L183" s="56"/>
    </row>
    <row r="184">
      <c r="D184" s="87"/>
      <c r="F184" s="50"/>
      <c r="H184" s="94"/>
      <c r="I184" s="94"/>
      <c r="J184" s="63"/>
      <c r="K184" s="95"/>
      <c r="L184" s="56"/>
    </row>
    <row r="185">
      <c r="D185" s="87"/>
      <c r="F185" s="50"/>
      <c r="H185" s="94"/>
      <c r="I185" s="94"/>
      <c r="J185" s="63"/>
      <c r="K185" s="95"/>
      <c r="L185" s="56"/>
    </row>
    <row r="186">
      <c r="D186" s="87"/>
      <c r="F186" s="50"/>
      <c r="H186" s="94"/>
      <c r="I186" s="94"/>
      <c r="J186" s="63"/>
      <c r="K186" s="95"/>
      <c r="L186" s="56"/>
    </row>
    <row r="187">
      <c r="D187" s="87"/>
      <c r="F187" s="50"/>
      <c r="H187" s="94"/>
      <c r="I187" s="94"/>
      <c r="J187" s="63"/>
      <c r="K187" s="95"/>
      <c r="L187" s="56"/>
    </row>
    <row r="188">
      <c r="D188" s="87"/>
      <c r="F188" s="50"/>
      <c r="H188" s="94"/>
      <c r="I188" s="94"/>
      <c r="J188" s="63"/>
      <c r="K188" s="95"/>
      <c r="L188" s="56"/>
    </row>
    <row r="189">
      <c r="D189" s="87"/>
      <c r="F189" s="50"/>
      <c r="H189" s="94"/>
      <c r="I189" s="94"/>
      <c r="J189" s="63"/>
      <c r="K189" s="95"/>
      <c r="L189" s="56"/>
    </row>
    <row r="190">
      <c r="D190" s="87"/>
      <c r="F190" s="50"/>
      <c r="H190" s="94"/>
      <c r="I190" s="94"/>
      <c r="J190" s="63"/>
      <c r="K190" s="95"/>
      <c r="L190" s="56"/>
    </row>
    <row r="191">
      <c r="D191" s="87"/>
      <c r="F191" s="50"/>
      <c r="H191" s="94"/>
      <c r="I191" s="94"/>
      <c r="J191" s="63"/>
      <c r="K191" s="95"/>
      <c r="L191" s="56"/>
    </row>
    <row r="192">
      <c r="D192" s="87"/>
      <c r="F192" s="50"/>
      <c r="H192" s="94"/>
      <c r="I192" s="94"/>
      <c r="J192" s="63"/>
      <c r="K192" s="95"/>
      <c r="L192" s="56"/>
    </row>
    <row r="193">
      <c r="D193" s="87"/>
      <c r="F193" s="50"/>
      <c r="H193" s="94"/>
      <c r="I193" s="94"/>
      <c r="J193" s="63"/>
      <c r="K193" s="95"/>
      <c r="L193" s="56"/>
    </row>
    <row r="194">
      <c r="D194" s="87"/>
      <c r="F194" s="50"/>
      <c r="H194" s="94"/>
      <c r="I194" s="94"/>
      <c r="J194" s="63"/>
      <c r="K194" s="95"/>
      <c r="L194" s="56"/>
    </row>
    <row r="195">
      <c r="D195" s="87"/>
      <c r="F195" s="50"/>
      <c r="H195" s="94"/>
      <c r="I195" s="94"/>
      <c r="J195" s="63"/>
      <c r="K195" s="95"/>
      <c r="L195" s="56"/>
    </row>
    <row r="196">
      <c r="D196" s="87"/>
      <c r="F196" s="50"/>
      <c r="H196" s="94"/>
      <c r="I196" s="94"/>
      <c r="J196" s="63"/>
      <c r="K196" s="95"/>
      <c r="L196" s="56"/>
    </row>
    <row r="197">
      <c r="D197" s="87"/>
      <c r="F197" s="50"/>
      <c r="H197" s="94"/>
      <c r="I197" s="94"/>
      <c r="J197" s="63"/>
      <c r="K197" s="95"/>
      <c r="L197" s="56"/>
    </row>
    <row r="198">
      <c r="D198" s="87"/>
      <c r="F198" s="50"/>
      <c r="H198" s="94"/>
      <c r="I198" s="94"/>
      <c r="J198" s="63"/>
      <c r="K198" s="95"/>
      <c r="L198" s="56"/>
    </row>
    <row r="199">
      <c r="D199" s="87"/>
      <c r="F199" s="50"/>
      <c r="H199" s="94"/>
      <c r="I199" s="94"/>
      <c r="J199" s="63"/>
      <c r="K199" s="95"/>
      <c r="L199" s="56"/>
    </row>
    <row r="200">
      <c r="D200" s="87"/>
      <c r="F200" s="50"/>
      <c r="H200" s="94"/>
      <c r="I200" s="94"/>
      <c r="J200" s="63"/>
      <c r="K200" s="95"/>
      <c r="L200" s="56"/>
    </row>
    <row r="201">
      <c r="D201" s="87"/>
      <c r="F201" s="50"/>
      <c r="H201" s="94"/>
      <c r="I201" s="94"/>
      <c r="J201" s="63"/>
      <c r="K201" s="95"/>
      <c r="L201" s="56"/>
    </row>
    <row r="202">
      <c r="D202" s="87"/>
      <c r="F202" s="50"/>
      <c r="H202" s="94"/>
      <c r="I202" s="94"/>
      <c r="J202" s="63"/>
      <c r="K202" s="95"/>
      <c r="L202" s="56"/>
    </row>
    <row r="203">
      <c r="D203" s="87"/>
      <c r="F203" s="50"/>
      <c r="H203" s="94"/>
      <c r="I203" s="94"/>
      <c r="J203" s="63"/>
      <c r="K203" s="95"/>
      <c r="L203" s="56"/>
    </row>
    <row r="204">
      <c r="D204" s="87"/>
      <c r="F204" s="50"/>
      <c r="H204" s="94"/>
      <c r="I204" s="94"/>
      <c r="J204" s="63"/>
      <c r="K204" s="95"/>
      <c r="L204" s="56"/>
    </row>
    <row r="205">
      <c r="D205" s="87"/>
      <c r="F205" s="50"/>
      <c r="H205" s="94"/>
      <c r="I205" s="94"/>
      <c r="J205" s="63"/>
      <c r="K205" s="95"/>
      <c r="L205" s="56"/>
    </row>
    <row r="206">
      <c r="D206" s="87"/>
      <c r="F206" s="50"/>
      <c r="H206" s="94"/>
      <c r="I206" s="94"/>
      <c r="J206" s="63"/>
      <c r="K206" s="95"/>
      <c r="L206" s="56"/>
    </row>
    <row r="207">
      <c r="D207" s="87"/>
      <c r="F207" s="50"/>
      <c r="H207" s="94"/>
      <c r="I207" s="94"/>
      <c r="J207" s="63"/>
      <c r="K207" s="95"/>
      <c r="L207" s="56"/>
    </row>
    <row r="208">
      <c r="D208" s="87"/>
      <c r="F208" s="50"/>
      <c r="H208" s="94"/>
      <c r="I208" s="94"/>
      <c r="J208" s="63"/>
      <c r="K208" s="95"/>
      <c r="L208" s="56"/>
    </row>
    <row r="209">
      <c r="D209" s="87"/>
      <c r="F209" s="50"/>
      <c r="H209" s="94"/>
      <c r="I209" s="94"/>
      <c r="J209" s="63"/>
      <c r="K209" s="95"/>
      <c r="L209" s="56"/>
    </row>
    <row r="210">
      <c r="D210" s="87"/>
      <c r="F210" s="50"/>
      <c r="H210" s="94"/>
      <c r="I210" s="94"/>
      <c r="J210" s="63"/>
      <c r="K210" s="95"/>
      <c r="L210" s="56"/>
    </row>
    <row r="211">
      <c r="D211" s="87"/>
      <c r="F211" s="50"/>
      <c r="H211" s="94"/>
      <c r="I211" s="94"/>
      <c r="J211" s="63"/>
      <c r="K211" s="95"/>
      <c r="L211" s="56"/>
    </row>
    <row r="212">
      <c r="D212" s="87"/>
      <c r="F212" s="50"/>
      <c r="H212" s="94"/>
      <c r="I212" s="94"/>
      <c r="J212" s="63"/>
      <c r="K212" s="95"/>
      <c r="L212" s="56"/>
    </row>
    <row r="213">
      <c r="D213" s="87"/>
      <c r="F213" s="50"/>
      <c r="H213" s="94"/>
      <c r="I213" s="94"/>
      <c r="J213" s="63"/>
      <c r="K213" s="95"/>
      <c r="L213" s="56"/>
    </row>
    <row r="214">
      <c r="D214" s="87"/>
      <c r="F214" s="50"/>
      <c r="H214" s="94"/>
      <c r="I214" s="94"/>
      <c r="J214" s="63"/>
      <c r="K214" s="95"/>
      <c r="L214" s="56"/>
    </row>
    <row r="215">
      <c r="D215" s="87"/>
      <c r="F215" s="50"/>
      <c r="H215" s="94"/>
      <c r="I215" s="94"/>
      <c r="J215" s="63"/>
      <c r="K215" s="95"/>
      <c r="L215" s="56"/>
    </row>
    <row r="216">
      <c r="D216" s="87"/>
      <c r="F216" s="50"/>
      <c r="H216" s="94"/>
      <c r="I216" s="94"/>
      <c r="J216" s="63"/>
      <c r="K216" s="95"/>
      <c r="L216" s="56"/>
    </row>
    <row r="217">
      <c r="D217" s="87"/>
      <c r="F217" s="50"/>
      <c r="H217" s="94"/>
      <c r="I217" s="94"/>
      <c r="J217" s="63"/>
      <c r="K217" s="95"/>
      <c r="L217" s="56"/>
    </row>
    <row r="218">
      <c r="D218" s="87"/>
      <c r="F218" s="50"/>
      <c r="H218" s="94"/>
      <c r="I218" s="94"/>
      <c r="J218" s="63"/>
      <c r="K218" s="95"/>
      <c r="L218" s="56"/>
    </row>
    <row r="219">
      <c r="D219" s="87"/>
      <c r="F219" s="50"/>
      <c r="H219" s="94"/>
      <c r="I219" s="94"/>
      <c r="J219" s="63"/>
      <c r="K219" s="95"/>
      <c r="L219" s="56"/>
    </row>
    <row r="220">
      <c r="D220" s="87"/>
      <c r="F220" s="50"/>
      <c r="H220" s="94"/>
      <c r="I220" s="94"/>
      <c r="J220" s="63"/>
      <c r="K220" s="95"/>
      <c r="L220" s="56"/>
    </row>
    <row r="221">
      <c r="D221" s="87"/>
      <c r="F221" s="50"/>
      <c r="H221" s="94"/>
      <c r="I221" s="94"/>
      <c r="J221" s="63"/>
      <c r="K221" s="95"/>
      <c r="L221" s="56"/>
    </row>
    <row r="222">
      <c r="D222" s="87"/>
      <c r="F222" s="50"/>
      <c r="H222" s="94"/>
      <c r="I222" s="94"/>
      <c r="J222" s="63"/>
      <c r="K222" s="95"/>
      <c r="L222" s="56"/>
    </row>
    <row r="223">
      <c r="D223" s="87"/>
      <c r="F223" s="50"/>
      <c r="H223" s="94"/>
      <c r="I223" s="94"/>
      <c r="J223" s="63"/>
      <c r="K223" s="95"/>
      <c r="L223" s="56"/>
    </row>
    <row r="224">
      <c r="D224" s="87"/>
      <c r="F224" s="50"/>
      <c r="H224" s="94"/>
      <c r="I224" s="94"/>
      <c r="J224" s="63"/>
      <c r="K224" s="95"/>
      <c r="L224" s="56"/>
    </row>
    <row r="225">
      <c r="D225" s="87"/>
      <c r="F225" s="50"/>
      <c r="H225" s="94"/>
      <c r="I225" s="94"/>
      <c r="J225" s="63"/>
      <c r="K225" s="95"/>
      <c r="L225" s="56"/>
    </row>
    <row r="226">
      <c r="D226" s="87"/>
      <c r="F226" s="50"/>
      <c r="H226" s="94"/>
      <c r="I226" s="94"/>
      <c r="J226" s="63"/>
      <c r="K226" s="95"/>
      <c r="L226" s="56"/>
    </row>
    <row r="227">
      <c r="D227" s="87"/>
      <c r="F227" s="50"/>
      <c r="H227" s="94"/>
      <c r="I227" s="94"/>
      <c r="J227" s="63"/>
      <c r="K227" s="95"/>
      <c r="L227" s="56"/>
    </row>
    <row r="228">
      <c r="D228" s="87"/>
      <c r="F228" s="50"/>
      <c r="H228" s="94"/>
      <c r="I228" s="94"/>
      <c r="J228" s="63"/>
      <c r="K228" s="95"/>
      <c r="L228" s="56"/>
    </row>
    <row r="229">
      <c r="D229" s="87"/>
      <c r="F229" s="50"/>
      <c r="H229" s="94"/>
      <c r="I229" s="94"/>
      <c r="J229" s="63"/>
      <c r="K229" s="95"/>
      <c r="L229" s="56"/>
    </row>
    <row r="230">
      <c r="D230" s="87"/>
      <c r="F230" s="50"/>
      <c r="H230" s="94"/>
      <c r="I230" s="94"/>
      <c r="J230" s="63"/>
      <c r="K230" s="95"/>
      <c r="L230" s="56"/>
    </row>
    <row r="231">
      <c r="D231" s="87"/>
      <c r="F231" s="50"/>
      <c r="H231" s="94"/>
      <c r="I231" s="94"/>
      <c r="J231" s="63"/>
      <c r="K231" s="95"/>
      <c r="L231" s="56"/>
    </row>
    <row r="232">
      <c r="D232" s="87"/>
      <c r="F232" s="50"/>
      <c r="H232" s="94"/>
      <c r="I232" s="94"/>
      <c r="J232" s="63"/>
      <c r="K232" s="95"/>
      <c r="L232" s="56"/>
    </row>
    <row r="233">
      <c r="D233" s="87"/>
      <c r="F233" s="50"/>
      <c r="H233" s="94"/>
      <c r="I233" s="94"/>
      <c r="J233" s="63"/>
      <c r="K233" s="95"/>
      <c r="L233" s="56"/>
    </row>
    <row r="234">
      <c r="D234" s="87"/>
      <c r="F234" s="50"/>
      <c r="H234" s="94"/>
      <c r="I234" s="94"/>
      <c r="J234" s="63"/>
      <c r="K234" s="95"/>
      <c r="L234" s="56"/>
    </row>
    <row r="235">
      <c r="D235" s="87"/>
      <c r="F235" s="50"/>
      <c r="H235" s="94"/>
      <c r="I235" s="94"/>
      <c r="J235" s="63"/>
      <c r="K235" s="95"/>
      <c r="L235" s="56"/>
    </row>
    <row r="236">
      <c r="D236" s="87"/>
      <c r="F236" s="50"/>
      <c r="H236" s="94"/>
      <c r="I236" s="94"/>
      <c r="J236" s="63"/>
      <c r="K236" s="95"/>
      <c r="L236" s="56"/>
    </row>
    <row r="237">
      <c r="D237" s="87"/>
      <c r="F237" s="50"/>
      <c r="H237" s="94"/>
      <c r="I237" s="94"/>
      <c r="J237" s="63"/>
      <c r="K237" s="95"/>
      <c r="L237" s="56"/>
    </row>
    <row r="238">
      <c r="D238" s="87"/>
      <c r="F238" s="50"/>
      <c r="H238" s="94"/>
      <c r="I238" s="94"/>
      <c r="J238" s="63"/>
      <c r="K238" s="95"/>
      <c r="L238" s="56"/>
    </row>
    <row r="239">
      <c r="D239" s="87"/>
      <c r="F239" s="50"/>
      <c r="H239" s="94"/>
      <c r="I239" s="94"/>
      <c r="J239" s="63"/>
      <c r="K239" s="95"/>
      <c r="L239" s="56"/>
    </row>
    <row r="240">
      <c r="D240" s="87"/>
      <c r="F240" s="50"/>
      <c r="H240" s="94"/>
      <c r="I240" s="94"/>
      <c r="J240" s="63"/>
      <c r="K240" s="95"/>
      <c r="L240" s="56"/>
    </row>
    <row r="241">
      <c r="D241" s="87"/>
      <c r="F241" s="50"/>
      <c r="H241" s="94"/>
      <c r="I241" s="94"/>
      <c r="J241" s="63"/>
      <c r="K241" s="95"/>
      <c r="L241" s="56"/>
    </row>
    <row r="242">
      <c r="D242" s="87"/>
      <c r="F242" s="50"/>
      <c r="H242" s="94"/>
      <c r="I242" s="94"/>
      <c r="J242" s="63"/>
      <c r="K242" s="95"/>
      <c r="L242" s="56"/>
    </row>
    <row r="243">
      <c r="D243" s="87"/>
      <c r="F243" s="50"/>
      <c r="H243" s="94"/>
      <c r="I243" s="94"/>
      <c r="J243" s="63"/>
      <c r="K243" s="95"/>
      <c r="L243" s="56"/>
    </row>
    <row r="244">
      <c r="D244" s="87"/>
      <c r="F244" s="50"/>
      <c r="H244" s="94"/>
      <c r="I244" s="94"/>
      <c r="J244" s="63"/>
      <c r="K244" s="95"/>
      <c r="L244" s="56"/>
    </row>
    <row r="245">
      <c r="D245" s="87"/>
      <c r="F245" s="50"/>
      <c r="H245" s="94"/>
      <c r="I245" s="94"/>
      <c r="J245" s="63"/>
      <c r="K245" s="95"/>
      <c r="L245" s="56"/>
    </row>
    <row r="246">
      <c r="D246" s="87"/>
      <c r="F246" s="50"/>
      <c r="H246" s="94"/>
      <c r="I246" s="94"/>
      <c r="J246" s="63"/>
      <c r="K246" s="95"/>
      <c r="L246" s="56"/>
    </row>
    <row r="247">
      <c r="D247" s="87"/>
      <c r="F247" s="50"/>
      <c r="H247" s="94"/>
      <c r="I247" s="94"/>
      <c r="J247" s="63"/>
      <c r="K247" s="95"/>
      <c r="L247" s="56"/>
    </row>
    <row r="248">
      <c r="D248" s="87"/>
      <c r="F248" s="50"/>
      <c r="H248" s="94"/>
      <c r="I248" s="94"/>
      <c r="J248" s="63"/>
      <c r="K248" s="95"/>
      <c r="L248" s="56"/>
    </row>
    <row r="249">
      <c r="D249" s="87"/>
      <c r="F249" s="50"/>
      <c r="H249" s="94"/>
      <c r="I249" s="94"/>
      <c r="J249" s="63"/>
      <c r="K249" s="95"/>
      <c r="L249" s="56"/>
    </row>
    <row r="250">
      <c r="D250" s="87"/>
      <c r="F250" s="50"/>
      <c r="H250" s="94"/>
      <c r="I250" s="94"/>
      <c r="J250" s="63"/>
      <c r="K250" s="95"/>
      <c r="L250" s="56"/>
    </row>
    <row r="251">
      <c r="D251" s="87"/>
      <c r="F251" s="50"/>
      <c r="H251" s="94"/>
      <c r="I251" s="94"/>
      <c r="J251" s="63"/>
      <c r="K251" s="95"/>
      <c r="L251" s="56"/>
    </row>
    <row r="252">
      <c r="D252" s="87"/>
      <c r="F252" s="50"/>
      <c r="H252" s="94"/>
      <c r="I252" s="94"/>
      <c r="J252" s="63"/>
      <c r="K252" s="95"/>
      <c r="L252" s="56"/>
    </row>
    <row r="253">
      <c r="D253" s="87"/>
      <c r="F253" s="50"/>
      <c r="H253" s="94"/>
      <c r="I253" s="94"/>
      <c r="J253" s="63"/>
      <c r="K253" s="95"/>
      <c r="L253" s="56"/>
    </row>
    <row r="254">
      <c r="D254" s="87"/>
      <c r="F254" s="50"/>
      <c r="H254" s="94"/>
      <c r="I254" s="94"/>
      <c r="J254" s="63"/>
      <c r="K254" s="95"/>
      <c r="L254" s="56"/>
    </row>
    <row r="255">
      <c r="D255" s="87"/>
      <c r="F255" s="50"/>
      <c r="H255" s="94"/>
      <c r="I255" s="94"/>
      <c r="J255" s="63"/>
      <c r="K255" s="95"/>
      <c r="L255" s="56"/>
    </row>
    <row r="256">
      <c r="D256" s="87"/>
      <c r="F256" s="50"/>
      <c r="H256" s="94"/>
      <c r="I256" s="94"/>
      <c r="J256" s="63"/>
      <c r="K256" s="95"/>
      <c r="L256" s="56"/>
    </row>
    <row r="257">
      <c r="D257" s="87"/>
      <c r="F257" s="50"/>
      <c r="H257" s="94"/>
      <c r="I257" s="94"/>
      <c r="J257" s="63"/>
      <c r="K257" s="95"/>
      <c r="L257" s="56"/>
    </row>
    <row r="258">
      <c r="D258" s="87"/>
      <c r="F258" s="50"/>
      <c r="H258" s="94"/>
      <c r="I258" s="94"/>
      <c r="J258" s="63"/>
      <c r="K258" s="95"/>
      <c r="L258" s="56"/>
    </row>
    <row r="259">
      <c r="D259" s="87"/>
      <c r="F259" s="50"/>
      <c r="H259" s="94"/>
      <c r="I259" s="94"/>
      <c r="J259" s="63"/>
      <c r="K259" s="95"/>
      <c r="L259" s="56"/>
    </row>
    <row r="260">
      <c r="D260" s="87"/>
      <c r="F260" s="50"/>
      <c r="H260" s="94"/>
      <c r="I260" s="94"/>
      <c r="J260" s="63"/>
      <c r="K260" s="95"/>
      <c r="L260" s="56"/>
    </row>
    <row r="261">
      <c r="D261" s="87"/>
      <c r="F261" s="50"/>
      <c r="H261" s="94"/>
      <c r="I261" s="94"/>
      <c r="J261" s="63"/>
      <c r="K261" s="95"/>
      <c r="L261" s="56"/>
    </row>
    <row r="262">
      <c r="D262" s="87"/>
      <c r="F262" s="50"/>
      <c r="H262" s="94"/>
      <c r="I262" s="94"/>
      <c r="J262" s="63"/>
      <c r="K262" s="95"/>
      <c r="L262" s="56"/>
    </row>
    <row r="263">
      <c r="D263" s="87"/>
      <c r="F263" s="50"/>
      <c r="H263" s="94"/>
      <c r="I263" s="94"/>
      <c r="J263" s="63"/>
      <c r="K263" s="95"/>
      <c r="L263" s="56"/>
    </row>
    <row r="264">
      <c r="D264" s="87"/>
      <c r="F264" s="50"/>
      <c r="H264" s="94"/>
      <c r="I264" s="94"/>
      <c r="J264" s="63"/>
      <c r="K264" s="95"/>
      <c r="L264" s="56"/>
    </row>
    <row r="265">
      <c r="D265" s="87"/>
      <c r="F265" s="50"/>
      <c r="H265" s="94"/>
      <c r="I265" s="94"/>
      <c r="J265" s="63"/>
      <c r="K265" s="95"/>
      <c r="L265" s="56"/>
    </row>
    <row r="266">
      <c r="D266" s="87"/>
      <c r="F266" s="50"/>
      <c r="H266" s="94"/>
      <c r="I266" s="94"/>
      <c r="J266" s="63"/>
      <c r="K266" s="95"/>
      <c r="L266" s="56"/>
    </row>
    <row r="267">
      <c r="D267" s="87"/>
      <c r="F267" s="50"/>
      <c r="H267" s="94"/>
      <c r="I267" s="94"/>
      <c r="J267" s="63"/>
      <c r="K267" s="95"/>
      <c r="L267" s="56"/>
    </row>
    <row r="268">
      <c r="D268" s="87"/>
      <c r="F268" s="50"/>
      <c r="H268" s="94"/>
      <c r="I268" s="94"/>
      <c r="J268" s="63"/>
      <c r="K268" s="95"/>
      <c r="L268" s="56"/>
    </row>
    <row r="269">
      <c r="D269" s="87"/>
      <c r="F269" s="50"/>
      <c r="H269" s="94"/>
      <c r="I269" s="94"/>
      <c r="J269" s="63"/>
      <c r="K269" s="95"/>
      <c r="L269" s="56"/>
    </row>
    <row r="270">
      <c r="D270" s="87"/>
      <c r="F270" s="50"/>
      <c r="H270" s="94"/>
      <c r="I270" s="94"/>
      <c r="J270" s="63"/>
      <c r="K270" s="95"/>
      <c r="L270" s="56"/>
    </row>
    <row r="271">
      <c r="D271" s="87"/>
      <c r="F271" s="50"/>
      <c r="H271" s="94"/>
      <c r="I271" s="94"/>
      <c r="J271" s="63"/>
      <c r="K271" s="95"/>
      <c r="L271" s="56"/>
    </row>
    <row r="272">
      <c r="D272" s="87"/>
      <c r="F272" s="50"/>
      <c r="H272" s="94"/>
      <c r="I272" s="94"/>
      <c r="J272" s="63"/>
      <c r="K272" s="95"/>
      <c r="L272" s="56"/>
    </row>
    <row r="273">
      <c r="D273" s="87"/>
      <c r="F273" s="50"/>
      <c r="H273" s="94"/>
      <c r="I273" s="94"/>
      <c r="J273" s="63"/>
      <c r="K273" s="95"/>
      <c r="L273" s="56"/>
    </row>
    <row r="274">
      <c r="D274" s="87"/>
      <c r="F274" s="50"/>
      <c r="H274" s="94"/>
      <c r="I274" s="94"/>
      <c r="J274" s="63"/>
      <c r="K274" s="95"/>
      <c r="L274" s="56"/>
    </row>
    <row r="275">
      <c r="D275" s="87"/>
      <c r="F275" s="50"/>
      <c r="H275" s="94"/>
      <c r="I275" s="94"/>
      <c r="J275" s="63"/>
      <c r="K275" s="95"/>
      <c r="L275" s="56"/>
    </row>
    <row r="276">
      <c r="D276" s="87"/>
      <c r="F276" s="50"/>
      <c r="H276" s="94"/>
      <c r="I276" s="94"/>
      <c r="J276" s="63"/>
      <c r="K276" s="95"/>
      <c r="L276" s="56"/>
    </row>
    <row r="277">
      <c r="D277" s="87"/>
      <c r="F277" s="50"/>
      <c r="H277" s="94"/>
      <c r="I277" s="94"/>
      <c r="J277" s="63"/>
      <c r="K277" s="95"/>
      <c r="L277" s="56"/>
    </row>
    <row r="278">
      <c r="D278" s="87"/>
      <c r="F278" s="50"/>
      <c r="H278" s="94"/>
      <c r="I278" s="94"/>
      <c r="J278" s="63"/>
      <c r="K278" s="95"/>
      <c r="L278" s="56"/>
    </row>
    <row r="279">
      <c r="D279" s="87"/>
      <c r="F279" s="50"/>
      <c r="H279" s="94"/>
      <c r="I279" s="94"/>
      <c r="J279" s="63"/>
      <c r="K279" s="95"/>
      <c r="L279" s="56"/>
    </row>
    <row r="280">
      <c r="D280" s="87"/>
      <c r="F280" s="50"/>
      <c r="H280" s="94"/>
      <c r="I280" s="94"/>
      <c r="J280" s="63"/>
      <c r="K280" s="95"/>
      <c r="L280" s="56"/>
    </row>
    <row r="281">
      <c r="D281" s="87"/>
      <c r="F281" s="50"/>
      <c r="H281" s="94"/>
      <c r="I281" s="94"/>
      <c r="J281" s="63"/>
      <c r="K281" s="95"/>
      <c r="L281" s="56"/>
    </row>
    <row r="282">
      <c r="D282" s="87"/>
      <c r="F282" s="50"/>
      <c r="H282" s="94"/>
      <c r="I282" s="94"/>
      <c r="J282" s="63"/>
      <c r="K282" s="95"/>
      <c r="L282" s="56"/>
    </row>
    <row r="283">
      <c r="D283" s="87"/>
      <c r="F283" s="50"/>
      <c r="H283" s="94"/>
      <c r="I283" s="94"/>
      <c r="J283" s="63"/>
      <c r="K283" s="95"/>
      <c r="L283" s="56"/>
    </row>
    <row r="284">
      <c r="D284" s="87"/>
      <c r="F284" s="50"/>
      <c r="H284" s="94"/>
      <c r="I284" s="94"/>
      <c r="J284" s="63"/>
      <c r="K284" s="95"/>
      <c r="L284" s="56"/>
    </row>
    <row r="285">
      <c r="D285" s="87"/>
      <c r="F285" s="50"/>
      <c r="H285" s="94"/>
      <c r="I285" s="94"/>
      <c r="J285" s="63"/>
      <c r="K285" s="95"/>
      <c r="L285" s="56"/>
    </row>
    <row r="286">
      <c r="D286" s="87"/>
      <c r="F286" s="50"/>
      <c r="H286" s="94"/>
      <c r="I286" s="94"/>
      <c r="J286" s="63"/>
      <c r="K286" s="95"/>
      <c r="L286" s="56"/>
    </row>
    <row r="287">
      <c r="D287" s="87"/>
      <c r="F287" s="50"/>
      <c r="H287" s="94"/>
      <c r="I287" s="94"/>
      <c r="J287" s="63"/>
      <c r="K287" s="95"/>
      <c r="L287" s="56"/>
    </row>
    <row r="288">
      <c r="D288" s="87"/>
      <c r="F288" s="50"/>
      <c r="H288" s="94"/>
      <c r="I288" s="94"/>
      <c r="J288" s="63"/>
      <c r="K288" s="95"/>
      <c r="L288" s="56"/>
    </row>
    <row r="289">
      <c r="D289" s="87"/>
      <c r="F289" s="50"/>
      <c r="H289" s="94"/>
      <c r="I289" s="94"/>
      <c r="J289" s="63"/>
      <c r="K289" s="95"/>
      <c r="L289" s="56"/>
    </row>
    <row r="290">
      <c r="D290" s="87"/>
      <c r="F290" s="50"/>
      <c r="H290" s="94"/>
      <c r="I290" s="94"/>
      <c r="J290" s="63"/>
      <c r="K290" s="95"/>
      <c r="L290" s="56"/>
    </row>
    <row r="291">
      <c r="D291" s="87"/>
      <c r="F291" s="50"/>
      <c r="H291" s="94"/>
      <c r="I291" s="94"/>
      <c r="J291" s="63"/>
      <c r="K291" s="95"/>
      <c r="L291" s="56"/>
    </row>
    <row r="292">
      <c r="D292" s="87"/>
      <c r="F292" s="50"/>
      <c r="H292" s="94"/>
      <c r="I292" s="94"/>
      <c r="J292" s="63"/>
      <c r="K292" s="95"/>
      <c r="L292" s="56"/>
    </row>
    <row r="293">
      <c r="D293" s="87"/>
      <c r="F293" s="50"/>
      <c r="H293" s="94"/>
      <c r="I293" s="94"/>
      <c r="J293" s="63"/>
      <c r="K293" s="95"/>
      <c r="L293" s="56"/>
    </row>
    <row r="294">
      <c r="D294" s="87"/>
      <c r="F294" s="50"/>
      <c r="H294" s="94"/>
      <c r="I294" s="94"/>
      <c r="J294" s="63"/>
      <c r="K294" s="95"/>
      <c r="L294" s="56"/>
    </row>
    <row r="295">
      <c r="D295" s="87"/>
      <c r="F295" s="50"/>
      <c r="H295" s="94"/>
      <c r="I295" s="94"/>
      <c r="J295" s="63"/>
      <c r="K295" s="95"/>
      <c r="L295" s="56"/>
    </row>
    <row r="296">
      <c r="D296" s="87"/>
      <c r="F296" s="50"/>
      <c r="H296" s="94"/>
      <c r="I296" s="94"/>
      <c r="J296" s="63"/>
      <c r="K296" s="95"/>
      <c r="L296" s="56"/>
    </row>
    <row r="297">
      <c r="D297" s="87"/>
      <c r="F297" s="50"/>
      <c r="H297" s="94"/>
      <c r="I297" s="94"/>
      <c r="J297" s="63"/>
      <c r="K297" s="95"/>
      <c r="L297" s="56"/>
    </row>
    <row r="298">
      <c r="D298" s="87"/>
      <c r="F298" s="50"/>
      <c r="H298" s="94"/>
      <c r="I298" s="94"/>
      <c r="J298" s="63"/>
      <c r="K298" s="95"/>
      <c r="L298" s="56"/>
    </row>
    <row r="299">
      <c r="D299" s="87"/>
      <c r="F299" s="50"/>
      <c r="H299" s="94"/>
      <c r="I299" s="94"/>
      <c r="J299" s="63"/>
      <c r="K299" s="95"/>
      <c r="L299" s="56"/>
    </row>
    <row r="300">
      <c r="D300" s="87"/>
      <c r="F300" s="50"/>
      <c r="H300" s="94"/>
      <c r="I300" s="94"/>
      <c r="J300" s="63"/>
      <c r="K300" s="95"/>
      <c r="L300" s="56"/>
    </row>
    <row r="301">
      <c r="D301" s="87"/>
      <c r="F301" s="50"/>
      <c r="H301" s="94"/>
      <c r="I301" s="94"/>
      <c r="J301" s="63"/>
      <c r="K301" s="95"/>
      <c r="L301" s="56"/>
    </row>
    <row r="302">
      <c r="D302" s="87"/>
      <c r="F302" s="50"/>
      <c r="H302" s="94"/>
      <c r="I302" s="94"/>
      <c r="J302" s="63"/>
      <c r="K302" s="95"/>
      <c r="L302" s="56"/>
    </row>
    <row r="303">
      <c r="D303" s="87"/>
      <c r="F303" s="50"/>
      <c r="H303" s="94"/>
      <c r="I303" s="94"/>
      <c r="J303" s="63"/>
      <c r="K303" s="95"/>
      <c r="L303" s="56"/>
    </row>
    <row r="304">
      <c r="D304" s="87"/>
      <c r="F304" s="50"/>
      <c r="H304" s="94"/>
      <c r="I304" s="94"/>
      <c r="J304" s="63"/>
      <c r="K304" s="95"/>
      <c r="L304" s="56"/>
    </row>
    <row r="305">
      <c r="D305" s="87"/>
      <c r="F305" s="50"/>
      <c r="H305" s="94"/>
      <c r="I305" s="94"/>
      <c r="J305" s="63"/>
      <c r="K305" s="95"/>
      <c r="L305" s="56"/>
    </row>
    <row r="306">
      <c r="D306" s="87"/>
      <c r="F306" s="50"/>
      <c r="H306" s="94"/>
      <c r="I306" s="94"/>
      <c r="J306" s="63"/>
      <c r="K306" s="95"/>
      <c r="L306" s="56"/>
    </row>
    <row r="307">
      <c r="D307" s="87"/>
      <c r="F307" s="50"/>
      <c r="H307" s="94"/>
      <c r="I307" s="94"/>
      <c r="J307" s="63"/>
      <c r="K307" s="95"/>
      <c r="L307" s="56"/>
    </row>
    <row r="308">
      <c r="D308" s="87"/>
      <c r="F308" s="50"/>
      <c r="H308" s="94"/>
      <c r="I308" s="94"/>
      <c r="J308" s="63"/>
      <c r="K308" s="95"/>
      <c r="L308" s="56"/>
    </row>
    <row r="309">
      <c r="D309" s="87"/>
      <c r="F309" s="50"/>
      <c r="H309" s="94"/>
      <c r="I309" s="94"/>
      <c r="J309" s="63"/>
      <c r="K309" s="95"/>
      <c r="L309" s="56"/>
    </row>
    <row r="310">
      <c r="D310" s="87"/>
      <c r="F310" s="50"/>
      <c r="H310" s="94"/>
      <c r="I310" s="94"/>
      <c r="J310" s="63"/>
      <c r="K310" s="95"/>
      <c r="L310" s="56"/>
    </row>
    <row r="311">
      <c r="D311" s="87"/>
      <c r="F311" s="50"/>
      <c r="H311" s="94"/>
      <c r="I311" s="94"/>
      <c r="J311" s="63"/>
      <c r="K311" s="95"/>
      <c r="L311" s="56"/>
    </row>
    <row r="312">
      <c r="D312" s="87"/>
      <c r="F312" s="50"/>
      <c r="H312" s="94"/>
      <c r="I312" s="94"/>
      <c r="J312" s="63"/>
      <c r="K312" s="95"/>
      <c r="L312" s="56"/>
    </row>
    <row r="313">
      <c r="D313" s="87"/>
      <c r="F313" s="50"/>
      <c r="H313" s="94"/>
      <c r="I313" s="94"/>
      <c r="J313" s="63"/>
      <c r="K313" s="95"/>
      <c r="L313" s="56"/>
    </row>
    <row r="314">
      <c r="D314" s="87"/>
      <c r="F314" s="50"/>
      <c r="H314" s="94"/>
      <c r="I314" s="94"/>
      <c r="J314" s="63"/>
      <c r="K314" s="95"/>
      <c r="L314" s="56"/>
    </row>
    <row r="315">
      <c r="D315" s="87"/>
      <c r="F315" s="50"/>
      <c r="H315" s="94"/>
      <c r="I315" s="94"/>
      <c r="J315" s="63"/>
      <c r="K315" s="95"/>
      <c r="L315" s="56"/>
    </row>
    <row r="316">
      <c r="D316" s="87"/>
      <c r="F316" s="50"/>
      <c r="H316" s="94"/>
      <c r="I316" s="94"/>
      <c r="J316" s="63"/>
      <c r="K316" s="95"/>
      <c r="L316" s="56"/>
    </row>
    <row r="317">
      <c r="D317" s="87"/>
      <c r="F317" s="50"/>
      <c r="H317" s="94"/>
      <c r="I317" s="94"/>
      <c r="J317" s="63"/>
      <c r="K317" s="95"/>
      <c r="L317" s="56"/>
    </row>
    <row r="318">
      <c r="D318" s="87"/>
      <c r="F318" s="50"/>
      <c r="H318" s="94"/>
      <c r="I318" s="94"/>
      <c r="J318" s="63"/>
      <c r="K318" s="95"/>
      <c r="L318" s="56"/>
    </row>
    <row r="319">
      <c r="D319" s="87"/>
      <c r="F319" s="50"/>
      <c r="H319" s="94"/>
      <c r="I319" s="94"/>
      <c r="J319" s="63"/>
      <c r="K319" s="95"/>
      <c r="L319" s="56"/>
    </row>
    <row r="320">
      <c r="D320" s="87"/>
      <c r="F320" s="50"/>
      <c r="H320" s="94"/>
      <c r="I320" s="94"/>
      <c r="J320" s="63"/>
      <c r="K320" s="95"/>
      <c r="L320" s="56"/>
    </row>
    <row r="321">
      <c r="D321" s="87"/>
      <c r="F321" s="50"/>
      <c r="H321" s="94"/>
      <c r="I321" s="94"/>
      <c r="J321" s="63"/>
      <c r="K321" s="95"/>
      <c r="L321" s="56"/>
    </row>
    <row r="322">
      <c r="D322" s="87"/>
      <c r="F322" s="50"/>
      <c r="H322" s="94"/>
      <c r="I322" s="94"/>
      <c r="J322" s="63"/>
      <c r="K322" s="95"/>
      <c r="L322" s="56"/>
    </row>
    <row r="323">
      <c r="D323" s="87"/>
      <c r="F323" s="50"/>
      <c r="H323" s="94"/>
      <c r="I323" s="94"/>
      <c r="J323" s="63"/>
      <c r="K323" s="95"/>
      <c r="L323" s="56"/>
    </row>
    <row r="324">
      <c r="D324" s="87"/>
      <c r="F324" s="50"/>
      <c r="H324" s="94"/>
      <c r="I324" s="94"/>
      <c r="J324" s="63"/>
      <c r="K324" s="95"/>
      <c r="L324" s="56"/>
    </row>
    <row r="325">
      <c r="D325" s="87"/>
      <c r="F325" s="50"/>
      <c r="H325" s="94"/>
      <c r="I325" s="94"/>
      <c r="J325" s="63"/>
      <c r="K325" s="95"/>
      <c r="L325" s="56"/>
    </row>
    <row r="326">
      <c r="D326" s="87"/>
      <c r="F326" s="50"/>
      <c r="H326" s="94"/>
      <c r="I326" s="94"/>
      <c r="J326" s="63"/>
      <c r="K326" s="95"/>
      <c r="L326" s="56"/>
    </row>
    <row r="327">
      <c r="D327" s="87"/>
      <c r="F327" s="50"/>
      <c r="H327" s="94"/>
      <c r="I327" s="94"/>
      <c r="J327" s="63"/>
      <c r="K327" s="95"/>
      <c r="L327" s="56"/>
    </row>
    <row r="328">
      <c r="D328" s="87"/>
      <c r="F328" s="50"/>
      <c r="H328" s="94"/>
      <c r="I328" s="94"/>
      <c r="J328" s="63"/>
      <c r="K328" s="95"/>
      <c r="L328" s="56"/>
    </row>
    <row r="329">
      <c r="D329" s="87"/>
      <c r="F329" s="50"/>
      <c r="H329" s="94"/>
      <c r="I329" s="94"/>
      <c r="J329" s="63"/>
      <c r="K329" s="95"/>
      <c r="L329" s="56"/>
    </row>
    <row r="330">
      <c r="D330" s="87"/>
      <c r="F330" s="50"/>
      <c r="H330" s="94"/>
      <c r="I330" s="94"/>
      <c r="J330" s="63"/>
      <c r="K330" s="95"/>
      <c r="L330" s="56"/>
    </row>
    <row r="331">
      <c r="D331" s="87"/>
      <c r="F331" s="50"/>
      <c r="H331" s="94"/>
      <c r="I331" s="94"/>
      <c r="J331" s="63"/>
      <c r="K331" s="95"/>
      <c r="L331" s="56"/>
    </row>
    <row r="332">
      <c r="D332" s="87"/>
      <c r="F332" s="50"/>
      <c r="H332" s="94"/>
      <c r="I332" s="94"/>
      <c r="J332" s="63"/>
      <c r="K332" s="95"/>
      <c r="L332" s="56"/>
    </row>
    <row r="333">
      <c r="D333" s="87"/>
      <c r="F333" s="50"/>
      <c r="H333" s="94"/>
      <c r="I333" s="94"/>
      <c r="J333" s="63"/>
      <c r="K333" s="95"/>
      <c r="L333" s="56"/>
    </row>
    <row r="334">
      <c r="D334" s="87"/>
      <c r="F334" s="50"/>
      <c r="H334" s="94"/>
      <c r="I334" s="94"/>
      <c r="J334" s="63"/>
      <c r="K334" s="95"/>
      <c r="L334" s="56"/>
    </row>
    <row r="335">
      <c r="D335" s="87"/>
      <c r="F335" s="50"/>
      <c r="H335" s="94"/>
      <c r="I335" s="94"/>
      <c r="J335" s="63"/>
      <c r="K335" s="95"/>
      <c r="L335" s="56"/>
    </row>
    <row r="336">
      <c r="D336" s="87"/>
      <c r="F336" s="50"/>
      <c r="H336" s="94"/>
      <c r="I336" s="94"/>
      <c r="J336" s="63"/>
      <c r="K336" s="95"/>
      <c r="L336" s="56"/>
    </row>
    <row r="337">
      <c r="D337" s="87"/>
      <c r="F337" s="50"/>
      <c r="H337" s="94"/>
      <c r="I337" s="94"/>
      <c r="J337" s="63"/>
      <c r="K337" s="95"/>
      <c r="L337" s="56"/>
    </row>
    <row r="338">
      <c r="D338" s="87"/>
      <c r="F338" s="50"/>
      <c r="H338" s="94"/>
      <c r="I338" s="94"/>
      <c r="J338" s="63"/>
      <c r="K338" s="95"/>
      <c r="L338" s="56"/>
    </row>
    <row r="339">
      <c r="D339" s="87"/>
      <c r="F339" s="50"/>
      <c r="H339" s="94"/>
      <c r="I339" s="94"/>
      <c r="J339" s="63"/>
      <c r="K339" s="95"/>
      <c r="L339" s="56"/>
    </row>
    <row r="340">
      <c r="D340" s="87"/>
      <c r="F340" s="50"/>
      <c r="H340" s="94"/>
      <c r="I340" s="94"/>
      <c r="J340" s="63"/>
      <c r="K340" s="95"/>
      <c r="L340" s="56"/>
    </row>
    <row r="341">
      <c r="D341" s="87"/>
      <c r="F341" s="50"/>
      <c r="H341" s="94"/>
      <c r="I341" s="94"/>
      <c r="J341" s="63"/>
      <c r="K341" s="95"/>
      <c r="L341" s="56"/>
    </row>
    <row r="342">
      <c r="D342" s="87"/>
      <c r="F342" s="50"/>
      <c r="H342" s="94"/>
      <c r="I342" s="94"/>
      <c r="J342" s="63"/>
      <c r="K342" s="95"/>
      <c r="L342" s="56"/>
    </row>
    <row r="343">
      <c r="D343" s="87"/>
      <c r="F343" s="50"/>
      <c r="H343" s="94"/>
      <c r="I343" s="94"/>
      <c r="J343" s="63"/>
      <c r="K343" s="95"/>
      <c r="L343" s="56"/>
    </row>
    <row r="344">
      <c r="D344" s="87"/>
      <c r="F344" s="50"/>
      <c r="H344" s="94"/>
      <c r="I344" s="94"/>
      <c r="J344" s="63"/>
      <c r="K344" s="95"/>
      <c r="L344" s="56"/>
    </row>
    <row r="345">
      <c r="D345" s="87"/>
      <c r="F345" s="50"/>
      <c r="H345" s="94"/>
      <c r="I345" s="94"/>
      <c r="J345" s="63"/>
      <c r="K345" s="95"/>
      <c r="L345" s="56"/>
    </row>
    <row r="346">
      <c r="D346" s="87"/>
      <c r="F346" s="50"/>
      <c r="H346" s="94"/>
      <c r="I346" s="94"/>
      <c r="J346" s="63"/>
      <c r="K346" s="95"/>
      <c r="L346" s="56"/>
    </row>
    <row r="347">
      <c r="D347" s="87"/>
      <c r="F347" s="50"/>
      <c r="H347" s="94"/>
      <c r="I347" s="94"/>
      <c r="J347" s="63"/>
      <c r="K347" s="95"/>
      <c r="L347" s="56"/>
    </row>
    <row r="348">
      <c r="D348" s="87"/>
      <c r="F348" s="50"/>
      <c r="H348" s="94"/>
      <c r="I348" s="94"/>
      <c r="J348" s="63"/>
      <c r="K348" s="95"/>
      <c r="L348" s="56"/>
    </row>
    <row r="349">
      <c r="D349" s="87"/>
      <c r="F349" s="50"/>
      <c r="H349" s="94"/>
      <c r="I349" s="94"/>
      <c r="J349" s="63"/>
      <c r="K349" s="95"/>
      <c r="L349" s="56"/>
    </row>
    <row r="350">
      <c r="D350" s="87"/>
      <c r="F350" s="50"/>
      <c r="H350" s="94"/>
      <c r="I350" s="94"/>
      <c r="J350" s="63"/>
      <c r="K350" s="95"/>
      <c r="L350" s="56"/>
    </row>
    <row r="351">
      <c r="D351" s="87"/>
      <c r="F351" s="50"/>
      <c r="H351" s="94"/>
      <c r="I351" s="94"/>
      <c r="J351" s="63"/>
      <c r="K351" s="95"/>
      <c r="L351" s="56"/>
    </row>
    <row r="352">
      <c r="D352" s="87"/>
      <c r="F352" s="50"/>
      <c r="H352" s="94"/>
      <c r="I352" s="94"/>
      <c r="J352" s="63"/>
      <c r="K352" s="95"/>
      <c r="L352" s="56"/>
    </row>
    <row r="353">
      <c r="D353" s="87"/>
      <c r="F353" s="50"/>
      <c r="H353" s="94"/>
      <c r="I353" s="94"/>
      <c r="J353" s="63"/>
      <c r="K353" s="95"/>
      <c r="L353" s="56"/>
    </row>
    <row r="354">
      <c r="D354" s="87"/>
      <c r="F354" s="50"/>
      <c r="H354" s="94"/>
      <c r="I354" s="94"/>
      <c r="J354" s="63"/>
      <c r="K354" s="95"/>
      <c r="L354" s="56"/>
    </row>
    <row r="355">
      <c r="D355" s="87"/>
      <c r="F355" s="50"/>
      <c r="H355" s="94"/>
      <c r="I355" s="94"/>
      <c r="J355" s="63"/>
      <c r="K355" s="95"/>
      <c r="L355" s="56"/>
    </row>
    <row r="356">
      <c r="D356" s="87"/>
      <c r="F356" s="50"/>
      <c r="H356" s="94"/>
      <c r="I356" s="94"/>
      <c r="J356" s="63"/>
      <c r="K356" s="95"/>
      <c r="L356" s="56"/>
    </row>
    <row r="357">
      <c r="D357" s="87"/>
      <c r="F357" s="50"/>
      <c r="H357" s="94"/>
      <c r="I357" s="94"/>
      <c r="J357" s="63"/>
      <c r="K357" s="95"/>
      <c r="L357" s="56"/>
    </row>
    <row r="358">
      <c r="D358" s="87"/>
      <c r="F358" s="50"/>
      <c r="H358" s="94"/>
      <c r="I358" s="94"/>
      <c r="J358" s="63"/>
      <c r="K358" s="95"/>
      <c r="L358" s="56"/>
    </row>
    <row r="359">
      <c r="D359" s="87"/>
      <c r="F359" s="50"/>
      <c r="H359" s="94"/>
      <c r="I359" s="94"/>
      <c r="J359" s="63"/>
      <c r="K359" s="95"/>
      <c r="L359" s="56"/>
    </row>
    <row r="360">
      <c r="D360" s="87"/>
      <c r="F360" s="50"/>
      <c r="H360" s="94"/>
      <c r="I360" s="94"/>
      <c r="J360" s="63"/>
      <c r="K360" s="95"/>
      <c r="L360" s="56"/>
    </row>
    <row r="361">
      <c r="D361" s="87"/>
      <c r="F361" s="50"/>
      <c r="H361" s="94"/>
      <c r="I361" s="94"/>
      <c r="J361" s="63"/>
      <c r="K361" s="95"/>
      <c r="L361" s="56"/>
    </row>
    <row r="362">
      <c r="D362" s="87"/>
      <c r="F362" s="50"/>
      <c r="H362" s="94"/>
      <c r="I362" s="94"/>
      <c r="J362" s="63"/>
      <c r="K362" s="95"/>
      <c r="L362" s="56"/>
    </row>
    <row r="363">
      <c r="D363" s="87"/>
      <c r="F363" s="50"/>
      <c r="H363" s="94"/>
      <c r="I363" s="94"/>
      <c r="J363" s="63"/>
      <c r="K363" s="95"/>
      <c r="L363" s="56"/>
    </row>
    <row r="364">
      <c r="D364" s="87"/>
      <c r="F364" s="50"/>
      <c r="H364" s="94"/>
      <c r="I364" s="94"/>
      <c r="J364" s="63"/>
      <c r="K364" s="95"/>
      <c r="L364" s="56"/>
    </row>
    <row r="365">
      <c r="D365" s="87"/>
      <c r="F365" s="50"/>
      <c r="H365" s="94"/>
      <c r="I365" s="94"/>
      <c r="J365" s="63"/>
      <c r="K365" s="95"/>
      <c r="L365" s="56"/>
    </row>
    <row r="366">
      <c r="D366" s="87"/>
      <c r="F366" s="50"/>
      <c r="H366" s="94"/>
      <c r="I366" s="94"/>
      <c r="J366" s="63"/>
      <c r="K366" s="95"/>
      <c r="L366" s="56"/>
    </row>
    <row r="367">
      <c r="D367" s="87"/>
      <c r="F367" s="50"/>
      <c r="H367" s="94"/>
      <c r="I367" s="94"/>
      <c r="J367" s="63"/>
      <c r="K367" s="95"/>
      <c r="L367" s="56"/>
    </row>
    <row r="368">
      <c r="D368" s="87"/>
      <c r="F368" s="50"/>
      <c r="H368" s="94"/>
      <c r="I368" s="94"/>
      <c r="J368" s="63"/>
      <c r="K368" s="95"/>
      <c r="L368" s="56"/>
    </row>
    <row r="369">
      <c r="D369" s="87"/>
      <c r="F369" s="50"/>
      <c r="H369" s="94"/>
      <c r="I369" s="94"/>
      <c r="J369" s="63"/>
      <c r="K369" s="95"/>
      <c r="L369" s="56"/>
    </row>
    <row r="370">
      <c r="D370" s="87"/>
      <c r="F370" s="50"/>
      <c r="H370" s="94"/>
      <c r="I370" s="94"/>
      <c r="J370" s="63"/>
      <c r="K370" s="95"/>
      <c r="L370" s="56"/>
    </row>
    <row r="371">
      <c r="D371" s="87"/>
      <c r="F371" s="50"/>
      <c r="H371" s="94"/>
      <c r="I371" s="94"/>
      <c r="J371" s="63"/>
      <c r="K371" s="95"/>
      <c r="L371" s="56"/>
    </row>
    <row r="372">
      <c r="D372" s="87"/>
      <c r="F372" s="50"/>
      <c r="H372" s="94"/>
      <c r="I372" s="94"/>
      <c r="J372" s="63"/>
      <c r="K372" s="95"/>
      <c r="L372" s="56"/>
    </row>
    <row r="373">
      <c r="D373" s="87"/>
      <c r="F373" s="50"/>
      <c r="H373" s="94"/>
      <c r="I373" s="94"/>
      <c r="J373" s="63"/>
      <c r="K373" s="95"/>
      <c r="L373" s="56"/>
    </row>
    <row r="374">
      <c r="D374" s="87"/>
      <c r="F374" s="50"/>
      <c r="H374" s="94"/>
      <c r="I374" s="94"/>
      <c r="J374" s="63"/>
      <c r="K374" s="95"/>
      <c r="L374" s="56"/>
    </row>
    <row r="375">
      <c r="D375" s="87"/>
      <c r="F375" s="50"/>
      <c r="H375" s="94"/>
      <c r="I375" s="94"/>
      <c r="J375" s="63"/>
      <c r="K375" s="95"/>
      <c r="L375" s="56"/>
    </row>
    <row r="376">
      <c r="D376" s="87"/>
      <c r="F376" s="50"/>
      <c r="H376" s="94"/>
      <c r="I376" s="94"/>
      <c r="J376" s="63"/>
      <c r="K376" s="95"/>
      <c r="L376" s="56"/>
    </row>
    <row r="377">
      <c r="D377" s="87"/>
      <c r="F377" s="50"/>
      <c r="H377" s="94"/>
      <c r="I377" s="94"/>
      <c r="J377" s="63"/>
      <c r="K377" s="95"/>
      <c r="L377" s="56"/>
    </row>
    <row r="378">
      <c r="D378" s="87"/>
      <c r="F378" s="50"/>
      <c r="H378" s="94"/>
      <c r="I378" s="94"/>
      <c r="J378" s="63"/>
      <c r="K378" s="95"/>
      <c r="L378" s="56"/>
    </row>
    <row r="379">
      <c r="D379" s="87"/>
      <c r="F379" s="50"/>
      <c r="H379" s="94"/>
      <c r="I379" s="94"/>
      <c r="J379" s="63"/>
      <c r="K379" s="95"/>
      <c r="L379" s="56"/>
    </row>
    <row r="380">
      <c r="D380" s="87"/>
      <c r="F380" s="50"/>
      <c r="H380" s="94"/>
      <c r="I380" s="94"/>
      <c r="J380" s="63"/>
      <c r="K380" s="95"/>
      <c r="L380" s="56"/>
    </row>
    <row r="381">
      <c r="D381" s="87"/>
      <c r="F381" s="50"/>
      <c r="H381" s="94"/>
      <c r="I381" s="94"/>
      <c r="J381" s="63"/>
      <c r="K381" s="95"/>
      <c r="L381" s="56"/>
    </row>
    <row r="382">
      <c r="D382" s="87"/>
      <c r="F382" s="50"/>
      <c r="H382" s="94"/>
      <c r="I382" s="94"/>
      <c r="J382" s="63"/>
      <c r="K382" s="95"/>
      <c r="L382" s="56"/>
    </row>
    <row r="383">
      <c r="D383" s="87"/>
      <c r="F383" s="50"/>
      <c r="H383" s="94"/>
      <c r="I383" s="94"/>
      <c r="J383" s="63"/>
      <c r="K383" s="95"/>
      <c r="L383" s="56"/>
    </row>
    <row r="384">
      <c r="D384" s="87"/>
      <c r="F384" s="50"/>
      <c r="H384" s="94"/>
      <c r="I384" s="94"/>
      <c r="J384" s="63"/>
      <c r="K384" s="95"/>
      <c r="L384" s="56"/>
    </row>
    <row r="385">
      <c r="D385" s="87"/>
      <c r="F385" s="50"/>
      <c r="H385" s="94"/>
      <c r="I385" s="94"/>
      <c r="J385" s="63"/>
      <c r="K385" s="95"/>
      <c r="L385" s="56"/>
    </row>
    <row r="386">
      <c r="D386" s="87"/>
      <c r="F386" s="50"/>
      <c r="H386" s="94"/>
      <c r="I386" s="94"/>
      <c r="J386" s="63"/>
      <c r="K386" s="95"/>
      <c r="L386" s="56"/>
    </row>
    <row r="387">
      <c r="D387" s="87"/>
      <c r="F387" s="50"/>
      <c r="H387" s="94"/>
      <c r="I387" s="94"/>
      <c r="J387" s="63"/>
      <c r="K387" s="95"/>
      <c r="L387" s="56"/>
    </row>
    <row r="388">
      <c r="D388" s="87"/>
      <c r="F388" s="50"/>
      <c r="H388" s="94"/>
      <c r="I388" s="94"/>
      <c r="J388" s="63"/>
      <c r="K388" s="95"/>
      <c r="L388" s="56"/>
    </row>
    <row r="389">
      <c r="D389" s="87"/>
      <c r="F389" s="50"/>
      <c r="H389" s="94"/>
      <c r="I389" s="94"/>
      <c r="J389" s="63"/>
      <c r="K389" s="95"/>
      <c r="L389" s="56"/>
    </row>
    <row r="390">
      <c r="D390" s="87"/>
      <c r="F390" s="50"/>
      <c r="H390" s="94"/>
      <c r="I390" s="94"/>
      <c r="J390" s="63"/>
      <c r="K390" s="95"/>
      <c r="L390" s="56"/>
    </row>
    <row r="391">
      <c r="D391" s="87"/>
      <c r="F391" s="50"/>
      <c r="H391" s="94"/>
      <c r="I391" s="94"/>
      <c r="J391" s="63"/>
      <c r="K391" s="95"/>
      <c r="L391" s="56"/>
    </row>
    <row r="392">
      <c r="D392" s="87"/>
      <c r="F392" s="50"/>
      <c r="H392" s="94"/>
      <c r="I392" s="94"/>
      <c r="J392" s="63"/>
      <c r="K392" s="95"/>
      <c r="L392" s="56"/>
    </row>
    <row r="393">
      <c r="D393" s="87"/>
      <c r="F393" s="50"/>
      <c r="H393" s="94"/>
      <c r="I393" s="94"/>
      <c r="J393" s="63"/>
      <c r="K393" s="95"/>
      <c r="L393" s="56"/>
    </row>
    <row r="394">
      <c r="D394" s="87"/>
      <c r="F394" s="50"/>
      <c r="H394" s="94"/>
      <c r="I394" s="94"/>
      <c r="J394" s="63"/>
      <c r="K394" s="95"/>
      <c r="L394" s="56"/>
    </row>
    <row r="395">
      <c r="D395" s="87"/>
      <c r="F395" s="50"/>
      <c r="H395" s="94"/>
      <c r="I395" s="94"/>
      <c r="J395" s="63"/>
      <c r="K395" s="95"/>
      <c r="L395" s="56"/>
    </row>
    <row r="396">
      <c r="D396" s="87"/>
      <c r="F396" s="50"/>
      <c r="H396" s="94"/>
      <c r="I396" s="94"/>
      <c r="J396" s="63"/>
      <c r="K396" s="95"/>
      <c r="L396" s="56"/>
    </row>
    <row r="397">
      <c r="D397" s="87"/>
      <c r="F397" s="50"/>
      <c r="H397" s="94"/>
      <c r="I397" s="94"/>
      <c r="J397" s="63"/>
      <c r="K397" s="95"/>
      <c r="L397" s="56"/>
    </row>
    <row r="398">
      <c r="D398" s="87"/>
      <c r="F398" s="50"/>
      <c r="H398" s="94"/>
      <c r="I398" s="94"/>
      <c r="J398" s="63"/>
      <c r="K398" s="95"/>
      <c r="L398" s="56"/>
    </row>
    <row r="399">
      <c r="D399" s="87"/>
      <c r="F399" s="50"/>
      <c r="H399" s="94"/>
      <c r="I399" s="94"/>
      <c r="J399" s="63"/>
      <c r="K399" s="95"/>
      <c r="L399" s="56"/>
    </row>
    <row r="400">
      <c r="D400" s="87"/>
      <c r="F400" s="50"/>
      <c r="H400" s="94"/>
      <c r="I400" s="94"/>
      <c r="J400" s="63"/>
      <c r="K400" s="95"/>
      <c r="L400" s="56"/>
    </row>
    <row r="401">
      <c r="D401" s="87"/>
      <c r="F401" s="50"/>
      <c r="H401" s="94"/>
      <c r="I401" s="94"/>
      <c r="J401" s="63"/>
      <c r="K401" s="95"/>
      <c r="L401" s="56"/>
    </row>
    <row r="402">
      <c r="D402" s="87"/>
      <c r="F402" s="50"/>
      <c r="H402" s="94"/>
      <c r="I402" s="94"/>
      <c r="J402" s="63"/>
      <c r="K402" s="95"/>
      <c r="L402" s="56"/>
    </row>
    <row r="403">
      <c r="D403" s="87"/>
      <c r="F403" s="50"/>
      <c r="H403" s="94"/>
      <c r="I403" s="94"/>
      <c r="J403" s="63"/>
      <c r="K403" s="95"/>
      <c r="L403" s="56"/>
    </row>
    <row r="404">
      <c r="D404" s="87"/>
      <c r="F404" s="50"/>
      <c r="H404" s="94"/>
      <c r="I404" s="94"/>
      <c r="J404" s="63"/>
      <c r="K404" s="95"/>
      <c r="L404" s="56"/>
    </row>
    <row r="405">
      <c r="D405" s="87"/>
      <c r="F405" s="50"/>
      <c r="H405" s="94"/>
      <c r="I405" s="94"/>
      <c r="J405" s="63"/>
      <c r="K405" s="95"/>
      <c r="L405" s="56"/>
    </row>
    <row r="406">
      <c r="D406" s="87"/>
      <c r="F406" s="50"/>
      <c r="H406" s="94"/>
      <c r="I406" s="94"/>
      <c r="J406" s="63"/>
      <c r="K406" s="95"/>
      <c r="L406" s="56"/>
    </row>
    <row r="407">
      <c r="D407" s="87"/>
      <c r="F407" s="50"/>
      <c r="H407" s="94"/>
      <c r="I407" s="94"/>
      <c r="J407" s="63"/>
      <c r="K407" s="95"/>
      <c r="L407" s="56"/>
    </row>
    <row r="408">
      <c r="D408" s="87"/>
      <c r="F408" s="50"/>
      <c r="H408" s="94"/>
      <c r="I408" s="94"/>
      <c r="J408" s="63"/>
      <c r="K408" s="95"/>
      <c r="L408" s="56"/>
    </row>
    <row r="409">
      <c r="D409" s="87"/>
      <c r="F409" s="50"/>
      <c r="H409" s="94"/>
      <c r="I409" s="94"/>
      <c r="J409" s="63"/>
      <c r="K409" s="95"/>
      <c r="L409" s="56"/>
    </row>
    <row r="410">
      <c r="D410" s="87"/>
      <c r="F410" s="50"/>
      <c r="H410" s="94"/>
      <c r="I410" s="94"/>
      <c r="J410" s="63"/>
      <c r="K410" s="95"/>
      <c r="L410" s="56"/>
    </row>
    <row r="411">
      <c r="D411" s="87"/>
      <c r="F411" s="50"/>
      <c r="H411" s="94"/>
      <c r="I411" s="94"/>
      <c r="J411" s="63"/>
      <c r="K411" s="95"/>
      <c r="L411" s="56"/>
    </row>
    <row r="412">
      <c r="D412" s="87"/>
      <c r="F412" s="50"/>
      <c r="H412" s="94"/>
      <c r="I412" s="94"/>
      <c r="J412" s="63"/>
      <c r="K412" s="95"/>
      <c r="L412" s="56"/>
    </row>
    <row r="413">
      <c r="D413" s="87"/>
      <c r="F413" s="50"/>
      <c r="H413" s="94"/>
      <c r="I413" s="94"/>
      <c r="J413" s="63"/>
      <c r="K413" s="95"/>
      <c r="L413" s="56"/>
    </row>
    <row r="414">
      <c r="D414" s="87"/>
      <c r="F414" s="50"/>
      <c r="H414" s="94"/>
      <c r="I414" s="94"/>
      <c r="J414" s="63"/>
      <c r="K414" s="95"/>
      <c r="L414" s="56"/>
    </row>
    <row r="415">
      <c r="D415" s="87"/>
      <c r="F415" s="50"/>
      <c r="H415" s="94"/>
      <c r="I415" s="94"/>
      <c r="J415" s="63"/>
      <c r="K415" s="95"/>
      <c r="L415" s="56"/>
    </row>
    <row r="416">
      <c r="D416" s="87"/>
      <c r="F416" s="50"/>
      <c r="H416" s="94"/>
      <c r="I416" s="94"/>
      <c r="J416" s="63"/>
      <c r="K416" s="95"/>
      <c r="L416" s="56"/>
    </row>
    <row r="417">
      <c r="D417" s="87"/>
      <c r="F417" s="50"/>
      <c r="H417" s="94"/>
      <c r="I417" s="94"/>
      <c r="J417" s="63"/>
      <c r="K417" s="95"/>
      <c r="L417" s="56"/>
    </row>
    <row r="418">
      <c r="D418" s="87"/>
      <c r="F418" s="50"/>
      <c r="H418" s="94"/>
      <c r="I418" s="94"/>
      <c r="J418" s="63"/>
      <c r="K418" s="95"/>
      <c r="L418" s="56"/>
    </row>
    <row r="419">
      <c r="D419" s="87"/>
      <c r="F419" s="50"/>
      <c r="H419" s="94"/>
      <c r="I419" s="94"/>
      <c r="J419" s="63"/>
      <c r="K419" s="95"/>
      <c r="L419" s="56"/>
    </row>
    <row r="420">
      <c r="D420" s="87"/>
      <c r="F420" s="50"/>
      <c r="H420" s="94"/>
      <c r="I420" s="94"/>
      <c r="J420" s="63"/>
      <c r="K420" s="95"/>
      <c r="L420" s="56"/>
    </row>
    <row r="421">
      <c r="D421" s="87"/>
      <c r="F421" s="50"/>
      <c r="H421" s="94"/>
      <c r="I421" s="94"/>
      <c r="J421" s="63"/>
      <c r="K421" s="95"/>
      <c r="L421" s="56"/>
    </row>
    <row r="422">
      <c r="D422" s="87"/>
      <c r="F422" s="50"/>
      <c r="H422" s="94"/>
      <c r="I422" s="94"/>
      <c r="J422" s="63"/>
      <c r="K422" s="95"/>
      <c r="L422" s="56"/>
    </row>
    <row r="423">
      <c r="D423" s="87"/>
      <c r="F423" s="50"/>
      <c r="H423" s="94"/>
      <c r="I423" s="94"/>
      <c r="J423" s="63"/>
      <c r="K423" s="95"/>
      <c r="L423" s="56"/>
    </row>
    <row r="424">
      <c r="D424" s="87"/>
      <c r="F424" s="50"/>
      <c r="H424" s="94"/>
      <c r="I424" s="94"/>
      <c r="J424" s="63"/>
      <c r="K424" s="95"/>
      <c r="L424" s="56"/>
    </row>
    <row r="425">
      <c r="D425" s="87"/>
      <c r="F425" s="50"/>
      <c r="H425" s="94"/>
      <c r="I425" s="94"/>
      <c r="J425" s="63"/>
      <c r="K425" s="95"/>
      <c r="L425" s="56"/>
    </row>
    <row r="426">
      <c r="D426" s="87"/>
      <c r="F426" s="50"/>
      <c r="H426" s="94"/>
      <c r="I426" s="94"/>
      <c r="J426" s="63"/>
      <c r="K426" s="95"/>
      <c r="L426" s="56"/>
    </row>
    <row r="427">
      <c r="D427" s="87"/>
      <c r="F427" s="50"/>
      <c r="H427" s="94"/>
      <c r="I427" s="94"/>
      <c r="J427" s="63"/>
      <c r="K427" s="95"/>
      <c r="L427" s="56"/>
    </row>
    <row r="428">
      <c r="D428" s="87"/>
      <c r="F428" s="50"/>
      <c r="H428" s="94"/>
      <c r="I428" s="94"/>
      <c r="J428" s="63"/>
      <c r="K428" s="95"/>
      <c r="L428" s="56"/>
    </row>
    <row r="429">
      <c r="D429" s="87"/>
      <c r="F429" s="50"/>
      <c r="H429" s="94"/>
      <c r="I429" s="94"/>
      <c r="J429" s="63"/>
      <c r="K429" s="95"/>
      <c r="L429" s="56"/>
    </row>
    <row r="430">
      <c r="D430" s="87"/>
      <c r="F430" s="50"/>
      <c r="H430" s="94"/>
      <c r="I430" s="94"/>
      <c r="J430" s="63"/>
      <c r="K430" s="95"/>
      <c r="L430" s="56"/>
    </row>
    <row r="431">
      <c r="D431" s="87"/>
      <c r="F431" s="50"/>
      <c r="H431" s="94"/>
      <c r="I431" s="94"/>
      <c r="J431" s="63"/>
      <c r="K431" s="95"/>
      <c r="L431" s="56"/>
    </row>
    <row r="432">
      <c r="D432" s="87"/>
      <c r="F432" s="50"/>
      <c r="H432" s="94"/>
      <c r="I432" s="94"/>
      <c r="J432" s="63"/>
      <c r="K432" s="95"/>
      <c r="L432" s="56"/>
    </row>
    <row r="433">
      <c r="D433" s="87"/>
      <c r="F433" s="50"/>
      <c r="H433" s="94"/>
      <c r="I433" s="94"/>
      <c r="J433" s="63"/>
      <c r="K433" s="95"/>
      <c r="L433" s="56"/>
    </row>
    <row r="434">
      <c r="D434" s="87"/>
      <c r="F434" s="50"/>
      <c r="H434" s="94"/>
      <c r="I434" s="94"/>
      <c r="J434" s="63"/>
      <c r="K434" s="95"/>
      <c r="L434" s="56"/>
    </row>
    <row r="435">
      <c r="D435" s="87"/>
      <c r="F435" s="50"/>
      <c r="H435" s="94"/>
      <c r="I435" s="94"/>
      <c r="J435" s="63"/>
      <c r="K435" s="95"/>
      <c r="L435" s="56"/>
    </row>
    <row r="436">
      <c r="D436" s="87"/>
      <c r="F436" s="50"/>
      <c r="H436" s="94"/>
      <c r="I436" s="94"/>
      <c r="J436" s="63"/>
      <c r="K436" s="95"/>
      <c r="L436" s="56"/>
    </row>
    <row r="437">
      <c r="D437" s="87"/>
      <c r="F437" s="50"/>
      <c r="H437" s="94"/>
      <c r="I437" s="94"/>
      <c r="J437" s="63"/>
      <c r="K437" s="95"/>
      <c r="L437" s="56"/>
    </row>
    <row r="438">
      <c r="D438" s="87"/>
      <c r="F438" s="50"/>
      <c r="H438" s="94"/>
      <c r="I438" s="94"/>
      <c r="J438" s="63"/>
      <c r="K438" s="95"/>
      <c r="L438" s="56"/>
    </row>
    <row r="439">
      <c r="D439" s="87"/>
      <c r="F439" s="50"/>
      <c r="H439" s="94"/>
      <c r="I439" s="94"/>
      <c r="J439" s="63"/>
      <c r="K439" s="95"/>
      <c r="L439" s="56"/>
    </row>
    <row r="440">
      <c r="D440" s="87"/>
      <c r="F440" s="50"/>
      <c r="H440" s="94"/>
      <c r="I440" s="94"/>
      <c r="J440" s="63"/>
      <c r="K440" s="95"/>
      <c r="L440" s="56"/>
    </row>
    <row r="441">
      <c r="D441" s="87"/>
      <c r="F441" s="50"/>
      <c r="H441" s="94"/>
      <c r="I441" s="94"/>
      <c r="J441" s="63"/>
      <c r="K441" s="95"/>
      <c r="L441" s="56"/>
    </row>
    <row r="442">
      <c r="D442" s="87"/>
      <c r="F442" s="50"/>
      <c r="H442" s="94"/>
      <c r="I442" s="94"/>
      <c r="J442" s="63"/>
      <c r="K442" s="95"/>
      <c r="L442" s="56"/>
    </row>
    <row r="443">
      <c r="D443" s="87"/>
      <c r="F443" s="50"/>
      <c r="H443" s="94"/>
      <c r="I443" s="94"/>
      <c r="J443" s="63"/>
      <c r="K443" s="95"/>
      <c r="L443" s="56"/>
    </row>
    <row r="444">
      <c r="D444" s="87"/>
      <c r="F444" s="50"/>
      <c r="H444" s="94"/>
      <c r="I444" s="94"/>
      <c r="J444" s="63"/>
      <c r="K444" s="95"/>
      <c r="L444" s="56"/>
    </row>
    <row r="445">
      <c r="D445" s="87"/>
      <c r="F445" s="50"/>
      <c r="H445" s="94"/>
      <c r="I445" s="94"/>
      <c r="J445" s="63"/>
      <c r="K445" s="95"/>
      <c r="L445" s="56"/>
    </row>
    <row r="446">
      <c r="D446" s="87"/>
      <c r="F446" s="50"/>
      <c r="H446" s="94"/>
      <c r="I446" s="94"/>
      <c r="J446" s="63"/>
      <c r="K446" s="95"/>
      <c r="L446" s="56"/>
    </row>
    <row r="447">
      <c r="D447" s="87"/>
      <c r="F447" s="50"/>
      <c r="H447" s="94"/>
      <c r="I447" s="94"/>
      <c r="J447" s="63"/>
      <c r="K447" s="95"/>
      <c r="L447" s="56"/>
    </row>
    <row r="448">
      <c r="D448" s="87"/>
      <c r="F448" s="50"/>
      <c r="H448" s="94"/>
      <c r="I448" s="94"/>
      <c r="J448" s="63"/>
      <c r="K448" s="95"/>
      <c r="L448" s="56"/>
    </row>
    <row r="449">
      <c r="D449" s="87"/>
      <c r="F449" s="50"/>
      <c r="H449" s="94"/>
      <c r="I449" s="94"/>
      <c r="J449" s="63"/>
      <c r="K449" s="95"/>
      <c r="L449" s="56"/>
    </row>
    <row r="450">
      <c r="D450" s="87"/>
      <c r="F450" s="50"/>
      <c r="H450" s="94"/>
      <c r="I450" s="94"/>
      <c r="J450" s="63"/>
      <c r="K450" s="95"/>
      <c r="L450" s="56"/>
    </row>
    <row r="451">
      <c r="D451" s="87"/>
      <c r="F451" s="50"/>
      <c r="H451" s="94"/>
      <c r="I451" s="94"/>
      <c r="J451" s="63"/>
      <c r="K451" s="95"/>
      <c r="L451" s="56"/>
    </row>
    <row r="452">
      <c r="D452" s="87"/>
      <c r="F452" s="50"/>
      <c r="H452" s="94"/>
      <c r="I452" s="94"/>
      <c r="J452" s="63"/>
      <c r="K452" s="95"/>
      <c r="L452" s="56"/>
    </row>
    <row r="453">
      <c r="D453" s="87"/>
      <c r="F453" s="50"/>
      <c r="H453" s="94"/>
      <c r="I453" s="94"/>
      <c r="J453" s="63"/>
      <c r="K453" s="95"/>
      <c r="L453" s="56"/>
    </row>
    <row r="454">
      <c r="D454" s="87"/>
      <c r="F454" s="50"/>
      <c r="H454" s="94"/>
      <c r="I454" s="94"/>
      <c r="J454" s="63"/>
      <c r="K454" s="95"/>
      <c r="L454" s="56"/>
    </row>
    <row r="455">
      <c r="D455" s="87"/>
      <c r="F455" s="50"/>
      <c r="H455" s="94"/>
      <c r="I455" s="94"/>
      <c r="J455" s="63"/>
      <c r="K455" s="95"/>
      <c r="L455" s="56"/>
    </row>
    <row r="456">
      <c r="D456" s="87"/>
      <c r="F456" s="50"/>
      <c r="H456" s="94"/>
      <c r="I456" s="94"/>
      <c r="J456" s="63"/>
      <c r="K456" s="95"/>
      <c r="L456" s="56"/>
    </row>
    <row r="457">
      <c r="D457" s="87"/>
      <c r="F457" s="50"/>
      <c r="H457" s="94"/>
      <c r="I457" s="94"/>
      <c r="J457" s="63"/>
      <c r="K457" s="95"/>
      <c r="L457" s="56"/>
    </row>
    <row r="458">
      <c r="D458" s="87"/>
      <c r="F458" s="50"/>
      <c r="H458" s="94"/>
      <c r="I458" s="94"/>
      <c r="J458" s="63"/>
      <c r="K458" s="95"/>
      <c r="L458" s="56"/>
    </row>
    <row r="459">
      <c r="D459" s="87"/>
      <c r="F459" s="50"/>
      <c r="H459" s="94"/>
      <c r="I459" s="94"/>
      <c r="J459" s="63"/>
      <c r="K459" s="95"/>
      <c r="L459" s="56"/>
    </row>
    <row r="460">
      <c r="D460" s="87"/>
      <c r="F460" s="50"/>
      <c r="H460" s="94"/>
      <c r="I460" s="94"/>
      <c r="J460" s="63"/>
      <c r="K460" s="95"/>
      <c r="L460" s="56"/>
    </row>
    <row r="461">
      <c r="D461" s="87"/>
      <c r="F461" s="50"/>
      <c r="H461" s="94"/>
      <c r="I461" s="94"/>
      <c r="J461" s="63"/>
      <c r="K461" s="95"/>
      <c r="L461" s="56"/>
    </row>
    <row r="462">
      <c r="D462" s="87"/>
      <c r="F462" s="50"/>
      <c r="H462" s="94"/>
      <c r="I462" s="94"/>
      <c r="J462" s="63"/>
      <c r="K462" s="95"/>
      <c r="L462" s="56"/>
    </row>
    <row r="463">
      <c r="D463" s="87"/>
      <c r="F463" s="50"/>
      <c r="H463" s="94"/>
      <c r="I463" s="94"/>
      <c r="J463" s="63"/>
      <c r="K463" s="95"/>
      <c r="L463" s="56"/>
    </row>
    <row r="464">
      <c r="D464" s="87"/>
      <c r="F464" s="50"/>
      <c r="H464" s="94"/>
      <c r="I464" s="94"/>
      <c r="J464" s="63"/>
      <c r="K464" s="95"/>
      <c r="L464" s="56"/>
    </row>
    <row r="465">
      <c r="D465" s="87"/>
      <c r="F465" s="50"/>
      <c r="H465" s="94"/>
      <c r="I465" s="94"/>
      <c r="J465" s="63"/>
      <c r="K465" s="95"/>
      <c r="L465" s="56"/>
    </row>
    <row r="466">
      <c r="D466" s="87"/>
      <c r="F466" s="50"/>
      <c r="H466" s="94"/>
      <c r="I466" s="94"/>
      <c r="J466" s="63"/>
      <c r="K466" s="95"/>
      <c r="L466" s="56"/>
    </row>
    <row r="467">
      <c r="D467" s="87"/>
      <c r="F467" s="50"/>
      <c r="H467" s="94"/>
      <c r="I467" s="94"/>
      <c r="J467" s="63"/>
      <c r="K467" s="95"/>
      <c r="L467" s="56"/>
    </row>
    <row r="468">
      <c r="D468" s="87"/>
      <c r="F468" s="50"/>
      <c r="H468" s="94"/>
      <c r="I468" s="94"/>
      <c r="J468" s="63"/>
      <c r="K468" s="95"/>
      <c r="L468" s="56"/>
    </row>
    <row r="469">
      <c r="D469" s="87"/>
      <c r="F469" s="50"/>
      <c r="H469" s="94"/>
      <c r="I469" s="94"/>
      <c r="J469" s="63"/>
      <c r="K469" s="95"/>
      <c r="L469" s="56"/>
    </row>
    <row r="470">
      <c r="D470" s="87"/>
      <c r="F470" s="50"/>
      <c r="H470" s="94"/>
      <c r="I470" s="94"/>
      <c r="J470" s="63"/>
      <c r="K470" s="95"/>
      <c r="L470" s="56"/>
    </row>
    <row r="471">
      <c r="D471" s="87"/>
      <c r="F471" s="50"/>
      <c r="H471" s="94"/>
      <c r="I471" s="94"/>
      <c r="J471" s="63"/>
      <c r="K471" s="95"/>
      <c r="L471" s="56"/>
    </row>
    <row r="472">
      <c r="D472" s="87"/>
      <c r="F472" s="50"/>
      <c r="H472" s="94"/>
      <c r="I472" s="94"/>
      <c r="J472" s="63"/>
      <c r="K472" s="95"/>
      <c r="L472" s="56"/>
    </row>
    <row r="473">
      <c r="D473" s="87"/>
      <c r="F473" s="50"/>
      <c r="H473" s="94"/>
      <c r="I473" s="94"/>
      <c r="J473" s="63"/>
      <c r="K473" s="95"/>
      <c r="L473" s="56"/>
    </row>
    <row r="474">
      <c r="D474" s="87"/>
      <c r="F474" s="50"/>
      <c r="H474" s="94"/>
      <c r="I474" s="94"/>
      <c r="J474" s="63"/>
      <c r="K474" s="95"/>
      <c r="L474" s="56"/>
    </row>
    <row r="475">
      <c r="D475" s="87"/>
      <c r="F475" s="50"/>
      <c r="H475" s="94"/>
      <c r="I475" s="94"/>
      <c r="J475" s="63"/>
      <c r="K475" s="95"/>
      <c r="L475" s="56"/>
    </row>
    <row r="476">
      <c r="D476" s="87"/>
      <c r="F476" s="50"/>
      <c r="H476" s="94"/>
      <c r="I476" s="94"/>
      <c r="J476" s="63"/>
      <c r="K476" s="95"/>
      <c r="L476" s="56"/>
    </row>
    <row r="477">
      <c r="D477" s="87"/>
      <c r="F477" s="50"/>
      <c r="H477" s="94"/>
      <c r="I477" s="94"/>
      <c r="J477" s="63"/>
      <c r="K477" s="95"/>
      <c r="L477" s="56"/>
    </row>
    <row r="478">
      <c r="D478" s="87"/>
      <c r="F478" s="50"/>
      <c r="H478" s="94"/>
      <c r="I478" s="94"/>
      <c r="J478" s="63"/>
      <c r="K478" s="95"/>
      <c r="L478" s="56"/>
    </row>
    <row r="479">
      <c r="D479" s="87"/>
      <c r="F479" s="50"/>
      <c r="H479" s="94"/>
      <c r="I479" s="94"/>
      <c r="J479" s="63"/>
      <c r="K479" s="95"/>
      <c r="L479" s="56"/>
    </row>
    <row r="480">
      <c r="D480" s="87"/>
      <c r="F480" s="50"/>
      <c r="H480" s="94"/>
      <c r="I480" s="94"/>
      <c r="J480" s="63"/>
      <c r="K480" s="95"/>
      <c r="L480" s="56"/>
    </row>
    <row r="481">
      <c r="D481" s="87"/>
      <c r="F481" s="50"/>
      <c r="H481" s="94"/>
      <c r="I481" s="94"/>
      <c r="J481" s="63"/>
      <c r="K481" s="95"/>
      <c r="L481" s="56"/>
    </row>
    <row r="482">
      <c r="D482" s="87"/>
      <c r="F482" s="50"/>
      <c r="H482" s="94"/>
      <c r="I482" s="94"/>
      <c r="J482" s="63"/>
      <c r="K482" s="95"/>
      <c r="L482" s="56"/>
    </row>
    <row r="483">
      <c r="D483" s="87"/>
      <c r="F483" s="50"/>
      <c r="H483" s="94"/>
      <c r="I483" s="94"/>
      <c r="J483" s="63"/>
      <c r="K483" s="95"/>
      <c r="L483" s="56"/>
    </row>
    <row r="484">
      <c r="D484" s="87"/>
      <c r="F484" s="50"/>
      <c r="H484" s="94"/>
      <c r="I484" s="94"/>
      <c r="J484" s="63"/>
      <c r="K484" s="95"/>
      <c r="L484" s="56"/>
    </row>
    <row r="485">
      <c r="D485" s="87"/>
      <c r="F485" s="50"/>
      <c r="H485" s="94"/>
      <c r="I485" s="94"/>
      <c r="J485" s="63"/>
      <c r="K485" s="95"/>
      <c r="L485" s="56"/>
    </row>
    <row r="486">
      <c r="D486" s="87"/>
      <c r="F486" s="50"/>
      <c r="H486" s="94"/>
      <c r="I486" s="94"/>
      <c r="J486" s="63"/>
      <c r="K486" s="95"/>
      <c r="L486" s="56"/>
    </row>
    <row r="487">
      <c r="D487" s="87"/>
      <c r="F487" s="50"/>
      <c r="H487" s="94"/>
      <c r="I487" s="94"/>
      <c r="J487" s="63"/>
      <c r="K487" s="95"/>
      <c r="L487" s="56"/>
    </row>
    <row r="488">
      <c r="D488" s="87"/>
      <c r="F488" s="50"/>
      <c r="H488" s="94"/>
      <c r="I488" s="94"/>
      <c r="J488" s="63"/>
      <c r="K488" s="95"/>
      <c r="L488" s="56"/>
    </row>
    <row r="489">
      <c r="D489" s="87"/>
      <c r="F489" s="50"/>
      <c r="H489" s="94"/>
      <c r="I489" s="94"/>
      <c r="J489" s="63"/>
      <c r="K489" s="95"/>
      <c r="L489" s="56"/>
    </row>
    <row r="490">
      <c r="D490" s="87"/>
      <c r="F490" s="50"/>
      <c r="H490" s="94"/>
      <c r="I490" s="94"/>
      <c r="J490" s="63"/>
      <c r="K490" s="95"/>
      <c r="L490" s="56"/>
    </row>
    <row r="491">
      <c r="D491" s="87"/>
      <c r="F491" s="50"/>
      <c r="H491" s="94"/>
      <c r="I491" s="94"/>
      <c r="J491" s="63"/>
      <c r="K491" s="95"/>
      <c r="L491" s="56"/>
    </row>
    <row r="492">
      <c r="D492" s="87"/>
      <c r="F492" s="50"/>
      <c r="H492" s="94"/>
      <c r="I492" s="94"/>
      <c r="J492" s="63"/>
      <c r="K492" s="95"/>
      <c r="L492" s="56"/>
    </row>
    <row r="493">
      <c r="D493" s="87"/>
      <c r="F493" s="50"/>
      <c r="H493" s="94"/>
      <c r="I493" s="94"/>
      <c r="J493" s="63"/>
      <c r="K493" s="95"/>
      <c r="L493" s="56"/>
    </row>
    <row r="494">
      <c r="D494" s="87"/>
      <c r="F494" s="50"/>
      <c r="H494" s="94"/>
      <c r="I494" s="94"/>
      <c r="J494" s="63"/>
      <c r="K494" s="95"/>
      <c r="L494" s="56"/>
    </row>
    <row r="495">
      <c r="D495" s="87"/>
      <c r="F495" s="50"/>
      <c r="H495" s="94"/>
      <c r="I495" s="94"/>
      <c r="J495" s="63"/>
      <c r="K495" s="95"/>
      <c r="L495" s="56"/>
    </row>
    <row r="496">
      <c r="D496" s="87"/>
      <c r="F496" s="50"/>
      <c r="H496" s="94"/>
      <c r="I496" s="94"/>
      <c r="J496" s="63"/>
      <c r="K496" s="95"/>
      <c r="L496" s="56"/>
    </row>
    <row r="497">
      <c r="D497" s="87"/>
      <c r="F497" s="50"/>
      <c r="H497" s="94"/>
      <c r="I497" s="94"/>
      <c r="J497" s="63"/>
      <c r="K497" s="95"/>
      <c r="L497" s="56"/>
    </row>
    <row r="498">
      <c r="D498" s="87"/>
      <c r="F498" s="50"/>
      <c r="H498" s="94"/>
      <c r="I498" s="94"/>
      <c r="J498" s="63"/>
      <c r="K498" s="95"/>
      <c r="L498" s="56"/>
    </row>
    <row r="499">
      <c r="D499" s="87"/>
      <c r="F499" s="50"/>
      <c r="H499" s="94"/>
      <c r="I499" s="94"/>
      <c r="J499" s="63"/>
      <c r="K499" s="95"/>
      <c r="L499" s="56"/>
    </row>
    <row r="500">
      <c r="D500" s="87"/>
      <c r="F500" s="50"/>
      <c r="H500" s="94"/>
      <c r="I500" s="94"/>
      <c r="J500" s="63"/>
      <c r="K500" s="95"/>
      <c r="L500" s="56"/>
    </row>
    <row r="501">
      <c r="D501" s="87"/>
      <c r="F501" s="50"/>
      <c r="H501" s="94"/>
      <c r="I501" s="94"/>
      <c r="J501" s="63"/>
      <c r="K501" s="95"/>
      <c r="L501" s="56"/>
    </row>
    <row r="502">
      <c r="D502" s="87"/>
      <c r="F502" s="50"/>
      <c r="H502" s="94"/>
      <c r="I502" s="94"/>
      <c r="J502" s="63"/>
      <c r="K502" s="95"/>
      <c r="L502" s="56"/>
    </row>
    <row r="503">
      <c r="D503" s="87"/>
      <c r="F503" s="50"/>
      <c r="H503" s="94"/>
      <c r="I503" s="94"/>
      <c r="J503" s="63"/>
      <c r="K503" s="95"/>
      <c r="L503" s="56"/>
    </row>
    <row r="504">
      <c r="D504" s="87"/>
      <c r="F504" s="50"/>
      <c r="H504" s="94"/>
      <c r="I504" s="94"/>
      <c r="J504" s="63"/>
      <c r="K504" s="95"/>
      <c r="L504" s="56"/>
    </row>
    <row r="505">
      <c r="D505" s="87"/>
      <c r="F505" s="50"/>
      <c r="H505" s="94"/>
      <c r="I505" s="94"/>
      <c r="J505" s="63"/>
      <c r="K505" s="95"/>
      <c r="L505" s="56"/>
    </row>
    <row r="506">
      <c r="D506" s="87"/>
      <c r="F506" s="50"/>
      <c r="H506" s="94"/>
      <c r="I506" s="94"/>
      <c r="J506" s="63"/>
      <c r="K506" s="95"/>
      <c r="L506" s="56"/>
    </row>
    <row r="507">
      <c r="D507" s="87"/>
      <c r="F507" s="50"/>
      <c r="H507" s="94"/>
      <c r="I507" s="94"/>
      <c r="J507" s="63"/>
      <c r="K507" s="95"/>
      <c r="L507" s="56"/>
    </row>
    <row r="508">
      <c r="D508" s="87"/>
      <c r="F508" s="50"/>
      <c r="H508" s="94"/>
      <c r="I508" s="94"/>
      <c r="J508" s="63"/>
      <c r="K508" s="95"/>
      <c r="L508" s="56"/>
    </row>
    <row r="509">
      <c r="D509" s="87"/>
      <c r="F509" s="50"/>
      <c r="H509" s="94"/>
      <c r="I509" s="94"/>
      <c r="J509" s="63"/>
      <c r="K509" s="95"/>
      <c r="L509" s="56"/>
    </row>
    <row r="510">
      <c r="D510" s="87"/>
      <c r="F510" s="50"/>
      <c r="H510" s="94"/>
      <c r="I510" s="94"/>
      <c r="J510" s="63"/>
      <c r="K510" s="95"/>
      <c r="L510" s="56"/>
    </row>
    <row r="511">
      <c r="D511" s="87"/>
      <c r="F511" s="50"/>
      <c r="H511" s="94"/>
      <c r="I511" s="94"/>
      <c r="J511" s="63"/>
      <c r="K511" s="95"/>
      <c r="L511" s="56"/>
    </row>
    <row r="512">
      <c r="D512" s="87"/>
      <c r="F512" s="50"/>
      <c r="H512" s="94"/>
      <c r="I512" s="94"/>
      <c r="J512" s="63"/>
      <c r="K512" s="95"/>
      <c r="L512" s="56"/>
    </row>
    <row r="513">
      <c r="D513" s="87"/>
      <c r="F513" s="50"/>
      <c r="H513" s="94"/>
      <c r="I513" s="94"/>
      <c r="J513" s="63"/>
      <c r="K513" s="95"/>
      <c r="L513" s="56"/>
    </row>
    <row r="514">
      <c r="D514" s="87"/>
      <c r="F514" s="50"/>
      <c r="H514" s="94"/>
      <c r="I514" s="94"/>
      <c r="J514" s="63"/>
      <c r="K514" s="95"/>
      <c r="L514" s="56"/>
    </row>
    <row r="515">
      <c r="D515" s="87"/>
      <c r="F515" s="50"/>
      <c r="H515" s="94"/>
      <c r="I515" s="94"/>
      <c r="J515" s="63"/>
      <c r="K515" s="95"/>
      <c r="L515" s="56"/>
    </row>
    <row r="516">
      <c r="D516" s="87"/>
      <c r="F516" s="50"/>
      <c r="H516" s="94"/>
      <c r="I516" s="94"/>
      <c r="J516" s="63"/>
      <c r="K516" s="95"/>
      <c r="L516" s="56"/>
    </row>
    <row r="517">
      <c r="D517" s="87"/>
      <c r="F517" s="50"/>
      <c r="H517" s="94"/>
      <c r="I517" s="94"/>
      <c r="J517" s="63"/>
      <c r="K517" s="95"/>
      <c r="L517" s="56"/>
    </row>
    <row r="518">
      <c r="D518" s="87"/>
      <c r="F518" s="50"/>
      <c r="H518" s="94"/>
      <c r="I518" s="94"/>
      <c r="J518" s="63"/>
      <c r="K518" s="95"/>
      <c r="L518" s="56"/>
    </row>
    <row r="519">
      <c r="D519" s="87"/>
      <c r="F519" s="50"/>
      <c r="H519" s="94"/>
      <c r="I519" s="94"/>
      <c r="J519" s="63"/>
      <c r="K519" s="95"/>
      <c r="L519" s="56"/>
    </row>
    <row r="520">
      <c r="D520" s="87"/>
      <c r="F520" s="50"/>
      <c r="H520" s="94"/>
      <c r="I520" s="94"/>
      <c r="J520" s="63"/>
      <c r="K520" s="95"/>
      <c r="L520" s="56"/>
    </row>
    <row r="521">
      <c r="D521" s="87"/>
      <c r="F521" s="50"/>
      <c r="H521" s="94"/>
      <c r="I521" s="94"/>
      <c r="J521" s="63"/>
      <c r="K521" s="95"/>
      <c r="L521" s="56"/>
    </row>
    <row r="522">
      <c r="D522" s="87"/>
      <c r="F522" s="50"/>
      <c r="H522" s="94"/>
      <c r="I522" s="94"/>
      <c r="J522" s="63"/>
      <c r="K522" s="95"/>
      <c r="L522" s="56"/>
    </row>
    <row r="523">
      <c r="D523" s="87"/>
      <c r="F523" s="50"/>
      <c r="H523" s="94"/>
      <c r="I523" s="94"/>
      <c r="J523" s="63"/>
      <c r="K523" s="95"/>
      <c r="L523" s="56"/>
    </row>
    <row r="524">
      <c r="D524" s="87"/>
      <c r="F524" s="50"/>
      <c r="H524" s="94"/>
      <c r="I524" s="94"/>
      <c r="J524" s="63"/>
      <c r="K524" s="95"/>
      <c r="L524" s="56"/>
    </row>
    <row r="525">
      <c r="D525" s="87"/>
      <c r="F525" s="50"/>
      <c r="H525" s="94"/>
      <c r="I525" s="94"/>
      <c r="J525" s="63"/>
      <c r="K525" s="95"/>
      <c r="L525" s="56"/>
    </row>
    <row r="526">
      <c r="D526" s="87"/>
      <c r="F526" s="50"/>
      <c r="H526" s="94"/>
      <c r="I526" s="94"/>
      <c r="J526" s="63"/>
      <c r="K526" s="95"/>
      <c r="L526" s="56"/>
    </row>
    <row r="527">
      <c r="D527" s="87"/>
      <c r="F527" s="50"/>
      <c r="H527" s="94"/>
      <c r="I527" s="94"/>
      <c r="J527" s="63"/>
      <c r="K527" s="95"/>
      <c r="L527" s="56"/>
    </row>
    <row r="528">
      <c r="D528" s="87"/>
      <c r="F528" s="50"/>
      <c r="H528" s="94"/>
      <c r="I528" s="94"/>
      <c r="J528" s="63"/>
      <c r="K528" s="95"/>
      <c r="L528" s="56"/>
    </row>
    <row r="529">
      <c r="D529" s="87"/>
      <c r="F529" s="50"/>
      <c r="H529" s="94"/>
      <c r="I529" s="94"/>
      <c r="J529" s="63"/>
      <c r="K529" s="95"/>
      <c r="L529" s="56"/>
    </row>
    <row r="530">
      <c r="D530" s="87"/>
      <c r="F530" s="50"/>
      <c r="H530" s="94"/>
      <c r="I530" s="94"/>
      <c r="J530" s="63"/>
      <c r="K530" s="95"/>
      <c r="L530" s="56"/>
    </row>
    <row r="531">
      <c r="D531" s="87"/>
      <c r="F531" s="50"/>
      <c r="H531" s="94"/>
      <c r="I531" s="94"/>
      <c r="J531" s="63"/>
      <c r="K531" s="95"/>
      <c r="L531" s="56"/>
    </row>
    <row r="532">
      <c r="D532" s="87"/>
      <c r="F532" s="50"/>
      <c r="H532" s="94"/>
      <c r="I532" s="94"/>
      <c r="J532" s="63"/>
      <c r="K532" s="95"/>
      <c r="L532" s="56"/>
    </row>
    <row r="533">
      <c r="D533" s="87"/>
      <c r="F533" s="50"/>
      <c r="H533" s="94"/>
      <c r="I533" s="94"/>
      <c r="J533" s="63"/>
      <c r="K533" s="95"/>
      <c r="L533" s="56"/>
    </row>
    <row r="534">
      <c r="D534" s="87"/>
      <c r="F534" s="50"/>
      <c r="H534" s="94"/>
      <c r="I534" s="94"/>
      <c r="J534" s="63"/>
      <c r="K534" s="95"/>
      <c r="L534" s="56"/>
    </row>
    <row r="535">
      <c r="D535" s="87"/>
      <c r="F535" s="50"/>
      <c r="H535" s="94"/>
      <c r="I535" s="94"/>
      <c r="J535" s="63"/>
      <c r="K535" s="95"/>
      <c r="L535" s="56"/>
    </row>
    <row r="536">
      <c r="D536" s="87"/>
      <c r="F536" s="50"/>
      <c r="H536" s="94"/>
      <c r="I536" s="94"/>
      <c r="J536" s="63"/>
      <c r="K536" s="95"/>
      <c r="L536" s="56"/>
    </row>
    <row r="537">
      <c r="D537" s="87"/>
      <c r="F537" s="50"/>
      <c r="H537" s="94"/>
      <c r="I537" s="94"/>
      <c r="J537" s="63"/>
      <c r="K537" s="95"/>
      <c r="L537" s="56"/>
    </row>
    <row r="538">
      <c r="D538" s="87"/>
      <c r="F538" s="50"/>
      <c r="H538" s="94"/>
      <c r="I538" s="94"/>
      <c r="J538" s="63"/>
      <c r="K538" s="95"/>
      <c r="L538" s="56"/>
    </row>
    <row r="539">
      <c r="D539" s="87"/>
      <c r="F539" s="50"/>
      <c r="H539" s="94"/>
      <c r="I539" s="94"/>
      <c r="J539" s="63"/>
      <c r="K539" s="95"/>
      <c r="L539" s="56"/>
    </row>
    <row r="540">
      <c r="D540" s="87"/>
      <c r="F540" s="50"/>
      <c r="H540" s="94"/>
      <c r="I540" s="94"/>
      <c r="J540" s="63"/>
      <c r="K540" s="95"/>
      <c r="L540" s="56"/>
    </row>
    <row r="541">
      <c r="D541" s="87"/>
      <c r="F541" s="50"/>
      <c r="H541" s="94"/>
      <c r="I541" s="94"/>
      <c r="J541" s="63"/>
      <c r="K541" s="95"/>
      <c r="L541" s="56"/>
    </row>
    <row r="542">
      <c r="D542" s="87"/>
      <c r="F542" s="50"/>
      <c r="H542" s="94"/>
      <c r="I542" s="94"/>
      <c r="J542" s="63"/>
      <c r="K542" s="95"/>
      <c r="L542" s="56"/>
    </row>
    <row r="543">
      <c r="D543" s="87"/>
      <c r="F543" s="50"/>
      <c r="H543" s="94"/>
      <c r="I543" s="94"/>
      <c r="J543" s="63"/>
      <c r="K543" s="95"/>
      <c r="L543" s="56"/>
    </row>
    <row r="544">
      <c r="D544" s="87"/>
      <c r="F544" s="50"/>
      <c r="H544" s="94"/>
      <c r="I544" s="94"/>
      <c r="J544" s="63"/>
      <c r="K544" s="95"/>
      <c r="L544" s="56"/>
    </row>
    <row r="545">
      <c r="D545" s="87"/>
      <c r="F545" s="50"/>
      <c r="H545" s="94"/>
      <c r="I545" s="94"/>
      <c r="J545" s="63"/>
      <c r="K545" s="95"/>
      <c r="L545" s="56"/>
    </row>
    <row r="546">
      <c r="D546" s="87"/>
      <c r="F546" s="50"/>
      <c r="H546" s="94"/>
      <c r="I546" s="94"/>
      <c r="J546" s="63"/>
      <c r="K546" s="95"/>
      <c r="L546" s="56"/>
    </row>
    <row r="547">
      <c r="D547" s="87"/>
      <c r="F547" s="50"/>
      <c r="H547" s="94"/>
      <c r="I547" s="94"/>
      <c r="J547" s="63"/>
      <c r="K547" s="95"/>
      <c r="L547" s="56"/>
    </row>
    <row r="548">
      <c r="D548" s="87"/>
      <c r="F548" s="50"/>
      <c r="H548" s="94"/>
      <c r="I548" s="94"/>
      <c r="J548" s="63"/>
      <c r="K548" s="95"/>
      <c r="L548" s="56"/>
    </row>
    <row r="549">
      <c r="D549" s="87"/>
      <c r="F549" s="50"/>
      <c r="H549" s="94"/>
      <c r="I549" s="94"/>
      <c r="J549" s="63"/>
      <c r="K549" s="95"/>
      <c r="L549" s="56"/>
    </row>
    <row r="550">
      <c r="D550" s="87"/>
      <c r="F550" s="50"/>
      <c r="H550" s="94"/>
      <c r="I550" s="94"/>
      <c r="J550" s="63"/>
      <c r="K550" s="95"/>
      <c r="L550" s="56"/>
    </row>
    <row r="551">
      <c r="D551" s="87"/>
      <c r="F551" s="50"/>
      <c r="H551" s="94"/>
      <c r="I551" s="94"/>
      <c r="J551" s="63"/>
      <c r="K551" s="95"/>
      <c r="L551" s="56"/>
    </row>
    <row r="552">
      <c r="D552" s="87"/>
      <c r="F552" s="50"/>
      <c r="H552" s="94"/>
      <c r="I552" s="94"/>
      <c r="J552" s="63"/>
      <c r="K552" s="95"/>
      <c r="L552" s="56"/>
    </row>
    <row r="553">
      <c r="D553" s="87"/>
      <c r="F553" s="50"/>
      <c r="H553" s="94"/>
      <c r="I553" s="94"/>
      <c r="J553" s="63"/>
      <c r="K553" s="95"/>
      <c r="L553" s="56"/>
    </row>
    <row r="554">
      <c r="D554" s="87"/>
      <c r="F554" s="50"/>
      <c r="H554" s="94"/>
      <c r="I554" s="94"/>
      <c r="J554" s="63"/>
      <c r="K554" s="95"/>
      <c r="L554" s="56"/>
    </row>
    <row r="555">
      <c r="D555" s="87"/>
      <c r="F555" s="50"/>
      <c r="H555" s="94"/>
      <c r="I555" s="94"/>
      <c r="J555" s="63"/>
      <c r="K555" s="95"/>
      <c r="L555" s="56"/>
    </row>
    <row r="556">
      <c r="D556" s="87"/>
      <c r="F556" s="50"/>
      <c r="H556" s="94"/>
      <c r="I556" s="94"/>
      <c r="J556" s="63"/>
      <c r="K556" s="95"/>
      <c r="L556" s="56"/>
    </row>
    <row r="557">
      <c r="D557" s="87"/>
      <c r="F557" s="50"/>
      <c r="H557" s="94"/>
      <c r="I557" s="94"/>
      <c r="J557" s="63"/>
      <c r="K557" s="95"/>
      <c r="L557" s="56"/>
    </row>
    <row r="558">
      <c r="D558" s="87"/>
      <c r="F558" s="50"/>
      <c r="H558" s="94"/>
      <c r="I558" s="94"/>
      <c r="J558" s="63"/>
      <c r="K558" s="95"/>
      <c r="L558" s="56"/>
    </row>
    <row r="559">
      <c r="D559" s="87"/>
      <c r="F559" s="50"/>
      <c r="H559" s="94"/>
      <c r="I559" s="94"/>
      <c r="J559" s="63"/>
      <c r="K559" s="95"/>
      <c r="L559" s="56"/>
    </row>
    <row r="560">
      <c r="D560" s="87"/>
      <c r="F560" s="50"/>
      <c r="H560" s="94"/>
      <c r="I560" s="94"/>
      <c r="J560" s="63"/>
      <c r="K560" s="95"/>
      <c r="L560" s="56"/>
    </row>
    <row r="561">
      <c r="D561" s="87"/>
      <c r="F561" s="50"/>
      <c r="H561" s="94"/>
      <c r="I561" s="94"/>
      <c r="J561" s="63"/>
      <c r="K561" s="95"/>
      <c r="L561" s="56"/>
    </row>
    <row r="562">
      <c r="D562" s="87"/>
      <c r="F562" s="50"/>
      <c r="H562" s="94"/>
      <c r="I562" s="94"/>
      <c r="J562" s="63"/>
      <c r="K562" s="95"/>
      <c r="L562" s="56"/>
    </row>
    <row r="563">
      <c r="D563" s="87"/>
      <c r="F563" s="50"/>
      <c r="H563" s="94"/>
      <c r="I563" s="94"/>
      <c r="J563" s="63"/>
      <c r="K563" s="95"/>
      <c r="L563" s="56"/>
    </row>
    <row r="564">
      <c r="D564" s="87"/>
      <c r="F564" s="50"/>
      <c r="H564" s="94"/>
      <c r="I564" s="94"/>
      <c r="J564" s="63"/>
      <c r="K564" s="95"/>
      <c r="L564" s="56"/>
    </row>
    <row r="565">
      <c r="D565" s="87"/>
      <c r="F565" s="50"/>
      <c r="H565" s="94"/>
      <c r="I565" s="94"/>
      <c r="J565" s="63"/>
      <c r="K565" s="95"/>
      <c r="L565" s="56"/>
    </row>
    <row r="566">
      <c r="D566" s="87"/>
      <c r="F566" s="50"/>
      <c r="H566" s="94"/>
      <c r="I566" s="94"/>
      <c r="J566" s="63"/>
      <c r="K566" s="95"/>
      <c r="L566" s="56"/>
    </row>
    <row r="567">
      <c r="D567" s="87"/>
      <c r="F567" s="50"/>
      <c r="H567" s="94"/>
      <c r="I567" s="94"/>
      <c r="J567" s="63"/>
      <c r="K567" s="95"/>
      <c r="L567" s="56"/>
    </row>
    <row r="568">
      <c r="D568" s="87"/>
      <c r="F568" s="50"/>
      <c r="H568" s="94"/>
      <c r="I568" s="94"/>
      <c r="J568" s="63"/>
      <c r="K568" s="95"/>
      <c r="L568" s="56"/>
    </row>
    <row r="569">
      <c r="D569" s="87"/>
      <c r="F569" s="50"/>
      <c r="H569" s="94"/>
      <c r="I569" s="94"/>
      <c r="J569" s="63"/>
      <c r="K569" s="95"/>
      <c r="L569" s="56"/>
    </row>
    <row r="570">
      <c r="D570" s="87"/>
      <c r="F570" s="50"/>
      <c r="H570" s="94"/>
      <c r="I570" s="94"/>
      <c r="J570" s="63"/>
      <c r="K570" s="95"/>
      <c r="L570" s="56"/>
    </row>
    <row r="571">
      <c r="D571" s="87"/>
      <c r="F571" s="50"/>
      <c r="H571" s="94"/>
      <c r="I571" s="94"/>
      <c r="J571" s="63"/>
      <c r="K571" s="95"/>
      <c r="L571" s="56"/>
    </row>
    <row r="572">
      <c r="D572" s="87"/>
      <c r="F572" s="50"/>
      <c r="H572" s="94"/>
      <c r="I572" s="94"/>
      <c r="J572" s="63"/>
      <c r="K572" s="95"/>
      <c r="L572" s="56"/>
    </row>
    <row r="573">
      <c r="D573" s="87"/>
      <c r="F573" s="50"/>
      <c r="H573" s="94"/>
      <c r="I573" s="94"/>
      <c r="J573" s="63"/>
      <c r="K573" s="95"/>
      <c r="L573" s="56"/>
    </row>
    <row r="574">
      <c r="D574" s="87"/>
      <c r="F574" s="50"/>
      <c r="H574" s="94"/>
      <c r="I574" s="94"/>
      <c r="J574" s="63"/>
      <c r="K574" s="95"/>
      <c r="L574" s="56"/>
    </row>
    <row r="575">
      <c r="D575" s="87"/>
      <c r="F575" s="50"/>
      <c r="H575" s="94"/>
      <c r="I575" s="94"/>
      <c r="J575" s="63"/>
      <c r="K575" s="95"/>
      <c r="L575" s="56"/>
    </row>
    <row r="576">
      <c r="D576" s="87"/>
      <c r="F576" s="50"/>
      <c r="H576" s="94"/>
      <c r="I576" s="94"/>
      <c r="J576" s="63"/>
      <c r="K576" s="95"/>
      <c r="L576" s="56"/>
    </row>
    <row r="577">
      <c r="D577" s="87"/>
      <c r="F577" s="50"/>
      <c r="H577" s="94"/>
      <c r="I577" s="94"/>
      <c r="J577" s="63"/>
      <c r="K577" s="95"/>
      <c r="L577" s="56"/>
    </row>
    <row r="578">
      <c r="D578" s="87"/>
      <c r="F578" s="50"/>
      <c r="H578" s="94"/>
      <c r="I578" s="94"/>
      <c r="J578" s="63"/>
      <c r="K578" s="95"/>
      <c r="L578" s="56"/>
    </row>
    <row r="579">
      <c r="D579" s="87"/>
      <c r="F579" s="50"/>
      <c r="H579" s="94"/>
      <c r="I579" s="94"/>
      <c r="J579" s="63"/>
      <c r="K579" s="95"/>
      <c r="L579" s="56"/>
    </row>
    <row r="580">
      <c r="D580" s="87"/>
      <c r="F580" s="50"/>
      <c r="H580" s="94"/>
      <c r="I580" s="94"/>
      <c r="J580" s="63"/>
      <c r="K580" s="95"/>
      <c r="L580" s="56"/>
    </row>
    <row r="581">
      <c r="D581" s="87"/>
      <c r="F581" s="50"/>
      <c r="H581" s="94"/>
      <c r="I581" s="94"/>
      <c r="J581" s="63"/>
      <c r="K581" s="95"/>
      <c r="L581" s="56"/>
    </row>
    <row r="582">
      <c r="D582" s="87"/>
      <c r="F582" s="50"/>
      <c r="H582" s="94"/>
      <c r="I582" s="94"/>
      <c r="J582" s="63"/>
      <c r="K582" s="95"/>
      <c r="L582" s="56"/>
    </row>
    <row r="583">
      <c r="D583" s="87"/>
      <c r="F583" s="50"/>
      <c r="H583" s="94"/>
      <c r="I583" s="94"/>
      <c r="J583" s="63"/>
      <c r="K583" s="95"/>
      <c r="L583" s="56"/>
    </row>
    <row r="584">
      <c r="D584" s="87"/>
      <c r="F584" s="50"/>
      <c r="H584" s="94"/>
      <c r="I584" s="94"/>
      <c r="J584" s="63"/>
      <c r="K584" s="95"/>
      <c r="L584" s="56"/>
    </row>
    <row r="585">
      <c r="D585" s="87"/>
      <c r="F585" s="50"/>
      <c r="H585" s="94"/>
      <c r="I585" s="94"/>
      <c r="J585" s="63"/>
      <c r="K585" s="95"/>
      <c r="L585" s="56"/>
    </row>
    <row r="586">
      <c r="D586" s="87"/>
      <c r="F586" s="50"/>
      <c r="H586" s="94"/>
      <c r="I586" s="94"/>
      <c r="J586" s="63"/>
      <c r="K586" s="95"/>
      <c r="L586" s="56"/>
    </row>
    <row r="587">
      <c r="D587" s="87"/>
      <c r="F587" s="50"/>
      <c r="H587" s="94"/>
      <c r="I587" s="94"/>
      <c r="J587" s="63"/>
      <c r="K587" s="95"/>
      <c r="L587" s="56"/>
    </row>
    <row r="588">
      <c r="D588" s="87"/>
      <c r="F588" s="50"/>
      <c r="H588" s="94"/>
      <c r="I588" s="94"/>
      <c r="J588" s="63"/>
      <c r="K588" s="95"/>
      <c r="L588" s="56"/>
    </row>
    <row r="589">
      <c r="D589" s="87"/>
      <c r="F589" s="50"/>
      <c r="H589" s="94"/>
      <c r="I589" s="94"/>
      <c r="J589" s="63"/>
      <c r="K589" s="95"/>
      <c r="L589" s="56"/>
    </row>
    <row r="590">
      <c r="D590" s="87"/>
      <c r="F590" s="50"/>
      <c r="H590" s="94"/>
      <c r="I590" s="94"/>
      <c r="J590" s="63"/>
      <c r="K590" s="95"/>
      <c r="L590" s="56"/>
    </row>
    <row r="591">
      <c r="D591" s="87"/>
      <c r="F591" s="50"/>
      <c r="H591" s="94"/>
      <c r="I591" s="94"/>
      <c r="J591" s="63"/>
      <c r="K591" s="95"/>
      <c r="L591" s="56"/>
    </row>
    <row r="592">
      <c r="D592" s="87"/>
      <c r="F592" s="50"/>
      <c r="H592" s="94"/>
      <c r="I592" s="94"/>
      <c r="J592" s="63"/>
      <c r="K592" s="95"/>
      <c r="L592" s="56"/>
    </row>
    <row r="593">
      <c r="D593" s="87"/>
      <c r="F593" s="50"/>
      <c r="H593" s="94"/>
      <c r="I593" s="94"/>
      <c r="J593" s="63"/>
      <c r="K593" s="95"/>
      <c r="L593" s="56"/>
    </row>
    <row r="594">
      <c r="D594" s="87"/>
      <c r="F594" s="50"/>
      <c r="H594" s="94"/>
      <c r="I594" s="94"/>
      <c r="J594" s="63"/>
      <c r="K594" s="95"/>
      <c r="L594" s="56"/>
    </row>
    <row r="595">
      <c r="D595" s="87"/>
      <c r="F595" s="50"/>
      <c r="H595" s="94"/>
      <c r="I595" s="94"/>
      <c r="J595" s="63"/>
      <c r="K595" s="95"/>
      <c r="L595" s="56"/>
    </row>
    <row r="596">
      <c r="D596" s="87"/>
      <c r="F596" s="50"/>
      <c r="H596" s="94"/>
      <c r="I596" s="94"/>
      <c r="J596" s="63"/>
      <c r="K596" s="95"/>
      <c r="L596" s="56"/>
    </row>
    <row r="597">
      <c r="D597" s="87"/>
      <c r="F597" s="50"/>
      <c r="H597" s="94"/>
      <c r="I597" s="94"/>
      <c r="J597" s="63"/>
      <c r="K597" s="95"/>
      <c r="L597" s="56"/>
    </row>
    <row r="598">
      <c r="D598" s="87"/>
      <c r="F598" s="50"/>
      <c r="H598" s="94"/>
      <c r="I598" s="94"/>
      <c r="J598" s="63"/>
      <c r="K598" s="95"/>
      <c r="L598" s="56"/>
    </row>
    <row r="599">
      <c r="D599" s="87"/>
      <c r="F599" s="50"/>
      <c r="H599" s="94"/>
      <c r="I599" s="94"/>
      <c r="J599" s="63"/>
      <c r="K599" s="95"/>
      <c r="L599" s="56"/>
    </row>
    <row r="600">
      <c r="D600" s="87"/>
      <c r="F600" s="50"/>
      <c r="H600" s="94"/>
      <c r="I600" s="94"/>
      <c r="J600" s="63"/>
      <c r="K600" s="95"/>
      <c r="L600" s="56"/>
    </row>
    <row r="601">
      <c r="D601" s="87"/>
      <c r="F601" s="50"/>
      <c r="H601" s="94"/>
      <c r="I601" s="94"/>
      <c r="J601" s="63"/>
      <c r="K601" s="95"/>
      <c r="L601" s="56"/>
    </row>
    <row r="602">
      <c r="D602" s="87"/>
      <c r="F602" s="50"/>
      <c r="H602" s="94"/>
      <c r="I602" s="94"/>
      <c r="J602" s="63"/>
      <c r="K602" s="95"/>
      <c r="L602" s="56"/>
    </row>
    <row r="603">
      <c r="D603" s="87"/>
      <c r="F603" s="50"/>
      <c r="H603" s="94"/>
      <c r="I603" s="94"/>
      <c r="J603" s="63"/>
      <c r="K603" s="95"/>
      <c r="L603" s="56"/>
    </row>
    <row r="604">
      <c r="D604" s="87"/>
      <c r="F604" s="50"/>
      <c r="H604" s="94"/>
      <c r="I604" s="94"/>
      <c r="J604" s="63"/>
      <c r="K604" s="95"/>
      <c r="L604" s="56"/>
    </row>
    <row r="605">
      <c r="D605" s="87"/>
      <c r="F605" s="50"/>
      <c r="H605" s="94"/>
      <c r="I605" s="94"/>
      <c r="J605" s="63"/>
      <c r="K605" s="95"/>
      <c r="L605" s="56"/>
    </row>
    <row r="606">
      <c r="D606" s="87"/>
      <c r="F606" s="50"/>
      <c r="H606" s="94"/>
      <c r="I606" s="94"/>
      <c r="J606" s="63"/>
      <c r="K606" s="95"/>
      <c r="L606" s="56"/>
    </row>
    <row r="607">
      <c r="D607" s="87"/>
      <c r="F607" s="50"/>
      <c r="H607" s="94"/>
      <c r="I607" s="94"/>
      <c r="J607" s="63"/>
      <c r="K607" s="95"/>
      <c r="L607" s="56"/>
    </row>
    <row r="608">
      <c r="D608" s="87"/>
      <c r="F608" s="50"/>
      <c r="H608" s="94"/>
      <c r="I608" s="94"/>
      <c r="J608" s="63"/>
      <c r="K608" s="95"/>
      <c r="L608" s="56"/>
    </row>
    <row r="609">
      <c r="D609" s="87"/>
      <c r="F609" s="50"/>
      <c r="H609" s="94"/>
      <c r="I609" s="94"/>
      <c r="J609" s="63"/>
      <c r="K609" s="95"/>
      <c r="L609" s="56"/>
    </row>
    <row r="610">
      <c r="D610" s="87"/>
      <c r="F610" s="50"/>
      <c r="H610" s="94"/>
      <c r="I610" s="94"/>
      <c r="J610" s="63"/>
      <c r="K610" s="95"/>
      <c r="L610" s="56"/>
    </row>
    <row r="611">
      <c r="D611" s="87"/>
      <c r="F611" s="50"/>
      <c r="H611" s="94"/>
      <c r="I611" s="94"/>
      <c r="J611" s="63"/>
      <c r="K611" s="95"/>
      <c r="L611" s="56"/>
    </row>
    <row r="612">
      <c r="D612" s="87"/>
      <c r="F612" s="50"/>
      <c r="H612" s="94"/>
      <c r="I612" s="94"/>
      <c r="J612" s="63"/>
      <c r="K612" s="95"/>
      <c r="L612" s="56"/>
    </row>
    <row r="613">
      <c r="D613" s="87"/>
      <c r="F613" s="50"/>
      <c r="H613" s="94"/>
      <c r="I613" s="94"/>
      <c r="J613" s="63"/>
      <c r="K613" s="95"/>
      <c r="L613" s="56"/>
    </row>
    <row r="614">
      <c r="D614" s="87"/>
      <c r="F614" s="50"/>
      <c r="H614" s="94"/>
      <c r="I614" s="94"/>
      <c r="J614" s="63"/>
      <c r="K614" s="95"/>
      <c r="L614" s="56"/>
    </row>
    <row r="615">
      <c r="D615" s="87"/>
      <c r="F615" s="50"/>
      <c r="H615" s="94"/>
      <c r="I615" s="94"/>
      <c r="J615" s="63"/>
      <c r="K615" s="95"/>
      <c r="L615" s="56"/>
    </row>
    <row r="616">
      <c r="D616" s="87"/>
      <c r="F616" s="50"/>
      <c r="H616" s="94"/>
      <c r="I616" s="94"/>
      <c r="J616" s="63"/>
      <c r="K616" s="95"/>
      <c r="L616" s="56"/>
    </row>
    <row r="617">
      <c r="D617" s="87"/>
      <c r="F617" s="50"/>
      <c r="H617" s="94"/>
      <c r="I617" s="94"/>
      <c r="J617" s="63"/>
      <c r="K617" s="95"/>
      <c r="L617" s="56"/>
    </row>
    <row r="618">
      <c r="D618" s="87"/>
      <c r="F618" s="50"/>
      <c r="H618" s="94"/>
      <c r="I618" s="94"/>
      <c r="J618" s="63"/>
      <c r="K618" s="95"/>
      <c r="L618" s="56"/>
    </row>
    <row r="619">
      <c r="D619" s="87"/>
      <c r="F619" s="50"/>
      <c r="H619" s="94"/>
      <c r="I619" s="94"/>
      <c r="J619" s="63"/>
      <c r="K619" s="95"/>
      <c r="L619" s="56"/>
    </row>
    <row r="620">
      <c r="D620" s="87"/>
      <c r="F620" s="50"/>
      <c r="H620" s="94"/>
      <c r="I620" s="94"/>
      <c r="J620" s="63"/>
      <c r="K620" s="95"/>
      <c r="L620" s="56"/>
    </row>
    <row r="621">
      <c r="D621" s="87"/>
      <c r="F621" s="50"/>
      <c r="H621" s="94"/>
      <c r="I621" s="94"/>
      <c r="J621" s="63"/>
      <c r="K621" s="95"/>
      <c r="L621" s="56"/>
    </row>
    <row r="622">
      <c r="D622" s="87"/>
      <c r="F622" s="50"/>
      <c r="H622" s="94"/>
      <c r="I622" s="94"/>
      <c r="J622" s="63"/>
      <c r="K622" s="95"/>
      <c r="L622" s="56"/>
    </row>
    <row r="623">
      <c r="D623" s="87"/>
      <c r="F623" s="50"/>
      <c r="H623" s="94"/>
      <c r="I623" s="94"/>
      <c r="J623" s="63"/>
      <c r="K623" s="95"/>
      <c r="L623" s="56"/>
    </row>
    <row r="624">
      <c r="D624" s="87"/>
      <c r="F624" s="50"/>
      <c r="H624" s="94"/>
      <c r="I624" s="94"/>
      <c r="J624" s="63"/>
      <c r="K624" s="95"/>
      <c r="L624" s="56"/>
    </row>
    <row r="625">
      <c r="D625" s="87"/>
      <c r="F625" s="50"/>
      <c r="H625" s="94"/>
      <c r="I625" s="94"/>
      <c r="J625" s="63"/>
      <c r="K625" s="95"/>
      <c r="L625" s="56"/>
    </row>
    <row r="626">
      <c r="D626" s="87"/>
      <c r="F626" s="50"/>
      <c r="H626" s="94"/>
      <c r="I626" s="94"/>
      <c r="J626" s="63"/>
      <c r="K626" s="95"/>
      <c r="L626" s="56"/>
    </row>
    <row r="627">
      <c r="D627" s="87"/>
      <c r="F627" s="50"/>
      <c r="H627" s="94"/>
      <c r="I627" s="94"/>
      <c r="J627" s="63"/>
      <c r="K627" s="95"/>
      <c r="L627" s="56"/>
    </row>
    <row r="628">
      <c r="D628" s="87"/>
      <c r="F628" s="50"/>
      <c r="H628" s="94"/>
      <c r="I628" s="94"/>
      <c r="J628" s="63"/>
      <c r="K628" s="95"/>
      <c r="L628" s="56"/>
    </row>
    <row r="629">
      <c r="D629" s="87"/>
      <c r="F629" s="50"/>
      <c r="H629" s="94"/>
      <c r="I629" s="94"/>
      <c r="J629" s="63"/>
      <c r="K629" s="95"/>
      <c r="L629" s="56"/>
    </row>
    <row r="630">
      <c r="D630" s="87"/>
      <c r="F630" s="50"/>
      <c r="H630" s="94"/>
      <c r="I630" s="94"/>
      <c r="J630" s="63"/>
      <c r="K630" s="95"/>
      <c r="L630" s="56"/>
    </row>
    <row r="631">
      <c r="D631" s="87"/>
      <c r="F631" s="50"/>
      <c r="H631" s="94"/>
      <c r="I631" s="94"/>
      <c r="J631" s="63"/>
      <c r="K631" s="95"/>
      <c r="L631" s="56"/>
    </row>
    <row r="632">
      <c r="D632" s="87"/>
      <c r="F632" s="50"/>
      <c r="H632" s="94"/>
      <c r="I632" s="94"/>
      <c r="J632" s="63"/>
      <c r="K632" s="95"/>
      <c r="L632" s="56"/>
    </row>
    <row r="633">
      <c r="D633" s="87"/>
      <c r="F633" s="50"/>
      <c r="H633" s="94"/>
      <c r="I633" s="94"/>
      <c r="J633" s="63"/>
      <c r="K633" s="95"/>
      <c r="L633" s="56"/>
    </row>
    <row r="634">
      <c r="D634" s="87"/>
      <c r="F634" s="50"/>
      <c r="H634" s="94"/>
      <c r="I634" s="94"/>
      <c r="J634" s="63"/>
      <c r="K634" s="95"/>
      <c r="L634" s="56"/>
    </row>
    <row r="635">
      <c r="D635" s="87"/>
      <c r="F635" s="50"/>
      <c r="H635" s="94"/>
      <c r="I635" s="94"/>
      <c r="J635" s="63"/>
      <c r="K635" s="95"/>
      <c r="L635" s="56"/>
    </row>
    <row r="636">
      <c r="D636" s="87"/>
      <c r="F636" s="50"/>
      <c r="H636" s="94"/>
      <c r="I636" s="94"/>
      <c r="J636" s="63"/>
      <c r="K636" s="95"/>
      <c r="L636" s="56"/>
    </row>
    <row r="637">
      <c r="D637" s="87"/>
      <c r="F637" s="50"/>
      <c r="H637" s="94"/>
      <c r="I637" s="94"/>
      <c r="J637" s="63"/>
      <c r="K637" s="95"/>
      <c r="L637" s="56"/>
    </row>
    <row r="638">
      <c r="D638" s="87"/>
      <c r="F638" s="50"/>
      <c r="H638" s="94"/>
      <c r="I638" s="94"/>
      <c r="J638" s="63"/>
      <c r="K638" s="95"/>
      <c r="L638" s="56"/>
    </row>
    <row r="639">
      <c r="D639" s="87"/>
      <c r="F639" s="50"/>
      <c r="H639" s="94"/>
      <c r="I639" s="94"/>
      <c r="J639" s="63"/>
      <c r="K639" s="95"/>
      <c r="L639" s="56"/>
    </row>
    <row r="640">
      <c r="D640" s="87"/>
      <c r="F640" s="50"/>
      <c r="H640" s="94"/>
      <c r="I640" s="94"/>
      <c r="J640" s="63"/>
      <c r="K640" s="95"/>
      <c r="L640" s="56"/>
    </row>
    <row r="641">
      <c r="D641" s="87"/>
      <c r="F641" s="50"/>
      <c r="H641" s="94"/>
      <c r="I641" s="94"/>
      <c r="J641" s="63"/>
      <c r="K641" s="95"/>
      <c r="L641" s="56"/>
    </row>
    <row r="642">
      <c r="D642" s="87"/>
      <c r="F642" s="50"/>
      <c r="H642" s="94"/>
      <c r="I642" s="94"/>
      <c r="J642" s="63"/>
      <c r="K642" s="95"/>
      <c r="L642" s="56"/>
    </row>
    <row r="643">
      <c r="D643" s="87"/>
      <c r="F643" s="50"/>
      <c r="H643" s="94"/>
      <c r="I643" s="94"/>
      <c r="J643" s="63"/>
      <c r="K643" s="95"/>
      <c r="L643" s="56"/>
    </row>
    <row r="644">
      <c r="D644" s="87"/>
      <c r="F644" s="50"/>
      <c r="H644" s="94"/>
      <c r="I644" s="94"/>
      <c r="J644" s="63"/>
      <c r="K644" s="95"/>
      <c r="L644" s="56"/>
    </row>
    <row r="645">
      <c r="D645" s="87"/>
      <c r="F645" s="50"/>
      <c r="H645" s="94"/>
      <c r="I645" s="94"/>
      <c r="J645" s="63"/>
      <c r="K645" s="95"/>
      <c r="L645" s="56"/>
    </row>
    <row r="646">
      <c r="D646" s="87"/>
      <c r="F646" s="50"/>
      <c r="H646" s="94"/>
      <c r="I646" s="94"/>
      <c r="J646" s="63"/>
      <c r="K646" s="95"/>
      <c r="L646" s="56"/>
    </row>
    <row r="647">
      <c r="D647" s="87"/>
      <c r="F647" s="50"/>
      <c r="H647" s="94"/>
      <c r="I647" s="94"/>
      <c r="J647" s="63"/>
      <c r="K647" s="95"/>
      <c r="L647" s="56"/>
    </row>
    <row r="648">
      <c r="D648" s="87"/>
      <c r="F648" s="50"/>
      <c r="H648" s="94"/>
      <c r="I648" s="94"/>
      <c r="J648" s="63"/>
      <c r="K648" s="95"/>
      <c r="L648" s="56"/>
    </row>
    <row r="649">
      <c r="D649" s="87"/>
      <c r="F649" s="50"/>
      <c r="H649" s="94"/>
      <c r="I649" s="94"/>
      <c r="J649" s="63"/>
      <c r="K649" s="95"/>
      <c r="L649" s="56"/>
    </row>
    <row r="650">
      <c r="D650" s="87"/>
      <c r="F650" s="50"/>
      <c r="H650" s="94"/>
      <c r="I650" s="94"/>
      <c r="J650" s="63"/>
      <c r="K650" s="95"/>
      <c r="L650" s="56"/>
    </row>
    <row r="651">
      <c r="D651" s="87"/>
      <c r="F651" s="50"/>
      <c r="H651" s="94"/>
      <c r="I651" s="94"/>
      <c r="J651" s="63"/>
      <c r="K651" s="95"/>
      <c r="L651" s="56"/>
    </row>
    <row r="652">
      <c r="D652" s="87"/>
      <c r="F652" s="50"/>
      <c r="H652" s="94"/>
      <c r="I652" s="94"/>
      <c r="J652" s="63"/>
      <c r="K652" s="95"/>
      <c r="L652" s="56"/>
    </row>
    <row r="653">
      <c r="D653" s="87"/>
      <c r="F653" s="50"/>
      <c r="H653" s="94"/>
      <c r="I653" s="94"/>
      <c r="J653" s="63"/>
      <c r="K653" s="95"/>
      <c r="L653" s="56"/>
    </row>
    <row r="654">
      <c r="D654" s="87"/>
      <c r="F654" s="50"/>
      <c r="H654" s="94"/>
      <c r="I654" s="94"/>
      <c r="J654" s="63"/>
      <c r="K654" s="95"/>
      <c r="L654" s="56"/>
    </row>
    <row r="655">
      <c r="D655" s="87"/>
      <c r="F655" s="50"/>
      <c r="H655" s="94"/>
      <c r="I655" s="94"/>
      <c r="J655" s="63"/>
      <c r="K655" s="95"/>
      <c r="L655" s="56"/>
    </row>
    <row r="656">
      <c r="D656" s="87"/>
      <c r="F656" s="50"/>
      <c r="H656" s="94"/>
      <c r="I656" s="94"/>
      <c r="J656" s="63"/>
      <c r="K656" s="95"/>
      <c r="L656" s="56"/>
    </row>
    <row r="657">
      <c r="D657" s="87"/>
      <c r="F657" s="50"/>
      <c r="H657" s="94"/>
      <c r="I657" s="94"/>
      <c r="J657" s="63"/>
      <c r="K657" s="95"/>
      <c r="L657" s="56"/>
    </row>
    <row r="658">
      <c r="D658" s="87"/>
      <c r="F658" s="50"/>
      <c r="H658" s="94"/>
      <c r="I658" s="94"/>
      <c r="J658" s="63"/>
      <c r="K658" s="95"/>
      <c r="L658" s="56"/>
    </row>
    <row r="659">
      <c r="D659" s="87"/>
      <c r="F659" s="50"/>
      <c r="H659" s="94"/>
      <c r="I659" s="94"/>
      <c r="J659" s="63"/>
      <c r="K659" s="95"/>
      <c r="L659" s="56"/>
    </row>
    <row r="660">
      <c r="D660" s="87"/>
      <c r="F660" s="50"/>
      <c r="H660" s="94"/>
      <c r="I660" s="94"/>
      <c r="J660" s="63"/>
      <c r="K660" s="95"/>
      <c r="L660" s="56"/>
    </row>
    <row r="661">
      <c r="D661" s="87"/>
      <c r="F661" s="50"/>
      <c r="H661" s="94"/>
      <c r="I661" s="94"/>
      <c r="J661" s="63"/>
      <c r="K661" s="95"/>
      <c r="L661" s="56"/>
    </row>
    <row r="662">
      <c r="D662" s="87"/>
      <c r="F662" s="50"/>
      <c r="H662" s="94"/>
      <c r="I662" s="94"/>
      <c r="J662" s="63"/>
      <c r="K662" s="95"/>
      <c r="L662" s="56"/>
    </row>
    <row r="663">
      <c r="D663" s="87"/>
      <c r="F663" s="50"/>
      <c r="H663" s="94"/>
      <c r="I663" s="94"/>
      <c r="J663" s="63"/>
      <c r="K663" s="95"/>
      <c r="L663" s="56"/>
    </row>
    <row r="664">
      <c r="D664" s="87"/>
      <c r="F664" s="50"/>
      <c r="H664" s="94"/>
      <c r="I664" s="94"/>
      <c r="J664" s="63"/>
      <c r="K664" s="95"/>
      <c r="L664" s="56"/>
    </row>
    <row r="665">
      <c r="D665" s="87"/>
      <c r="F665" s="50"/>
      <c r="H665" s="94"/>
      <c r="I665" s="94"/>
      <c r="J665" s="63"/>
      <c r="K665" s="95"/>
      <c r="L665" s="56"/>
    </row>
    <row r="666">
      <c r="D666" s="87"/>
      <c r="F666" s="50"/>
      <c r="H666" s="94"/>
      <c r="I666" s="94"/>
      <c r="J666" s="63"/>
      <c r="K666" s="95"/>
      <c r="L666" s="56"/>
    </row>
    <row r="667">
      <c r="D667" s="87"/>
      <c r="F667" s="50"/>
      <c r="H667" s="94"/>
      <c r="I667" s="94"/>
      <c r="J667" s="63"/>
      <c r="K667" s="95"/>
      <c r="L667" s="56"/>
    </row>
    <row r="668">
      <c r="D668" s="87"/>
      <c r="F668" s="50"/>
      <c r="H668" s="94"/>
      <c r="I668" s="94"/>
      <c r="J668" s="63"/>
      <c r="K668" s="95"/>
      <c r="L668" s="56"/>
    </row>
    <row r="669">
      <c r="D669" s="87"/>
      <c r="F669" s="50"/>
      <c r="H669" s="94"/>
      <c r="I669" s="94"/>
      <c r="J669" s="63"/>
      <c r="K669" s="95"/>
      <c r="L669" s="56"/>
    </row>
    <row r="670">
      <c r="D670" s="87"/>
      <c r="F670" s="50"/>
      <c r="H670" s="94"/>
      <c r="I670" s="94"/>
      <c r="J670" s="63"/>
      <c r="K670" s="95"/>
      <c r="L670" s="56"/>
    </row>
    <row r="671">
      <c r="D671" s="87"/>
      <c r="F671" s="50"/>
      <c r="H671" s="94"/>
      <c r="I671" s="94"/>
      <c r="J671" s="63"/>
      <c r="K671" s="95"/>
      <c r="L671" s="56"/>
    </row>
    <row r="672">
      <c r="D672" s="87"/>
      <c r="F672" s="50"/>
      <c r="H672" s="94"/>
      <c r="I672" s="94"/>
      <c r="J672" s="63"/>
      <c r="K672" s="95"/>
      <c r="L672" s="56"/>
    </row>
    <row r="673">
      <c r="D673" s="87"/>
      <c r="F673" s="50"/>
      <c r="H673" s="94"/>
      <c r="I673" s="94"/>
      <c r="J673" s="63"/>
      <c r="K673" s="95"/>
      <c r="L673" s="56"/>
    </row>
    <row r="674">
      <c r="D674" s="87"/>
      <c r="F674" s="50"/>
      <c r="H674" s="94"/>
      <c r="I674" s="94"/>
      <c r="J674" s="63"/>
      <c r="K674" s="95"/>
      <c r="L674" s="56"/>
    </row>
    <row r="675">
      <c r="D675" s="87"/>
      <c r="F675" s="50"/>
      <c r="H675" s="94"/>
      <c r="I675" s="94"/>
      <c r="J675" s="63"/>
      <c r="K675" s="95"/>
      <c r="L675" s="56"/>
    </row>
    <row r="676">
      <c r="D676" s="87"/>
      <c r="F676" s="50"/>
      <c r="H676" s="94"/>
      <c r="I676" s="94"/>
      <c r="J676" s="63"/>
      <c r="K676" s="95"/>
      <c r="L676" s="56"/>
    </row>
    <row r="677">
      <c r="D677" s="87"/>
      <c r="F677" s="50"/>
      <c r="H677" s="94"/>
      <c r="I677" s="94"/>
      <c r="J677" s="63"/>
      <c r="K677" s="95"/>
      <c r="L677" s="56"/>
    </row>
    <row r="678">
      <c r="D678" s="87"/>
      <c r="F678" s="50"/>
      <c r="H678" s="94"/>
      <c r="I678" s="94"/>
      <c r="J678" s="63"/>
      <c r="K678" s="95"/>
      <c r="L678" s="56"/>
    </row>
    <row r="679">
      <c r="D679" s="87"/>
      <c r="F679" s="50"/>
      <c r="H679" s="94"/>
      <c r="I679" s="94"/>
      <c r="J679" s="63"/>
      <c r="K679" s="95"/>
      <c r="L679" s="56"/>
    </row>
    <row r="680">
      <c r="D680" s="87"/>
      <c r="F680" s="50"/>
      <c r="H680" s="94"/>
      <c r="I680" s="94"/>
      <c r="J680" s="63"/>
      <c r="K680" s="95"/>
      <c r="L680" s="56"/>
    </row>
    <row r="681">
      <c r="D681" s="87"/>
      <c r="F681" s="50"/>
      <c r="H681" s="94"/>
      <c r="I681" s="94"/>
      <c r="J681" s="63"/>
      <c r="K681" s="95"/>
      <c r="L681" s="56"/>
    </row>
    <row r="682">
      <c r="D682" s="87"/>
      <c r="F682" s="50"/>
      <c r="H682" s="94"/>
      <c r="I682" s="94"/>
      <c r="J682" s="63"/>
      <c r="K682" s="95"/>
      <c r="L682" s="56"/>
    </row>
    <row r="683">
      <c r="D683" s="87"/>
      <c r="F683" s="50"/>
      <c r="H683" s="94"/>
      <c r="I683" s="94"/>
      <c r="J683" s="63"/>
      <c r="K683" s="95"/>
      <c r="L683" s="56"/>
    </row>
    <row r="684">
      <c r="D684" s="87"/>
      <c r="F684" s="50"/>
      <c r="H684" s="94"/>
      <c r="I684" s="94"/>
      <c r="J684" s="63"/>
      <c r="K684" s="95"/>
      <c r="L684" s="56"/>
    </row>
    <row r="685">
      <c r="D685" s="87"/>
      <c r="F685" s="50"/>
      <c r="H685" s="94"/>
      <c r="I685" s="94"/>
      <c r="J685" s="63"/>
      <c r="K685" s="95"/>
      <c r="L685" s="56"/>
    </row>
    <row r="686">
      <c r="D686" s="87"/>
      <c r="F686" s="50"/>
      <c r="H686" s="94"/>
      <c r="I686" s="94"/>
      <c r="J686" s="63"/>
      <c r="K686" s="95"/>
      <c r="L686" s="56"/>
    </row>
    <row r="687">
      <c r="D687" s="87"/>
      <c r="F687" s="50"/>
      <c r="H687" s="94"/>
      <c r="I687" s="94"/>
      <c r="J687" s="63"/>
      <c r="K687" s="95"/>
      <c r="L687" s="56"/>
    </row>
    <row r="688">
      <c r="D688" s="87"/>
      <c r="F688" s="50"/>
      <c r="H688" s="94"/>
      <c r="I688" s="94"/>
      <c r="J688" s="63"/>
      <c r="K688" s="95"/>
      <c r="L688" s="56"/>
    </row>
    <row r="689">
      <c r="D689" s="87"/>
      <c r="F689" s="50"/>
      <c r="H689" s="94"/>
      <c r="I689" s="94"/>
      <c r="J689" s="63"/>
      <c r="K689" s="95"/>
      <c r="L689" s="56"/>
    </row>
    <row r="690">
      <c r="D690" s="87"/>
      <c r="F690" s="50"/>
      <c r="H690" s="94"/>
      <c r="I690" s="94"/>
      <c r="J690" s="63"/>
      <c r="K690" s="95"/>
      <c r="L690" s="56"/>
    </row>
    <row r="691">
      <c r="D691" s="87"/>
      <c r="F691" s="50"/>
      <c r="H691" s="94"/>
      <c r="I691" s="94"/>
      <c r="J691" s="63"/>
      <c r="K691" s="95"/>
      <c r="L691" s="56"/>
    </row>
    <row r="692">
      <c r="D692" s="87"/>
      <c r="F692" s="50"/>
      <c r="H692" s="94"/>
      <c r="I692" s="94"/>
      <c r="J692" s="63"/>
      <c r="K692" s="95"/>
      <c r="L692" s="56"/>
    </row>
    <row r="693">
      <c r="D693" s="87"/>
      <c r="F693" s="50"/>
      <c r="H693" s="94"/>
      <c r="I693" s="94"/>
      <c r="J693" s="63"/>
      <c r="K693" s="95"/>
      <c r="L693" s="56"/>
    </row>
    <row r="694">
      <c r="D694" s="87"/>
      <c r="F694" s="50"/>
      <c r="H694" s="94"/>
      <c r="I694" s="94"/>
      <c r="J694" s="63"/>
      <c r="K694" s="95"/>
      <c r="L694" s="56"/>
    </row>
    <row r="695">
      <c r="D695" s="87"/>
      <c r="F695" s="50"/>
      <c r="H695" s="94"/>
      <c r="I695" s="94"/>
      <c r="J695" s="63"/>
      <c r="K695" s="95"/>
      <c r="L695" s="56"/>
    </row>
    <row r="696">
      <c r="D696" s="87"/>
      <c r="F696" s="50"/>
      <c r="H696" s="94"/>
      <c r="I696" s="94"/>
      <c r="J696" s="63"/>
      <c r="K696" s="95"/>
      <c r="L696" s="56"/>
    </row>
    <row r="697">
      <c r="D697" s="87"/>
      <c r="F697" s="50"/>
      <c r="H697" s="94"/>
      <c r="I697" s="94"/>
      <c r="J697" s="63"/>
      <c r="K697" s="95"/>
      <c r="L697" s="56"/>
    </row>
    <row r="698">
      <c r="D698" s="87"/>
      <c r="F698" s="50"/>
      <c r="H698" s="94"/>
      <c r="I698" s="94"/>
      <c r="J698" s="63"/>
      <c r="K698" s="95"/>
      <c r="L698" s="56"/>
    </row>
    <row r="699">
      <c r="D699" s="87"/>
      <c r="F699" s="50"/>
      <c r="H699" s="94"/>
      <c r="I699" s="94"/>
      <c r="J699" s="63"/>
      <c r="K699" s="95"/>
      <c r="L699" s="56"/>
    </row>
    <row r="700">
      <c r="D700" s="87"/>
      <c r="F700" s="50"/>
      <c r="H700" s="94"/>
      <c r="I700" s="94"/>
      <c r="J700" s="63"/>
      <c r="K700" s="95"/>
      <c r="L700" s="56"/>
    </row>
    <row r="701">
      <c r="D701" s="87"/>
      <c r="F701" s="50"/>
      <c r="H701" s="94"/>
      <c r="I701" s="94"/>
      <c r="J701" s="63"/>
      <c r="K701" s="95"/>
      <c r="L701" s="56"/>
    </row>
    <row r="702">
      <c r="D702" s="87"/>
      <c r="F702" s="50"/>
      <c r="H702" s="94"/>
      <c r="I702" s="94"/>
      <c r="J702" s="63"/>
      <c r="K702" s="95"/>
      <c r="L702" s="56"/>
    </row>
    <row r="703">
      <c r="D703" s="87"/>
      <c r="F703" s="50"/>
      <c r="H703" s="94"/>
      <c r="I703" s="94"/>
      <c r="J703" s="63"/>
      <c r="K703" s="95"/>
      <c r="L703" s="56"/>
    </row>
    <row r="704">
      <c r="D704" s="87"/>
      <c r="F704" s="50"/>
      <c r="H704" s="94"/>
      <c r="I704" s="94"/>
      <c r="J704" s="63"/>
      <c r="K704" s="95"/>
      <c r="L704" s="56"/>
    </row>
    <row r="705">
      <c r="D705" s="87"/>
      <c r="F705" s="50"/>
      <c r="H705" s="94"/>
      <c r="I705" s="94"/>
      <c r="J705" s="63"/>
      <c r="K705" s="95"/>
      <c r="L705" s="56"/>
    </row>
    <row r="706">
      <c r="D706" s="87"/>
      <c r="F706" s="50"/>
      <c r="H706" s="94"/>
      <c r="I706" s="94"/>
      <c r="J706" s="63"/>
      <c r="K706" s="95"/>
      <c r="L706" s="56"/>
    </row>
    <row r="707">
      <c r="D707" s="87"/>
      <c r="F707" s="50"/>
      <c r="H707" s="94"/>
      <c r="I707" s="94"/>
      <c r="J707" s="63"/>
      <c r="K707" s="95"/>
      <c r="L707" s="56"/>
    </row>
    <row r="708">
      <c r="D708" s="87"/>
      <c r="F708" s="50"/>
      <c r="H708" s="94"/>
      <c r="I708" s="94"/>
      <c r="J708" s="63"/>
      <c r="K708" s="95"/>
      <c r="L708" s="56"/>
    </row>
    <row r="709">
      <c r="D709" s="87"/>
      <c r="F709" s="50"/>
      <c r="H709" s="94"/>
      <c r="I709" s="94"/>
      <c r="J709" s="63"/>
      <c r="K709" s="95"/>
      <c r="L709" s="56"/>
    </row>
    <row r="710">
      <c r="D710" s="87"/>
      <c r="F710" s="50"/>
      <c r="H710" s="94"/>
      <c r="I710" s="94"/>
      <c r="J710" s="63"/>
      <c r="K710" s="95"/>
      <c r="L710" s="56"/>
    </row>
    <row r="711">
      <c r="D711" s="87"/>
      <c r="F711" s="50"/>
      <c r="H711" s="94"/>
      <c r="I711" s="94"/>
      <c r="J711" s="63"/>
      <c r="K711" s="95"/>
      <c r="L711" s="56"/>
    </row>
    <row r="712">
      <c r="D712" s="87"/>
      <c r="F712" s="50"/>
      <c r="H712" s="94"/>
      <c r="I712" s="94"/>
      <c r="J712" s="63"/>
      <c r="K712" s="95"/>
      <c r="L712" s="56"/>
    </row>
    <row r="713">
      <c r="D713" s="87"/>
      <c r="F713" s="50"/>
      <c r="H713" s="94"/>
      <c r="I713" s="94"/>
      <c r="J713" s="63"/>
      <c r="K713" s="95"/>
      <c r="L713" s="56"/>
    </row>
    <row r="714">
      <c r="D714" s="87"/>
      <c r="F714" s="50"/>
      <c r="H714" s="94"/>
      <c r="I714" s="94"/>
      <c r="J714" s="63"/>
      <c r="K714" s="95"/>
      <c r="L714" s="56"/>
    </row>
    <row r="715">
      <c r="D715" s="87"/>
      <c r="F715" s="50"/>
      <c r="H715" s="94"/>
      <c r="I715" s="94"/>
      <c r="J715" s="63"/>
      <c r="K715" s="95"/>
      <c r="L715" s="56"/>
    </row>
    <row r="716">
      <c r="D716" s="87"/>
      <c r="F716" s="50"/>
      <c r="H716" s="94"/>
      <c r="I716" s="94"/>
      <c r="J716" s="63"/>
      <c r="K716" s="95"/>
      <c r="L716" s="56"/>
    </row>
    <row r="717">
      <c r="D717" s="87"/>
      <c r="F717" s="50"/>
      <c r="H717" s="94"/>
      <c r="I717" s="94"/>
      <c r="J717" s="63"/>
      <c r="K717" s="95"/>
      <c r="L717" s="56"/>
    </row>
    <row r="718">
      <c r="D718" s="87"/>
      <c r="F718" s="50"/>
      <c r="H718" s="94"/>
      <c r="I718" s="94"/>
      <c r="J718" s="63"/>
      <c r="K718" s="95"/>
      <c r="L718" s="56"/>
    </row>
    <row r="719">
      <c r="D719" s="87"/>
      <c r="F719" s="50"/>
      <c r="H719" s="94"/>
      <c r="I719" s="94"/>
      <c r="J719" s="63"/>
      <c r="K719" s="95"/>
      <c r="L719" s="56"/>
    </row>
    <row r="720">
      <c r="D720" s="87"/>
      <c r="F720" s="50"/>
      <c r="H720" s="94"/>
      <c r="I720" s="94"/>
      <c r="J720" s="63"/>
      <c r="K720" s="95"/>
      <c r="L720" s="56"/>
    </row>
    <row r="721">
      <c r="D721" s="87"/>
      <c r="F721" s="50"/>
      <c r="H721" s="94"/>
      <c r="I721" s="94"/>
      <c r="J721" s="63"/>
      <c r="K721" s="95"/>
      <c r="L721" s="56"/>
    </row>
    <row r="722">
      <c r="D722" s="87"/>
      <c r="F722" s="50"/>
      <c r="H722" s="94"/>
      <c r="I722" s="94"/>
      <c r="J722" s="63"/>
      <c r="K722" s="95"/>
      <c r="L722" s="56"/>
    </row>
    <row r="723">
      <c r="D723" s="87"/>
      <c r="F723" s="50"/>
      <c r="H723" s="94"/>
      <c r="I723" s="94"/>
      <c r="J723" s="63"/>
      <c r="K723" s="95"/>
      <c r="L723" s="56"/>
    </row>
    <row r="724">
      <c r="D724" s="87"/>
      <c r="F724" s="50"/>
      <c r="H724" s="94"/>
      <c r="I724" s="94"/>
      <c r="J724" s="63"/>
      <c r="K724" s="95"/>
      <c r="L724" s="56"/>
    </row>
    <row r="725">
      <c r="D725" s="87"/>
      <c r="F725" s="50"/>
      <c r="H725" s="94"/>
      <c r="I725" s="94"/>
      <c r="J725" s="63"/>
      <c r="K725" s="95"/>
      <c r="L725" s="56"/>
    </row>
    <row r="726">
      <c r="D726" s="87"/>
      <c r="F726" s="50"/>
      <c r="H726" s="94"/>
      <c r="I726" s="94"/>
      <c r="J726" s="63"/>
      <c r="K726" s="95"/>
      <c r="L726" s="56"/>
    </row>
    <row r="727">
      <c r="D727" s="87"/>
      <c r="F727" s="50"/>
      <c r="H727" s="94"/>
      <c r="I727" s="94"/>
      <c r="J727" s="63"/>
      <c r="K727" s="95"/>
      <c r="L727" s="56"/>
    </row>
    <row r="728">
      <c r="D728" s="87"/>
      <c r="F728" s="50"/>
      <c r="H728" s="94"/>
      <c r="I728" s="94"/>
      <c r="J728" s="63"/>
      <c r="K728" s="95"/>
      <c r="L728" s="56"/>
    </row>
    <row r="729">
      <c r="D729" s="87"/>
      <c r="F729" s="50"/>
      <c r="H729" s="94"/>
      <c r="I729" s="94"/>
      <c r="J729" s="63"/>
      <c r="K729" s="95"/>
      <c r="L729" s="56"/>
    </row>
    <row r="730">
      <c r="D730" s="87"/>
      <c r="F730" s="50"/>
      <c r="H730" s="94"/>
      <c r="I730" s="94"/>
      <c r="J730" s="63"/>
      <c r="K730" s="95"/>
      <c r="L730" s="56"/>
    </row>
    <row r="731">
      <c r="D731" s="87"/>
      <c r="F731" s="50"/>
      <c r="H731" s="94"/>
      <c r="I731" s="94"/>
      <c r="J731" s="63"/>
      <c r="K731" s="95"/>
      <c r="L731" s="56"/>
    </row>
    <row r="732">
      <c r="D732" s="87"/>
      <c r="F732" s="50"/>
      <c r="H732" s="94"/>
      <c r="I732" s="94"/>
      <c r="J732" s="63"/>
      <c r="K732" s="95"/>
      <c r="L732" s="56"/>
    </row>
    <row r="733">
      <c r="D733" s="87"/>
      <c r="F733" s="50"/>
      <c r="H733" s="94"/>
      <c r="I733" s="94"/>
      <c r="J733" s="63"/>
      <c r="K733" s="95"/>
      <c r="L733" s="56"/>
    </row>
    <row r="734">
      <c r="D734" s="87"/>
      <c r="F734" s="50"/>
      <c r="H734" s="94"/>
      <c r="I734" s="94"/>
      <c r="J734" s="63"/>
      <c r="K734" s="95"/>
      <c r="L734" s="56"/>
    </row>
    <row r="735">
      <c r="D735" s="87"/>
      <c r="F735" s="50"/>
      <c r="H735" s="94"/>
      <c r="I735" s="94"/>
      <c r="J735" s="63"/>
      <c r="K735" s="95"/>
      <c r="L735" s="56"/>
    </row>
    <row r="736">
      <c r="D736" s="87"/>
      <c r="F736" s="50"/>
      <c r="H736" s="94"/>
      <c r="I736" s="94"/>
      <c r="J736" s="63"/>
      <c r="K736" s="95"/>
      <c r="L736" s="56"/>
    </row>
    <row r="737">
      <c r="D737" s="87"/>
      <c r="F737" s="50"/>
      <c r="H737" s="94"/>
      <c r="I737" s="94"/>
      <c r="J737" s="63"/>
      <c r="K737" s="95"/>
      <c r="L737" s="56"/>
    </row>
    <row r="738">
      <c r="D738" s="87"/>
      <c r="F738" s="50"/>
      <c r="H738" s="94"/>
      <c r="I738" s="94"/>
      <c r="J738" s="63"/>
      <c r="K738" s="95"/>
      <c r="L738" s="56"/>
    </row>
    <row r="739">
      <c r="D739" s="87"/>
      <c r="F739" s="50"/>
      <c r="H739" s="94"/>
      <c r="I739" s="94"/>
      <c r="J739" s="63"/>
      <c r="K739" s="95"/>
      <c r="L739" s="56"/>
    </row>
    <row r="740">
      <c r="D740" s="87"/>
      <c r="F740" s="50"/>
      <c r="H740" s="94"/>
      <c r="I740" s="94"/>
      <c r="J740" s="63"/>
      <c r="K740" s="95"/>
      <c r="L740" s="56"/>
    </row>
    <row r="741">
      <c r="D741" s="87"/>
      <c r="F741" s="50"/>
      <c r="H741" s="94"/>
      <c r="I741" s="94"/>
      <c r="J741" s="63"/>
      <c r="K741" s="95"/>
      <c r="L741" s="56"/>
    </row>
    <row r="742">
      <c r="D742" s="87"/>
      <c r="F742" s="50"/>
      <c r="H742" s="94"/>
      <c r="I742" s="94"/>
      <c r="J742" s="63"/>
      <c r="K742" s="95"/>
      <c r="L742" s="56"/>
    </row>
    <row r="743">
      <c r="D743" s="87"/>
      <c r="F743" s="50"/>
      <c r="H743" s="94"/>
      <c r="I743" s="94"/>
      <c r="J743" s="63"/>
      <c r="K743" s="95"/>
      <c r="L743" s="56"/>
    </row>
    <row r="744">
      <c r="D744" s="87"/>
      <c r="F744" s="50"/>
      <c r="H744" s="94"/>
      <c r="I744" s="94"/>
      <c r="J744" s="63"/>
      <c r="K744" s="95"/>
      <c r="L744" s="56"/>
    </row>
    <row r="745">
      <c r="D745" s="87"/>
      <c r="F745" s="50"/>
      <c r="H745" s="94"/>
      <c r="I745" s="94"/>
      <c r="J745" s="63"/>
      <c r="K745" s="95"/>
      <c r="L745" s="56"/>
    </row>
    <row r="746">
      <c r="D746" s="87"/>
      <c r="F746" s="50"/>
      <c r="H746" s="94"/>
      <c r="I746" s="94"/>
      <c r="J746" s="63"/>
      <c r="K746" s="95"/>
      <c r="L746" s="56"/>
    </row>
    <row r="747">
      <c r="D747" s="87"/>
      <c r="F747" s="50"/>
      <c r="H747" s="94"/>
      <c r="I747" s="94"/>
      <c r="J747" s="63"/>
      <c r="K747" s="95"/>
      <c r="L747" s="56"/>
    </row>
    <row r="748">
      <c r="D748" s="87"/>
      <c r="F748" s="50"/>
      <c r="H748" s="94"/>
      <c r="I748" s="94"/>
      <c r="J748" s="63"/>
      <c r="K748" s="95"/>
      <c r="L748" s="56"/>
    </row>
    <row r="749">
      <c r="D749" s="87"/>
      <c r="F749" s="50"/>
      <c r="H749" s="94"/>
      <c r="I749" s="94"/>
      <c r="J749" s="63"/>
      <c r="K749" s="95"/>
      <c r="L749" s="56"/>
    </row>
    <row r="750">
      <c r="D750" s="87"/>
      <c r="F750" s="50"/>
      <c r="H750" s="94"/>
      <c r="I750" s="94"/>
      <c r="J750" s="63"/>
      <c r="K750" s="95"/>
      <c r="L750" s="56"/>
    </row>
    <row r="751">
      <c r="D751" s="87"/>
      <c r="F751" s="50"/>
      <c r="H751" s="94"/>
      <c r="I751" s="94"/>
      <c r="J751" s="63"/>
      <c r="K751" s="95"/>
      <c r="L751" s="56"/>
    </row>
    <row r="752">
      <c r="D752" s="87"/>
      <c r="F752" s="50"/>
      <c r="H752" s="94"/>
      <c r="I752" s="94"/>
      <c r="J752" s="63"/>
      <c r="K752" s="95"/>
      <c r="L752" s="56"/>
    </row>
    <row r="753">
      <c r="D753" s="87"/>
      <c r="F753" s="50"/>
      <c r="H753" s="94"/>
      <c r="I753" s="94"/>
      <c r="J753" s="63"/>
      <c r="K753" s="95"/>
      <c r="L753" s="56"/>
    </row>
    <row r="754">
      <c r="D754" s="87"/>
      <c r="F754" s="50"/>
      <c r="H754" s="94"/>
      <c r="I754" s="94"/>
      <c r="J754" s="63"/>
      <c r="K754" s="95"/>
      <c r="L754" s="56"/>
    </row>
    <row r="755">
      <c r="D755" s="87"/>
      <c r="F755" s="50"/>
      <c r="H755" s="94"/>
      <c r="I755" s="94"/>
      <c r="J755" s="63"/>
      <c r="K755" s="95"/>
      <c r="L755" s="56"/>
    </row>
    <row r="756">
      <c r="D756" s="87"/>
      <c r="F756" s="50"/>
      <c r="H756" s="94"/>
      <c r="I756" s="94"/>
      <c r="J756" s="63"/>
      <c r="K756" s="95"/>
      <c r="L756" s="56"/>
    </row>
    <row r="757">
      <c r="D757" s="87"/>
      <c r="F757" s="50"/>
      <c r="H757" s="94"/>
      <c r="I757" s="94"/>
      <c r="J757" s="63"/>
      <c r="K757" s="95"/>
      <c r="L757" s="56"/>
    </row>
    <row r="758">
      <c r="D758" s="87"/>
      <c r="F758" s="50"/>
      <c r="H758" s="94"/>
      <c r="I758" s="94"/>
      <c r="J758" s="63"/>
      <c r="K758" s="95"/>
      <c r="L758" s="56"/>
    </row>
    <row r="759">
      <c r="D759" s="87"/>
      <c r="F759" s="50"/>
      <c r="H759" s="94"/>
      <c r="I759" s="94"/>
      <c r="J759" s="63"/>
      <c r="K759" s="95"/>
      <c r="L759" s="56"/>
    </row>
    <row r="760">
      <c r="D760" s="87"/>
      <c r="F760" s="50"/>
      <c r="H760" s="94"/>
      <c r="I760" s="94"/>
      <c r="J760" s="63"/>
      <c r="K760" s="95"/>
      <c r="L760" s="56"/>
    </row>
    <row r="761">
      <c r="D761" s="87"/>
      <c r="F761" s="50"/>
      <c r="H761" s="94"/>
      <c r="I761" s="94"/>
      <c r="J761" s="63"/>
      <c r="K761" s="95"/>
      <c r="L761" s="56"/>
    </row>
    <row r="762">
      <c r="D762" s="87"/>
      <c r="F762" s="50"/>
      <c r="H762" s="94"/>
      <c r="I762" s="94"/>
      <c r="J762" s="63"/>
      <c r="K762" s="95"/>
      <c r="L762" s="56"/>
    </row>
    <row r="763">
      <c r="D763" s="87"/>
      <c r="F763" s="50"/>
      <c r="H763" s="94"/>
      <c r="I763" s="94"/>
      <c r="J763" s="63"/>
      <c r="K763" s="95"/>
      <c r="L763" s="56"/>
    </row>
    <row r="764">
      <c r="D764" s="87"/>
      <c r="F764" s="50"/>
      <c r="H764" s="94"/>
      <c r="I764" s="94"/>
      <c r="J764" s="63"/>
      <c r="K764" s="95"/>
      <c r="L764" s="56"/>
    </row>
    <row r="765">
      <c r="D765" s="87"/>
      <c r="F765" s="50"/>
      <c r="H765" s="94"/>
      <c r="I765" s="94"/>
      <c r="J765" s="63"/>
      <c r="K765" s="95"/>
      <c r="L765" s="56"/>
    </row>
    <row r="766">
      <c r="D766" s="87"/>
      <c r="F766" s="50"/>
      <c r="H766" s="94"/>
      <c r="I766" s="94"/>
      <c r="J766" s="63"/>
      <c r="K766" s="95"/>
      <c r="L766" s="56"/>
    </row>
    <row r="767">
      <c r="D767" s="87"/>
      <c r="F767" s="50"/>
      <c r="H767" s="94"/>
      <c r="I767" s="94"/>
      <c r="J767" s="63"/>
      <c r="K767" s="95"/>
      <c r="L767" s="56"/>
    </row>
    <row r="768">
      <c r="D768" s="87"/>
      <c r="F768" s="50"/>
      <c r="H768" s="94"/>
      <c r="I768" s="94"/>
      <c r="J768" s="63"/>
      <c r="K768" s="95"/>
      <c r="L768" s="56"/>
    </row>
    <row r="769">
      <c r="D769" s="87"/>
      <c r="F769" s="50"/>
      <c r="H769" s="94"/>
      <c r="I769" s="94"/>
      <c r="J769" s="63"/>
      <c r="K769" s="95"/>
      <c r="L769" s="56"/>
    </row>
    <row r="770">
      <c r="D770" s="87"/>
      <c r="F770" s="50"/>
      <c r="H770" s="94"/>
      <c r="I770" s="94"/>
      <c r="J770" s="63"/>
      <c r="K770" s="95"/>
      <c r="L770" s="56"/>
    </row>
    <row r="771">
      <c r="D771" s="87"/>
      <c r="F771" s="50"/>
      <c r="H771" s="94"/>
      <c r="I771" s="94"/>
      <c r="J771" s="63"/>
      <c r="K771" s="95"/>
      <c r="L771" s="56"/>
    </row>
    <row r="772">
      <c r="D772" s="87"/>
      <c r="F772" s="50"/>
      <c r="H772" s="94"/>
      <c r="I772" s="94"/>
      <c r="J772" s="63"/>
      <c r="K772" s="95"/>
      <c r="L772" s="56"/>
    </row>
    <row r="773">
      <c r="D773" s="87"/>
      <c r="F773" s="50"/>
      <c r="H773" s="94"/>
      <c r="I773" s="94"/>
      <c r="J773" s="63"/>
      <c r="K773" s="95"/>
      <c r="L773" s="56"/>
    </row>
    <row r="774">
      <c r="D774" s="87"/>
      <c r="F774" s="50"/>
      <c r="H774" s="94"/>
      <c r="I774" s="94"/>
      <c r="J774" s="63"/>
      <c r="K774" s="95"/>
      <c r="L774" s="56"/>
    </row>
    <row r="775">
      <c r="D775" s="87"/>
      <c r="F775" s="50"/>
      <c r="H775" s="94"/>
      <c r="I775" s="94"/>
      <c r="J775" s="63"/>
      <c r="K775" s="95"/>
      <c r="L775" s="56"/>
    </row>
    <row r="776">
      <c r="D776" s="87"/>
      <c r="F776" s="50"/>
      <c r="H776" s="94"/>
      <c r="I776" s="94"/>
      <c r="J776" s="63"/>
      <c r="K776" s="95"/>
      <c r="L776" s="56"/>
    </row>
    <row r="777">
      <c r="D777" s="87"/>
      <c r="F777" s="50"/>
      <c r="H777" s="94"/>
      <c r="I777" s="94"/>
      <c r="J777" s="63"/>
      <c r="K777" s="95"/>
      <c r="L777" s="56"/>
    </row>
    <row r="778">
      <c r="D778" s="87"/>
      <c r="F778" s="50"/>
      <c r="H778" s="94"/>
      <c r="I778" s="94"/>
      <c r="J778" s="63"/>
      <c r="K778" s="95"/>
      <c r="L778" s="56"/>
    </row>
    <row r="779">
      <c r="D779" s="87"/>
      <c r="F779" s="50"/>
      <c r="H779" s="94"/>
      <c r="I779" s="94"/>
      <c r="J779" s="63"/>
      <c r="K779" s="95"/>
      <c r="L779" s="56"/>
    </row>
    <row r="780">
      <c r="D780" s="87"/>
      <c r="F780" s="50"/>
      <c r="H780" s="94"/>
      <c r="I780" s="94"/>
      <c r="J780" s="63"/>
      <c r="K780" s="95"/>
      <c r="L780" s="56"/>
    </row>
    <row r="781">
      <c r="D781" s="87"/>
      <c r="F781" s="50"/>
      <c r="H781" s="94"/>
      <c r="I781" s="94"/>
      <c r="J781" s="63"/>
      <c r="K781" s="95"/>
      <c r="L781" s="56"/>
    </row>
    <row r="782">
      <c r="D782" s="87"/>
      <c r="F782" s="50"/>
      <c r="H782" s="94"/>
      <c r="I782" s="94"/>
      <c r="J782" s="63"/>
      <c r="K782" s="95"/>
      <c r="L782" s="56"/>
    </row>
    <row r="783">
      <c r="D783" s="87"/>
      <c r="F783" s="50"/>
      <c r="H783" s="94"/>
      <c r="I783" s="94"/>
      <c r="J783" s="63"/>
      <c r="K783" s="95"/>
      <c r="L783" s="56"/>
    </row>
    <row r="784">
      <c r="D784" s="87"/>
      <c r="F784" s="50"/>
      <c r="H784" s="94"/>
      <c r="I784" s="94"/>
      <c r="J784" s="63"/>
      <c r="K784" s="95"/>
      <c r="L784" s="56"/>
    </row>
    <row r="785">
      <c r="D785" s="87"/>
      <c r="F785" s="50"/>
      <c r="H785" s="94"/>
      <c r="I785" s="94"/>
      <c r="J785" s="63"/>
      <c r="K785" s="95"/>
      <c r="L785" s="56"/>
    </row>
    <row r="786">
      <c r="D786" s="87"/>
      <c r="F786" s="50"/>
      <c r="H786" s="94"/>
      <c r="I786" s="94"/>
      <c r="J786" s="63"/>
      <c r="K786" s="95"/>
      <c r="L786" s="56"/>
    </row>
    <row r="787">
      <c r="D787" s="87"/>
      <c r="F787" s="50"/>
      <c r="H787" s="94"/>
      <c r="I787" s="94"/>
      <c r="J787" s="63"/>
      <c r="K787" s="95"/>
      <c r="L787" s="56"/>
    </row>
    <row r="788">
      <c r="D788" s="87"/>
      <c r="F788" s="50"/>
      <c r="H788" s="94"/>
      <c r="I788" s="94"/>
      <c r="J788" s="63"/>
      <c r="K788" s="95"/>
      <c r="L788" s="56"/>
    </row>
    <row r="789">
      <c r="D789" s="87"/>
      <c r="F789" s="50"/>
      <c r="H789" s="94"/>
      <c r="I789" s="94"/>
      <c r="J789" s="63"/>
      <c r="K789" s="95"/>
      <c r="L789" s="56"/>
    </row>
    <row r="790">
      <c r="D790" s="87"/>
      <c r="F790" s="50"/>
      <c r="H790" s="94"/>
      <c r="I790" s="94"/>
      <c r="J790" s="63"/>
      <c r="K790" s="95"/>
      <c r="L790" s="56"/>
    </row>
    <row r="791">
      <c r="D791" s="87"/>
      <c r="F791" s="50"/>
      <c r="H791" s="94"/>
      <c r="I791" s="94"/>
      <c r="J791" s="63"/>
      <c r="K791" s="95"/>
      <c r="L791" s="56"/>
    </row>
    <row r="792">
      <c r="D792" s="87"/>
      <c r="F792" s="50"/>
      <c r="H792" s="94"/>
      <c r="I792" s="94"/>
      <c r="J792" s="63"/>
      <c r="K792" s="95"/>
      <c r="L792" s="56"/>
    </row>
    <row r="793">
      <c r="D793" s="87"/>
      <c r="F793" s="50"/>
      <c r="H793" s="94"/>
      <c r="I793" s="94"/>
      <c r="J793" s="63"/>
      <c r="K793" s="95"/>
      <c r="L793" s="56"/>
    </row>
    <row r="794">
      <c r="D794" s="87"/>
      <c r="F794" s="50"/>
      <c r="H794" s="94"/>
      <c r="I794" s="94"/>
      <c r="J794" s="63"/>
      <c r="K794" s="95"/>
      <c r="L794" s="56"/>
    </row>
    <row r="795">
      <c r="D795" s="87"/>
      <c r="F795" s="50"/>
      <c r="H795" s="94"/>
      <c r="I795" s="94"/>
      <c r="J795" s="63"/>
      <c r="K795" s="95"/>
      <c r="L795" s="56"/>
    </row>
    <row r="796">
      <c r="D796" s="87"/>
      <c r="F796" s="50"/>
      <c r="H796" s="94"/>
      <c r="I796" s="94"/>
      <c r="J796" s="63"/>
      <c r="K796" s="95"/>
      <c r="L796" s="56"/>
    </row>
    <row r="797">
      <c r="D797" s="87"/>
      <c r="F797" s="50"/>
      <c r="H797" s="94"/>
      <c r="I797" s="94"/>
      <c r="J797" s="63"/>
      <c r="K797" s="95"/>
      <c r="L797" s="56"/>
    </row>
    <row r="798">
      <c r="D798" s="87"/>
      <c r="F798" s="50"/>
      <c r="H798" s="94"/>
      <c r="I798" s="94"/>
      <c r="J798" s="63"/>
      <c r="K798" s="95"/>
      <c r="L798" s="56"/>
    </row>
    <row r="799">
      <c r="D799" s="87"/>
      <c r="F799" s="50"/>
      <c r="H799" s="94"/>
      <c r="I799" s="94"/>
      <c r="J799" s="63"/>
      <c r="K799" s="95"/>
      <c r="L799" s="56"/>
    </row>
    <row r="800">
      <c r="D800" s="87"/>
      <c r="F800" s="50"/>
      <c r="H800" s="94"/>
      <c r="I800" s="94"/>
      <c r="J800" s="63"/>
      <c r="K800" s="95"/>
      <c r="L800" s="56"/>
    </row>
    <row r="801">
      <c r="D801" s="87"/>
      <c r="F801" s="50"/>
      <c r="H801" s="94"/>
      <c r="I801" s="94"/>
      <c r="J801" s="63"/>
      <c r="K801" s="95"/>
      <c r="L801" s="56"/>
    </row>
    <row r="802">
      <c r="D802" s="87"/>
      <c r="F802" s="50"/>
      <c r="H802" s="94"/>
      <c r="I802" s="94"/>
      <c r="J802" s="63"/>
      <c r="K802" s="95"/>
      <c r="L802" s="56"/>
    </row>
    <row r="803">
      <c r="D803" s="87"/>
      <c r="F803" s="50"/>
      <c r="H803" s="94"/>
      <c r="I803" s="94"/>
      <c r="J803" s="63"/>
      <c r="K803" s="95"/>
      <c r="L803" s="56"/>
    </row>
    <row r="804">
      <c r="D804" s="87"/>
      <c r="F804" s="50"/>
      <c r="H804" s="94"/>
      <c r="I804" s="94"/>
      <c r="J804" s="63"/>
      <c r="K804" s="95"/>
      <c r="L804" s="56"/>
    </row>
    <row r="805">
      <c r="D805" s="87"/>
      <c r="F805" s="50"/>
      <c r="H805" s="94"/>
      <c r="I805" s="94"/>
      <c r="J805" s="63"/>
      <c r="K805" s="95"/>
      <c r="L805" s="56"/>
    </row>
    <row r="806">
      <c r="D806" s="87"/>
      <c r="F806" s="50"/>
      <c r="H806" s="94"/>
      <c r="I806" s="94"/>
      <c r="J806" s="63"/>
      <c r="K806" s="95"/>
      <c r="L806" s="56"/>
    </row>
    <row r="807">
      <c r="D807" s="87"/>
      <c r="F807" s="50"/>
      <c r="H807" s="94"/>
      <c r="I807" s="94"/>
      <c r="J807" s="63"/>
      <c r="K807" s="95"/>
      <c r="L807" s="56"/>
    </row>
    <row r="808">
      <c r="D808" s="87"/>
      <c r="F808" s="50"/>
      <c r="H808" s="94"/>
      <c r="I808" s="94"/>
      <c r="J808" s="63"/>
      <c r="K808" s="95"/>
      <c r="L808" s="56"/>
    </row>
    <row r="809">
      <c r="D809" s="87"/>
      <c r="F809" s="50"/>
      <c r="H809" s="94"/>
      <c r="I809" s="94"/>
      <c r="J809" s="63"/>
      <c r="K809" s="95"/>
      <c r="L809" s="56"/>
    </row>
    <row r="810">
      <c r="D810" s="87"/>
      <c r="F810" s="50"/>
      <c r="H810" s="94"/>
      <c r="I810" s="94"/>
      <c r="J810" s="63"/>
      <c r="K810" s="95"/>
      <c r="L810" s="56"/>
    </row>
    <row r="811">
      <c r="D811" s="87"/>
      <c r="F811" s="50"/>
      <c r="H811" s="94"/>
      <c r="I811" s="94"/>
      <c r="J811" s="63"/>
      <c r="K811" s="95"/>
      <c r="L811" s="56"/>
    </row>
    <row r="812">
      <c r="D812" s="87"/>
      <c r="F812" s="50"/>
      <c r="H812" s="94"/>
      <c r="I812" s="94"/>
      <c r="J812" s="63"/>
      <c r="K812" s="95"/>
      <c r="L812" s="56"/>
    </row>
    <row r="813">
      <c r="D813" s="87"/>
      <c r="F813" s="50"/>
      <c r="H813" s="94"/>
      <c r="I813" s="94"/>
      <c r="J813" s="63"/>
      <c r="K813" s="95"/>
      <c r="L813" s="56"/>
    </row>
    <row r="814">
      <c r="D814" s="87"/>
      <c r="F814" s="50"/>
      <c r="H814" s="94"/>
      <c r="I814" s="94"/>
      <c r="J814" s="63"/>
      <c r="K814" s="95"/>
      <c r="L814" s="56"/>
    </row>
    <row r="815">
      <c r="D815" s="87"/>
      <c r="F815" s="50"/>
      <c r="H815" s="94"/>
      <c r="I815" s="94"/>
      <c r="J815" s="63"/>
      <c r="K815" s="95"/>
      <c r="L815" s="56"/>
    </row>
    <row r="816">
      <c r="D816" s="87"/>
      <c r="F816" s="50"/>
      <c r="H816" s="94"/>
      <c r="I816" s="94"/>
      <c r="J816" s="63"/>
      <c r="K816" s="95"/>
      <c r="L816" s="56"/>
    </row>
    <row r="817">
      <c r="D817" s="87"/>
      <c r="F817" s="50"/>
      <c r="H817" s="94"/>
      <c r="I817" s="94"/>
      <c r="J817" s="63"/>
      <c r="K817" s="95"/>
      <c r="L817" s="56"/>
    </row>
    <row r="818">
      <c r="D818" s="87"/>
      <c r="F818" s="50"/>
      <c r="H818" s="94"/>
      <c r="I818" s="94"/>
      <c r="J818" s="63"/>
      <c r="K818" s="95"/>
      <c r="L818" s="56"/>
    </row>
    <row r="819">
      <c r="D819" s="87"/>
      <c r="F819" s="50"/>
      <c r="H819" s="94"/>
      <c r="I819" s="94"/>
      <c r="J819" s="63"/>
      <c r="K819" s="95"/>
      <c r="L819" s="56"/>
    </row>
    <row r="820">
      <c r="D820" s="87"/>
      <c r="F820" s="50"/>
      <c r="H820" s="94"/>
      <c r="I820" s="94"/>
      <c r="J820" s="63"/>
      <c r="K820" s="95"/>
      <c r="L820" s="56"/>
    </row>
    <row r="821">
      <c r="D821" s="87"/>
      <c r="F821" s="50"/>
      <c r="H821" s="94"/>
      <c r="I821" s="94"/>
      <c r="J821" s="63"/>
      <c r="K821" s="95"/>
      <c r="L821" s="56"/>
    </row>
    <row r="822">
      <c r="D822" s="87"/>
      <c r="F822" s="50"/>
      <c r="H822" s="94"/>
      <c r="I822" s="94"/>
      <c r="J822" s="63"/>
      <c r="K822" s="95"/>
      <c r="L822" s="56"/>
    </row>
    <row r="823">
      <c r="D823" s="87"/>
      <c r="F823" s="50"/>
      <c r="H823" s="94"/>
      <c r="I823" s="94"/>
      <c r="J823" s="63"/>
      <c r="K823" s="95"/>
      <c r="L823" s="56"/>
    </row>
    <row r="824">
      <c r="D824" s="87"/>
      <c r="F824" s="50"/>
      <c r="H824" s="94"/>
      <c r="I824" s="94"/>
      <c r="J824" s="63"/>
      <c r="K824" s="95"/>
      <c r="L824" s="56"/>
    </row>
    <row r="825">
      <c r="D825" s="87"/>
      <c r="F825" s="50"/>
      <c r="H825" s="94"/>
      <c r="I825" s="94"/>
      <c r="J825" s="63"/>
      <c r="K825" s="95"/>
      <c r="L825" s="56"/>
    </row>
    <row r="826">
      <c r="D826" s="87"/>
      <c r="F826" s="50"/>
      <c r="H826" s="94"/>
      <c r="I826" s="94"/>
      <c r="J826" s="63"/>
      <c r="K826" s="95"/>
      <c r="L826" s="56"/>
    </row>
    <row r="827">
      <c r="D827" s="87"/>
      <c r="F827" s="50"/>
      <c r="H827" s="94"/>
      <c r="I827" s="94"/>
      <c r="J827" s="63"/>
      <c r="K827" s="95"/>
      <c r="L827" s="56"/>
    </row>
    <row r="828">
      <c r="D828" s="87"/>
      <c r="F828" s="50"/>
      <c r="H828" s="94"/>
      <c r="I828" s="94"/>
      <c r="J828" s="63"/>
      <c r="K828" s="95"/>
      <c r="L828" s="56"/>
    </row>
    <row r="829">
      <c r="D829" s="87"/>
      <c r="F829" s="50"/>
      <c r="H829" s="94"/>
      <c r="I829" s="94"/>
      <c r="J829" s="63"/>
      <c r="K829" s="95"/>
      <c r="L829" s="56"/>
    </row>
    <row r="830">
      <c r="D830" s="87"/>
      <c r="F830" s="50"/>
      <c r="H830" s="94"/>
      <c r="I830" s="94"/>
      <c r="J830" s="63"/>
      <c r="K830" s="95"/>
      <c r="L830" s="56"/>
    </row>
    <row r="831">
      <c r="D831" s="87"/>
      <c r="F831" s="50"/>
      <c r="H831" s="94"/>
      <c r="I831" s="94"/>
      <c r="J831" s="63"/>
      <c r="K831" s="95"/>
      <c r="L831" s="56"/>
    </row>
    <row r="832">
      <c r="D832" s="87"/>
      <c r="F832" s="50"/>
      <c r="H832" s="94"/>
      <c r="I832" s="94"/>
      <c r="J832" s="63"/>
      <c r="K832" s="95"/>
      <c r="L832" s="56"/>
    </row>
    <row r="833">
      <c r="D833" s="87"/>
      <c r="F833" s="50"/>
      <c r="H833" s="94"/>
      <c r="I833" s="94"/>
      <c r="J833" s="63"/>
      <c r="K833" s="95"/>
      <c r="L833" s="56"/>
    </row>
    <row r="834">
      <c r="D834" s="87"/>
      <c r="F834" s="50"/>
      <c r="H834" s="94"/>
      <c r="I834" s="94"/>
      <c r="J834" s="63"/>
      <c r="K834" s="95"/>
      <c r="L834" s="56"/>
    </row>
    <row r="835">
      <c r="D835" s="87"/>
      <c r="F835" s="50"/>
      <c r="H835" s="94"/>
      <c r="I835" s="94"/>
      <c r="J835" s="63"/>
      <c r="K835" s="95"/>
      <c r="L835" s="56"/>
    </row>
    <row r="836">
      <c r="D836" s="87"/>
      <c r="F836" s="50"/>
      <c r="H836" s="94"/>
      <c r="I836" s="94"/>
      <c r="J836" s="63"/>
      <c r="K836" s="95"/>
      <c r="L836" s="56"/>
    </row>
    <row r="837">
      <c r="D837" s="87"/>
      <c r="F837" s="50"/>
      <c r="H837" s="94"/>
      <c r="I837" s="94"/>
      <c r="J837" s="63"/>
      <c r="K837" s="95"/>
      <c r="L837" s="56"/>
    </row>
    <row r="838">
      <c r="D838" s="87"/>
      <c r="F838" s="50"/>
      <c r="H838" s="94"/>
      <c r="I838" s="94"/>
      <c r="J838" s="63"/>
      <c r="K838" s="95"/>
      <c r="L838" s="56"/>
    </row>
    <row r="839">
      <c r="D839" s="87"/>
      <c r="F839" s="50"/>
      <c r="H839" s="94"/>
      <c r="I839" s="94"/>
      <c r="J839" s="63"/>
      <c r="K839" s="95"/>
      <c r="L839" s="56"/>
    </row>
    <row r="840">
      <c r="D840" s="87"/>
      <c r="F840" s="50"/>
      <c r="H840" s="94"/>
      <c r="I840" s="94"/>
      <c r="J840" s="63"/>
      <c r="K840" s="95"/>
      <c r="L840" s="56"/>
    </row>
    <row r="841">
      <c r="D841" s="87"/>
      <c r="F841" s="50"/>
      <c r="H841" s="94"/>
      <c r="I841" s="94"/>
      <c r="J841" s="63"/>
      <c r="K841" s="95"/>
      <c r="L841" s="56"/>
    </row>
    <row r="842">
      <c r="D842" s="87"/>
      <c r="F842" s="50"/>
      <c r="H842" s="94"/>
      <c r="I842" s="94"/>
      <c r="J842" s="63"/>
      <c r="K842" s="95"/>
      <c r="L842" s="56"/>
    </row>
    <row r="843">
      <c r="D843" s="87"/>
      <c r="F843" s="50"/>
      <c r="H843" s="94"/>
      <c r="I843" s="94"/>
      <c r="J843" s="63"/>
      <c r="K843" s="95"/>
      <c r="L843" s="56"/>
    </row>
    <row r="844">
      <c r="D844" s="87"/>
      <c r="F844" s="50"/>
      <c r="H844" s="94"/>
      <c r="I844" s="94"/>
      <c r="J844" s="63"/>
      <c r="K844" s="95"/>
      <c r="L844" s="56"/>
    </row>
    <row r="845">
      <c r="D845" s="87"/>
      <c r="F845" s="50"/>
      <c r="H845" s="94"/>
      <c r="I845" s="94"/>
      <c r="J845" s="63"/>
      <c r="K845" s="95"/>
      <c r="L845" s="56"/>
    </row>
    <row r="846">
      <c r="D846" s="87"/>
      <c r="F846" s="50"/>
      <c r="H846" s="94"/>
      <c r="I846" s="94"/>
      <c r="J846" s="63"/>
      <c r="K846" s="95"/>
      <c r="L846" s="56"/>
    </row>
    <row r="847">
      <c r="D847" s="87"/>
      <c r="F847" s="50"/>
      <c r="H847" s="94"/>
      <c r="I847" s="94"/>
      <c r="J847" s="63"/>
      <c r="K847" s="95"/>
      <c r="L847" s="56"/>
    </row>
    <row r="848">
      <c r="D848" s="87"/>
      <c r="F848" s="50"/>
      <c r="H848" s="94"/>
      <c r="I848" s="94"/>
      <c r="J848" s="63"/>
      <c r="K848" s="95"/>
      <c r="L848" s="56"/>
    </row>
    <row r="849">
      <c r="D849" s="87"/>
      <c r="F849" s="50"/>
      <c r="H849" s="94"/>
      <c r="I849" s="94"/>
      <c r="J849" s="63"/>
      <c r="K849" s="95"/>
      <c r="L849" s="56"/>
    </row>
    <row r="850">
      <c r="D850" s="87"/>
      <c r="F850" s="50"/>
      <c r="H850" s="94"/>
      <c r="I850" s="94"/>
      <c r="J850" s="63"/>
      <c r="K850" s="95"/>
      <c r="L850" s="56"/>
    </row>
    <row r="851">
      <c r="D851" s="87"/>
      <c r="F851" s="50"/>
      <c r="H851" s="94"/>
      <c r="I851" s="94"/>
      <c r="J851" s="63"/>
      <c r="K851" s="95"/>
      <c r="L851" s="56"/>
    </row>
    <row r="852">
      <c r="D852" s="87"/>
      <c r="F852" s="50"/>
      <c r="H852" s="94"/>
      <c r="I852" s="94"/>
      <c r="J852" s="63"/>
      <c r="K852" s="95"/>
      <c r="L852" s="56"/>
    </row>
    <row r="853">
      <c r="D853" s="87"/>
      <c r="F853" s="50"/>
      <c r="H853" s="94"/>
      <c r="I853" s="94"/>
      <c r="J853" s="63"/>
      <c r="K853" s="95"/>
      <c r="L853" s="56"/>
    </row>
    <row r="854">
      <c r="D854" s="87"/>
      <c r="F854" s="50"/>
      <c r="H854" s="94"/>
      <c r="I854" s="94"/>
      <c r="J854" s="63"/>
      <c r="K854" s="95"/>
      <c r="L854" s="56"/>
    </row>
    <row r="855">
      <c r="D855" s="87"/>
      <c r="F855" s="50"/>
      <c r="H855" s="94"/>
      <c r="I855" s="94"/>
      <c r="J855" s="63"/>
      <c r="K855" s="95"/>
      <c r="L855" s="56"/>
    </row>
    <row r="856">
      <c r="D856" s="87"/>
      <c r="F856" s="50"/>
      <c r="H856" s="94"/>
      <c r="I856" s="94"/>
      <c r="J856" s="63"/>
      <c r="K856" s="95"/>
      <c r="L856" s="56"/>
    </row>
    <row r="857">
      <c r="D857" s="87"/>
      <c r="F857" s="50"/>
      <c r="H857" s="94"/>
      <c r="I857" s="94"/>
      <c r="J857" s="63"/>
      <c r="K857" s="95"/>
      <c r="L857" s="56"/>
    </row>
    <row r="858">
      <c r="D858" s="87"/>
      <c r="F858" s="50"/>
      <c r="H858" s="94"/>
      <c r="I858" s="94"/>
      <c r="J858" s="63"/>
      <c r="K858" s="95"/>
      <c r="L858" s="56"/>
    </row>
    <row r="859">
      <c r="D859" s="87"/>
      <c r="F859" s="50"/>
      <c r="H859" s="94"/>
      <c r="I859" s="94"/>
      <c r="J859" s="63"/>
      <c r="K859" s="95"/>
      <c r="L859" s="56"/>
    </row>
    <row r="860">
      <c r="D860" s="87"/>
      <c r="F860" s="50"/>
      <c r="H860" s="94"/>
      <c r="I860" s="94"/>
      <c r="J860" s="63"/>
      <c r="K860" s="95"/>
      <c r="L860" s="56"/>
    </row>
    <row r="861">
      <c r="D861" s="87"/>
      <c r="F861" s="50"/>
      <c r="H861" s="94"/>
      <c r="I861" s="94"/>
      <c r="J861" s="63"/>
      <c r="K861" s="95"/>
      <c r="L861" s="56"/>
    </row>
    <row r="862">
      <c r="D862" s="87"/>
      <c r="F862" s="50"/>
      <c r="H862" s="94"/>
      <c r="I862" s="94"/>
      <c r="J862" s="63"/>
      <c r="K862" s="95"/>
      <c r="L862" s="56"/>
    </row>
    <row r="863">
      <c r="D863" s="87"/>
      <c r="F863" s="50"/>
      <c r="H863" s="94"/>
      <c r="I863" s="94"/>
      <c r="J863" s="63"/>
      <c r="K863" s="95"/>
      <c r="L863" s="56"/>
    </row>
    <row r="864">
      <c r="D864" s="87"/>
      <c r="F864" s="50"/>
      <c r="H864" s="94"/>
      <c r="I864" s="94"/>
      <c r="J864" s="63"/>
      <c r="K864" s="95"/>
      <c r="L864" s="56"/>
    </row>
    <row r="865">
      <c r="D865" s="87"/>
      <c r="F865" s="50"/>
      <c r="H865" s="94"/>
      <c r="I865" s="94"/>
      <c r="J865" s="63"/>
      <c r="K865" s="95"/>
      <c r="L865" s="56"/>
    </row>
    <row r="866">
      <c r="D866" s="87"/>
      <c r="F866" s="50"/>
      <c r="H866" s="94"/>
      <c r="I866" s="94"/>
      <c r="J866" s="63"/>
      <c r="K866" s="95"/>
      <c r="L866" s="56"/>
    </row>
    <row r="867">
      <c r="D867" s="87"/>
      <c r="F867" s="50"/>
      <c r="H867" s="94"/>
      <c r="I867" s="94"/>
      <c r="J867" s="63"/>
      <c r="K867" s="95"/>
      <c r="L867" s="56"/>
    </row>
    <row r="868">
      <c r="D868" s="87"/>
      <c r="F868" s="50"/>
      <c r="H868" s="94"/>
      <c r="I868" s="94"/>
      <c r="J868" s="63"/>
      <c r="K868" s="95"/>
      <c r="L868" s="56"/>
    </row>
    <row r="869">
      <c r="D869" s="87"/>
      <c r="F869" s="50"/>
      <c r="H869" s="94"/>
      <c r="I869" s="94"/>
      <c r="J869" s="63"/>
      <c r="K869" s="95"/>
      <c r="L869" s="56"/>
    </row>
    <row r="870">
      <c r="D870" s="87"/>
      <c r="F870" s="50"/>
      <c r="H870" s="94"/>
      <c r="I870" s="94"/>
      <c r="J870" s="63"/>
      <c r="K870" s="95"/>
      <c r="L870" s="56"/>
    </row>
    <row r="871">
      <c r="D871" s="87"/>
      <c r="F871" s="50"/>
      <c r="H871" s="94"/>
      <c r="I871" s="94"/>
      <c r="J871" s="63"/>
      <c r="K871" s="95"/>
      <c r="L871" s="56"/>
    </row>
    <row r="872">
      <c r="D872" s="87"/>
      <c r="F872" s="50"/>
      <c r="H872" s="94"/>
      <c r="I872" s="94"/>
      <c r="J872" s="63"/>
      <c r="K872" s="95"/>
      <c r="L872" s="56"/>
    </row>
    <row r="873">
      <c r="D873" s="87"/>
      <c r="F873" s="50"/>
      <c r="H873" s="94"/>
      <c r="I873" s="94"/>
      <c r="J873" s="63"/>
      <c r="K873" s="95"/>
      <c r="L873" s="56"/>
    </row>
    <row r="874">
      <c r="D874" s="87"/>
      <c r="F874" s="50"/>
      <c r="H874" s="94"/>
      <c r="I874" s="94"/>
      <c r="J874" s="63"/>
      <c r="K874" s="95"/>
      <c r="L874" s="56"/>
    </row>
    <row r="875">
      <c r="D875" s="87"/>
      <c r="F875" s="50"/>
      <c r="H875" s="94"/>
      <c r="I875" s="94"/>
      <c r="J875" s="63"/>
      <c r="K875" s="95"/>
      <c r="L875" s="56"/>
    </row>
    <row r="876">
      <c r="D876" s="87"/>
      <c r="F876" s="50"/>
      <c r="H876" s="94"/>
      <c r="I876" s="94"/>
      <c r="J876" s="63"/>
      <c r="K876" s="95"/>
      <c r="L876" s="56"/>
    </row>
    <row r="877">
      <c r="D877" s="87"/>
      <c r="F877" s="50"/>
      <c r="H877" s="94"/>
      <c r="I877" s="94"/>
      <c r="J877" s="63"/>
      <c r="K877" s="95"/>
      <c r="L877" s="56"/>
    </row>
    <row r="878">
      <c r="D878" s="87"/>
      <c r="F878" s="50"/>
      <c r="H878" s="94"/>
      <c r="I878" s="94"/>
      <c r="J878" s="63"/>
      <c r="K878" s="95"/>
      <c r="L878" s="56"/>
    </row>
    <row r="879">
      <c r="D879" s="87"/>
      <c r="F879" s="50"/>
      <c r="H879" s="94"/>
      <c r="I879" s="94"/>
      <c r="J879" s="63"/>
      <c r="K879" s="95"/>
      <c r="L879" s="56"/>
    </row>
    <row r="880">
      <c r="D880" s="87"/>
      <c r="F880" s="50"/>
      <c r="H880" s="94"/>
      <c r="I880" s="94"/>
      <c r="J880" s="63"/>
      <c r="K880" s="95"/>
      <c r="L880" s="56"/>
    </row>
    <row r="881">
      <c r="D881" s="87"/>
      <c r="F881" s="50"/>
      <c r="H881" s="94"/>
      <c r="I881" s="94"/>
      <c r="J881" s="63"/>
      <c r="K881" s="95"/>
      <c r="L881" s="56"/>
    </row>
    <row r="882">
      <c r="D882" s="87"/>
      <c r="F882" s="50"/>
      <c r="H882" s="94"/>
      <c r="I882" s="94"/>
      <c r="J882" s="63"/>
      <c r="K882" s="95"/>
      <c r="L882" s="56"/>
    </row>
    <row r="883">
      <c r="D883" s="87"/>
      <c r="F883" s="50"/>
      <c r="H883" s="94"/>
      <c r="I883" s="94"/>
      <c r="J883" s="63"/>
      <c r="K883" s="95"/>
      <c r="L883" s="56"/>
    </row>
    <row r="884">
      <c r="D884" s="87"/>
      <c r="F884" s="50"/>
      <c r="H884" s="94"/>
      <c r="I884" s="94"/>
      <c r="J884" s="63"/>
      <c r="K884" s="95"/>
      <c r="L884" s="56"/>
    </row>
    <row r="885">
      <c r="D885" s="87"/>
      <c r="F885" s="50"/>
      <c r="H885" s="94"/>
      <c r="I885" s="94"/>
      <c r="J885" s="63"/>
      <c r="K885" s="95"/>
      <c r="L885" s="56"/>
    </row>
    <row r="886">
      <c r="D886" s="87"/>
      <c r="F886" s="50"/>
      <c r="H886" s="94"/>
      <c r="I886" s="94"/>
      <c r="J886" s="63"/>
      <c r="K886" s="95"/>
      <c r="L886" s="56"/>
    </row>
    <row r="887">
      <c r="D887" s="87"/>
      <c r="F887" s="50"/>
      <c r="H887" s="94"/>
      <c r="I887" s="94"/>
      <c r="J887" s="63"/>
      <c r="K887" s="95"/>
      <c r="L887" s="56"/>
    </row>
    <row r="888">
      <c r="D888" s="87"/>
      <c r="F888" s="50"/>
      <c r="H888" s="94"/>
      <c r="I888" s="94"/>
      <c r="J888" s="63"/>
      <c r="K888" s="95"/>
      <c r="L888" s="56"/>
    </row>
    <row r="889">
      <c r="D889" s="87"/>
      <c r="F889" s="50"/>
      <c r="H889" s="94"/>
      <c r="I889" s="94"/>
      <c r="J889" s="63"/>
      <c r="K889" s="95"/>
      <c r="L889" s="56"/>
    </row>
    <row r="890">
      <c r="D890" s="87"/>
      <c r="F890" s="50"/>
      <c r="H890" s="94"/>
      <c r="I890" s="94"/>
      <c r="J890" s="63"/>
      <c r="K890" s="95"/>
      <c r="L890" s="56"/>
    </row>
    <row r="891">
      <c r="D891" s="87"/>
      <c r="F891" s="50"/>
      <c r="H891" s="94"/>
      <c r="I891" s="94"/>
      <c r="J891" s="63"/>
      <c r="K891" s="95"/>
      <c r="L891" s="56"/>
    </row>
    <row r="892">
      <c r="D892" s="87"/>
      <c r="F892" s="50"/>
      <c r="H892" s="94"/>
      <c r="I892" s="94"/>
      <c r="J892" s="63"/>
      <c r="K892" s="95"/>
      <c r="L892" s="56"/>
    </row>
    <row r="893">
      <c r="D893" s="87"/>
      <c r="F893" s="50"/>
      <c r="H893" s="94"/>
      <c r="I893" s="94"/>
      <c r="J893" s="63"/>
      <c r="K893" s="95"/>
      <c r="L893" s="56"/>
    </row>
    <row r="894">
      <c r="D894" s="87"/>
      <c r="F894" s="50"/>
      <c r="H894" s="94"/>
      <c r="I894" s="94"/>
      <c r="J894" s="63"/>
      <c r="K894" s="95"/>
      <c r="L894" s="56"/>
    </row>
    <row r="895">
      <c r="D895" s="87"/>
      <c r="F895" s="50"/>
      <c r="H895" s="94"/>
      <c r="I895" s="94"/>
      <c r="J895" s="63"/>
      <c r="K895" s="95"/>
      <c r="L895" s="56"/>
    </row>
    <row r="896">
      <c r="D896" s="87"/>
      <c r="F896" s="50"/>
      <c r="H896" s="94"/>
      <c r="I896" s="94"/>
      <c r="J896" s="63"/>
      <c r="K896" s="95"/>
      <c r="L896" s="56"/>
    </row>
    <row r="897">
      <c r="D897" s="87"/>
      <c r="F897" s="50"/>
      <c r="H897" s="94"/>
      <c r="I897" s="94"/>
      <c r="J897" s="63"/>
      <c r="K897" s="95"/>
      <c r="L897" s="56"/>
    </row>
    <row r="898">
      <c r="D898" s="87"/>
      <c r="F898" s="50"/>
      <c r="H898" s="94"/>
      <c r="I898" s="94"/>
      <c r="J898" s="63"/>
      <c r="K898" s="95"/>
      <c r="L898" s="56"/>
    </row>
    <row r="899">
      <c r="D899" s="87"/>
      <c r="F899" s="50"/>
      <c r="H899" s="94"/>
      <c r="I899" s="94"/>
      <c r="J899" s="63"/>
      <c r="K899" s="95"/>
      <c r="L899" s="56"/>
    </row>
    <row r="900">
      <c r="D900" s="87"/>
      <c r="F900" s="50"/>
      <c r="H900" s="94"/>
      <c r="I900" s="94"/>
      <c r="J900" s="63"/>
      <c r="K900" s="95"/>
      <c r="L900" s="56"/>
    </row>
    <row r="901">
      <c r="D901" s="87"/>
      <c r="F901" s="50"/>
      <c r="H901" s="94"/>
      <c r="I901" s="94"/>
      <c r="J901" s="63"/>
      <c r="K901" s="95"/>
      <c r="L901" s="56"/>
    </row>
    <row r="902">
      <c r="D902" s="87"/>
      <c r="F902" s="50"/>
      <c r="H902" s="94"/>
      <c r="I902" s="94"/>
      <c r="J902" s="63"/>
      <c r="K902" s="95"/>
      <c r="L902" s="56"/>
    </row>
    <row r="903">
      <c r="D903" s="87"/>
      <c r="F903" s="50"/>
      <c r="H903" s="94"/>
      <c r="I903" s="94"/>
      <c r="J903" s="63"/>
      <c r="K903" s="95"/>
      <c r="L903" s="56"/>
    </row>
    <row r="904">
      <c r="D904" s="87"/>
      <c r="F904" s="50"/>
      <c r="H904" s="94"/>
      <c r="I904" s="94"/>
      <c r="J904" s="63"/>
      <c r="K904" s="95"/>
      <c r="L904" s="56"/>
    </row>
    <row r="905">
      <c r="D905" s="87"/>
      <c r="F905" s="50"/>
      <c r="H905" s="94"/>
      <c r="I905" s="94"/>
      <c r="J905" s="63"/>
      <c r="K905" s="95"/>
      <c r="L905" s="56"/>
    </row>
    <row r="906">
      <c r="D906" s="87"/>
      <c r="F906" s="50"/>
      <c r="H906" s="94"/>
      <c r="I906" s="94"/>
      <c r="J906" s="63"/>
      <c r="K906" s="95"/>
      <c r="L906" s="56"/>
    </row>
    <row r="907">
      <c r="D907" s="87"/>
      <c r="F907" s="50"/>
      <c r="H907" s="94"/>
      <c r="I907" s="94"/>
      <c r="J907" s="63"/>
      <c r="K907" s="95"/>
      <c r="L907" s="56"/>
    </row>
    <row r="908">
      <c r="D908" s="87"/>
      <c r="F908" s="50"/>
      <c r="H908" s="94"/>
      <c r="I908" s="94"/>
      <c r="J908" s="63"/>
      <c r="K908" s="95"/>
      <c r="L908" s="56"/>
    </row>
    <row r="909">
      <c r="D909" s="87"/>
      <c r="F909" s="50"/>
      <c r="H909" s="94"/>
      <c r="I909" s="94"/>
      <c r="J909" s="63"/>
      <c r="K909" s="95"/>
      <c r="L909" s="56"/>
    </row>
    <row r="910">
      <c r="D910" s="87"/>
      <c r="F910" s="50"/>
      <c r="H910" s="94"/>
      <c r="I910" s="94"/>
      <c r="J910" s="63"/>
      <c r="K910" s="95"/>
      <c r="L910" s="56"/>
    </row>
    <row r="911">
      <c r="D911" s="87"/>
      <c r="F911" s="50"/>
      <c r="H911" s="94"/>
      <c r="I911" s="94"/>
      <c r="J911" s="63"/>
      <c r="K911" s="95"/>
      <c r="L911" s="56"/>
    </row>
    <row r="912">
      <c r="D912" s="87"/>
      <c r="F912" s="50"/>
      <c r="H912" s="94"/>
      <c r="I912" s="94"/>
      <c r="J912" s="63"/>
      <c r="K912" s="95"/>
      <c r="L912" s="56"/>
    </row>
    <row r="913">
      <c r="D913" s="87"/>
      <c r="F913" s="50"/>
      <c r="H913" s="94"/>
      <c r="I913" s="94"/>
      <c r="J913" s="63"/>
      <c r="K913" s="95"/>
      <c r="L913" s="56"/>
    </row>
    <row r="914">
      <c r="D914" s="87"/>
      <c r="F914" s="50"/>
      <c r="H914" s="94"/>
      <c r="I914" s="94"/>
      <c r="J914" s="63"/>
      <c r="K914" s="95"/>
      <c r="L914" s="56"/>
    </row>
    <row r="915">
      <c r="D915" s="87"/>
      <c r="F915" s="50"/>
      <c r="H915" s="94"/>
      <c r="I915" s="94"/>
      <c r="J915" s="63"/>
      <c r="K915" s="95"/>
      <c r="L915" s="56"/>
    </row>
    <row r="916">
      <c r="D916" s="87"/>
      <c r="F916" s="50"/>
      <c r="H916" s="94"/>
      <c r="I916" s="94"/>
      <c r="J916" s="63"/>
      <c r="K916" s="95"/>
      <c r="L916" s="56"/>
    </row>
    <row r="917">
      <c r="D917" s="87"/>
      <c r="F917" s="50"/>
      <c r="H917" s="94"/>
      <c r="I917" s="94"/>
      <c r="J917" s="63"/>
      <c r="K917" s="95"/>
      <c r="L917" s="56"/>
    </row>
    <row r="918">
      <c r="D918" s="87"/>
      <c r="F918" s="50"/>
      <c r="H918" s="94"/>
      <c r="I918" s="94"/>
      <c r="J918" s="63"/>
      <c r="K918" s="95"/>
      <c r="L918" s="56"/>
    </row>
    <row r="919">
      <c r="D919" s="87"/>
      <c r="F919" s="50"/>
      <c r="H919" s="94"/>
      <c r="I919" s="94"/>
      <c r="J919" s="63"/>
      <c r="K919" s="95"/>
      <c r="L919" s="56"/>
    </row>
    <row r="920">
      <c r="D920" s="87"/>
      <c r="F920" s="50"/>
      <c r="H920" s="94"/>
      <c r="I920" s="94"/>
      <c r="J920" s="63"/>
      <c r="K920" s="95"/>
      <c r="L920" s="56"/>
    </row>
    <row r="921">
      <c r="D921" s="87"/>
      <c r="F921" s="50"/>
      <c r="H921" s="94"/>
      <c r="I921" s="94"/>
      <c r="J921" s="63"/>
      <c r="K921" s="95"/>
      <c r="L921" s="56"/>
    </row>
    <row r="922">
      <c r="D922" s="87"/>
      <c r="F922" s="50"/>
      <c r="H922" s="94"/>
      <c r="I922" s="94"/>
      <c r="J922" s="63"/>
      <c r="K922" s="95"/>
      <c r="L922" s="56"/>
    </row>
    <row r="923">
      <c r="D923" s="87"/>
      <c r="F923" s="50"/>
      <c r="H923" s="94"/>
      <c r="I923" s="94"/>
      <c r="J923" s="63"/>
      <c r="K923" s="95"/>
      <c r="L923" s="56"/>
    </row>
    <row r="924">
      <c r="D924" s="87"/>
      <c r="F924" s="50"/>
      <c r="H924" s="94"/>
      <c r="I924" s="94"/>
      <c r="J924" s="63"/>
      <c r="K924" s="95"/>
      <c r="L924" s="56"/>
    </row>
    <row r="925">
      <c r="D925" s="87"/>
      <c r="F925" s="50"/>
      <c r="H925" s="94"/>
      <c r="I925" s="94"/>
      <c r="J925" s="63"/>
      <c r="K925" s="95"/>
      <c r="L925" s="56"/>
    </row>
    <row r="926">
      <c r="D926" s="87"/>
      <c r="F926" s="50"/>
      <c r="H926" s="94"/>
      <c r="I926" s="94"/>
      <c r="J926" s="63"/>
      <c r="K926" s="95"/>
      <c r="L926" s="56"/>
    </row>
    <row r="927">
      <c r="D927" s="87"/>
      <c r="F927" s="50"/>
      <c r="H927" s="94"/>
      <c r="I927" s="94"/>
      <c r="J927" s="63"/>
      <c r="K927" s="95"/>
      <c r="L927" s="56"/>
    </row>
    <row r="928">
      <c r="D928" s="87"/>
      <c r="F928" s="50"/>
      <c r="H928" s="94"/>
      <c r="I928" s="94"/>
      <c r="J928" s="63"/>
      <c r="K928" s="95"/>
      <c r="L928" s="56"/>
    </row>
    <row r="929">
      <c r="D929" s="87"/>
      <c r="F929" s="50"/>
      <c r="H929" s="94"/>
      <c r="I929" s="94"/>
      <c r="J929" s="63"/>
      <c r="K929" s="95"/>
      <c r="L929" s="56"/>
    </row>
    <row r="930">
      <c r="D930" s="87"/>
      <c r="F930" s="50"/>
      <c r="H930" s="94"/>
      <c r="I930" s="94"/>
      <c r="J930" s="63"/>
      <c r="K930" s="95"/>
      <c r="L930" s="56"/>
    </row>
    <row r="931">
      <c r="D931" s="87"/>
      <c r="F931" s="50"/>
      <c r="H931" s="94"/>
      <c r="I931" s="94"/>
      <c r="J931" s="63"/>
      <c r="K931" s="95"/>
      <c r="L931" s="56"/>
    </row>
    <row r="932">
      <c r="D932" s="87"/>
      <c r="F932" s="50"/>
      <c r="H932" s="94"/>
      <c r="I932" s="94"/>
      <c r="J932" s="63"/>
      <c r="K932" s="95"/>
      <c r="L932" s="56"/>
    </row>
    <row r="933">
      <c r="D933" s="87"/>
      <c r="F933" s="50"/>
      <c r="H933" s="94"/>
      <c r="I933" s="94"/>
      <c r="J933" s="63"/>
      <c r="K933" s="95"/>
      <c r="L933" s="56"/>
    </row>
    <row r="934">
      <c r="D934" s="87"/>
      <c r="F934" s="50"/>
      <c r="H934" s="94"/>
      <c r="I934" s="94"/>
      <c r="J934" s="63"/>
      <c r="K934" s="95"/>
      <c r="L934" s="56"/>
    </row>
    <row r="935">
      <c r="D935" s="87"/>
      <c r="F935" s="50"/>
      <c r="H935" s="94"/>
      <c r="I935" s="94"/>
      <c r="J935" s="63"/>
      <c r="K935" s="95"/>
      <c r="L935" s="56"/>
    </row>
    <row r="936">
      <c r="D936" s="87"/>
      <c r="F936" s="50"/>
      <c r="H936" s="94"/>
      <c r="I936" s="94"/>
      <c r="J936" s="63"/>
      <c r="K936" s="95"/>
      <c r="L936" s="56"/>
    </row>
    <row r="937">
      <c r="D937" s="87"/>
      <c r="F937" s="50"/>
      <c r="H937" s="94"/>
      <c r="I937" s="94"/>
      <c r="J937" s="63"/>
      <c r="K937" s="95"/>
      <c r="L937" s="56"/>
    </row>
    <row r="938">
      <c r="D938" s="87"/>
      <c r="F938" s="50"/>
      <c r="H938" s="94"/>
      <c r="I938" s="94"/>
      <c r="J938" s="63"/>
      <c r="K938" s="95"/>
      <c r="L938" s="56"/>
    </row>
    <row r="939">
      <c r="D939" s="87"/>
      <c r="F939" s="50"/>
      <c r="H939" s="94"/>
      <c r="I939" s="94"/>
      <c r="J939" s="63"/>
      <c r="K939" s="95"/>
      <c r="L939" s="56"/>
    </row>
    <row r="940">
      <c r="D940" s="87"/>
      <c r="F940" s="50"/>
      <c r="H940" s="94"/>
      <c r="I940" s="94"/>
      <c r="J940" s="63"/>
      <c r="K940" s="95"/>
      <c r="L940" s="56"/>
    </row>
    <row r="941">
      <c r="D941" s="87"/>
      <c r="F941" s="50"/>
      <c r="H941" s="94"/>
      <c r="I941" s="94"/>
      <c r="J941" s="63"/>
      <c r="K941" s="95"/>
      <c r="L941" s="56"/>
    </row>
    <row r="942">
      <c r="D942" s="87"/>
      <c r="F942" s="50"/>
      <c r="H942" s="94"/>
      <c r="I942" s="94"/>
      <c r="J942" s="63"/>
      <c r="K942" s="95"/>
      <c r="L942" s="56"/>
    </row>
    <row r="943">
      <c r="D943" s="87"/>
      <c r="F943" s="50"/>
      <c r="H943" s="94"/>
      <c r="I943" s="94"/>
      <c r="J943" s="63"/>
      <c r="K943" s="95"/>
      <c r="L943" s="56"/>
    </row>
    <row r="944">
      <c r="D944" s="87"/>
      <c r="F944" s="50"/>
      <c r="H944" s="94"/>
      <c r="I944" s="94"/>
      <c r="J944" s="63"/>
      <c r="K944" s="95"/>
      <c r="L944" s="56"/>
    </row>
    <row r="945">
      <c r="D945" s="87"/>
      <c r="F945" s="50"/>
      <c r="H945" s="94"/>
      <c r="I945" s="94"/>
      <c r="J945" s="63"/>
      <c r="K945" s="95"/>
      <c r="L945" s="56"/>
    </row>
    <row r="946">
      <c r="D946" s="87"/>
      <c r="F946" s="50"/>
      <c r="H946" s="94"/>
      <c r="I946" s="94"/>
      <c r="J946" s="63"/>
      <c r="K946" s="95"/>
      <c r="L946" s="56"/>
    </row>
    <row r="947">
      <c r="D947" s="87"/>
      <c r="F947" s="50"/>
      <c r="H947" s="94"/>
      <c r="I947" s="94"/>
      <c r="J947" s="63"/>
      <c r="K947" s="95"/>
      <c r="L947" s="56"/>
    </row>
    <row r="948">
      <c r="D948" s="87"/>
      <c r="F948" s="50"/>
      <c r="H948" s="94"/>
      <c r="I948" s="94"/>
      <c r="J948" s="63"/>
      <c r="K948" s="95"/>
      <c r="L948" s="56"/>
    </row>
    <row r="949">
      <c r="D949" s="87"/>
      <c r="F949" s="50"/>
      <c r="H949" s="94"/>
      <c r="I949" s="94"/>
      <c r="J949" s="63"/>
      <c r="K949" s="95"/>
      <c r="L949" s="56"/>
    </row>
    <row r="950">
      <c r="D950" s="87"/>
      <c r="F950" s="50"/>
      <c r="H950" s="94"/>
      <c r="I950" s="94"/>
      <c r="J950" s="63"/>
      <c r="K950" s="95"/>
      <c r="L950" s="56"/>
    </row>
    <row r="951">
      <c r="D951" s="87"/>
      <c r="F951" s="50"/>
      <c r="H951" s="94"/>
      <c r="I951" s="94"/>
      <c r="J951" s="63"/>
      <c r="K951" s="95"/>
      <c r="L951" s="56"/>
    </row>
    <row r="952">
      <c r="D952" s="87"/>
      <c r="F952" s="50"/>
      <c r="H952" s="94"/>
      <c r="I952" s="94"/>
      <c r="J952" s="63"/>
      <c r="K952" s="95"/>
      <c r="L952" s="56"/>
    </row>
    <row r="953">
      <c r="D953" s="87"/>
      <c r="F953" s="50"/>
      <c r="H953" s="94"/>
      <c r="I953" s="94"/>
      <c r="J953" s="63"/>
      <c r="K953" s="95"/>
      <c r="L953" s="56"/>
    </row>
    <row r="954">
      <c r="D954" s="87"/>
      <c r="F954" s="50"/>
      <c r="H954" s="94"/>
      <c r="I954" s="94"/>
      <c r="J954" s="63"/>
      <c r="K954" s="95"/>
      <c r="L954" s="56"/>
    </row>
    <row r="955">
      <c r="D955" s="87"/>
      <c r="F955" s="50"/>
      <c r="H955" s="94"/>
      <c r="I955" s="94"/>
      <c r="J955" s="63"/>
      <c r="K955" s="95"/>
      <c r="L955" s="56"/>
    </row>
    <row r="956">
      <c r="D956" s="87"/>
      <c r="F956" s="50"/>
      <c r="H956" s="94"/>
      <c r="I956" s="94"/>
      <c r="J956" s="63"/>
      <c r="K956" s="95"/>
      <c r="L956" s="56"/>
    </row>
    <row r="957">
      <c r="D957" s="87"/>
      <c r="F957" s="50"/>
      <c r="H957" s="94"/>
      <c r="I957" s="94"/>
      <c r="J957" s="63"/>
      <c r="K957" s="95"/>
      <c r="L957" s="56"/>
    </row>
    <row r="958">
      <c r="D958" s="87"/>
      <c r="F958" s="50"/>
      <c r="H958" s="94"/>
      <c r="I958" s="94"/>
      <c r="J958" s="63"/>
      <c r="K958" s="95"/>
      <c r="L958" s="56"/>
    </row>
    <row r="959">
      <c r="D959" s="87"/>
      <c r="F959" s="50"/>
      <c r="H959" s="94"/>
      <c r="I959" s="94"/>
      <c r="J959" s="63"/>
      <c r="K959" s="95"/>
      <c r="L959" s="56"/>
    </row>
    <row r="960">
      <c r="D960" s="87"/>
      <c r="F960" s="50"/>
      <c r="H960" s="94"/>
      <c r="I960" s="94"/>
      <c r="J960" s="63"/>
      <c r="K960" s="95"/>
      <c r="L960" s="56"/>
    </row>
    <row r="961">
      <c r="D961" s="87"/>
      <c r="F961" s="50"/>
      <c r="H961" s="94"/>
      <c r="I961" s="94"/>
      <c r="J961" s="63"/>
      <c r="K961" s="95"/>
      <c r="L961" s="56"/>
    </row>
    <row r="962">
      <c r="D962" s="87"/>
      <c r="F962" s="50"/>
      <c r="H962" s="94"/>
      <c r="I962" s="94"/>
      <c r="J962" s="63"/>
      <c r="K962" s="95"/>
      <c r="L962" s="56"/>
    </row>
    <row r="963">
      <c r="D963" s="87"/>
      <c r="F963" s="50"/>
      <c r="H963" s="94"/>
      <c r="I963" s="94"/>
      <c r="J963" s="63"/>
      <c r="K963" s="95"/>
      <c r="L963" s="56"/>
    </row>
    <row r="964">
      <c r="D964" s="87"/>
      <c r="F964" s="50"/>
      <c r="H964" s="94"/>
      <c r="I964" s="94"/>
      <c r="J964" s="63"/>
      <c r="K964" s="95"/>
      <c r="L964" s="56"/>
    </row>
    <row r="965">
      <c r="D965" s="87"/>
      <c r="F965" s="50"/>
      <c r="H965" s="94"/>
      <c r="I965" s="94"/>
      <c r="J965" s="63"/>
      <c r="K965" s="95"/>
      <c r="L965" s="56"/>
    </row>
    <row r="966">
      <c r="D966" s="87"/>
      <c r="F966" s="50"/>
      <c r="H966" s="94"/>
      <c r="I966" s="94"/>
      <c r="J966" s="63"/>
      <c r="K966" s="95"/>
      <c r="L966" s="56"/>
    </row>
    <row r="967">
      <c r="D967" s="87"/>
      <c r="F967" s="50"/>
      <c r="H967" s="94"/>
      <c r="I967" s="94"/>
      <c r="J967" s="63"/>
      <c r="K967" s="95"/>
      <c r="L967" s="56"/>
    </row>
    <row r="968">
      <c r="D968" s="87"/>
      <c r="F968" s="50"/>
      <c r="H968" s="94"/>
      <c r="I968" s="94"/>
      <c r="J968" s="63"/>
      <c r="K968" s="95"/>
      <c r="L968" s="56"/>
    </row>
    <row r="969">
      <c r="D969" s="87"/>
      <c r="F969" s="50"/>
      <c r="H969" s="94"/>
      <c r="I969" s="94"/>
      <c r="J969" s="63"/>
      <c r="K969" s="95"/>
      <c r="L969" s="56"/>
    </row>
    <row r="970">
      <c r="D970" s="87"/>
      <c r="F970" s="50"/>
      <c r="H970" s="94"/>
      <c r="I970" s="94"/>
      <c r="J970" s="63"/>
      <c r="K970" s="95"/>
      <c r="L970" s="56"/>
    </row>
    <row r="971">
      <c r="D971" s="87"/>
      <c r="F971" s="50"/>
      <c r="H971" s="94"/>
      <c r="I971" s="94"/>
      <c r="J971" s="63"/>
      <c r="K971" s="95"/>
      <c r="L971" s="56"/>
    </row>
    <row r="972">
      <c r="D972" s="87"/>
      <c r="F972" s="50"/>
      <c r="H972" s="94"/>
      <c r="I972" s="94"/>
      <c r="J972" s="63"/>
      <c r="K972" s="95"/>
      <c r="L972" s="56"/>
    </row>
    <row r="973">
      <c r="D973" s="87"/>
      <c r="F973" s="50"/>
      <c r="H973" s="94"/>
      <c r="I973" s="94"/>
      <c r="J973" s="63"/>
      <c r="K973" s="95"/>
      <c r="L973" s="56"/>
    </row>
    <row r="974">
      <c r="D974" s="87"/>
      <c r="F974" s="50"/>
      <c r="H974" s="94"/>
      <c r="I974" s="94"/>
      <c r="J974" s="63"/>
      <c r="K974" s="95"/>
      <c r="L974" s="56"/>
    </row>
    <row r="975">
      <c r="D975" s="87"/>
      <c r="F975" s="50"/>
      <c r="H975" s="94"/>
      <c r="I975" s="94"/>
      <c r="J975" s="63"/>
      <c r="K975" s="95"/>
      <c r="L975" s="56"/>
    </row>
    <row r="976">
      <c r="D976" s="87"/>
      <c r="F976" s="50"/>
      <c r="H976" s="94"/>
      <c r="I976" s="94"/>
      <c r="J976" s="63"/>
      <c r="K976" s="95"/>
      <c r="L976" s="56"/>
    </row>
    <row r="977">
      <c r="D977" s="87"/>
      <c r="F977" s="50"/>
      <c r="H977" s="94"/>
      <c r="I977" s="94"/>
      <c r="J977" s="63"/>
      <c r="K977" s="95"/>
      <c r="L977" s="56"/>
    </row>
    <row r="978">
      <c r="D978" s="87"/>
      <c r="F978" s="50"/>
      <c r="H978" s="94"/>
      <c r="I978" s="94"/>
      <c r="J978" s="63"/>
      <c r="K978" s="95"/>
      <c r="L978" s="56"/>
    </row>
    <row r="979">
      <c r="D979" s="87"/>
      <c r="F979" s="50"/>
      <c r="H979" s="94"/>
      <c r="I979" s="94"/>
      <c r="J979" s="63"/>
      <c r="K979" s="95"/>
      <c r="L979" s="56"/>
    </row>
    <row r="980">
      <c r="D980" s="87"/>
      <c r="F980" s="50"/>
      <c r="H980" s="94"/>
      <c r="I980" s="94"/>
      <c r="J980" s="63"/>
      <c r="K980" s="95"/>
      <c r="L980" s="56"/>
    </row>
    <row r="981">
      <c r="D981" s="87"/>
      <c r="F981" s="50"/>
      <c r="H981" s="94"/>
      <c r="I981" s="94"/>
      <c r="J981" s="63"/>
      <c r="K981" s="95"/>
      <c r="L981" s="56"/>
    </row>
    <row r="982">
      <c r="D982" s="87"/>
      <c r="F982" s="50"/>
      <c r="H982" s="94"/>
      <c r="I982" s="94"/>
      <c r="J982" s="63"/>
      <c r="K982" s="95"/>
      <c r="L982" s="56"/>
    </row>
    <row r="983">
      <c r="D983" s="87"/>
      <c r="F983" s="50"/>
      <c r="H983" s="94"/>
      <c r="I983" s="94"/>
      <c r="J983" s="63"/>
      <c r="K983" s="95"/>
      <c r="L983" s="56"/>
    </row>
    <row r="984">
      <c r="D984" s="87"/>
      <c r="F984" s="50"/>
      <c r="H984" s="94"/>
      <c r="I984" s="94"/>
      <c r="J984" s="63"/>
      <c r="K984" s="95"/>
      <c r="L984" s="56"/>
    </row>
    <row r="985">
      <c r="D985" s="87"/>
      <c r="F985" s="50"/>
      <c r="H985" s="94"/>
      <c r="I985" s="94"/>
      <c r="J985" s="63"/>
      <c r="K985" s="95"/>
      <c r="L985" s="56"/>
    </row>
    <row r="986">
      <c r="D986" s="87"/>
      <c r="F986" s="50"/>
      <c r="H986" s="94"/>
      <c r="I986" s="94"/>
      <c r="J986" s="63"/>
      <c r="K986" s="95"/>
      <c r="L986" s="56"/>
    </row>
    <row r="987">
      <c r="D987" s="87"/>
      <c r="F987" s="50"/>
      <c r="H987" s="94"/>
      <c r="I987" s="94"/>
      <c r="J987" s="63"/>
      <c r="K987" s="95"/>
      <c r="L987" s="56"/>
    </row>
    <row r="988">
      <c r="D988" s="87"/>
      <c r="F988" s="50"/>
      <c r="H988" s="94"/>
      <c r="I988" s="94"/>
      <c r="J988" s="63"/>
      <c r="K988" s="95"/>
      <c r="L988" s="56"/>
    </row>
    <row r="989">
      <c r="D989" s="87"/>
      <c r="F989" s="50"/>
      <c r="H989" s="94"/>
      <c r="I989" s="94"/>
      <c r="J989" s="63"/>
      <c r="K989" s="95"/>
      <c r="L989" s="56"/>
    </row>
    <row r="990">
      <c r="D990" s="87"/>
      <c r="F990" s="50"/>
      <c r="H990" s="94"/>
      <c r="I990" s="94"/>
      <c r="J990" s="63"/>
      <c r="K990" s="95"/>
      <c r="L990" s="56"/>
    </row>
    <row r="991">
      <c r="D991" s="87"/>
      <c r="F991" s="50"/>
      <c r="H991" s="94"/>
      <c r="I991" s="94"/>
      <c r="J991" s="63"/>
      <c r="K991" s="95"/>
      <c r="L991" s="56"/>
    </row>
    <row r="992">
      <c r="D992" s="87"/>
      <c r="F992" s="50"/>
      <c r="H992" s="94"/>
      <c r="I992" s="94"/>
      <c r="J992" s="63"/>
      <c r="K992" s="95"/>
      <c r="L992" s="56"/>
    </row>
    <row r="993">
      <c r="D993" s="87"/>
      <c r="F993" s="50"/>
      <c r="H993" s="94"/>
      <c r="I993" s="94"/>
      <c r="J993" s="63"/>
      <c r="K993" s="95"/>
      <c r="L993" s="56"/>
    </row>
    <row r="994">
      <c r="D994" s="87"/>
      <c r="F994" s="50"/>
      <c r="H994" s="94"/>
      <c r="I994" s="94"/>
      <c r="J994" s="63"/>
      <c r="K994" s="95"/>
      <c r="L994" s="56"/>
    </row>
    <row r="995">
      <c r="D995" s="87"/>
      <c r="F995" s="50"/>
      <c r="H995" s="94"/>
      <c r="I995" s="94"/>
      <c r="J995" s="63"/>
      <c r="K995" s="95"/>
      <c r="L995" s="56"/>
    </row>
    <row r="996">
      <c r="D996" s="87"/>
      <c r="F996" s="50"/>
      <c r="H996" s="94"/>
      <c r="I996" s="94"/>
      <c r="J996" s="63"/>
      <c r="K996" s="95"/>
      <c r="L996" s="56"/>
    </row>
    <row r="997">
      <c r="D997" s="87"/>
      <c r="F997" s="50"/>
      <c r="H997" s="94"/>
      <c r="I997" s="94"/>
      <c r="J997" s="63"/>
      <c r="K997" s="95"/>
      <c r="L997" s="56"/>
    </row>
    <row r="998">
      <c r="D998" s="87"/>
      <c r="F998" s="50"/>
      <c r="H998" s="94"/>
      <c r="I998" s="94"/>
      <c r="J998" s="63"/>
      <c r="K998" s="95"/>
      <c r="L998" s="56"/>
    </row>
    <row r="999">
      <c r="D999" s="87"/>
      <c r="F999" s="50"/>
      <c r="H999" s="94"/>
      <c r="I999" s="94"/>
      <c r="J999" s="63"/>
      <c r="K999" s="95"/>
      <c r="L999" s="56"/>
    </row>
    <row r="1000">
      <c r="D1000" s="87"/>
      <c r="F1000" s="50"/>
      <c r="H1000" s="94"/>
      <c r="I1000" s="94"/>
      <c r="J1000" s="63"/>
      <c r="K1000" s="95"/>
      <c r="L1000" s="56"/>
    </row>
    <row r="1001">
      <c r="D1001" s="87"/>
      <c r="F1001" s="50"/>
      <c r="H1001" s="94"/>
      <c r="I1001" s="94"/>
      <c r="J1001" s="63"/>
      <c r="K1001" s="95"/>
      <c r="L1001" s="56"/>
    </row>
    <row r="1002">
      <c r="D1002" s="87"/>
      <c r="F1002" s="50"/>
      <c r="H1002" s="94"/>
      <c r="I1002" s="94"/>
      <c r="J1002" s="63"/>
      <c r="K1002" s="95"/>
      <c r="L1002" s="56"/>
    </row>
    <row r="1003">
      <c r="D1003" s="87"/>
      <c r="F1003" s="50"/>
      <c r="H1003" s="94"/>
      <c r="I1003" s="94"/>
      <c r="J1003" s="63"/>
      <c r="K1003" s="95"/>
      <c r="L1003" s="56"/>
    </row>
    <row r="1004">
      <c r="D1004" s="87"/>
      <c r="F1004" s="50"/>
      <c r="H1004" s="94"/>
      <c r="I1004" s="94"/>
      <c r="J1004" s="63"/>
      <c r="K1004" s="95"/>
      <c r="L1004" s="56"/>
    </row>
    <row r="1005">
      <c r="D1005" s="87"/>
      <c r="F1005" s="50"/>
      <c r="H1005" s="94"/>
      <c r="I1005" s="94"/>
      <c r="J1005" s="63"/>
      <c r="K1005" s="95"/>
      <c r="L1005" s="56"/>
    </row>
    <row r="1006">
      <c r="D1006" s="87"/>
      <c r="F1006" s="50"/>
      <c r="H1006" s="94"/>
      <c r="I1006" s="94"/>
      <c r="J1006" s="63"/>
      <c r="K1006" s="95"/>
      <c r="L1006" s="56"/>
    </row>
    <row r="1007">
      <c r="D1007" s="87"/>
      <c r="F1007" s="50"/>
      <c r="H1007" s="94"/>
      <c r="I1007" s="94"/>
      <c r="J1007" s="63"/>
      <c r="K1007" s="95"/>
      <c r="L1007" s="56"/>
    </row>
    <row r="1008">
      <c r="D1008" s="87"/>
      <c r="F1008" s="50"/>
      <c r="H1008" s="94"/>
      <c r="I1008" s="94"/>
      <c r="J1008" s="63"/>
      <c r="K1008" s="95"/>
      <c r="L1008" s="56"/>
    </row>
    <row r="1009">
      <c r="D1009" s="87"/>
      <c r="F1009" s="50"/>
      <c r="H1009" s="94"/>
      <c r="I1009" s="94"/>
      <c r="J1009" s="63"/>
      <c r="K1009" s="95"/>
      <c r="L1009" s="56"/>
    </row>
    <row r="1010">
      <c r="D1010" s="87"/>
      <c r="F1010" s="50"/>
      <c r="H1010" s="94"/>
      <c r="I1010" s="94"/>
      <c r="J1010" s="63"/>
      <c r="K1010" s="95"/>
      <c r="L1010" s="56"/>
    </row>
    <row r="1011">
      <c r="D1011" s="87"/>
      <c r="F1011" s="50"/>
      <c r="H1011" s="94"/>
      <c r="I1011" s="94"/>
      <c r="J1011" s="63"/>
      <c r="K1011" s="95"/>
      <c r="L1011" s="56"/>
    </row>
  </sheetData>
  <conditionalFormatting sqref="D1:D3 D5:D64">
    <cfRule type="cellIs" dxfId="0" priority="1" operator="greaterThan">
      <formula>H1:H64</formula>
    </cfRule>
  </conditionalFormatting>
  <conditionalFormatting sqref="D1:D3 D5:D64">
    <cfRule type="cellIs" dxfId="1" priority="2" operator="lessThanOrEqual">
      <formula>H1:H64</formula>
    </cfRule>
  </conditionalFormatting>
  <dataValidations>
    <dataValidation type="list" allowBlank="1" sqref="A68:A104">
      <formula1>Farms!$P$2:$P$13</formula1>
    </dataValidation>
    <dataValidation type="list" allowBlank="1" sqref="E2:E64">
      <formula1>Farms!$C$106:$C$111</formula1>
    </dataValidation>
    <dataValidation type="list" allowBlank="1" sqref="B2:B62 B64">
      <formula1>Farms!$C$68:$C$104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3.5"/>
    <col customWidth="1" min="5" max="5" width="21.25"/>
    <col customWidth="1" min="6" max="6" width="12.63"/>
    <col customWidth="1" min="7" max="7" width="35.38"/>
    <col customWidth="1" min="8" max="8" width="7.25"/>
    <col customWidth="1" min="9" max="9" width="10.25"/>
    <col customWidth="1" min="10" max="10" width="16.5"/>
    <col customWidth="1" min="11" max="11" width="17.5"/>
    <col customWidth="1" min="12" max="12" width="12.63"/>
    <col customWidth="1" min="13" max="13" width="16.88"/>
  </cols>
  <sheetData>
    <row r="1">
      <c r="A1" s="87" t="str">
        <f>IFERROR(__xludf.DUMMYFUNCTION("IMPORTRANGE(""https://docs.google.com/spreadsheets/d/1d1umGcBflAvJSG85XbMDFWFB-r8uNyLx1DnkM26F2W8/edit?gid=1414208589#gid=1414208589"",""Data!A1:H"")"),"Date")</f>
        <v>Date</v>
      </c>
      <c r="B1" s="70" t="str">
        <f>IFERROR(__xludf.DUMMYFUNCTION("""COMPUTED_VALUE"""),"FARM")</f>
        <v>FARM</v>
      </c>
      <c r="C1" s="87" t="str">
        <f>IFERROR(__xludf.DUMMYFUNCTION("""COMPUTED_VALUE"""),"NET WEIGHT")</f>
        <v>NET WEIGHT</v>
      </c>
      <c r="D1" s="128" t="str">
        <f>IFERROR(__xludf.DUMMYFUNCTION("""COMPUTED_VALUE"""),"MOISTURE")</f>
        <v>MOISTURE</v>
      </c>
      <c r="E1" s="129" t="str">
        <f>IFERROR(__xludf.DUMMYFUNCTION("""COMPUTED_VALUE"""),"CROP")</f>
        <v>CROP</v>
      </c>
      <c r="F1" s="129" t="str">
        <f>IFERROR(__xludf.DUMMYFUNCTION("""COMPUTED_VALUE"""),"TICKET NO.")</f>
        <v>TICKET NO.</v>
      </c>
      <c r="G1" s="87" t="str">
        <f>IFERROR(__xludf.DUMMYFUNCTION("""COMPUTED_VALUE"""),"NOTES")</f>
        <v>NOTES</v>
      </c>
      <c r="H1" s="130" t="str">
        <f>IFERROR(__xludf.DUMMYFUNCTION("""COMPUTED_VALUE"""),"FM")</f>
        <v>FM</v>
      </c>
      <c r="I1" s="131" t="s">
        <v>148</v>
      </c>
      <c r="J1" s="132" t="s">
        <v>149</v>
      </c>
      <c r="K1" s="133" t="s">
        <v>150</v>
      </c>
      <c r="L1" s="132" t="s">
        <v>21</v>
      </c>
      <c r="M1" s="132" t="s">
        <v>126</v>
      </c>
      <c r="N1" s="131" t="s">
        <v>151</v>
      </c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</row>
    <row r="2">
      <c r="A2" s="135">
        <f>IFERROR(__xludf.DUMMYFUNCTION("""COMPUTED_VALUE"""),45860.0)</f>
        <v>45860</v>
      </c>
      <c r="B2" t="str">
        <f>IFERROR(__xludf.DUMMYFUNCTION("""COMPUTED_VALUE"""),"Airport")</f>
        <v>Airport</v>
      </c>
      <c r="C2">
        <f>IFERROR(__xludf.DUMMYFUNCTION("""COMPUTED_VALUE"""),55480.0)</f>
        <v>55480</v>
      </c>
      <c r="D2" s="136">
        <f>IFERROR(__xludf.DUMMYFUNCTION("""COMPUTED_VALUE"""),12.9)</f>
        <v>12.9</v>
      </c>
      <c r="E2" s="137" t="str">
        <f>IFERROR(__xludf.DUMMYFUNCTION("""COMPUTED_VALUE"""),"Rye ")</f>
        <v>Rye </v>
      </c>
      <c r="F2" s="138" t="str">
        <f>IFERROR(__xludf.DUMMYFUNCTION("""COMPUTED_VALUE"""),"H066666")</f>
        <v>H066666</v>
      </c>
      <c r="G2" t="str">
        <f>IFERROR(__xludf.DUMMYFUNCTION("""COMPUTED_VALUE"""),"HBT# 5652 WR Trk# 41")</f>
        <v>HBT# 5652 WR Trk# 41</v>
      </c>
      <c r="H2" s="49">
        <f>IFERROR(__xludf.DUMMYFUNCTION("""COMPUTED_VALUE"""),0.1)</f>
        <v>0.1</v>
      </c>
      <c r="I2" s="139">
        <f t="shared" ref="I2:I29" si="1">if(H2&gt;=1,H2-1,"0")/100</f>
        <v>0</v>
      </c>
      <c r="J2" s="50">
        <f t="shared" ref="J2:J528" si="2">(((100-((D2-N2)*L2))*(C2))/M2)/100</f>
        <v>990.7142857</v>
      </c>
      <c r="K2" s="140">
        <f t="shared" ref="K2:K324" si="3">J2*(1-I2)</f>
        <v>990.7142857</v>
      </c>
      <c r="L2" s="141">
        <f>sumif(Farms!$C$68:$C$104,E1,Farms!$D$68:$D$104)</f>
        <v>0</v>
      </c>
      <c r="M2" s="46">
        <v>56.0</v>
      </c>
      <c r="N2" s="141">
        <f>sumif(Farms!$C$68:$C$104,E1,Farms!$G$68:$G$104)</f>
        <v>0</v>
      </c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</row>
    <row r="3">
      <c r="A3" s="135">
        <f>IFERROR(__xludf.DUMMYFUNCTION("""COMPUTED_VALUE"""),45860.0)</f>
        <v>45860</v>
      </c>
      <c r="B3" s="87" t="str">
        <f>IFERROR(__xludf.DUMMYFUNCTION("""COMPUTED_VALUE"""),"Airport")</f>
        <v>Airport</v>
      </c>
      <c r="C3">
        <f>IFERROR(__xludf.DUMMYFUNCTION("""COMPUTED_VALUE"""),42780.0)</f>
        <v>42780</v>
      </c>
      <c r="D3" s="136">
        <f>IFERROR(__xludf.DUMMYFUNCTION("""COMPUTED_VALUE"""),13.5)</f>
        <v>13.5</v>
      </c>
      <c r="E3" s="137" t="str">
        <f>IFERROR(__xludf.DUMMYFUNCTION("""COMPUTED_VALUE"""),"Rye ")</f>
        <v>Rye </v>
      </c>
      <c r="F3" s="138" t="str">
        <f>IFERROR(__xludf.DUMMYFUNCTION("""COMPUTED_VALUE"""),"H066668")</f>
        <v>H066668</v>
      </c>
      <c r="G3" t="str">
        <f>IFERROR(__xludf.DUMMYFUNCTION("""COMPUTED_VALUE"""),"HBT# 3122 Bob Trk# 5")</f>
        <v>HBT# 3122 Bob Trk# 5</v>
      </c>
      <c r="H3" s="50">
        <f>IFERROR(__xludf.DUMMYFUNCTION("""COMPUTED_VALUE"""),0.2)</f>
        <v>0.2</v>
      </c>
      <c r="I3" s="139">
        <f t="shared" si="1"/>
        <v>0</v>
      </c>
      <c r="J3" s="50">
        <f t="shared" si="2"/>
        <v>763.9285714</v>
      </c>
      <c r="K3" s="140">
        <f t="shared" si="3"/>
        <v>763.9285714</v>
      </c>
      <c r="L3" s="141">
        <f>sumif(Farms!$C$68:$C$104,E3,Farms!$D$68:$D$104)</f>
        <v>0</v>
      </c>
      <c r="M3" s="142">
        <v>56.0</v>
      </c>
      <c r="N3" s="142">
        <v>0.0</v>
      </c>
    </row>
    <row r="4">
      <c r="A4" s="135">
        <f>IFERROR(__xludf.DUMMYFUNCTION("""COMPUTED_VALUE"""),45866.0)</f>
        <v>45866</v>
      </c>
      <c r="B4" s="87" t="str">
        <f>IFERROR(__xludf.DUMMYFUNCTION("""COMPUTED_VALUE"""),"Airport")</f>
        <v>Airport</v>
      </c>
      <c r="C4">
        <f>IFERROR(__xludf.DUMMYFUNCTION("""COMPUTED_VALUE"""),56480.0)</f>
        <v>56480</v>
      </c>
      <c r="D4" s="136">
        <f>IFERROR(__xludf.DUMMYFUNCTION("""COMPUTED_VALUE"""),12.5)</f>
        <v>12.5</v>
      </c>
      <c r="E4" s="137" t="str">
        <f>IFERROR(__xludf.DUMMYFUNCTION("""COMPUTED_VALUE"""),"Rye ")</f>
        <v>Rye </v>
      </c>
      <c r="F4" s="138" t="str">
        <f>IFERROR(__xludf.DUMMYFUNCTION("""COMPUTED_VALUE"""),"H066671")</f>
        <v>H066671</v>
      </c>
      <c r="G4" t="str">
        <f>IFERROR(__xludf.DUMMYFUNCTION("""COMPUTED_VALUE"""),"HBT# 4558 Bob Trk# 63")</f>
        <v>HBT# 4558 Bob Trk# 63</v>
      </c>
      <c r="H4" s="50">
        <f>IFERROR(__xludf.DUMMYFUNCTION("""COMPUTED_VALUE"""),0.1)</f>
        <v>0.1</v>
      </c>
      <c r="I4" s="139">
        <f t="shared" si="1"/>
        <v>0</v>
      </c>
      <c r="J4" s="50">
        <f t="shared" si="2"/>
        <v>1008.571429</v>
      </c>
      <c r="K4" s="140">
        <f t="shared" si="3"/>
        <v>1008.571429</v>
      </c>
      <c r="L4" s="141">
        <f>sumif(Farms!$C$68:$C$104,E4,Farms!$D$68:$D$104)</f>
        <v>0</v>
      </c>
      <c r="M4" s="142">
        <v>56.0</v>
      </c>
      <c r="N4" s="142">
        <v>0.0</v>
      </c>
    </row>
    <row r="5">
      <c r="A5" s="135">
        <f>IFERROR(__xludf.DUMMYFUNCTION("""COMPUTED_VALUE"""),45866.0)</f>
        <v>45866</v>
      </c>
      <c r="B5" s="87" t="str">
        <f>IFERROR(__xludf.DUMMYFUNCTION("""COMPUTED_VALUE"""),"Airport")</f>
        <v>Airport</v>
      </c>
      <c r="C5">
        <f>IFERROR(__xludf.DUMMYFUNCTION("""COMPUTED_VALUE"""),54480.0)</f>
        <v>54480</v>
      </c>
      <c r="D5" s="136">
        <f>IFERROR(__xludf.DUMMYFUNCTION("""COMPUTED_VALUE"""),11.9)</f>
        <v>11.9</v>
      </c>
      <c r="E5" s="137" t="str">
        <f>IFERROR(__xludf.DUMMYFUNCTION("""COMPUTED_VALUE"""),"Rye ")</f>
        <v>Rye </v>
      </c>
      <c r="F5" s="138" t="str">
        <f>IFERROR(__xludf.DUMMYFUNCTION("""COMPUTED_VALUE"""),"H066672")</f>
        <v>H066672</v>
      </c>
      <c r="G5" t="str">
        <f>IFERROR(__xludf.DUMMYFUNCTION("""COMPUTED_VALUE"""),"HBT# 5653 WR Trk# 41")</f>
        <v>HBT# 5653 WR Trk# 41</v>
      </c>
      <c r="H5" s="50">
        <f>IFERROR(__xludf.DUMMYFUNCTION("""COMPUTED_VALUE"""),0.2)</f>
        <v>0.2</v>
      </c>
      <c r="I5" s="139">
        <f t="shared" si="1"/>
        <v>0</v>
      </c>
      <c r="J5" s="50">
        <f t="shared" si="2"/>
        <v>972.8571429</v>
      </c>
      <c r="K5" s="140">
        <f t="shared" si="3"/>
        <v>972.8571429</v>
      </c>
      <c r="L5" s="141">
        <f>sumif(Farms!$C$68:$C$104,E5,Farms!$D$68:$D$104)</f>
        <v>0</v>
      </c>
      <c r="M5" s="142">
        <v>56.0</v>
      </c>
      <c r="N5" s="142">
        <v>0.0</v>
      </c>
    </row>
    <row r="6">
      <c r="A6" s="135">
        <f>IFERROR(__xludf.DUMMYFUNCTION("""COMPUTED_VALUE"""),45866.0)</f>
        <v>45866</v>
      </c>
      <c r="B6" s="87" t="str">
        <f>IFERROR(__xludf.DUMMYFUNCTION("""COMPUTED_VALUE"""),"Airport")</f>
        <v>Airport</v>
      </c>
      <c r="C6">
        <f>IFERROR(__xludf.DUMMYFUNCTION("""COMPUTED_VALUE"""),57020.0)</f>
        <v>57020</v>
      </c>
      <c r="D6" s="136">
        <f>IFERROR(__xludf.DUMMYFUNCTION("""COMPUTED_VALUE"""),12.0)</f>
        <v>12</v>
      </c>
      <c r="E6" s="137" t="str">
        <f>IFERROR(__xludf.DUMMYFUNCTION("""COMPUTED_VALUE"""),"Rye ")</f>
        <v>Rye </v>
      </c>
      <c r="F6" s="138" t="str">
        <f>IFERROR(__xludf.DUMMYFUNCTION("""COMPUTED_VALUE"""),"H066673")</f>
        <v>H066673</v>
      </c>
      <c r="G6" t="str">
        <f>IFERROR(__xludf.DUMMYFUNCTION("""COMPUTED_VALUE"""),"HBT# 3124 Bob Trk# 5")</f>
        <v>HBT# 3124 Bob Trk# 5</v>
      </c>
      <c r="H6" s="50">
        <f>IFERROR(__xludf.DUMMYFUNCTION("""COMPUTED_VALUE"""),0.19)</f>
        <v>0.19</v>
      </c>
      <c r="I6" s="139">
        <f t="shared" si="1"/>
        <v>0</v>
      </c>
      <c r="J6" s="50">
        <f t="shared" si="2"/>
        <v>1018.214286</v>
      </c>
      <c r="K6" s="140">
        <f t="shared" si="3"/>
        <v>1018.214286</v>
      </c>
      <c r="L6" s="141">
        <f>sumif(Farms!$C$68:$C$104,E6,Farms!$D$68:$D$104)</f>
        <v>0</v>
      </c>
      <c r="M6" s="142">
        <v>56.0</v>
      </c>
      <c r="N6" s="142">
        <v>0.0</v>
      </c>
    </row>
    <row r="7">
      <c r="A7" s="135">
        <f>IFERROR(__xludf.DUMMYFUNCTION("""COMPUTED_VALUE"""),45868.0)</f>
        <v>45868</v>
      </c>
      <c r="B7" s="87" t="str">
        <f>IFERROR(__xludf.DUMMYFUNCTION("""COMPUTED_VALUE"""),"Airport")</f>
        <v>Airport</v>
      </c>
      <c r="C7">
        <f>IFERROR(__xludf.DUMMYFUNCTION("""COMPUTED_VALUE"""),55540.0)</f>
        <v>55540</v>
      </c>
      <c r="D7" s="136">
        <f>IFERROR(__xludf.DUMMYFUNCTION("""COMPUTED_VALUE"""),13.0)</f>
        <v>13</v>
      </c>
      <c r="E7" s="137" t="str">
        <f>IFERROR(__xludf.DUMMYFUNCTION("""COMPUTED_VALUE"""),"Rye ")</f>
        <v>Rye </v>
      </c>
      <c r="F7" s="138" t="str">
        <f>IFERROR(__xludf.DUMMYFUNCTION("""COMPUTED_VALUE"""),"H066675")</f>
        <v>H066675</v>
      </c>
      <c r="G7" t="str">
        <f>IFERROR(__xludf.DUMMYFUNCTION("""COMPUTED_VALUE"""),"HBT# 3125 Julianne Trk# 5")</f>
        <v>HBT# 3125 Julianne Trk# 5</v>
      </c>
      <c r="H7" s="50">
        <f>IFERROR(__xludf.DUMMYFUNCTION("""COMPUTED_VALUE"""),0.1)</f>
        <v>0.1</v>
      </c>
      <c r="I7" s="139">
        <f t="shared" si="1"/>
        <v>0</v>
      </c>
      <c r="J7" s="50">
        <f t="shared" si="2"/>
        <v>991.7857143</v>
      </c>
      <c r="K7" s="140">
        <f t="shared" si="3"/>
        <v>991.7857143</v>
      </c>
      <c r="L7" s="141">
        <f>sumif(Farms!$C$68:$C$104,E7,Farms!$D$68:$D$104)</f>
        <v>0</v>
      </c>
      <c r="M7" s="142">
        <v>56.0</v>
      </c>
      <c r="N7" s="142">
        <v>0.0</v>
      </c>
    </row>
    <row r="8">
      <c r="A8" s="135">
        <f>IFERROR(__xludf.DUMMYFUNCTION("""COMPUTED_VALUE"""),45868.0)</f>
        <v>45868</v>
      </c>
      <c r="B8" s="87" t="str">
        <f>IFERROR(__xludf.DUMMYFUNCTION("""COMPUTED_VALUE"""),"Airport")</f>
        <v>Airport</v>
      </c>
      <c r="C8">
        <f>IFERROR(__xludf.DUMMYFUNCTION("""COMPUTED_VALUE"""),55440.0)</f>
        <v>55440</v>
      </c>
      <c r="D8" s="136">
        <f>IFERROR(__xludf.DUMMYFUNCTION("""COMPUTED_VALUE"""),13.1)</f>
        <v>13.1</v>
      </c>
      <c r="E8" s="137" t="str">
        <f>IFERROR(__xludf.DUMMYFUNCTION("""COMPUTED_VALUE"""),"Rye ")</f>
        <v>Rye </v>
      </c>
      <c r="F8" s="138" t="str">
        <f>IFERROR(__xludf.DUMMYFUNCTION("""COMPUTED_VALUE"""),"H066676")</f>
        <v>H066676</v>
      </c>
      <c r="G8" t="str">
        <f>IFERROR(__xludf.DUMMYFUNCTION("""COMPUTED_VALUE"""),"HBT# 5515 WR Trk# 5")</f>
        <v>HBT# 5515 WR Trk# 5</v>
      </c>
      <c r="H8" s="50">
        <f>IFERROR(__xludf.DUMMYFUNCTION("""COMPUTED_VALUE"""),0.2)</f>
        <v>0.2</v>
      </c>
      <c r="I8" s="139">
        <f t="shared" si="1"/>
        <v>0</v>
      </c>
      <c r="J8" s="50">
        <f t="shared" si="2"/>
        <v>990</v>
      </c>
      <c r="K8" s="140">
        <f t="shared" si="3"/>
        <v>990</v>
      </c>
      <c r="L8" s="141">
        <f>sumif(Farms!$C$68:$C$104,E8,Farms!$D$68:$D$104)</f>
        <v>0</v>
      </c>
      <c r="M8" s="142">
        <v>56.0</v>
      </c>
      <c r="N8" s="142">
        <v>0.0</v>
      </c>
    </row>
    <row r="9">
      <c r="A9" s="135">
        <f>IFERROR(__xludf.DUMMYFUNCTION("""COMPUTED_VALUE"""),45868.0)</f>
        <v>45868</v>
      </c>
      <c r="B9" s="87" t="str">
        <f>IFERROR(__xludf.DUMMYFUNCTION("""COMPUTED_VALUE"""),"Airport")</f>
        <v>Airport</v>
      </c>
      <c r="C9">
        <f>IFERROR(__xludf.DUMMYFUNCTION("""COMPUTED_VALUE"""),51340.0)</f>
        <v>51340</v>
      </c>
      <c r="D9" s="136">
        <f>IFERROR(__xludf.DUMMYFUNCTION("""COMPUTED_VALUE"""),13.8)</f>
        <v>13.8</v>
      </c>
      <c r="E9" s="137" t="str">
        <f>IFERROR(__xludf.DUMMYFUNCTION("""COMPUTED_VALUE"""),"Rye ")</f>
        <v>Rye </v>
      </c>
      <c r="F9" s="138" t="str">
        <f>IFERROR(__xludf.DUMMYFUNCTION("""COMPUTED_VALUE"""),"H066677")</f>
        <v>H066677</v>
      </c>
      <c r="G9" t="str">
        <f>IFERROR(__xludf.DUMMYFUNCTION("""COMPUTED_VALUE"""),"HBT# 4559 Gary Trk#63")</f>
        <v>HBT# 4559 Gary Trk#63</v>
      </c>
      <c r="H9" s="50">
        <f>IFERROR(__xludf.DUMMYFUNCTION("""COMPUTED_VALUE"""),0.1)</f>
        <v>0.1</v>
      </c>
      <c r="I9" s="139">
        <f t="shared" si="1"/>
        <v>0</v>
      </c>
      <c r="J9" s="50">
        <f t="shared" si="2"/>
        <v>916.7857143</v>
      </c>
      <c r="K9" s="140">
        <f t="shared" si="3"/>
        <v>916.7857143</v>
      </c>
      <c r="L9" s="141">
        <f>sumif(Farms!$C$68:$C$104,E9,Farms!$D$68:$D$104)</f>
        <v>0</v>
      </c>
      <c r="M9" s="142">
        <v>56.0</v>
      </c>
      <c r="N9" s="142">
        <v>0.0</v>
      </c>
    </row>
    <row r="10">
      <c r="A10" s="135">
        <f>IFERROR(__xludf.DUMMYFUNCTION("""COMPUTED_VALUE"""),45868.0)</f>
        <v>45868</v>
      </c>
      <c r="B10" s="87" t="str">
        <f>IFERROR(__xludf.DUMMYFUNCTION("""COMPUTED_VALUE"""),"Airport")</f>
        <v>Airport</v>
      </c>
      <c r="C10">
        <f>IFERROR(__xludf.DUMMYFUNCTION("""COMPUTED_VALUE"""),53960.0)</f>
        <v>53960</v>
      </c>
      <c r="D10" s="136">
        <f>IFERROR(__xludf.DUMMYFUNCTION("""COMPUTED_VALUE"""),13.6)</f>
        <v>13.6</v>
      </c>
      <c r="E10" s="137" t="str">
        <f>IFERROR(__xludf.DUMMYFUNCTION("""COMPUTED_VALUE"""),"Rye ")</f>
        <v>Rye </v>
      </c>
      <c r="F10" s="138" t="str">
        <f>IFERROR(__xludf.DUMMYFUNCTION("""COMPUTED_VALUE"""),"H066679")</f>
        <v>H066679</v>
      </c>
      <c r="G10" t="str">
        <f>IFERROR(__xludf.DUMMYFUNCTION("""COMPUTED_VALUE"""),"HBT# 5654 Gary Trk# 41")</f>
        <v>HBT# 5654 Gary Trk# 41</v>
      </c>
      <c r="H10" s="50">
        <f>IFERROR(__xludf.DUMMYFUNCTION("""COMPUTED_VALUE"""),0.1)</f>
        <v>0.1</v>
      </c>
      <c r="I10" s="139">
        <f t="shared" si="1"/>
        <v>0</v>
      </c>
      <c r="J10" s="50">
        <f t="shared" si="2"/>
        <v>963.5714286</v>
      </c>
      <c r="K10" s="140">
        <f t="shared" si="3"/>
        <v>963.5714286</v>
      </c>
      <c r="L10" s="141">
        <f>sumif(Farms!$C$68:$C$104,E10,Farms!$D$68:$D$104)</f>
        <v>0</v>
      </c>
      <c r="M10" s="142">
        <v>56.0</v>
      </c>
      <c r="N10" s="142">
        <v>0.0</v>
      </c>
    </row>
    <row r="11">
      <c r="A11" s="135">
        <f>IFERROR(__xludf.DUMMYFUNCTION("""COMPUTED_VALUE"""),45873.0)</f>
        <v>45873</v>
      </c>
      <c r="B11" s="87" t="str">
        <f>IFERROR(__xludf.DUMMYFUNCTION("""COMPUTED_VALUE"""),"Airport")</f>
        <v>Airport</v>
      </c>
      <c r="C11">
        <f>IFERROR(__xludf.DUMMYFUNCTION("""COMPUTED_VALUE"""),59780.0)</f>
        <v>59780</v>
      </c>
      <c r="D11" s="136">
        <f>IFERROR(__xludf.DUMMYFUNCTION("""COMPUTED_VALUE"""),13.0)</f>
        <v>13</v>
      </c>
      <c r="E11" s="137" t="str">
        <f>IFERROR(__xludf.DUMMYFUNCTION("""COMPUTED_VALUE"""),"Rye ")</f>
        <v>Rye </v>
      </c>
      <c r="F11" s="138" t="str">
        <f>IFERROR(__xludf.DUMMYFUNCTION("""COMPUTED_VALUE"""),"H066689")</f>
        <v>H066689</v>
      </c>
      <c r="G11" t="str">
        <f>IFERROR(__xludf.DUMMYFUNCTION("""COMPUTED_VALUE"""),"HBT# 3126 Julianne Trk# 5")</f>
        <v>HBT# 3126 Julianne Trk# 5</v>
      </c>
      <c r="H11" s="50">
        <f>IFERROR(__xludf.DUMMYFUNCTION("""COMPUTED_VALUE"""),0.2)</f>
        <v>0.2</v>
      </c>
      <c r="I11" s="139">
        <f t="shared" si="1"/>
        <v>0</v>
      </c>
      <c r="J11" s="50">
        <f t="shared" si="2"/>
        <v>1067.5</v>
      </c>
      <c r="K11" s="140">
        <f t="shared" si="3"/>
        <v>1067.5</v>
      </c>
      <c r="L11" s="141">
        <f>sumif(Farms!$C$68:$C$104,E11,Farms!$D$68:$D$104)</f>
        <v>0</v>
      </c>
      <c r="M11" s="142">
        <v>56.0</v>
      </c>
      <c r="N11" s="142">
        <v>0.0</v>
      </c>
    </row>
    <row r="12">
      <c r="A12" s="135">
        <f>IFERROR(__xludf.DUMMYFUNCTION("""COMPUTED_VALUE"""),45873.0)</f>
        <v>45873</v>
      </c>
      <c r="B12" s="87" t="str">
        <f>IFERROR(__xludf.DUMMYFUNCTION("""COMPUTED_VALUE"""),"Airport")</f>
        <v>Airport</v>
      </c>
      <c r="C12">
        <f>IFERROR(__xludf.DUMMYFUNCTION("""COMPUTED_VALUE"""),48520.0)</f>
        <v>48520</v>
      </c>
      <c r="D12" s="136">
        <f>IFERROR(__xludf.DUMMYFUNCTION("""COMPUTED_VALUE"""),12.3)</f>
        <v>12.3</v>
      </c>
      <c r="E12" s="137" t="str">
        <f>IFERROR(__xludf.DUMMYFUNCTION("""COMPUTED_VALUE"""),"Rye ")</f>
        <v>Rye </v>
      </c>
      <c r="F12" s="138" t="str">
        <f>IFERROR(__xludf.DUMMYFUNCTION("""COMPUTED_VALUE"""),"H066690")</f>
        <v>H066690</v>
      </c>
      <c r="G12" t="str">
        <f>IFERROR(__xludf.DUMMYFUNCTION("""COMPUTED_VALUE"""),"HBT# 4560 Bob Trk# 63")</f>
        <v>HBT# 4560 Bob Trk# 63</v>
      </c>
      <c r="H12" s="50">
        <f>IFERROR(__xludf.DUMMYFUNCTION("""COMPUTED_VALUE"""),0.1)</f>
        <v>0.1</v>
      </c>
      <c r="I12" s="139">
        <f t="shared" si="1"/>
        <v>0</v>
      </c>
      <c r="J12" s="50">
        <f t="shared" si="2"/>
        <v>866.4285714</v>
      </c>
      <c r="K12" s="140">
        <f t="shared" si="3"/>
        <v>866.4285714</v>
      </c>
      <c r="L12" s="141">
        <f>sumif(Farms!$C$68:$C$104,E12,Farms!$D$68:$D$104)</f>
        <v>0</v>
      </c>
      <c r="M12" s="142">
        <v>56.0</v>
      </c>
      <c r="N12" s="142">
        <v>0.0</v>
      </c>
    </row>
    <row r="13">
      <c r="A13" s="135">
        <f>IFERROR(__xludf.DUMMYFUNCTION("""COMPUTED_VALUE"""),45873.0)</f>
        <v>45873</v>
      </c>
      <c r="B13" s="87" t="str">
        <f>IFERROR(__xludf.DUMMYFUNCTION("""COMPUTED_VALUE"""),"Airport")</f>
        <v>Airport</v>
      </c>
      <c r="C13">
        <f>IFERROR(__xludf.DUMMYFUNCTION("""COMPUTED_VALUE"""),57760.0)</f>
        <v>57760</v>
      </c>
      <c r="D13" s="136">
        <f>IFERROR(__xludf.DUMMYFUNCTION("""COMPUTED_VALUE"""),12.9)</f>
        <v>12.9</v>
      </c>
      <c r="E13" s="137" t="str">
        <f>IFERROR(__xludf.DUMMYFUNCTION("""COMPUTED_VALUE"""),"Rye ")</f>
        <v>Rye </v>
      </c>
      <c r="F13" s="138" t="str">
        <f>IFERROR(__xludf.DUMMYFUNCTION("""COMPUTED_VALUE"""),"H066691")</f>
        <v>H066691</v>
      </c>
      <c r="G13" t="str">
        <f>IFERROR(__xludf.DUMMYFUNCTION("""COMPUTED_VALUE"""),"HBT# 5516  Tanner Trk# 2")</f>
        <v>HBT# 5516  Tanner Trk# 2</v>
      </c>
      <c r="H13" s="50">
        <f>IFERROR(__xludf.DUMMYFUNCTION("""COMPUTED_VALUE"""),0.2)</f>
        <v>0.2</v>
      </c>
      <c r="I13" s="139">
        <f t="shared" si="1"/>
        <v>0</v>
      </c>
      <c r="J13" s="50">
        <f t="shared" si="2"/>
        <v>1031.428571</v>
      </c>
      <c r="K13" s="140">
        <f t="shared" si="3"/>
        <v>1031.428571</v>
      </c>
      <c r="L13" s="141">
        <f>sumif(Farms!$C$68:$C$104,E13,Farms!$D$68:$D$104)</f>
        <v>0</v>
      </c>
      <c r="M13" s="142">
        <v>56.0</v>
      </c>
      <c r="N13" s="142">
        <v>0.0</v>
      </c>
    </row>
    <row r="14">
      <c r="A14" s="135">
        <f>IFERROR(__xludf.DUMMYFUNCTION("""COMPUTED_VALUE"""),45873.0)</f>
        <v>45873</v>
      </c>
      <c r="B14" s="87" t="str">
        <f>IFERROR(__xludf.DUMMYFUNCTION("""COMPUTED_VALUE"""),"Airport")</f>
        <v>Airport</v>
      </c>
      <c r="C14">
        <f>IFERROR(__xludf.DUMMYFUNCTION("""COMPUTED_VALUE"""),56400.0)</f>
        <v>56400</v>
      </c>
      <c r="D14" s="136">
        <f>IFERROR(__xludf.DUMMYFUNCTION("""COMPUTED_VALUE"""),12.0)</f>
        <v>12</v>
      </c>
      <c r="E14" s="137" t="str">
        <f>IFERROR(__xludf.DUMMYFUNCTION("""COMPUTED_VALUE"""),"Rye ")</f>
        <v>Rye </v>
      </c>
      <c r="F14" s="138" t="str">
        <f>IFERROR(__xludf.DUMMYFUNCTION("""COMPUTED_VALUE"""),"H066693")</f>
        <v>H066693</v>
      </c>
      <c r="G14" t="str">
        <f>IFERROR(__xludf.DUMMYFUNCTION("""COMPUTED_VALUE"""),"HBT# 4561  Bob Trk# 63")</f>
        <v>HBT# 4561  Bob Trk# 63</v>
      </c>
      <c r="H14" s="50">
        <f>IFERROR(__xludf.DUMMYFUNCTION("""COMPUTED_VALUE"""),0.1)</f>
        <v>0.1</v>
      </c>
      <c r="I14" s="139">
        <f t="shared" si="1"/>
        <v>0</v>
      </c>
      <c r="J14" s="50">
        <f t="shared" si="2"/>
        <v>1007.142857</v>
      </c>
      <c r="K14" s="140">
        <f t="shared" si="3"/>
        <v>1007.142857</v>
      </c>
      <c r="L14" s="141">
        <f>sumif(Farms!$C$68:$C$104,E14,Farms!$D$68:$D$104)</f>
        <v>0</v>
      </c>
      <c r="M14" s="141">
        <f>sumif(Farms!$C$68:$C$104,E14,Farms!$F$68:$F$104)</f>
        <v>56</v>
      </c>
      <c r="N14" s="141">
        <f>sumif(Farms!$C$68:$C$104,E14,Farms!$G$68:$G$104)</f>
        <v>13</v>
      </c>
    </row>
    <row r="15">
      <c r="A15" s="135">
        <f>IFERROR(__xludf.DUMMYFUNCTION("""COMPUTED_VALUE"""),45874.0)</f>
        <v>45874</v>
      </c>
      <c r="B15" s="87" t="str">
        <f>IFERROR(__xludf.DUMMYFUNCTION("""COMPUTED_VALUE"""),"Airport")</f>
        <v>Airport</v>
      </c>
      <c r="C15">
        <f>IFERROR(__xludf.DUMMYFUNCTION("""COMPUTED_VALUE"""),57040.0)</f>
        <v>57040</v>
      </c>
      <c r="D15" s="136">
        <f>IFERROR(__xludf.DUMMYFUNCTION("""COMPUTED_VALUE"""),14.3)</f>
        <v>14.3</v>
      </c>
      <c r="E15" s="137" t="str">
        <f>IFERROR(__xludf.DUMMYFUNCTION("""COMPUTED_VALUE"""),"Rye ")</f>
        <v>Rye </v>
      </c>
      <c r="F15" s="138" t="str">
        <f>IFERROR(__xludf.DUMMYFUNCTION("""COMPUTED_VALUE"""),"H066694")</f>
        <v>H066694</v>
      </c>
      <c r="G15" t="str">
        <f>IFERROR(__xludf.DUMMYFUNCTION("""COMPUTED_VALUE"""),"HBT# 4562  Bob Trk# 63")</f>
        <v>HBT# 4562  Bob Trk# 63</v>
      </c>
      <c r="H15" s="50">
        <f>IFERROR(__xludf.DUMMYFUNCTION("""COMPUTED_VALUE"""),0.3)</f>
        <v>0.3</v>
      </c>
      <c r="I15" s="139">
        <f t="shared" si="1"/>
        <v>0</v>
      </c>
      <c r="J15" s="50">
        <f t="shared" si="2"/>
        <v>1018.571429</v>
      </c>
      <c r="K15" s="140">
        <f t="shared" si="3"/>
        <v>1018.571429</v>
      </c>
      <c r="L15" s="141">
        <f>sumif(Farms!$C$68:$C$104,E15,Farms!$D$68:$D$104)</f>
        <v>0</v>
      </c>
      <c r="M15" s="141">
        <f>sumif(Farms!$C$68:$C$104,E15,Farms!$F$68:$F$104)</f>
        <v>56</v>
      </c>
      <c r="N15" s="141">
        <f>sumif(Farms!$C$68:$C$104,E15,Farms!$G$68:$G$104)</f>
        <v>13</v>
      </c>
    </row>
    <row r="16">
      <c r="A16" s="135">
        <f>IFERROR(__xludf.DUMMYFUNCTION("""COMPUTED_VALUE"""),45874.0)</f>
        <v>45874</v>
      </c>
      <c r="B16" s="87" t="str">
        <f>IFERROR(__xludf.DUMMYFUNCTION("""COMPUTED_VALUE"""),"Airport")</f>
        <v>Airport</v>
      </c>
      <c r="C16">
        <f>IFERROR(__xludf.DUMMYFUNCTION("""COMPUTED_VALUE"""),56960.0)</f>
        <v>56960</v>
      </c>
      <c r="D16" s="136">
        <f>IFERROR(__xludf.DUMMYFUNCTION("""COMPUTED_VALUE"""),13.0)</f>
        <v>13</v>
      </c>
      <c r="E16" s="137" t="str">
        <f>IFERROR(__xludf.DUMMYFUNCTION("""COMPUTED_VALUE"""),"Rye ")</f>
        <v>Rye </v>
      </c>
      <c r="F16" s="138" t="str">
        <f>IFERROR(__xludf.DUMMYFUNCTION("""COMPUTED_VALUE"""),"H066695")</f>
        <v>H066695</v>
      </c>
      <c r="G16" t="str">
        <f>IFERROR(__xludf.DUMMYFUNCTION("""COMPUTED_VALUE"""),"HBT# 4563  Bob Trk# 63")</f>
        <v>HBT# 4563  Bob Trk# 63</v>
      </c>
      <c r="H16" s="50">
        <f>IFERROR(__xludf.DUMMYFUNCTION("""COMPUTED_VALUE"""),0.4)</f>
        <v>0.4</v>
      </c>
      <c r="I16" s="139">
        <f t="shared" si="1"/>
        <v>0</v>
      </c>
      <c r="J16" s="50">
        <f t="shared" si="2"/>
        <v>1017.142857</v>
      </c>
      <c r="K16" s="140">
        <f t="shared" si="3"/>
        <v>1017.142857</v>
      </c>
      <c r="L16" s="141">
        <f>sumif(Farms!$C$68:$C$104,E16,Farms!$D$68:$D$104)</f>
        <v>0</v>
      </c>
      <c r="M16" s="141">
        <f>sumif(Farms!$C$68:$C$104,E16,Farms!$F$68:$F$104)</f>
        <v>56</v>
      </c>
      <c r="N16" s="141">
        <f>sumif(Farms!$C$68:$C$104,E16,Farms!$G$68:$G$104)</f>
        <v>13</v>
      </c>
    </row>
    <row r="17">
      <c r="A17" s="135">
        <f>IFERROR(__xludf.DUMMYFUNCTION("""COMPUTED_VALUE"""),45874.0)</f>
        <v>45874</v>
      </c>
      <c r="B17" s="87" t="str">
        <f>IFERROR(__xludf.DUMMYFUNCTION("""COMPUTED_VALUE"""),"Airport")</f>
        <v>Airport</v>
      </c>
      <c r="C17">
        <f>IFERROR(__xludf.DUMMYFUNCTION("""COMPUTED_VALUE"""),55100.0)</f>
        <v>55100</v>
      </c>
      <c r="D17" s="136">
        <f>IFERROR(__xludf.DUMMYFUNCTION("""COMPUTED_VALUE"""),12.6)</f>
        <v>12.6</v>
      </c>
      <c r="E17" s="137" t="str">
        <f>IFERROR(__xludf.DUMMYFUNCTION("""COMPUTED_VALUE"""),"Rye ")</f>
        <v>Rye </v>
      </c>
      <c r="F17" s="138" t="str">
        <f>IFERROR(__xludf.DUMMYFUNCTION("""COMPUTED_VALUE"""),"H066696")</f>
        <v>H066696</v>
      </c>
      <c r="G17" t="str">
        <f>IFERROR(__xludf.DUMMYFUNCTION("""COMPUTED_VALUE"""),"HBT# 5517 Tanner Trk# 2")</f>
        <v>HBT# 5517 Tanner Trk# 2</v>
      </c>
      <c r="H17" s="50">
        <f>IFERROR(__xludf.DUMMYFUNCTION("""COMPUTED_VALUE"""),0.2)</f>
        <v>0.2</v>
      </c>
      <c r="I17" s="139">
        <f t="shared" si="1"/>
        <v>0</v>
      </c>
      <c r="J17" s="50">
        <f t="shared" si="2"/>
        <v>983.9285714</v>
      </c>
      <c r="K17" s="140">
        <f t="shared" si="3"/>
        <v>983.9285714</v>
      </c>
      <c r="L17" s="141">
        <f>sumif(Farms!$C$68:$C$104,E17,Farms!$D$68:$D$104)</f>
        <v>0</v>
      </c>
      <c r="M17" s="141">
        <f>sumif(Farms!$C$68:$C$104,E17,Farms!$F$68:$F$104)</f>
        <v>56</v>
      </c>
      <c r="N17" s="141">
        <f>sumif(Farms!$C$68:$C$104,E17,Farms!$G$68:$G$104)</f>
        <v>13</v>
      </c>
    </row>
    <row r="18">
      <c r="A18" s="135">
        <f>IFERROR(__xludf.DUMMYFUNCTION("""COMPUTED_VALUE"""),45873.0)</f>
        <v>45873</v>
      </c>
      <c r="B18" s="87" t="str">
        <f>IFERROR(__xludf.DUMMYFUNCTION("""COMPUTED_VALUE"""),"Airport")</f>
        <v>Airport</v>
      </c>
      <c r="C18">
        <f>IFERROR(__xludf.DUMMYFUNCTION("""COMPUTED_VALUE"""),55960.0)</f>
        <v>55960</v>
      </c>
      <c r="D18" s="136">
        <f>IFERROR(__xludf.DUMMYFUNCTION("""COMPUTED_VALUE"""),13.6)</f>
        <v>13.6</v>
      </c>
      <c r="E18" s="137" t="str">
        <f>IFERROR(__xludf.DUMMYFUNCTION("""COMPUTED_VALUE"""),"Rye ")</f>
        <v>Rye </v>
      </c>
      <c r="F18" s="138" t="str">
        <f>IFERROR(__xludf.DUMMYFUNCTION("""COMPUTED_VALUE"""),"H066697")</f>
        <v>H066697</v>
      </c>
      <c r="G18" t="str">
        <f>IFERROR(__xludf.DUMMYFUNCTION("""COMPUTED_VALUE"""),"HBT# 3127 4 Trk# 5 Julianne")</f>
        <v>HBT# 3127 4 Trk# 5 Julianne</v>
      </c>
      <c r="H18" s="50">
        <f>IFERROR(__xludf.DUMMYFUNCTION("""COMPUTED_VALUE"""),0.1)</f>
        <v>0.1</v>
      </c>
      <c r="I18" s="139">
        <f t="shared" si="1"/>
        <v>0</v>
      </c>
      <c r="J18" s="50">
        <f t="shared" si="2"/>
        <v>999.2857143</v>
      </c>
      <c r="K18" s="140">
        <f t="shared" si="3"/>
        <v>999.2857143</v>
      </c>
      <c r="L18" s="141">
        <f>sumif(Farms!$C$68:$C$104,E18,Farms!$D$68:$D$104)</f>
        <v>0</v>
      </c>
      <c r="M18" s="141">
        <f>sumif(Farms!$C$68:$C$104,E18,Farms!$F$68:$F$104)</f>
        <v>56</v>
      </c>
      <c r="N18" s="141">
        <f>sumif(Farms!$C$68:$C$104,E18,Farms!$G$68:$G$104)</f>
        <v>13</v>
      </c>
    </row>
    <row r="19">
      <c r="A19" s="135">
        <f>IFERROR(__xludf.DUMMYFUNCTION("""COMPUTED_VALUE"""),45876.0)</f>
        <v>45876</v>
      </c>
      <c r="B19" s="87" t="str">
        <f>IFERROR(__xludf.DUMMYFUNCTION("""COMPUTED_VALUE"""),"Airport")</f>
        <v>Airport</v>
      </c>
      <c r="C19">
        <f>IFERROR(__xludf.DUMMYFUNCTION("""COMPUTED_VALUE"""),57440.0)</f>
        <v>57440</v>
      </c>
      <c r="D19" s="136">
        <f>IFERROR(__xludf.DUMMYFUNCTION("""COMPUTED_VALUE"""),13.1)</f>
        <v>13.1</v>
      </c>
      <c r="E19" s="137" t="str">
        <f>IFERROR(__xludf.DUMMYFUNCTION("""COMPUTED_VALUE"""),"Rye ")</f>
        <v>Rye </v>
      </c>
      <c r="F19" s="138" t="str">
        <f>IFERROR(__xludf.DUMMYFUNCTION("""COMPUTED_VALUE"""),"H066700")</f>
        <v>H066700</v>
      </c>
      <c r="G19" t="str">
        <f>IFERROR(__xludf.DUMMYFUNCTION("""COMPUTED_VALUE"""),"Blue Ticket 5075 truck 3 Bob ")</f>
        <v>Blue Ticket 5075 truck 3 Bob </v>
      </c>
      <c r="H19" s="50">
        <f>IFERROR(__xludf.DUMMYFUNCTION("""COMPUTED_VALUE"""),0.4)</f>
        <v>0.4</v>
      </c>
      <c r="I19" s="139">
        <f t="shared" si="1"/>
        <v>0</v>
      </c>
      <c r="J19" s="50">
        <f t="shared" si="2"/>
        <v>1025.714286</v>
      </c>
      <c r="K19" s="140">
        <f t="shared" si="3"/>
        <v>1025.714286</v>
      </c>
      <c r="L19" s="141">
        <f>sumif(Farms!$C$68:$C$104,E19,Farms!$D$68:$D$104)</f>
        <v>0</v>
      </c>
      <c r="M19" s="141">
        <f>sumif(Farms!$C$68:$C$104,E19,Farms!$F$68:$F$104)</f>
        <v>56</v>
      </c>
      <c r="N19" s="141">
        <f>sumif(Farms!$C$68:$C$104,E19,Farms!$G$68:$G$104)</f>
        <v>13</v>
      </c>
      <c r="O19" s="46" t="s">
        <v>152</v>
      </c>
    </row>
    <row r="20">
      <c r="A20" s="135">
        <f>IFERROR(__xludf.DUMMYFUNCTION("""COMPUTED_VALUE"""),45876.0)</f>
        <v>45876</v>
      </c>
      <c r="B20" s="87" t="str">
        <f>IFERROR(__xludf.DUMMYFUNCTION("""COMPUTED_VALUE"""),"Airport")</f>
        <v>Airport</v>
      </c>
      <c r="C20">
        <f>IFERROR(__xludf.DUMMYFUNCTION("""COMPUTED_VALUE"""),53100.0)</f>
        <v>53100</v>
      </c>
      <c r="D20" s="136">
        <f>IFERROR(__xludf.DUMMYFUNCTION("""COMPUTED_VALUE"""),12.6)</f>
        <v>12.6</v>
      </c>
      <c r="E20" s="137" t="str">
        <f>IFERROR(__xludf.DUMMYFUNCTION("""COMPUTED_VALUE"""),"Rye ")</f>
        <v>Rye </v>
      </c>
      <c r="F20" s="138" t="str">
        <f>IFERROR(__xludf.DUMMYFUNCTION("""COMPUTED_VALUE"""),"H066701")</f>
        <v>H066701</v>
      </c>
      <c r="G20" t="str">
        <f>IFERROR(__xludf.DUMMYFUNCTION("""COMPUTED_VALUE"""),"HBT# 4564 Airport Hipps Truck # 5 Bob Blue")</f>
        <v>HBT# 4564 Airport Hipps Truck # 5 Bob Blue</v>
      </c>
      <c r="H20" s="50">
        <f>IFERROR(__xludf.DUMMYFUNCTION("""COMPUTED_VALUE"""),0.2)</f>
        <v>0.2</v>
      </c>
      <c r="I20" s="139">
        <f t="shared" si="1"/>
        <v>0</v>
      </c>
      <c r="J20" s="50">
        <f t="shared" si="2"/>
        <v>948.2142857</v>
      </c>
      <c r="K20" s="140">
        <f t="shared" si="3"/>
        <v>948.2142857</v>
      </c>
      <c r="L20" s="141">
        <f>sumif(Farms!$C$68:$C$104,E20,Farms!$D$68:$D$104)</f>
        <v>0</v>
      </c>
      <c r="M20" s="141">
        <f>sumif(Farms!$C$68:$C$104,E20,Farms!$F$68:$F$104)</f>
        <v>56</v>
      </c>
      <c r="N20" s="141">
        <f>sumif(Farms!$C$68:$C$104,E20,Farms!$G$68:$G$104)</f>
        <v>13</v>
      </c>
    </row>
    <row r="21">
      <c r="A21" s="135">
        <f>IFERROR(__xludf.DUMMYFUNCTION("""COMPUTED_VALUE"""),45876.0)</f>
        <v>45876</v>
      </c>
      <c r="B21" s="87" t="str">
        <f>IFERROR(__xludf.DUMMYFUNCTION("""COMPUTED_VALUE"""),"Airport")</f>
        <v>Airport</v>
      </c>
      <c r="C21">
        <f>IFERROR(__xludf.DUMMYFUNCTION("""COMPUTED_VALUE"""),55020.0)</f>
        <v>55020</v>
      </c>
      <c r="D21" s="136">
        <f>IFERROR(__xludf.DUMMYFUNCTION("""COMPUTED_VALUE"""),12.6)</f>
        <v>12.6</v>
      </c>
      <c r="E21" s="137" t="str">
        <f>IFERROR(__xludf.DUMMYFUNCTION("""COMPUTED_VALUE"""),"Rye ")</f>
        <v>Rye </v>
      </c>
      <c r="F21" s="138" t="str">
        <f>IFERROR(__xludf.DUMMYFUNCTION("""COMPUTED_VALUE"""),"H066702")</f>
        <v>H066702</v>
      </c>
      <c r="G21" t="str">
        <f>IFERROR(__xludf.DUMMYFUNCTION("""COMPUTED_VALUE"""),"HBT#3128 Airport Hipps Truck # 5 Bob")</f>
        <v>HBT#3128 Airport Hipps Truck # 5 Bob</v>
      </c>
      <c r="H21" s="50">
        <f>IFERROR(__xludf.DUMMYFUNCTION("""COMPUTED_VALUE"""),0.2)</f>
        <v>0.2</v>
      </c>
      <c r="I21" s="139">
        <f t="shared" si="1"/>
        <v>0</v>
      </c>
      <c r="J21" s="50">
        <f t="shared" si="2"/>
        <v>982.5</v>
      </c>
      <c r="K21" s="140">
        <f t="shared" si="3"/>
        <v>982.5</v>
      </c>
      <c r="L21" s="141">
        <f>sumif(Farms!$C$68:$C$104,E21,Farms!$D$68:$D$104)</f>
        <v>0</v>
      </c>
      <c r="M21" s="141">
        <f>sumif(Farms!$C$68:$C$104,E21,Farms!$F$68:$F$104)</f>
        <v>56</v>
      </c>
      <c r="N21" s="141">
        <f>sumif(Farms!$C$68:$C$104,E21,Farms!$G$68:$G$104)</f>
        <v>13</v>
      </c>
    </row>
    <row r="22">
      <c r="A22" s="135">
        <f>IFERROR(__xludf.DUMMYFUNCTION("""COMPUTED_VALUE"""),45877.0)</f>
        <v>45877</v>
      </c>
      <c r="B22" s="87" t="str">
        <f>IFERROR(__xludf.DUMMYFUNCTION("""COMPUTED_VALUE"""),"Airport")</f>
        <v>Airport</v>
      </c>
      <c r="C22">
        <f>IFERROR(__xludf.DUMMYFUNCTION("""COMPUTED_VALUE"""),57260.0)</f>
        <v>57260</v>
      </c>
      <c r="D22" s="136">
        <f>IFERROR(__xludf.DUMMYFUNCTION("""COMPUTED_VALUE"""),13.7)</f>
        <v>13.7</v>
      </c>
      <c r="E22" s="137" t="str">
        <f>IFERROR(__xludf.DUMMYFUNCTION("""COMPUTED_VALUE"""),"Rye ")</f>
        <v>Rye </v>
      </c>
      <c r="F22" s="138" t="str">
        <f>IFERROR(__xludf.DUMMYFUNCTION("""COMPUTED_VALUE"""),"H066703")</f>
        <v>H066703</v>
      </c>
      <c r="G22" t="str">
        <f>IFERROR(__xludf.DUMMYFUNCTION("""COMPUTED_VALUE"""),"Hipps and Jrs HBT # 5076 #3 Bob")</f>
        <v>Hipps and Jrs HBT # 5076 #3 Bob</v>
      </c>
      <c r="H22" s="50">
        <f>IFERROR(__xludf.DUMMYFUNCTION("""COMPUTED_VALUE"""),0.09)</f>
        <v>0.09</v>
      </c>
      <c r="I22" s="139">
        <f t="shared" si="1"/>
        <v>0</v>
      </c>
      <c r="J22" s="50">
        <f t="shared" si="2"/>
        <v>1022.5</v>
      </c>
      <c r="K22" s="140">
        <f t="shared" si="3"/>
        <v>1022.5</v>
      </c>
      <c r="L22" s="141">
        <f>sumif(Farms!$C$68:$C$104,E22,Farms!$D$68:$D$104)</f>
        <v>0</v>
      </c>
      <c r="M22" s="141">
        <f>sumif(Farms!$C$68:$C$104,E22,Farms!$F$68:$F$104)</f>
        <v>56</v>
      </c>
      <c r="N22" s="141">
        <f>sumif(Farms!$C$68:$C$104,E22,Farms!$G$68:$G$104)</f>
        <v>13</v>
      </c>
    </row>
    <row r="23">
      <c r="A23" s="135">
        <f>IFERROR(__xludf.DUMMYFUNCTION("""COMPUTED_VALUE"""),45877.0)</f>
        <v>45877</v>
      </c>
      <c r="B23" s="87" t="str">
        <f>IFERROR(__xludf.DUMMYFUNCTION("""COMPUTED_VALUE"""),"Airport")</f>
        <v>Airport</v>
      </c>
      <c r="C23">
        <f>IFERROR(__xludf.DUMMYFUNCTION("""COMPUTED_VALUE"""),58880.0)</f>
        <v>58880</v>
      </c>
      <c r="D23" s="136">
        <f>IFERROR(__xludf.DUMMYFUNCTION("""COMPUTED_VALUE"""),12.2)</f>
        <v>12.2</v>
      </c>
      <c r="E23" s="137" t="str">
        <f>IFERROR(__xludf.DUMMYFUNCTION("""COMPUTED_VALUE"""),"Rye ")</f>
        <v>Rye </v>
      </c>
      <c r="F23" s="138" t="str">
        <f>IFERROR(__xludf.DUMMYFUNCTION("""COMPUTED_VALUE"""),"H066704")</f>
        <v>H066704</v>
      </c>
      <c r="G23" t="str">
        <f>IFERROR(__xludf.DUMMYFUNCTION("""COMPUTED_VALUE"""),"Hipps Juniors HBT# 5518 Bob #2")</f>
        <v>Hipps Juniors HBT# 5518 Bob #2</v>
      </c>
      <c r="H23" s="50">
        <f>IFERROR(__xludf.DUMMYFUNCTION("""COMPUTED_VALUE"""),0.5)</f>
        <v>0.5</v>
      </c>
      <c r="I23" s="139">
        <f t="shared" si="1"/>
        <v>0</v>
      </c>
      <c r="J23" s="50">
        <f t="shared" si="2"/>
        <v>1051.428571</v>
      </c>
      <c r="K23" s="140">
        <f t="shared" si="3"/>
        <v>1051.428571</v>
      </c>
      <c r="L23" s="141">
        <f>sumif(Farms!$C$68:$C$104,E23,Farms!$D$68:$D$104)</f>
        <v>0</v>
      </c>
      <c r="M23" s="141">
        <f>sumif(Farms!$C$68:$C$104,E23,Farms!$F$68:$F$104)</f>
        <v>56</v>
      </c>
      <c r="N23" s="141">
        <f>sumif(Farms!$C$68:$C$104,E23,Farms!$G$68:$G$104)</f>
        <v>13</v>
      </c>
    </row>
    <row r="24">
      <c r="A24" s="143">
        <f>IFERROR(__xludf.DUMMYFUNCTION("""COMPUTED_VALUE"""),45877.0)</f>
        <v>45877</v>
      </c>
      <c r="B24" s="87" t="str">
        <f>IFERROR(__xludf.DUMMYFUNCTION("""COMPUTED_VALUE"""),"Airport - Knilans")</f>
        <v>Airport - Knilans</v>
      </c>
      <c r="C24" s="95">
        <f>IFERROR(__xludf.DUMMYFUNCTION("""COMPUTED_VALUE"""),16980.0)</f>
        <v>16980</v>
      </c>
      <c r="D24" s="144">
        <f>IFERROR(__xludf.DUMMYFUNCTION("""COMPUTED_VALUE"""),12.7)</f>
        <v>12.7</v>
      </c>
      <c r="E24" s="145" t="str">
        <f>IFERROR(__xludf.DUMMYFUNCTION("""COMPUTED_VALUE"""),"Rye ")</f>
        <v>Rye </v>
      </c>
      <c r="F24" s="146" t="str">
        <f>IFERROR(__xludf.DUMMYFUNCTION("""COMPUTED_VALUE"""),"H066705")</f>
        <v>H066705</v>
      </c>
      <c r="G24" s="95" t="str">
        <f>IFERROR(__xludf.DUMMYFUNCTION("""COMPUTED_VALUE"""),"HBT# 4565  Bob  # 63 trailer 4 last load of Rye ")</f>
        <v>HBT# 4565  Bob  # 63 trailer 4 last load of Rye </v>
      </c>
      <c r="H24" s="147">
        <f>IFERROR(__xludf.DUMMYFUNCTION("""COMPUTED_VALUE"""),0.2)</f>
        <v>0.2</v>
      </c>
      <c r="I24" s="139">
        <f t="shared" si="1"/>
        <v>0</v>
      </c>
      <c r="J24" s="50">
        <f t="shared" si="2"/>
        <v>303.2142857</v>
      </c>
      <c r="K24" s="140">
        <f t="shared" si="3"/>
        <v>303.2142857</v>
      </c>
      <c r="L24" s="141">
        <f>sumif(Farms!$C$68:$C$104,E24,Farms!$D$68:$D$104)</f>
        <v>0</v>
      </c>
      <c r="M24" s="55">
        <f>sumif(Farms!$C$68:$C$104,E24,Farms!$F$68:$F$104)</f>
        <v>56</v>
      </c>
      <c r="N24" s="55">
        <f>sumif(Farms!$C$68:$C$104,E24,Farms!$G$68:$G$104)</f>
        <v>13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</row>
    <row r="25">
      <c r="A25" s="135">
        <f>IFERROR(__xludf.DUMMYFUNCTION("""COMPUTED_VALUE"""),45936.0)</f>
        <v>45936</v>
      </c>
      <c r="B25" s="87" t="str">
        <f>IFERROR(__xludf.DUMMYFUNCTION("""COMPUTED_VALUE"""),"bakke")</f>
        <v>bakke</v>
      </c>
      <c r="C25">
        <f>IFERROR(__xludf.DUMMYFUNCTION("""COMPUTED_VALUE"""),55980.0)</f>
        <v>55980</v>
      </c>
      <c r="D25" s="136">
        <f>IFERROR(__xludf.DUMMYFUNCTION("""COMPUTED_VALUE"""),15.4)</f>
        <v>15.4</v>
      </c>
      <c r="E25" s="137" t="str">
        <f>IFERROR(__xludf.DUMMYFUNCTION("""COMPUTED_VALUE"""),"Non-GMO Yellow Corn")</f>
        <v>Non-GMO Yellow Corn</v>
      </c>
      <c r="F25" s="138" t="str">
        <f>IFERROR(__xludf.DUMMYFUNCTION("""COMPUTED_VALUE"""),"0548919")</f>
        <v>0548919</v>
      </c>
      <c r="G25" t="str">
        <f>IFERROR(__xludf.DUMMYFUNCTION("""COMPUTED_VALUE"""),"HBT# 5859 Bob Trk# 3")</f>
        <v>HBT# 5859 Bob Trk# 3</v>
      </c>
      <c r="H25" s="50"/>
      <c r="I25" s="139">
        <f t="shared" si="1"/>
        <v>0</v>
      </c>
      <c r="J25" s="50">
        <f t="shared" si="2"/>
        <v>993.645</v>
      </c>
      <c r="K25" s="140">
        <f t="shared" si="3"/>
        <v>993.645</v>
      </c>
      <c r="L25" s="141">
        <f>sumif(Farms!$C$68:$C$104,E25,Farms!$D$68:$D$104)</f>
        <v>1.5</v>
      </c>
      <c r="M25" s="141">
        <f>sumif(Farms!$C$68:$C$104,E25,Farms!$F$68:$F$104)</f>
        <v>56</v>
      </c>
      <c r="N25" s="141">
        <f>sumif(Farms!$C$68:$C$104,E25,Farms!$G$68:$G$104)</f>
        <v>15</v>
      </c>
    </row>
    <row r="26">
      <c r="A26" s="135">
        <f>IFERROR(__xludf.DUMMYFUNCTION("""COMPUTED_VALUE"""),45936.0)</f>
        <v>45936</v>
      </c>
      <c r="B26" s="87" t="str">
        <f>IFERROR(__xludf.DUMMYFUNCTION("""COMPUTED_VALUE"""),"bakke")</f>
        <v>bakke</v>
      </c>
      <c r="C26">
        <f>IFERROR(__xludf.DUMMYFUNCTION("""COMPUTED_VALUE"""),54920.0)</f>
        <v>54920</v>
      </c>
      <c r="D26" s="136">
        <f>IFERROR(__xludf.DUMMYFUNCTION("""COMPUTED_VALUE"""),15.8)</f>
        <v>15.8</v>
      </c>
      <c r="E26" s="137" t="str">
        <f>IFERROR(__xludf.DUMMYFUNCTION("""COMPUTED_VALUE"""),"Non-GMO Yellow Corn")</f>
        <v>Non-GMO Yellow Corn</v>
      </c>
      <c r="F26" s="138" t="str">
        <f>IFERROR(__xludf.DUMMYFUNCTION("""COMPUTED_VALUE"""),"0548922")</f>
        <v>0548922</v>
      </c>
      <c r="G26" t="str">
        <f>IFERROR(__xludf.DUMMYFUNCTION("""COMPUTED_VALUE"""),"HBT#5534 Tanner Trk# 2")</f>
        <v>HBT#5534 Tanner Trk# 2</v>
      </c>
      <c r="H26" s="50"/>
      <c r="I26" s="139">
        <f t="shared" si="1"/>
        <v>0</v>
      </c>
      <c r="J26" s="50">
        <f t="shared" si="2"/>
        <v>968.9457143</v>
      </c>
      <c r="K26" s="140">
        <f t="shared" si="3"/>
        <v>968.9457143</v>
      </c>
      <c r="L26" s="141">
        <f>sumif(Farms!$C$68:$C$104,E26,Farms!$D$68:$D$104)</f>
        <v>1.5</v>
      </c>
      <c r="M26" s="141">
        <f>sumif(Farms!$C$68:$C$104,E26,Farms!$F$68:$F$104)</f>
        <v>56</v>
      </c>
      <c r="N26" s="141">
        <f>sumif(Farms!$C$68:$C$104,E26,Farms!$G$68:$G$104)</f>
        <v>15</v>
      </c>
    </row>
    <row r="27">
      <c r="A27" s="135">
        <f>IFERROR(__xludf.DUMMYFUNCTION("""COMPUTED_VALUE"""),45936.0)</f>
        <v>45936</v>
      </c>
      <c r="B27" s="87" t="str">
        <f>IFERROR(__xludf.DUMMYFUNCTION("""COMPUTED_VALUE"""),"bakke")</f>
        <v>bakke</v>
      </c>
      <c r="C27">
        <f>IFERROR(__xludf.DUMMYFUNCTION("""COMPUTED_VALUE"""),57040.0)</f>
        <v>57040</v>
      </c>
      <c r="D27" s="136">
        <f>IFERROR(__xludf.DUMMYFUNCTION("""COMPUTED_VALUE"""),15.4)</f>
        <v>15.4</v>
      </c>
      <c r="E27" s="137" t="str">
        <f>IFERROR(__xludf.DUMMYFUNCTION("""COMPUTED_VALUE"""),"Non-GMO Yellow Corn")</f>
        <v>Non-GMO Yellow Corn</v>
      </c>
      <c r="F27" s="138" t="str">
        <f>IFERROR(__xludf.DUMMYFUNCTION("""COMPUTED_VALUE"""),"0548924")</f>
        <v>0548924</v>
      </c>
      <c r="G27" t="str">
        <f>IFERROR(__xludf.DUMMYFUNCTION("""COMPUTED_VALUE"""),"HBT#4575 Jack Trk# 63 ")</f>
        <v>HBT#4575 Jack Trk# 63 </v>
      </c>
      <c r="H27" s="50"/>
      <c r="I27" s="139">
        <f t="shared" si="1"/>
        <v>0</v>
      </c>
      <c r="J27" s="50">
        <f t="shared" si="2"/>
        <v>1012.46</v>
      </c>
      <c r="K27" s="140">
        <f t="shared" si="3"/>
        <v>1012.46</v>
      </c>
      <c r="L27" s="141">
        <f>sumif(Farms!$C$68:$C$104,E27,Farms!$D$68:$D$104)</f>
        <v>1.5</v>
      </c>
      <c r="M27" s="141">
        <f>sumif(Farms!$C$68:$C$104,E27,Farms!$F$68:$F$104)</f>
        <v>56</v>
      </c>
      <c r="N27" s="141">
        <f>sumif(Farms!$C$68:$C$104,E27,Farms!$G$68:$G$104)</f>
        <v>15</v>
      </c>
    </row>
    <row r="28">
      <c r="A28" s="135">
        <f>IFERROR(__xludf.DUMMYFUNCTION("""COMPUTED_VALUE"""),45936.0)</f>
        <v>45936</v>
      </c>
      <c r="B28" s="87" t="str">
        <f>IFERROR(__xludf.DUMMYFUNCTION("""COMPUTED_VALUE"""),"bakke")</f>
        <v>bakke</v>
      </c>
      <c r="C28">
        <f>IFERROR(__xludf.DUMMYFUNCTION("""COMPUTED_VALUE"""),55040.0)</f>
        <v>55040</v>
      </c>
      <c r="D28" s="136">
        <f>IFERROR(__xludf.DUMMYFUNCTION("""COMPUTED_VALUE"""),15.5)</f>
        <v>15.5</v>
      </c>
      <c r="E28" s="137" t="str">
        <f>IFERROR(__xludf.DUMMYFUNCTION("""COMPUTED_VALUE"""),"Non-GMO Yellow Corn")</f>
        <v>Non-GMO Yellow Corn</v>
      </c>
      <c r="F28" s="138" t="str">
        <f>IFERROR(__xludf.DUMMYFUNCTION("""COMPUTED_VALUE"""),"0548928")</f>
        <v>0548928</v>
      </c>
      <c r="G28" t="str">
        <f>IFERROR(__xludf.DUMMYFUNCTION("""COMPUTED_VALUE"""),"HBT#5754 WDH Trk# 4")</f>
        <v>HBT#5754 WDH Trk# 4</v>
      </c>
      <c r="H28" s="50"/>
      <c r="I28" s="139">
        <f t="shared" si="1"/>
        <v>0</v>
      </c>
      <c r="J28" s="50">
        <f t="shared" si="2"/>
        <v>975.4857143</v>
      </c>
      <c r="K28" s="140">
        <f t="shared" si="3"/>
        <v>975.4857143</v>
      </c>
      <c r="L28" s="141">
        <f>sumif(Farms!$C$68:$C$104,E28,Farms!$D$68:$D$104)</f>
        <v>1.5</v>
      </c>
      <c r="M28" s="141">
        <f>sumif(Farms!$C$68:$C$104,E28,Farms!$F$68:$F$104)</f>
        <v>56</v>
      </c>
      <c r="N28" s="141">
        <f>sumif(Farms!$C$68:$C$104,E28,Farms!$G$68:$G$104)</f>
        <v>15</v>
      </c>
    </row>
    <row r="29">
      <c r="A29" s="135">
        <f>IFERROR(__xludf.DUMMYFUNCTION("""COMPUTED_VALUE"""),45936.0)</f>
        <v>45936</v>
      </c>
      <c r="B29" s="87" t="str">
        <f>IFERROR(__xludf.DUMMYFUNCTION("""COMPUTED_VALUE"""),"bakke")</f>
        <v>bakke</v>
      </c>
      <c r="C29">
        <f>IFERROR(__xludf.DUMMYFUNCTION("""COMPUTED_VALUE"""),57620.0)</f>
        <v>57620</v>
      </c>
      <c r="D29" s="136">
        <f>IFERROR(__xludf.DUMMYFUNCTION("""COMPUTED_VALUE"""),15.9)</f>
        <v>15.9</v>
      </c>
      <c r="E29" s="137" t="str">
        <f>IFERROR(__xludf.DUMMYFUNCTION("""COMPUTED_VALUE"""),"Non-GMO Yellow Corn")</f>
        <v>Non-GMO Yellow Corn</v>
      </c>
      <c r="F29" s="138" t="str">
        <f>IFERROR(__xludf.DUMMYFUNCTION("""COMPUTED_VALUE"""),"0548931")</f>
        <v>0548931</v>
      </c>
      <c r="G29" t="str">
        <f>IFERROR(__xludf.DUMMYFUNCTION("""COMPUTED_VALUE"""),"HBT#5201  JB Trk# 5")</f>
        <v>HBT#5201  JB Trk# 5</v>
      </c>
      <c r="H29" s="50"/>
      <c r="I29" s="139">
        <f t="shared" si="1"/>
        <v>0</v>
      </c>
      <c r="J29" s="50">
        <f t="shared" si="2"/>
        <v>1015.038036</v>
      </c>
      <c r="K29" s="140">
        <f t="shared" si="3"/>
        <v>1015.038036</v>
      </c>
      <c r="L29" s="141">
        <f>sumif(Farms!$C$68:$C$104,E29,Farms!$D$68:$D$104)</f>
        <v>1.5</v>
      </c>
      <c r="M29" s="141">
        <f>sumif(Farms!$C$68:$C$104,E29,Farms!$F$68:$F$104)</f>
        <v>56</v>
      </c>
      <c r="N29" s="141">
        <f>sumif(Farms!$C$68:$C$104,E29,Farms!$G$68:$G$104)</f>
        <v>15</v>
      </c>
    </row>
    <row r="30">
      <c r="A30" s="135">
        <f>IFERROR(__xludf.DUMMYFUNCTION("""COMPUTED_VALUE"""),45936.0)</f>
        <v>45936</v>
      </c>
      <c r="B30" s="87" t="str">
        <f>IFERROR(__xludf.DUMMYFUNCTION("""COMPUTED_VALUE"""),"bakke")</f>
        <v>bakke</v>
      </c>
      <c r="C30">
        <f>IFERROR(__xludf.DUMMYFUNCTION("""COMPUTED_VALUE"""),55920.0)</f>
        <v>55920</v>
      </c>
      <c r="D30" s="136">
        <f>IFERROR(__xludf.DUMMYFUNCTION("""COMPUTED_VALUE"""),15.7)</f>
        <v>15.7</v>
      </c>
      <c r="E30" s="137" t="str">
        <f>IFERROR(__xludf.DUMMYFUNCTION("""COMPUTED_VALUE"""),"Non-GMO Yellow Corn")</f>
        <v>Non-GMO Yellow Corn</v>
      </c>
      <c r="F30" s="138" t="str">
        <f>IFERROR(__xludf.DUMMYFUNCTION("""COMPUTED_VALUE"""),"0548932")</f>
        <v>0548932</v>
      </c>
      <c r="G30" t="str">
        <f>IFERROR(__xludf.DUMMYFUNCTION("""COMPUTED_VALUE"""),"HBT#5860 Bob Trk# 3 Last Load")</f>
        <v>HBT#5860 Bob Trk# 3 Last Load</v>
      </c>
      <c r="H30" s="50"/>
      <c r="I30" s="148">
        <v>0.0</v>
      </c>
      <c r="J30" s="50">
        <f t="shared" si="2"/>
        <v>958.1292857</v>
      </c>
      <c r="K30" s="140">
        <f t="shared" si="3"/>
        <v>958.1292857</v>
      </c>
      <c r="L30" s="141">
        <f>sumif(Farms!$C$68:$C$104,E30,Farms!$D$68:$D$104)</f>
        <v>1.5</v>
      </c>
      <c r="M30" s="142">
        <v>56.0</v>
      </c>
      <c r="N30" s="142">
        <v>13.0</v>
      </c>
      <c r="O30" s="46" t="s">
        <v>152</v>
      </c>
    </row>
    <row r="31">
      <c r="A31" s="135">
        <f>IFERROR(__xludf.DUMMYFUNCTION("""COMPUTED_VALUE"""),45853.0)</f>
        <v>45853</v>
      </c>
      <c r="B31" s="87" t="str">
        <f>IFERROR(__xludf.DUMMYFUNCTION("""COMPUTED_VALUE"""),"blue ")</f>
        <v>blue </v>
      </c>
      <c r="C31">
        <f>IFERROR(__xludf.DUMMYFUNCTION("""COMPUTED_VALUE"""),56760.0)</f>
        <v>56760</v>
      </c>
      <c r="D31" s="136"/>
      <c r="E31" s="137" t="str">
        <f>IFERROR(__xludf.DUMMYFUNCTION("""COMPUTED_VALUE"""),"Hybrid Rye")</f>
        <v>Hybrid Rye</v>
      </c>
      <c r="F31" s="138" t="str">
        <f>IFERROR(__xludf.DUMMYFUNCTION("""COMPUTED_VALUE"""),"00130")</f>
        <v>00130</v>
      </c>
      <c r="G31" t="str">
        <f>IFERROR(__xludf.DUMMYFUNCTION("""COMPUTED_VALUE"""),"HBT#5070 Bob Trk # 3 1st load")</f>
        <v>HBT#5070 Bob Trk # 3 1st load</v>
      </c>
      <c r="H31" s="50"/>
      <c r="I31" s="139">
        <f t="shared" ref="I31:I50" si="4">if(H31&gt;=1,H31-1,"0")/100</f>
        <v>0</v>
      </c>
      <c r="J31" s="50">
        <f t="shared" si="2"/>
        <v>1013.571429</v>
      </c>
      <c r="K31" s="140">
        <f t="shared" si="3"/>
        <v>1013.571429</v>
      </c>
      <c r="L31" s="141">
        <f>sumif(Farms!$C$68:$C$104,E31,Farms!$D$68:$D$104)</f>
        <v>0</v>
      </c>
      <c r="M31" s="142">
        <v>56.0</v>
      </c>
      <c r="N31" s="142">
        <v>13.0</v>
      </c>
    </row>
    <row r="32">
      <c r="A32" s="135">
        <f>IFERROR(__xludf.DUMMYFUNCTION("""COMPUTED_VALUE"""),45853.0)</f>
        <v>45853</v>
      </c>
      <c r="B32" s="87" t="str">
        <f>IFERROR(__xludf.DUMMYFUNCTION("""COMPUTED_VALUE"""),"blue ")</f>
        <v>blue </v>
      </c>
      <c r="C32">
        <f>IFERROR(__xludf.DUMMYFUNCTION("""COMPUTED_VALUE"""),58200.0)</f>
        <v>58200</v>
      </c>
      <c r="D32" s="136"/>
      <c r="E32" s="137" t="str">
        <f>IFERROR(__xludf.DUMMYFUNCTION("""COMPUTED_VALUE"""),"Hybrid Rye")</f>
        <v>Hybrid Rye</v>
      </c>
      <c r="F32" s="138" t="str">
        <f>IFERROR(__xludf.DUMMYFUNCTION("""COMPUTED_VALUE"""),"00131")</f>
        <v>00131</v>
      </c>
      <c r="G32" t="str">
        <f>IFERROR(__xludf.DUMMYFUNCTION("""COMPUTED_VALUE"""),"HBT# 5506  Bob Trk 2")</f>
        <v>HBT# 5506  Bob Trk 2</v>
      </c>
      <c r="H32" s="50"/>
      <c r="I32" s="139">
        <f t="shared" si="4"/>
        <v>0</v>
      </c>
      <c r="J32" s="50">
        <f t="shared" si="2"/>
        <v>1039.285714</v>
      </c>
      <c r="K32" s="140">
        <f t="shared" si="3"/>
        <v>1039.285714</v>
      </c>
      <c r="L32" s="141">
        <f>sumif(Farms!$C$68:$C$104,E32,Farms!$D$68:$D$104)</f>
        <v>0</v>
      </c>
      <c r="M32" s="142">
        <v>56.0</v>
      </c>
      <c r="N32" s="142">
        <v>13.0</v>
      </c>
    </row>
    <row r="33">
      <c r="A33" s="135">
        <f>IFERROR(__xludf.DUMMYFUNCTION("""COMPUTED_VALUE"""),45853.0)</f>
        <v>45853</v>
      </c>
      <c r="B33" s="87" t="str">
        <f>IFERROR(__xludf.DUMMYFUNCTION("""COMPUTED_VALUE"""),"blue ")</f>
        <v>blue </v>
      </c>
      <c r="C33">
        <f>IFERROR(__xludf.DUMMYFUNCTION("""COMPUTED_VALUE"""),56180.0)</f>
        <v>56180</v>
      </c>
      <c r="D33" s="136"/>
      <c r="E33" s="137" t="str">
        <f>IFERROR(__xludf.DUMMYFUNCTION("""COMPUTED_VALUE"""),"Hybrid Rye")</f>
        <v>Hybrid Rye</v>
      </c>
      <c r="F33" s="138" t="str">
        <f>IFERROR(__xludf.DUMMYFUNCTION("""COMPUTED_VALUE"""),"00136")</f>
        <v>00136</v>
      </c>
      <c r="G33" t="str">
        <f>IFERROR(__xludf.DUMMYFUNCTION("""COMPUTED_VALUE"""),"HBT#3117 Gary Trk 5")</f>
        <v>HBT#3117 Gary Trk 5</v>
      </c>
      <c r="H33" s="50"/>
      <c r="I33" s="139">
        <f t="shared" si="4"/>
        <v>0</v>
      </c>
      <c r="J33" s="50">
        <f t="shared" si="2"/>
        <v>1003.214286</v>
      </c>
      <c r="K33" s="140">
        <f t="shared" si="3"/>
        <v>1003.214286</v>
      </c>
      <c r="L33" s="141">
        <f>sumif(Farms!$C$68:$C$104,E33,Farms!$D$68:$D$104)</f>
        <v>0</v>
      </c>
      <c r="M33" s="149">
        <v>56.0</v>
      </c>
      <c r="N33" s="142">
        <v>13.0</v>
      </c>
    </row>
    <row r="34">
      <c r="A34" s="135">
        <f>IFERROR(__xludf.DUMMYFUNCTION("""COMPUTED_VALUE"""),45853.0)</f>
        <v>45853</v>
      </c>
      <c r="B34" s="87" t="str">
        <f>IFERROR(__xludf.DUMMYFUNCTION("""COMPUTED_VALUE"""),"blue ")</f>
        <v>blue </v>
      </c>
      <c r="C34">
        <f>IFERROR(__xludf.DUMMYFUNCTION("""COMPUTED_VALUE"""),57240.0)</f>
        <v>57240</v>
      </c>
      <c r="D34" s="136"/>
      <c r="E34" s="137" t="str">
        <f>IFERROR(__xludf.DUMMYFUNCTION("""COMPUTED_VALUE"""),"Hybrid Rye")</f>
        <v>Hybrid Rye</v>
      </c>
      <c r="F34" s="138" t="str">
        <f>IFERROR(__xludf.DUMMYFUNCTION("""COMPUTED_VALUE"""),"00137")</f>
        <v>00137</v>
      </c>
      <c r="G34" t="str">
        <f>IFERROR(__xludf.DUMMYFUNCTION("""COMPUTED_VALUE"""),"HBT# 5071 Bob Trk # 3")</f>
        <v>HBT# 5071 Bob Trk # 3</v>
      </c>
      <c r="H34" s="50"/>
      <c r="I34" s="139">
        <f t="shared" si="4"/>
        <v>0</v>
      </c>
      <c r="J34" s="50">
        <f t="shared" si="2"/>
        <v>1022.142857</v>
      </c>
      <c r="K34" s="140">
        <f t="shared" si="3"/>
        <v>1022.142857</v>
      </c>
      <c r="L34" s="141">
        <f>sumif(Farms!$C$68:$C$104,E34,Farms!$D$68:$D$104)</f>
        <v>0</v>
      </c>
      <c r="M34" s="142">
        <v>56.0</v>
      </c>
      <c r="N34" s="142">
        <v>13.0</v>
      </c>
    </row>
    <row r="35">
      <c r="A35" s="135">
        <f>IFERROR(__xludf.DUMMYFUNCTION("""COMPUTED_VALUE"""),45853.0)</f>
        <v>45853</v>
      </c>
      <c r="B35" s="87" t="str">
        <f>IFERROR(__xludf.DUMMYFUNCTION("""COMPUTED_VALUE"""),"blue ")</f>
        <v>blue </v>
      </c>
      <c r="C35">
        <f>IFERROR(__xludf.DUMMYFUNCTION("""COMPUTED_VALUE"""),56520.0)</f>
        <v>56520</v>
      </c>
      <c r="D35" s="136"/>
      <c r="E35" s="137" t="str">
        <f>IFERROR(__xludf.DUMMYFUNCTION("""COMPUTED_VALUE"""),"Hybrid Rye")</f>
        <v>Hybrid Rye</v>
      </c>
      <c r="F35" s="138" t="str">
        <f>IFERROR(__xludf.DUMMYFUNCTION("""COMPUTED_VALUE"""),"00140")</f>
        <v>00140</v>
      </c>
      <c r="G35" t="str">
        <f>IFERROR(__xludf.DUMMYFUNCTION("""COMPUTED_VALUE"""),"HBT# 5507 Tanner Trk # 2")</f>
        <v>HBT# 5507 Tanner Trk # 2</v>
      </c>
      <c r="H35" s="50"/>
      <c r="I35" s="139">
        <f t="shared" si="4"/>
        <v>0</v>
      </c>
      <c r="J35" s="50">
        <f t="shared" si="2"/>
        <v>1009.285714</v>
      </c>
      <c r="K35" s="140">
        <f t="shared" si="3"/>
        <v>1009.285714</v>
      </c>
      <c r="L35" s="141">
        <f>sumif(Farms!$C$68:$C$104,E35,Farms!$D$68:$D$104)</f>
        <v>0</v>
      </c>
      <c r="M35" s="142">
        <v>56.0</v>
      </c>
      <c r="N35" s="142">
        <v>13.0</v>
      </c>
    </row>
    <row r="36">
      <c r="A36" s="135">
        <f>IFERROR(__xludf.DUMMYFUNCTION("""COMPUTED_VALUE"""),45853.0)</f>
        <v>45853</v>
      </c>
      <c r="B36" s="150" t="str">
        <f>IFERROR(__xludf.DUMMYFUNCTION("""COMPUTED_VALUE"""),"blue ")</f>
        <v>blue </v>
      </c>
      <c r="C36">
        <f>IFERROR(__xludf.DUMMYFUNCTION("""COMPUTED_VALUE"""),53880.0)</f>
        <v>53880</v>
      </c>
      <c r="D36" s="136"/>
      <c r="E36" s="137" t="str">
        <f>IFERROR(__xludf.DUMMYFUNCTION("""COMPUTED_VALUE"""),"Hybrid Rye")</f>
        <v>Hybrid Rye</v>
      </c>
      <c r="F36" s="138" t="str">
        <f>IFERROR(__xludf.DUMMYFUNCTION("""COMPUTED_VALUE"""),"00141")</f>
        <v>00141</v>
      </c>
      <c r="G36" t="str">
        <f>IFERROR(__xludf.DUMMYFUNCTION("""COMPUTED_VALUE"""),"HBT# 4553 WDH Trk # 63")</f>
        <v>HBT# 4553 WDH Trk # 63</v>
      </c>
      <c r="H36" s="50"/>
      <c r="I36" s="139">
        <f t="shared" si="4"/>
        <v>0</v>
      </c>
      <c r="J36" s="50">
        <f t="shared" si="2"/>
        <v>962.1428571</v>
      </c>
      <c r="K36" s="140">
        <f t="shared" si="3"/>
        <v>962.1428571</v>
      </c>
      <c r="L36" s="141">
        <f>sumif(Farms!$C$68:$C$104,E36,Farms!$D$68:$D$104)</f>
        <v>0</v>
      </c>
      <c r="M36" s="142">
        <v>56.0</v>
      </c>
      <c r="N36" s="142">
        <v>13.0</v>
      </c>
    </row>
    <row r="37">
      <c r="A37" s="135">
        <f>IFERROR(__xludf.DUMMYFUNCTION("""COMPUTED_VALUE"""),45853.0)</f>
        <v>45853</v>
      </c>
      <c r="B37" s="87" t="str">
        <f>IFERROR(__xludf.DUMMYFUNCTION("""COMPUTED_VALUE"""),"blue ")</f>
        <v>blue </v>
      </c>
      <c r="C37">
        <f>IFERROR(__xludf.DUMMYFUNCTION("""COMPUTED_VALUE"""),56260.0)</f>
        <v>56260</v>
      </c>
      <c r="D37" s="136"/>
      <c r="E37" s="137" t="str">
        <f>IFERROR(__xludf.DUMMYFUNCTION("""COMPUTED_VALUE"""),"Hybrid Rye")</f>
        <v>Hybrid Rye</v>
      </c>
      <c r="F37" s="138" t="str">
        <f>IFERROR(__xludf.DUMMYFUNCTION("""COMPUTED_VALUE"""),"00143")</f>
        <v>00143</v>
      </c>
      <c r="G37" t="str">
        <f>IFERROR(__xludf.DUMMYFUNCTION("""COMPUTED_VALUE"""),"HBT# 3118 Gary Trk # 5")</f>
        <v>HBT# 3118 Gary Trk # 5</v>
      </c>
      <c r="H37" s="50"/>
      <c r="I37" s="139">
        <f t="shared" si="4"/>
        <v>0</v>
      </c>
      <c r="J37" s="50">
        <f t="shared" si="2"/>
        <v>1004.642857</v>
      </c>
      <c r="K37" s="140">
        <f t="shared" si="3"/>
        <v>1004.642857</v>
      </c>
      <c r="L37" s="141">
        <f>sumif(Farms!$C$68:$C$104,E37,Farms!$D$68:$D$104)</f>
        <v>0</v>
      </c>
      <c r="M37" s="141">
        <f>sumif(Farms!$C$68:$C$104,E37,Farms!$F$68:$F$104)</f>
        <v>56</v>
      </c>
      <c r="N37" s="142">
        <v>13.0</v>
      </c>
    </row>
    <row r="38">
      <c r="A38" s="151">
        <f>IFERROR(__xludf.DUMMYFUNCTION("""COMPUTED_VALUE"""),45853.0)</f>
        <v>45853</v>
      </c>
      <c r="B38" s="70" t="str">
        <f>IFERROR(__xludf.DUMMYFUNCTION("""COMPUTED_VALUE"""),"blue ")</f>
        <v>blue </v>
      </c>
      <c r="C38" s="87">
        <f>IFERROR(__xludf.DUMMYFUNCTION("""COMPUTED_VALUE"""),55540.0)</f>
        <v>55540</v>
      </c>
      <c r="D38" s="128"/>
      <c r="E38" s="129" t="str">
        <f>IFERROR(__xludf.DUMMYFUNCTION("""COMPUTED_VALUE"""),"Hybrid Rye")</f>
        <v>Hybrid Rye</v>
      </c>
      <c r="F38" s="152" t="str">
        <f>IFERROR(__xludf.DUMMYFUNCTION("""COMPUTED_VALUE"""),"00144")</f>
        <v>00144</v>
      </c>
      <c r="G38" s="87" t="str">
        <f>IFERROR(__xludf.DUMMYFUNCTION("""COMPUTED_VALUE"""),"HBT# 5072 Bob Trk # 3")</f>
        <v>HBT# 5072 Bob Trk # 3</v>
      </c>
      <c r="H38" s="49"/>
      <c r="I38" s="139">
        <f t="shared" si="4"/>
        <v>0</v>
      </c>
      <c r="J38" s="49">
        <f t="shared" si="2"/>
        <v>991.7857143</v>
      </c>
      <c r="K38" s="140">
        <f t="shared" si="3"/>
        <v>991.7857143</v>
      </c>
      <c r="L38" s="141">
        <f>sumif(Farms!$C$68:$C$104,E38,Farms!$D$68:$D$104)</f>
        <v>0</v>
      </c>
      <c r="M38" s="153">
        <v>56.0</v>
      </c>
      <c r="N38" s="142">
        <v>13.0</v>
      </c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</row>
    <row r="39">
      <c r="A39" s="135">
        <f>IFERROR(__xludf.DUMMYFUNCTION("""COMPUTED_VALUE"""),45853.0)</f>
        <v>45853</v>
      </c>
      <c r="B39" s="87" t="str">
        <f>IFERROR(__xludf.DUMMYFUNCTION("""COMPUTED_VALUE"""),"blue ")</f>
        <v>blue </v>
      </c>
      <c r="C39">
        <f>IFERROR(__xludf.DUMMYFUNCTION("""COMPUTED_VALUE"""),55620.0)</f>
        <v>55620</v>
      </c>
      <c r="D39" s="136"/>
      <c r="E39" s="137" t="str">
        <f>IFERROR(__xludf.DUMMYFUNCTION("""COMPUTED_VALUE"""),"Hybrid Rye")</f>
        <v>Hybrid Rye</v>
      </c>
      <c r="F39" s="138" t="str">
        <f>IFERROR(__xludf.DUMMYFUNCTION("""COMPUTED_VALUE"""),"00145")</f>
        <v>00145</v>
      </c>
      <c r="G39" t="str">
        <f>IFERROR(__xludf.DUMMYFUNCTION("""COMPUTED_VALUE"""),"HBT# 5508 Tanner Trk # 2")</f>
        <v>HBT# 5508 Tanner Trk # 2</v>
      </c>
      <c r="H39" s="50"/>
      <c r="I39" s="139">
        <f t="shared" si="4"/>
        <v>0</v>
      </c>
      <c r="J39" s="50">
        <f t="shared" si="2"/>
        <v>993.2142857</v>
      </c>
      <c r="K39" s="140">
        <f t="shared" si="3"/>
        <v>993.2142857</v>
      </c>
      <c r="L39" s="141">
        <f>sumif(Farms!$C$68:$C$104,E39,Farms!$D$68:$D$104)</f>
        <v>0</v>
      </c>
      <c r="M39" s="141">
        <f>sumif(Farms!$C$68:$C$104,E39,Farms!$F$68:$F$104)</f>
        <v>56</v>
      </c>
      <c r="N39" s="141">
        <f>sumif(Farms!$C$68:$C$104,E39,Farms!$G$68:$G$104)</f>
        <v>13</v>
      </c>
    </row>
    <row r="40">
      <c r="A40" s="135">
        <f>IFERROR(__xludf.DUMMYFUNCTION("""COMPUTED_VALUE"""),45854.0)</f>
        <v>45854</v>
      </c>
      <c r="B40" s="87" t="str">
        <f>IFERROR(__xludf.DUMMYFUNCTION("""COMPUTED_VALUE"""),"blue ")</f>
        <v>blue </v>
      </c>
      <c r="C40">
        <f>IFERROR(__xludf.DUMMYFUNCTION("""COMPUTED_VALUE"""),55300.0)</f>
        <v>55300</v>
      </c>
      <c r="D40" s="136"/>
      <c r="E40" s="137" t="str">
        <f>IFERROR(__xludf.DUMMYFUNCTION("""COMPUTED_VALUE"""),"Hybrid Rye")</f>
        <v>Hybrid Rye</v>
      </c>
      <c r="F40" s="138" t="str">
        <f>IFERROR(__xludf.DUMMYFUNCTION("""COMPUTED_VALUE"""),"00146")</f>
        <v>00146</v>
      </c>
      <c r="G40" t="str">
        <f>IFERROR(__xludf.DUMMYFUNCTION("""COMPUTED_VALUE"""),"HBT# 4380 Gary  Trk # 4")</f>
        <v>HBT# 4380 Gary  Trk # 4</v>
      </c>
      <c r="H40" s="50"/>
      <c r="I40" s="139">
        <f t="shared" si="4"/>
        <v>0</v>
      </c>
      <c r="J40" s="50">
        <f t="shared" si="2"/>
        <v>987.5</v>
      </c>
      <c r="K40" s="140">
        <f t="shared" si="3"/>
        <v>987.5</v>
      </c>
      <c r="L40" s="141">
        <f>sumif(Farms!$C$68:$C$104,E40,Farms!$D$68:$D$104)</f>
        <v>0</v>
      </c>
      <c r="M40" s="141">
        <f>sumif(Farms!$C$68:$C$104,E40,Farms!$F$68:$F$104)</f>
        <v>56</v>
      </c>
      <c r="N40" s="141">
        <f>sumif(Farms!$C$68:$C$104,E40,Farms!$G$68:$G$104)</f>
        <v>13</v>
      </c>
    </row>
    <row r="41">
      <c r="A41" s="135">
        <f>IFERROR(__xludf.DUMMYFUNCTION("""COMPUTED_VALUE"""),45854.0)</f>
        <v>45854</v>
      </c>
      <c r="B41" s="87" t="str">
        <f>IFERROR(__xludf.DUMMYFUNCTION("""COMPUTED_VALUE"""),"blue ")</f>
        <v>blue </v>
      </c>
      <c r="C41">
        <f>IFERROR(__xludf.DUMMYFUNCTION("""COMPUTED_VALUE"""),54700.0)</f>
        <v>54700</v>
      </c>
      <c r="D41" s="136"/>
      <c r="E41" s="137" t="str">
        <f>IFERROR(__xludf.DUMMYFUNCTION("""COMPUTED_VALUE"""),"Hybrid Rye")</f>
        <v>Hybrid Rye</v>
      </c>
      <c r="F41" s="138" t="str">
        <f>IFERROR(__xludf.DUMMYFUNCTION("""COMPUTED_VALUE"""),"00150")</f>
        <v>00150</v>
      </c>
      <c r="G41" t="str">
        <f>IFERROR(__xludf.DUMMYFUNCTION("""COMPUTED_VALUE"""),"HBT# 5701 Bob  Trk # 5")</f>
        <v>HBT# 5701 Bob  Trk # 5</v>
      </c>
      <c r="H41" s="50"/>
      <c r="I41" s="139">
        <f t="shared" si="4"/>
        <v>0</v>
      </c>
      <c r="J41" s="50">
        <f t="shared" si="2"/>
        <v>976.7857143</v>
      </c>
      <c r="K41" s="140">
        <f t="shared" si="3"/>
        <v>976.7857143</v>
      </c>
      <c r="L41" s="141">
        <f>sumif(Farms!$C$68:$C$104,E41,Farms!$D$68:$D$104)</f>
        <v>0</v>
      </c>
      <c r="M41" s="141">
        <f>sumif(Farms!$C$68:$C$104,E41,Farms!$F$68:$F$104)</f>
        <v>56</v>
      </c>
      <c r="N41" s="141">
        <f>sumif(Farms!$C$68:$C$104,E41,Farms!$G$68:$G$104)</f>
        <v>13</v>
      </c>
    </row>
    <row r="42">
      <c r="A42" s="135">
        <f>IFERROR(__xludf.DUMMYFUNCTION("""COMPUTED_VALUE"""),45855.0)</f>
        <v>45855</v>
      </c>
      <c r="B42" s="87" t="str">
        <f>IFERROR(__xludf.DUMMYFUNCTION("""COMPUTED_VALUE"""),"blue ")</f>
        <v>blue </v>
      </c>
      <c r="C42">
        <f>IFERROR(__xludf.DUMMYFUNCTION("""COMPUTED_VALUE"""),53220.0)</f>
        <v>53220</v>
      </c>
      <c r="D42" s="136"/>
      <c r="E42" s="137" t="str">
        <f>IFERROR(__xludf.DUMMYFUNCTION("""COMPUTED_VALUE"""),"Hybrid Rye")</f>
        <v>Hybrid Rye</v>
      </c>
      <c r="F42" s="138" t="str">
        <f>IFERROR(__xludf.DUMMYFUNCTION("""COMPUTED_VALUE"""),"00152")</f>
        <v>00152</v>
      </c>
      <c r="G42" t="str">
        <f>IFERROR(__xludf.DUMMYFUNCTION("""COMPUTED_VALUE"""),"HBT# 4554 Bob Trk# 5")</f>
        <v>HBT# 4554 Bob Trk# 5</v>
      </c>
      <c r="H42" s="50"/>
      <c r="I42" s="139">
        <f t="shared" si="4"/>
        <v>0</v>
      </c>
      <c r="J42" s="50">
        <f t="shared" si="2"/>
        <v>950.3571429</v>
      </c>
      <c r="K42" s="140">
        <f t="shared" si="3"/>
        <v>950.3571429</v>
      </c>
      <c r="L42" s="142">
        <v>0.0</v>
      </c>
      <c r="M42" s="142">
        <v>56.0</v>
      </c>
      <c r="N42" s="141">
        <f>sumif(Farms!$C$68:$C$104,E42,Farms!$G$68:$G$104)</f>
        <v>13</v>
      </c>
    </row>
    <row r="43">
      <c r="A43" s="135">
        <f>IFERROR(__xludf.DUMMYFUNCTION("""COMPUTED_VALUE"""),45855.0)</f>
        <v>45855</v>
      </c>
      <c r="B43" s="87" t="str">
        <f>IFERROR(__xludf.DUMMYFUNCTION("""COMPUTED_VALUE"""),"blue ")</f>
        <v>blue </v>
      </c>
      <c r="C43">
        <f>IFERROR(__xludf.DUMMYFUNCTION("""COMPUTED_VALUE"""),54960.0)</f>
        <v>54960</v>
      </c>
      <c r="D43" s="136"/>
      <c r="E43" s="137" t="str">
        <f>IFERROR(__xludf.DUMMYFUNCTION("""COMPUTED_VALUE"""),"Hybrid Rye")</f>
        <v>Hybrid Rye</v>
      </c>
      <c r="F43" s="138" t="str">
        <f>IFERROR(__xludf.DUMMYFUNCTION("""COMPUTED_VALUE"""),"00156")</f>
        <v>00156</v>
      </c>
      <c r="G43" t="str">
        <f>IFERROR(__xludf.DUMMYFUNCTION("""COMPUTED_VALUE"""),"HBT# 5509 Tanner Trk# 2")</f>
        <v>HBT# 5509 Tanner Trk# 2</v>
      </c>
      <c r="H43" s="50"/>
      <c r="I43" s="139">
        <f t="shared" si="4"/>
        <v>0</v>
      </c>
      <c r="J43" s="50">
        <f t="shared" si="2"/>
        <v>981.4285714</v>
      </c>
      <c r="K43" s="140">
        <f t="shared" si="3"/>
        <v>981.4285714</v>
      </c>
      <c r="L43" s="142">
        <v>0.0</v>
      </c>
      <c r="M43" s="142">
        <v>56.0</v>
      </c>
      <c r="N43" s="141">
        <f>sumif(Farms!$C$68:$C$104,E43,Farms!$G$68:$G$104)</f>
        <v>13</v>
      </c>
    </row>
    <row r="44">
      <c r="A44" s="135">
        <f>IFERROR(__xludf.DUMMYFUNCTION("""COMPUTED_VALUE"""),45855.0)</f>
        <v>45855</v>
      </c>
      <c r="B44" s="87" t="str">
        <f>IFERROR(__xludf.DUMMYFUNCTION("""COMPUTED_VALUE"""),"blue ")</f>
        <v>blue </v>
      </c>
      <c r="C44">
        <f>IFERROR(__xludf.DUMMYFUNCTION("""COMPUTED_VALUE"""),55720.0)</f>
        <v>55720</v>
      </c>
      <c r="D44" s="136"/>
      <c r="E44" s="137" t="str">
        <f>IFERROR(__xludf.DUMMYFUNCTION("""COMPUTED_VALUE"""),"Hybrid Rye")</f>
        <v>Hybrid Rye</v>
      </c>
      <c r="F44" s="138" t="str">
        <f>IFERROR(__xludf.DUMMYFUNCTION("""COMPUTED_VALUE"""),"00158")</f>
        <v>00158</v>
      </c>
      <c r="G44" t="str">
        <f>IFERROR(__xludf.DUMMYFUNCTION("""COMPUTED_VALUE"""),"HBT# 4381 Bob Trk# 4")</f>
        <v>HBT# 4381 Bob Trk# 4</v>
      </c>
      <c r="H44" s="50"/>
      <c r="I44" s="139">
        <f t="shared" si="4"/>
        <v>0</v>
      </c>
      <c r="J44" s="50">
        <f t="shared" si="2"/>
        <v>995</v>
      </c>
      <c r="K44" s="140">
        <f t="shared" si="3"/>
        <v>995</v>
      </c>
      <c r="L44" s="142">
        <v>0.0</v>
      </c>
      <c r="M44" s="142">
        <v>56.0</v>
      </c>
      <c r="N44" s="141">
        <f>sumif(Farms!$C$68:$C$104,E44,Farms!$G$68:$G$104)</f>
        <v>13</v>
      </c>
    </row>
    <row r="45">
      <c r="A45" s="135">
        <f>IFERROR(__xludf.DUMMYFUNCTION("""COMPUTED_VALUE"""),45856.0)</f>
        <v>45856</v>
      </c>
      <c r="B45" s="87" t="str">
        <f>IFERROR(__xludf.DUMMYFUNCTION("""COMPUTED_VALUE"""),"blue ")</f>
        <v>blue </v>
      </c>
      <c r="C45">
        <f>IFERROR(__xludf.DUMMYFUNCTION("""COMPUTED_VALUE"""),55680.0)</f>
        <v>55680</v>
      </c>
      <c r="D45" s="136"/>
      <c r="E45" s="137" t="str">
        <f>IFERROR(__xludf.DUMMYFUNCTION("""COMPUTED_VALUE"""),"Hybrid Rye")</f>
        <v>Hybrid Rye</v>
      </c>
      <c r="F45" s="138" t="str">
        <f>IFERROR(__xludf.DUMMYFUNCTION("""COMPUTED_VALUE"""),"00165")</f>
        <v>00165</v>
      </c>
      <c r="G45" t="str">
        <f>IFERROR(__xludf.DUMMYFUNCTION("""COMPUTED_VALUE"""),"HBT# 3119 Bob Trk# 5  Last Load")</f>
        <v>HBT# 3119 Bob Trk# 5  Last Load</v>
      </c>
      <c r="H45" s="50"/>
      <c r="I45" s="139">
        <f t="shared" si="4"/>
        <v>0</v>
      </c>
      <c r="J45" s="50">
        <f t="shared" si="2"/>
        <v>928</v>
      </c>
      <c r="K45" s="140">
        <f t="shared" si="3"/>
        <v>928</v>
      </c>
      <c r="L45" s="142">
        <v>0.0</v>
      </c>
      <c r="M45" s="142">
        <v>60.0</v>
      </c>
      <c r="N45" s="141">
        <f>sumif(Farms!$C$68:$C$104,E45,Farms!$G$68:$G$104)</f>
        <v>13</v>
      </c>
    </row>
    <row r="46">
      <c r="A46" s="135">
        <f>IFERROR(__xludf.DUMMYFUNCTION("""COMPUTED_VALUE"""),45860.0)</f>
        <v>45860</v>
      </c>
      <c r="B46" s="87" t="str">
        <f>IFERROR(__xludf.DUMMYFUNCTION("""COMPUTED_VALUE"""),"blue crop #2")</f>
        <v>blue crop #2</v>
      </c>
      <c r="C46">
        <f>IFERROR(__xludf.DUMMYFUNCTION("""COMPUTED_VALUE"""),20340.0)</f>
        <v>20340</v>
      </c>
      <c r="D46" s="136">
        <f>IFERROR(__xludf.DUMMYFUNCTION("""COMPUTED_VALUE"""),13.3)</f>
        <v>13.3</v>
      </c>
      <c r="E46" s="137" t="str">
        <f>IFERROR(__xludf.DUMMYFUNCTION("""COMPUTED_VALUE"""),"Rye ")</f>
        <v>Rye </v>
      </c>
      <c r="F46" s="138" t="str">
        <f>IFERROR(__xludf.DUMMYFUNCTION("""COMPUTED_VALUE"""),"H066664")</f>
        <v>H066664</v>
      </c>
      <c r="G46" t="str">
        <f>IFERROR(__xludf.DUMMYFUNCTION("""COMPUTED_VALUE"""),"HBT# 1601   JB Trk Tandem - Clean out")</f>
        <v>HBT# 1601   JB Trk Tandem - Clean out</v>
      </c>
      <c r="H46" s="50"/>
      <c r="I46" s="139">
        <f t="shared" si="4"/>
        <v>0</v>
      </c>
      <c r="J46" s="50">
        <f t="shared" si="2"/>
        <v>339</v>
      </c>
      <c r="K46" s="140">
        <f t="shared" si="3"/>
        <v>339</v>
      </c>
      <c r="L46" s="142">
        <v>0.0</v>
      </c>
      <c r="M46" s="142">
        <v>60.0</v>
      </c>
      <c r="N46" s="141">
        <f>sumif(Farms!$C$68:$C$104,E46,Farms!$G$68:$G$104)</f>
        <v>13</v>
      </c>
      <c r="O46" s="46" t="s">
        <v>152</v>
      </c>
    </row>
    <row r="47">
      <c r="A47" s="135">
        <f>IFERROR(__xludf.DUMMYFUNCTION("""COMPUTED_VALUE"""),45907.0)</f>
        <v>45907</v>
      </c>
      <c r="B47" s="87" t="str">
        <f>IFERROR(__xludf.DUMMYFUNCTION("""COMPUTED_VALUE"""),"buchanon crop #1")</f>
        <v>buchanon crop #1</v>
      </c>
      <c r="C47">
        <f>IFERROR(__xludf.DUMMYFUNCTION("""COMPUTED_VALUE"""),99625.0)</f>
        <v>99625</v>
      </c>
      <c r="D47" s="136"/>
      <c r="E47" s="137" t="str">
        <f>IFERROR(__xludf.DUMMYFUNCTION("""COMPUTED_VALUE"""),"Lima Beans")</f>
        <v>Lima Beans</v>
      </c>
      <c r="F47" s="138" t="str">
        <f>IFERROR(__xludf.DUMMYFUNCTION("""COMPUTED_VALUE"""),"531-041005 - 9,16")</f>
        <v>531-041005 - 9,16</v>
      </c>
      <c r="G47" t="str">
        <f>IFERROR(__xludf.DUMMYFUNCTION("""COMPUTED_VALUE"""),"Seneca")</f>
        <v>Seneca</v>
      </c>
      <c r="H47" s="50"/>
      <c r="I47" s="139">
        <f t="shared" si="4"/>
        <v>0</v>
      </c>
      <c r="J47" s="50">
        <f t="shared" si="2"/>
        <v>49.8125</v>
      </c>
      <c r="K47" s="140">
        <f t="shared" si="3"/>
        <v>49.8125</v>
      </c>
      <c r="L47" s="142">
        <v>0.0</v>
      </c>
      <c r="M47" s="142">
        <v>2000.0</v>
      </c>
      <c r="N47" s="142">
        <v>0.0</v>
      </c>
    </row>
    <row r="48">
      <c r="A48" s="135">
        <f>IFERROR(__xludf.DUMMYFUNCTION("""COMPUTED_VALUE"""),45930.0)</f>
        <v>45930</v>
      </c>
      <c r="B48" s="87" t="str">
        <f>IFERROR(__xludf.DUMMYFUNCTION("""COMPUTED_VALUE"""),"buchanon crop #2")</f>
        <v>buchanon crop #2</v>
      </c>
      <c r="C48">
        <f>IFERROR(__xludf.DUMMYFUNCTION("""COMPUTED_VALUE"""),32432.0)</f>
        <v>32432</v>
      </c>
      <c r="D48" s="136">
        <f>IFERROR(__xludf.DUMMYFUNCTION("""COMPUTED_VALUE"""),13.2)</f>
        <v>13.2</v>
      </c>
      <c r="E48" s="137" t="str">
        <f>IFERROR(__xludf.DUMMYFUNCTION("""COMPUTED_VALUE"""),"Enlist Soybeans")</f>
        <v>Enlist Soybeans</v>
      </c>
      <c r="F48" s="138" t="str">
        <f>IFERROR(__xludf.DUMMYFUNCTION("""COMPUTED_VALUE"""),"M038432")</f>
        <v>M038432</v>
      </c>
      <c r="G48" t="str">
        <f>IFERROR(__xludf.DUMMYFUNCTION("""COMPUTED_VALUE"""),"Split Load HBT#5091 Bob Trk# 3")</f>
        <v>Split Load HBT#5091 Bob Trk# 3</v>
      </c>
      <c r="H48" s="50">
        <f>IFERROR(__xludf.DUMMYFUNCTION("""COMPUTED_VALUE"""),0.23)</f>
        <v>0.23</v>
      </c>
      <c r="I48" s="139">
        <f t="shared" si="4"/>
        <v>0</v>
      </c>
      <c r="J48" s="50">
        <f t="shared" si="2"/>
        <v>538.9117333</v>
      </c>
      <c r="K48" s="140">
        <f t="shared" si="3"/>
        <v>538.9117333</v>
      </c>
      <c r="L48" s="142">
        <v>1.5</v>
      </c>
      <c r="M48" s="142">
        <v>60.0</v>
      </c>
      <c r="N48" s="141">
        <f>sumif(Farms!$C$68:$C$104,E48,Farms!$G$68:$G$104)</f>
        <v>13</v>
      </c>
      <c r="O48" s="46" t="s">
        <v>152</v>
      </c>
    </row>
    <row r="49">
      <c r="A49" s="135">
        <f>IFERROR(__xludf.DUMMYFUNCTION("""COMPUTED_VALUE"""),45918.0)</f>
        <v>45918</v>
      </c>
      <c r="B49" s="87" t="str">
        <f>IFERROR(__xludf.DUMMYFUNCTION("""COMPUTED_VALUE"""),"carrol")</f>
        <v>carrol</v>
      </c>
      <c r="C49">
        <f>IFERROR(__xludf.DUMMYFUNCTION("""COMPUTED_VALUE"""),50720.0)</f>
        <v>50720</v>
      </c>
      <c r="D49" s="136"/>
      <c r="E49" s="137" t="str">
        <f>IFERROR(__xludf.DUMMYFUNCTION("""COMPUTED_VALUE"""),"262 OR Seed beans")</f>
        <v>262 OR Seed beans</v>
      </c>
      <c r="F49" s="138" t="str">
        <f>IFERROR(__xludf.DUMMYFUNCTION("""COMPUTED_VALUE"""),"262")</f>
        <v>262</v>
      </c>
      <c r="G49" t="str">
        <f>IFERROR(__xludf.DUMMYFUNCTION("""COMPUTED_VALUE"""),"GR01 Ken Trucked")</f>
        <v>GR01 Ken Trucked</v>
      </c>
      <c r="H49" s="50"/>
      <c r="I49" s="139">
        <f t="shared" si="4"/>
        <v>0</v>
      </c>
      <c r="J49" s="50">
        <f t="shared" si="2"/>
        <v>905.7142857</v>
      </c>
      <c r="K49" s="140">
        <f t="shared" si="3"/>
        <v>905.7142857</v>
      </c>
      <c r="L49" s="142">
        <v>0.0</v>
      </c>
      <c r="M49" s="142">
        <v>56.0</v>
      </c>
      <c r="N49" s="141">
        <f>sumif(Farms!$C$68:$C$104,E49,Farms!$G$68:$G$104)</f>
        <v>13</v>
      </c>
    </row>
    <row r="50">
      <c r="A50" s="135">
        <f>IFERROR(__xludf.DUMMYFUNCTION("""COMPUTED_VALUE"""),45918.0)</f>
        <v>45918</v>
      </c>
      <c r="B50" s="87" t="str">
        <f>IFERROR(__xludf.DUMMYFUNCTION("""COMPUTED_VALUE"""),"carrol")</f>
        <v>carrol</v>
      </c>
      <c r="C50">
        <f>IFERROR(__xludf.DUMMYFUNCTION("""COMPUTED_VALUE"""),29040.0)</f>
        <v>29040</v>
      </c>
      <c r="D50" s="136"/>
      <c r="E50" s="137" t="str">
        <f>IFERROR(__xludf.DUMMYFUNCTION("""COMPUTED_VALUE"""),"262 OR Seed beans")</f>
        <v>262 OR Seed beans</v>
      </c>
      <c r="F50" s="138" t="str">
        <f>IFERROR(__xludf.DUMMYFUNCTION("""COMPUTED_VALUE"""),"67963")</f>
        <v>67963</v>
      </c>
      <c r="G50" t="str">
        <f>IFERROR(__xludf.DUMMYFUNCTION("""COMPUTED_VALUE"""),"Scoular")</f>
        <v>Scoular</v>
      </c>
      <c r="H50" s="50"/>
      <c r="I50" s="139">
        <f t="shared" si="4"/>
        <v>0</v>
      </c>
      <c r="J50" s="50">
        <f t="shared" si="2"/>
        <v>578.38</v>
      </c>
      <c r="K50" s="140">
        <f t="shared" si="3"/>
        <v>578.38</v>
      </c>
      <c r="L50" s="141">
        <f>sumif(Farms!$C$68:$C$104,E50,Farms!$D$68:$D$104)</f>
        <v>1.5</v>
      </c>
      <c r="M50" s="141">
        <f>sumif(Farms!$C$68:$C$104,E50,Farms!$F$68:$F$104)</f>
        <v>60</v>
      </c>
      <c r="N50" s="141">
        <f>sumif(Farms!$C$68:$C$104,E50,Farms!$G$68:$G$104)</f>
        <v>13</v>
      </c>
    </row>
    <row r="51">
      <c r="A51" s="135">
        <f>IFERROR(__xludf.DUMMYFUNCTION("""COMPUTED_VALUE"""),45918.0)</f>
        <v>45918</v>
      </c>
      <c r="B51" s="87" t="str">
        <f>IFERROR(__xludf.DUMMYFUNCTION("""COMPUTED_VALUE"""),"carrol")</f>
        <v>carrol</v>
      </c>
      <c r="C51">
        <f>IFERROR(__xludf.DUMMYFUNCTION("""COMPUTED_VALUE"""),52060.0)</f>
        <v>52060</v>
      </c>
      <c r="D51" s="136"/>
      <c r="E51" s="137" t="str">
        <f>IFERROR(__xludf.DUMMYFUNCTION("""COMPUTED_VALUE"""),"262 OR Seed beans")</f>
        <v>262 OR Seed beans</v>
      </c>
      <c r="F51" s="138" t="str">
        <f>IFERROR(__xludf.DUMMYFUNCTION("""COMPUTED_VALUE"""),"76806")</f>
        <v>76806</v>
      </c>
      <c r="G51" t="str">
        <f>IFERROR(__xludf.DUMMYFUNCTION("""COMPUTED_VALUE"""),"Scoular")</f>
        <v>Scoular</v>
      </c>
      <c r="H51" s="50"/>
      <c r="I51" s="148">
        <v>0.0</v>
      </c>
      <c r="J51" s="50">
        <f t="shared" si="2"/>
        <v>1036.861667</v>
      </c>
      <c r="K51" s="140">
        <f t="shared" si="3"/>
        <v>1036.861667</v>
      </c>
      <c r="L51" s="141">
        <f>sumif(Farms!$C$68:$C$104,E51,Farms!$D$68:$D$104)</f>
        <v>1.5</v>
      </c>
      <c r="M51" s="141">
        <f>sumif(Farms!$C$68:$C$104,E51,Farms!$F$68:$F$104)</f>
        <v>60</v>
      </c>
      <c r="N51" s="141">
        <f>sumif(Farms!$C$68:$C$104,E51,Farms!$G$68:$G$104)</f>
        <v>13</v>
      </c>
    </row>
    <row r="52">
      <c r="A52" s="135">
        <f>IFERROR(__xludf.DUMMYFUNCTION("""COMPUTED_VALUE"""),45918.0)</f>
        <v>45918</v>
      </c>
      <c r="B52" s="87" t="str">
        <f>IFERROR(__xludf.DUMMYFUNCTION("""COMPUTED_VALUE"""),"carrol")</f>
        <v>carrol</v>
      </c>
      <c r="C52">
        <f>IFERROR(__xludf.DUMMYFUNCTION("""COMPUTED_VALUE"""),56480.0)</f>
        <v>56480</v>
      </c>
      <c r="D52" s="136"/>
      <c r="E52" s="137" t="str">
        <f>IFERROR(__xludf.DUMMYFUNCTION("""COMPUTED_VALUE"""),"262 OR Seed beans")</f>
        <v>262 OR Seed beans</v>
      </c>
      <c r="F52" s="138" t="str">
        <f>IFERROR(__xludf.DUMMYFUNCTION("""COMPUTED_VALUE"""),"0263")</f>
        <v>0263</v>
      </c>
      <c r="G52" t="str">
        <f>IFERROR(__xludf.DUMMYFUNCTION("""COMPUTED_VALUE"""),"HBT# 3132 WDH Trk # 5  ")</f>
        <v>HBT# 3132 WDH Trk # 5  </v>
      </c>
      <c r="H52" s="50"/>
      <c r="I52" s="139">
        <f t="shared" ref="I52:I53" si="5">if(H52&gt;=1,H52-1,"0")/100</f>
        <v>0</v>
      </c>
      <c r="J52" s="50">
        <f t="shared" si="2"/>
        <v>1124.893333</v>
      </c>
      <c r="K52" s="140">
        <f t="shared" si="3"/>
        <v>1124.893333</v>
      </c>
      <c r="L52" s="141">
        <f>sumif(Farms!$C$68:$C$104,E52,Farms!$D$68:$D$104)</f>
        <v>1.5</v>
      </c>
      <c r="M52" s="141">
        <f>sumif(Farms!$C$68:$C$104,E52,Farms!$F$68:$F$104)</f>
        <v>60</v>
      </c>
      <c r="N52" s="141">
        <f>sumif(Farms!$C$68:$C$104,E52,Farms!$G$68:$G$104)</f>
        <v>13</v>
      </c>
    </row>
    <row r="53">
      <c r="A53" s="135">
        <f>IFERROR(__xludf.DUMMYFUNCTION("""COMPUTED_VALUE"""),45918.0)</f>
        <v>45918</v>
      </c>
      <c r="B53" s="87" t="str">
        <f>IFERROR(__xludf.DUMMYFUNCTION("""COMPUTED_VALUE"""),"carrol")</f>
        <v>carrol</v>
      </c>
      <c r="C53">
        <f>IFERROR(__xludf.DUMMYFUNCTION("""COMPUTED_VALUE"""),26240.0)</f>
        <v>26240</v>
      </c>
      <c r="D53" s="136"/>
      <c r="E53" s="137" t="str">
        <f>IFERROR(__xludf.DUMMYFUNCTION("""COMPUTED_VALUE"""),"262 OR Seed beans")</f>
        <v>262 OR Seed beans</v>
      </c>
      <c r="F53" s="138" t="str">
        <f>IFERROR(__xludf.DUMMYFUNCTION("""COMPUTED_VALUE"""),"0264")</f>
        <v>0264</v>
      </c>
      <c r="G53" t="str">
        <f>IFERROR(__xludf.DUMMYFUNCTION("""COMPUTED_VALUE"""),"HBT# 5081 Bob Trk # 5")</f>
        <v>HBT# 5081 Bob Trk # 5</v>
      </c>
      <c r="H53" s="50"/>
      <c r="I53" s="139">
        <f t="shared" si="5"/>
        <v>0</v>
      </c>
      <c r="J53" s="50">
        <f t="shared" si="2"/>
        <v>468.5714286</v>
      </c>
      <c r="K53" s="140">
        <f t="shared" si="3"/>
        <v>468.5714286</v>
      </c>
      <c r="L53" s="142">
        <v>0.0</v>
      </c>
      <c r="M53" s="142">
        <v>56.0</v>
      </c>
      <c r="N53" s="141">
        <f>sumif(Farms!$C$68:$C$104,E53,Farms!$G$68:$G$104)</f>
        <v>13</v>
      </c>
    </row>
    <row r="54">
      <c r="A54" s="135">
        <f>IFERROR(__xludf.DUMMYFUNCTION("""COMPUTED_VALUE"""),45923.0)</f>
        <v>45923</v>
      </c>
      <c r="B54" s="87" t="str">
        <f>IFERROR(__xludf.DUMMYFUNCTION("""COMPUTED_VALUE"""),"carrol")</f>
        <v>carrol</v>
      </c>
      <c r="C54">
        <f>IFERROR(__xludf.DUMMYFUNCTION("""COMPUTED_VALUE"""),57380.0)</f>
        <v>57380</v>
      </c>
      <c r="D54" s="136">
        <f>IFERROR(__xludf.DUMMYFUNCTION("""COMPUTED_VALUE"""),13.0)</f>
        <v>13</v>
      </c>
      <c r="E54" s="137" t="str">
        <f>IFERROR(__xludf.DUMMYFUNCTION("""COMPUTED_VALUE"""),"262 OR Seed beans")</f>
        <v>262 OR Seed beans</v>
      </c>
      <c r="F54" s="138" t="str">
        <f>IFERROR(__xludf.DUMMYFUNCTION("""COMPUTED_VALUE"""),"0281")</f>
        <v>0281</v>
      </c>
      <c r="G54" t="str">
        <f>IFERROR(__xludf.DUMMYFUNCTION("""COMPUTED_VALUE"""),"HBT# 5083 Bob Trk# 3 ")</f>
        <v>HBT# 5083 Bob Trk# 3 </v>
      </c>
      <c r="H54" s="50"/>
      <c r="I54" s="148">
        <v>0.0</v>
      </c>
      <c r="J54" s="50">
        <f t="shared" si="2"/>
        <v>1024.642857</v>
      </c>
      <c r="K54" s="140">
        <f t="shared" si="3"/>
        <v>1024.642857</v>
      </c>
      <c r="L54" s="142">
        <v>1.5</v>
      </c>
      <c r="M54" s="142">
        <v>56.0</v>
      </c>
      <c r="N54" s="141">
        <f>sumif(Farms!$C$68:$C$104,E54,Farms!$G$68:$G$104)</f>
        <v>13</v>
      </c>
    </row>
    <row r="55">
      <c r="A55" s="135">
        <f>IFERROR(__xludf.DUMMYFUNCTION("""COMPUTED_VALUE"""),45923.0)</f>
        <v>45923</v>
      </c>
      <c r="B55" s="87" t="str">
        <f>IFERROR(__xludf.DUMMYFUNCTION("""COMPUTED_VALUE"""),"carrol")</f>
        <v>carrol</v>
      </c>
      <c r="C55">
        <f>IFERROR(__xludf.DUMMYFUNCTION("""COMPUTED_VALUE"""),54340.0)</f>
        <v>54340</v>
      </c>
      <c r="D55" s="136"/>
      <c r="E55" s="137" t="str">
        <f>IFERROR(__xludf.DUMMYFUNCTION("""COMPUTED_VALUE"""),"262 OR Seed beans")</f>
        <v>262 OR Seed beans</v>
      </c>
      <c r="F55" s="138" t="str">
        <f>IFERROR(__xludf.DUMMYFUNCTION("""COMPUTED_VALUE"""),"0282")</f>
        <v>0282</v>
      </c>
      <c r="G55" t="str">
        <f>IFERROR(__xludf.DUMMYFUNCTION("""COMPUTED_VALUE"""),"HBT#4567 5083 Bob Trk# 63")</f>
        <v>HBT#4567 5083 Bob Trk# 63</v>
      </c>
      <c r="H55" s="50"/>
      <c r="I55" s="139">
        <f t="shared" ref="I55:I61" si="6">if(H55&gt;=1,H55-1,"0")/100</f>
        <v>0</v>
      </c>
      <c r="J55" s="50">
        <f t="shared" si="2"/>
        <v>1159.576786</v>
      </c>
      <c r="K55" s="140">
        <f t="shared" si="3"/>
        <v>1159.576786</v>
      </c>
      <c r="L55" s="142">
        <v>1.5</v>
      </c>
      <c r="M55" s="142">
        <v>56.0</v>
      </c>
      <c r="N55" s="141">
        <f>sumif(Farms!$C$68:$C$104,E55,Farms!$G$68:$G$104)</f>
        <v>13</v>
      </c>
    </row>
    <row r="56">
      <c r="A56" s="135">
        <f>IFERROR(__xludf.DUMMYFUNCTION("""COMPUTED_VALUE"""),45923.0)</f>
        <v>45923</v>
      </c>
      <c r="B56" s="87" t="str">
        <f>IFERROR(__xludf.DUMMYFUNCTION("""COMPUTED_VALUE"""),"carrol")</f>
        <v>carrol</v>
      </c>
      <c r="C56">
        <f>IFERROR(__xludf.DUMMYFUNCTION("""COMPUTED_VALUE"""),55380.0)</f>
        <v>55380</v>
      </c>
      <c r="D56" s="136"/>
      <c r="E56" s="137" t="str">
        <f>IFERROR(__xludf.DUMMYFUNCTION("""COMPUTED_VALUE"""),"262 OR Seed beans")</f>
        <v>262 OR Seed beans</v>
      </c>
      <c r="F56" s="138" t="str">
        <f>IFERROR(__xludf.DUMMYFUNCTION("""COMPUTED_VALUE"""),"0287")</f>
        <v>0287</v>
      </c>
      <c r="G56" t="str">
        <f>IFERROR(__xludf.DUMMYFUNCTION("""COMPUTED_VALUE"""),"HBT#3133 Bob Trk#5")</f>
        <v>HBT#3133 Bob Trk#5</v>
      </c>
      <c r="H56" s="50"/>
      <c r="I56" s="139">
        <f t="shared" si="6"/>
        <v>0</v>
      </c>
      <c r="J56" s="50">
        <f t="shared" si="2"/>
        <v>988.9285714</v>
      </c>
      <c r="K56" s="140">
        <f t="shared" si="3"/>
        <v>988.9285714</v>
      </c>
      <c r="L56" s="142">
        <v>0.0</v>
      </c>
      <c r="M56" s="142">
        <v>56.0</v>
      </c>
      <c r="N56" s="141">
        <f>sumif(Farms!$C$68:$C$104,E56,Farms!$G$68:$G$104)</f>
        <v>13</v>
      </c>
      <c r="O56" s="46" t="s">
        <v>152</v>
      </c>
    </row>
    <row r="57">
      <c r="A57" s="135">
        <f>IFERROR(__xludf.DUMMYFUNCTION("""COMPUTED_VALUE"""),45926.0)</f>
        <v>45926</v>
      </c>
      <c r="B57" s="87" t="str">
        <f>IFERROR(__xludf.DUMMYFUNCTION("""COMPUTED_VALUE"""),"carrol")</f>
        <v>carrol</v>
      </c>
      <c r="C57">
        <f>IFERROR(__xludf.DUMMYFUNCTION("""COMPUTED_VALUE"""),54220.0)</f>
        <v>54220</v>
      </c>
      <c r="D57" s="136"/>
      <c r="E57" s="137" t="str">
        <f>IFERROR(__xludf.DUMMYFUNCTION("""COMPUTED_VALUE"""),"262 OR Seed beans")</f>
        <v>262 OR Seed beans</v>
      </c>
      <c r="F57" s="138" t="str">
        <f>IFERROR(__xludf.DUMMYFUNCTION("""COMPUTED_VALUE"""),"0320")</f>
        <v>0320</v>
      </c>
      <c r="G57" t="str">
        <f>IFERROR(__xludf.DUMMYFUNCTION("""COMPUTED_VALUE"""),"HBT#5084 Bob Trk# 5")</f>
        <v>HBT#5084 Bob Trk# 5</v>
      </c>
      <c r="H57" s="50"/>
      <c r="I57" s="139">
        <f t="shared" si="6"/>
        <v>0</v>
      </c>
      <c r="J57" s="50">
        <f t="shared" si="2"/>
        <v>968.2142857</v>
      </c>
      <c r="K57" s="140">
        <f t="shared" si="3"/>
        <v>968.2142857</v>
      </c>
      <c r="L57" s="142">
        <v>0.0</v>
      </c>
      <c r="M57" s="142">
        <v>56.0</v>
      </c>
      <c r="N57" s="141">
        <f>sumif(Farms!$C$68:$C$104,E57,Farms!$G$68:$G$104)</f>
        <v>13</v>
      </c>
    </row>
    <row r="58">
      <c r="A58" s="135">
        <f>IFERROR(__xludf.DUMMYFUNCTION("""COMPUTED_VALUE"""),45936.0)</f>
        <v>45936</v>
      </c>
      <c r="B58" s="87" t="str">
        <f>IFERROR(__xludf.DUMMYFUNCTION("""COMPUTED_VALUE"""),"carrol")</f>
        <v>carrol</v>
      </c>
      <c r="C58">
        <f>IFERROR(__xludf.DUMMYFUNCTION("""COMPUTED_VALUE"""),50720.0)</f>
        <v>50720</v>
      </c>
      <c r="D58" s="136">
        <f>IFERROR(__xludf.DUMMYFUNCTION("""COMPUTED_VALUE"""),13.5)</f>
        <v>13.5</v>
      </c>
      <c r="E58" s="137" t="str">
        <f>IFERROR(__xludf.DUMMYFUNCTION("""COMPUTED_VALUE"""),"262 OR Seed beans")</f>
        <v>262 OR Seed beans</v>
      </c>
      <c r="F58" s="138" t="str">
        <f>IFERROR(__xludf.DUMMYFUNCTION("""COMPUTED_VALUE"""),"67962")</f>
        <v>67962</v>
      </c>
      <c r="G58" t="str">
        <f>IFERROR(__xludf.DUMMYFUNCTION("""COMPUTED_VALUE"""),"HBt#3134 WR Trk# 41 Scoular")</f>
        <v>HBt#3134 WR Trk# 41 Scoular</v>
      </c>
      <c r="H58" s="50">
        <f>IFERROR(__xludf.DUMMYFUNCTION("""COMPUTED_VALUE"""),0.4)</f>
        <v>0.4</v>
      </c>
      <c r="I58" s="139">
        <f t="shared" si="6"/>
        <v>0</v>
      </c>
      <c r="J58" s="50">
        <f t="shared" si="2"/>
        <v>905.7142857</v>
      </c>
      <c r="K58" s="140">
        <f t="shared" si="3"/>
        <v>905.7142857</v>
      </c>
      <c r="L58" s="142">
        <v>0.0</v>
      </c>
      <c r="M58" s="142">
        <v>56.0</v>
      </c>
      <c r="N58" s="141">
        <f>sumif(Farms!$C$68:$C$104,E58,Farms!$G$68:$G$104)</f>
        <v>13</v>
      </c>
    </row>
    <row r="59">
      <c r="A59" s="135">
        <f>IFERROR(__xludf.DUMMYFUNCTION("""COMPUTED_VALUE"""),45939.0)</f>
        <v>45939</v>
      </c>
      <c r="B59" s="87" t="str">
        <f>IFERROR(__xludf.DUMMYFUNCTION("""COMPUTED_VALUE"""),"carrol")</f>
        <v>carrol</v>
      </c>
      <c r="C59" s="87">
        <f>IFERROR(__xludf.DUMMYFUNCTION("""COMPUTED_VALUE"""),29040.0)</f>
        <v>29040</v>
      </c>
      <c r="D59" s="136">
        <f>IFERROR(__xludf.DUMMYFUNCTION("""COMPUTED_VALUE"""),13.7)</f>
        <v>13.7</v>
      </c>
      <c r="E59" s="137" t="str">
        <f>IFERROR(__xludf.DUMMYFUNCTION("""COMPUTED_VALUE"""),"262 OR Seed beans")</f>
        <v>262 OR Seed beans</v>
      </c>
      <c r="F59" s="138" t="str">
        <f>IFERROR(__xludf.DUMMYFUNCTION("""COMPUTED_VALUE"""),"67963")</f>
        <v>67963</v>
      </c>
      <c r="G59" t="str">
        <f>IFERROR(__xludf.DUMMYFUNCTION("""COMPUTED_VALUE"""),"HBT# 4569 WR Trk# Bernies Scoular")</f>
        <v>HBT# 4569 WR Trk# Bernies Scoular</v>
      </c>
      <c r="H59" s="50">
        <f>IFERROR(__xludf.DUMMYFUNCTION("""COMPUTED_VALUE"""),0.5)</f>
        <v>0.5</v>
      </c>
      <c r="I59" s="139">
        <f t="shared" si="6"/>
        <v>0</v>
      </c>
      <c r="J59" s="50">
        <f t="shared" si="2"/>
        <v>478.918</v>
      </c>
      <c r="K59" s="140">
        <f t="shared" si="3"/>
        <v>478.918</v>
      </c>
      <c r="L59" s="141">
        <f>sumif(Farms!$C$68:$C$104,E59,Farms!$D$68:$D$104)</f>
        <v>1.5</v>
      </c>
      <c r="M59" s="141">
        <f>sumif(Farms!$C$68:$C$104,E59,Farms!$F$68:$F$104)</f>
        <v>60</v>
      </c>
      <c r="N59" s="141">
        <f>sumif(Farms!$C$68:$C$104,E59,Farms!$G$68:$G$104)</f>
        <v>13</v>
      </c>
    </row>
    <row r="60">
      <c r="A60" s="135">
        <f>IFERROR(__xludf.DUMMYFUNCTION("""COMPUTED_VALUE"""),45926.0)</f>
        <v>45926</v>
      </c>
      <c r="B60" s="87" t="str">
        <f>IFERROR(__xludf.DUMMYFUNCTION("""COMPUTED_VALUE"""),"Cuff ")</f>
        <v>Cuff </v>
      </c>
      <c r="C60">
        <f>IFERROR(__xludf.DUMMYFUNCTION("""COMPUTED_VALUE"""),56560.0)</f>
        <v>56560</v>
      </c>
      <c r="D60" s="136"/>
      <c r="E60" s="137" t="str">
        <f>IFERROR(__xludf.DUMMYFUNCTION("""COMPUTED_VALUE"""),"262 OR Seed beans")</f>
        <v>262 OR Seed beans</v>
      </c>
      <c r="F60" s="138" t="str">
        <f>IFERROR(__xludf.DUMMYFUNCTION("""COMPUTED_VALUE"""),"00331")</f>
        <v>00331</v>
      </c>
      <c r="G60" t="str">
        <f>IFERROR(__xludf.DUMMYFUNCTION("""COMPUTED_VALUE"""),"HBT# 5085 Bob  Trk# 5 ")</f>
        <v>HBT# 5085 Bob  Trk# 5 </v>
      </c>
      <c r="H60" s="50"/>
      <c r="I60" s="139">
        <f t="shared" si="6"/>
        <v>0</v>
      </c>
      <c r="J60" s="50">
        <f t="shared" si="2"/>
        <v>1154.766667</v>
      </c>
      <c r="K60" s="140">
        <f t="shared" si="3"/>
        <v>1154.766667</v>
      </c>
      <c r="L60" s="141">
        <f>sumif(Farms!$C$68:$C$104,E60,Farms!$D$68:$D$104)</f>
        <v>1.5</v>
      </c>
      <c r="M60" s="141">
        <f>sumif(Farms!$C$68:$C$104,E60,Farms!$F$68:$F$104)</f>
        <v>60</v>
      </c>
      <c r="N60" s="142">
        <v>15.0</v>
      </c>
    </row>
    <row r="61">
      <c r="A61" s="135">
        <f>IFERROR(__xludf.DUMMYFUNCTION("""COMPUTED_VALUE"""),45927.0)</f>
        <v>45927</v>
      </c>
      <c r="B61" s="87" t="str">
        <f>IFERROR(__xludf.DUMMYFUNCTION("""COMPUTED_VALUE"""),"Cuff ")</f>
        <v>Cuff </v>
      </c>
      <c r="C61">
        <f>IFERROR(__xludf.DUMMYFUNCTION("""COMPUTED_VALUE"""),57400.0)</f>
        <v>57400</v>
      </c>
      <c r="D61" s="136"/>
      <c r="E61" s="137" t="str">
        <f>IFERROR(__xludf.DUMMYFUNCTION("""COMPUTED_VALUE"""),"262 OR Seed beans")</f>
        <v>262 OR Seed beans</v>
      </c>
      <c r="F61" s="138" t="str">
        <f>IFERROR(__xludf.DUMMYFUNCTION("""COMPUTED_VALUE"""),"00333")</f>
        <v>00333</v>
      </c>
      <c r="G61" t="str">
        <f>IFERROR(__xludf.DUMMYFUNCTION("""COMPUTED_VALUE"""),"HBT# 5657 Bob   Trk# 5 ")</f>
        <v>HBT# 5657 Bob   Trk# 5 </v>
      </c>
      <c r="H61" s="50"/>
      <c r="I61" s="139">
        <f t="shared" si="6"/>
        <v>0</v>
      </c>
      <c r="J61" s="50">
        <f t="shared" si="2"/>
        <v>1143.216667</v>
      </c>
      <c r="K61" s="140">
        <f t="shared" si="3"/>
        <v>1143.216667</v>
      </c>
      <c r="L61" s="141">
        <f>sumif(Farms!$C$68:$C$104,E61,Farms!$D$68:$D$104)</f>
        <v>1.5</v>
      </c>
      <c r="M61" s="141">
        <f>sumif(Farms!$C$68:$C$104,E61,Farms!$F$68:$F$104)</f>
        <v>60</v>
      </c>
      <c r="N61" s="141">
        <f>sumif(Farms!$C$68:$C$104,E61,Farms!$G$68:$G$104)</f>
        <v>13</v>
      </c>
      <c r="O61" s="46" t="s">
        <v>152</v>
      </c>
    </row>
    <row r="62">
      <c r="A62" s="151">
        <f>IFERROR(__xludf.DUMMYFUNCTION("""COMPUTED_VALUE"""),45927.0)</f>
        <v>45927</v>
      </c>
      <c r="B62" s="87" t="str">
        <f>IFERROR(__xludf.DUMMYFUNCTION("""COMPUTED_VALUE"""),"Cuff ")</f>
        <v>Cuff </v>
      </c>
      <c r="C62" s="87">
        <f>IFERROR(__xludf.DUMMYFUNCTION("""COMPUTED_VALUE"""),56300.0)</f>
        <v>56300</v>
      </c>
      <c r="D62" s="128"/>
      <c r="E62" s="129" t="str">
        <f>IFERROR(__xludf.DUMMYFUNCTION("""COMPUTED_VALUE"""),"262 OR Seed beans")</f>
        <v>262 OR Seed beans</v>
      </c>
      <c r="F62" s="152" t="str">
        <f>IFERROR(__xludf.DUMMYFUNCTION("""COMPUTED_VALUE"""),"00334")</f>
        <v>00334</v>
      </c>
      <c r="G62" s="87" t="str">
        <f>IFERROR(__xludf.DUMMYFUNCTION("""COMPUTED_VALUE"""),"HBT# 5086 Bob  Trk# 5 ")</f>
        <v>HBT# 5086 Bob  Trk# 5 </v>
      </c>
      <c r="H62" s="49"/>
      <c r="I62" s="148">
        <v>0.0</v>
      </c>
      <c r="J62" s="50">
        <f t="shared" si="2"/>
        <v>1121.308333</v>
      </c>
      <c r="K62" s="140">
        <f t="shared" si="3"/>
        <v>1121.308333</v>
      </c>
      <c r="L62" s="141">
        <f>sumif(Farms!$C$68:$C$104,E62,Farms!$D$68:$D$104)</f>
        <v>1.5</v>
      </c>
      <c r="M62" s="141">
        <f>sumif(Farms!$C$68:$C$104,E62,Farms!$F$68:$F$104)</f>
        <v>60</v>
      </c>
      <c r="N62" s="141">
        <f>sumif(Farms!$C$68:$C$104,E62,Farms!$G$68:$G$104)</f>
        <v>13</v>
      </c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>
      <c r="A63" s="151">
        <f>IFERROR(__xludf.DUMMYFUNCTION("""COMPUTED_VALUE"""),45927.0)</f>
        <v>45927</v>
      </c>
      <c r="B63" s="87" t="str">
        <f>IFERROR(__xludf.DUMMYFUNCTION("""COMPUTED_VALUE"""),"Cuff ")</f>
        <v>Cuff </v>
      </c>
      <c r="C63" s="87">
        <f>IFERROR(__xludf.DUMMYFUNCTION("""COMPUTED_VALUE"""),60160.0)</f>
        <v>60160</v>
      </c>
      <c r="D63" s="128"/>
      <c r="E63" s="129" t="str">
        <f>IFERROR(__xludf.DUMMYFUNCTION("""COMPUTED_VALUE"""),"262 OR Seed beans")</f>
        <v>262 OR Seed beans</v>
      </c>
      <c r="F63" s="152" t="str">
        <f>IFERROR(__xludf.DUMMYFUNCTION("""COMPUTED_VALUE"""),"00335")</f>
        <v>00335</v>
      </c>
      <c r="G63" s="87" t="str">
        <f>IFERROR(__xludf.DUMMYFUNCTION("""COMPUTED_VALUE"""),"HBT# 5558 WD Trk# 41 ")</f>
        <v>HBT# 5558 WD Trk# 41 </v>
      </c>
      <c r="H63" s="49"/>
      <c r="I63" s="139">
        <f t="shared" ref="I63:I64" si="7">if(H63&gt;=1,H63-1,"0")/100</f>
        <v>0</v>
      </c>
      <c r="J63" s="50">
        <f t="shared" si="2"/>
        <v>1198.186667</v>
      </c>
      <c r="K63" s="140">
        <f t="shared" si="3"/>
        <v>1198.186667</v>
      </c>
      <c r="L63" s="141">
        <f>sumif(Farms!$C$68:$C$104,E63,Farms!$D$68:$D$104)</f>
        <v>1.5</v>
      </c>
      <c r="M63" s="141">
        <f>sumif(Farms!$C$68:$C$104,E63,Farms!$F$68:$F$104)</f>
        <v>60</v>
      </c>
      <c r="N63" s="141">
        <f>sumif(Farms!$C$68:$C$104,E63,Farms!$G$68:$G$104)</f>
        <v>13</v>
      </c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>
      <c r="A64" s="151">
        <f>IFERROR(__xludf.DUMMYFUNCTION("""COMPUTED_VALUE"""),45927.0)</f>
        <v>45927</v>
      </c>
      <c r="B64" s="87" t="str">
        <f>IFERROR(__xludf.DUMMYFUNCTION("""COMPUTED_VALUE"""),"Cuff ")</f>
        <v>Cuff </v>
      </c>
      <c r="C64" s="87">
        <f>IFERROR(__xludf.DUMMYFUNCTION("""COMPUTED_VALUE"""),55960.0)</f>
        <v>55960</v>
      </c>
      <c r="D64" s="128"/>
      <c r="E64" s="129" t="str">
        <f>IFERROR(__xludf.DUMMYFUNCTION("""COMPUTED_VALUE"""),"262 OR Seed beans")</f>
        <v>262 OR Seed beans</v>
      </c>
      <c r="F64" s="152" t="str">
        <f>IFERROR(__xludf.DUMMYFUNCTION("""COMPUTED_VALUE"""),"00336")</f>
        <v>00336</v>
      </c>
      <c r="G64" s="87" t="str">
        <f>IFERROR(__xludf.DUMMYFUNCTION("""COMPUTED_VALUE"""),"HBT# 50587 Bob  Trk# 3")</f>
        <v>HBT# 50587 Bob  Trk# 3</v>
      </c>
      <c r="H64" s="49"/>
      <c r="I64" s="139">
        <f t="shared" si="7"/>
        <v>0</v>
      </c>
      <c r="J64" s="50">
        <f t="shared" si="2"/>
        <v>1114.536667</v>
      </c>
      <c r="K64" s="140">
        <f t="shared" si="3"/>
        <v>1114.536667</v>
      </c>
      <c r="L64" s="141">
        <f>sumif(Farms!$C$68:$C$104,E64,Farms!$D$68:$D$104)</f>
        <v>1.5</v>
      </c>
      <c r="M64" s="141">
        <f>sumif(Farms!$C$68:$C$104,E64,Farms!$F$68:$F$104)</f>
        <v>60</v>
      </c>
      <c r="N64" s="141">
        <f>sumif(Farms!$C$68:$C$104,E64,Farms!$G$68:$G$104)</f>
        <v>13</v>
      </c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>
      <c r="A65" s="151">
        <f>IFERROR(__xludf.DUMMYFUNCTION("""COMPUTED_VALUE"""),45927.0)</f>
        <v>45927</v>
      </c>
      <c r="B65" s="87" t="str">
        <f>IFERROR(__xludf.DUMMYFUNCTION("""COMPUTED_VALUE"""),"Cuff ")</f>
        <v>Cuff </v>
      </c>
      <c r="C65" s="87">
        <f>IFERROR(__xludf.DUMMYFUNCTION("""COMPUTED_VALUE"""),56480.0)</f>
        <v>56480</v>
      </c>
      <c r="D65" s="128"/>
      <c r="E65" s="129" t="str">
        <f>IFERROR(__xludf.DUMMYFUNCTION("""COMPUTED_VALUE"""),"262 OR Seed beans")</f>
        <v>262 OR Seed beans</v>
      </c>
      <c r="F65" s="152" t="str">
        <f>IFERROR(__xludf.DUMMYFUNCTION("""COMPUTED_VALUE"""),"00337")</f>
        <v>00337</v>
      </c>
      <c r="G65" s="87" t="str">
        <f>IFERROR(__xludf.DUMMYFUNCTION("""COMPUTED_VALUE"""),"HBT# 4570 Bob  Trk# 63")</f>
        <v>HBT# 4570 Bob  Trk# 63</v>
      </c>
      <c r="H65" s="49"/>
      <c r="I65" s="148">
        <v>0.0</v>
      </c>
      <c r="J65" s="50">
        <f t="shared" si="2"/>
        <v>1124.893333</v>
      </c>
      <c r="K65" s="140">
        <f t="shared" si="3"/>
        <v>1124.893333</v>
      </c>
      <c r="L65" s="141">
        <f>sumif(Farms!$C$68:$C$104,E65,Farms!$D$68:$D$104)</f>
        <v>1.5</v>
      </c>
      <c r="M65" s="141">
        <f>sumif(Farms!$C$68:$C$104,E65,Farms!$F$68:$F$104)</f>
        <v>60</v>
      </c>
      <c r="N65" s="141">
        <f>sumif(Farms!$C$68:$C$104,E65,Farms!$G$68:$G$104)</f>
        <v>13</v>
      </c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6">
      <c r="A66" s="151">
        <f>IFERROR(__xludf.DUMMYFUNCTION("""COMPUTED_VALUE"""),45927.0)</f>
        <v>45927</v>
      </c>
      <c r="B66" s="87" t="str">
        <f>IFERROR(__xludf.DUMMYFUNCTION("""COMPUTED_VALUE"""),"Cuff ")</f>
        <v>Cuff </v>
      </c>
      <c r="C66" s="87">
        <f>IFERROR(__xludf.DUMMYFUNCTION("""COMPUTED_VALUE"""),57820.0)</f>
        <v>57820</v>
      </c>
      <c r="D66" s="128"/>
      <c r="E66" s="129" t="str">
        <f>IFERROR(__xludf.DUMMYFUNCTION("""COMPUTED_VALUE"""),"262 OR Seed beans")</f>
        <v>262 OR Seed beans</v>
      </c>
      <c r="F66" s="152"/>
      <c r="G66" s="87" t="str">
        <f>IFERROR(__xludf.DUMMYFUNCTION("""COMPUTED_VALUE"""),"GR01 Ken Trucked")</f>
        <v>GR01 Ken Trucked</v>
      </c>
      <c r="H66" s="49"/>
      <c r="I66" s="139">
        <f t="shared" ref="I66:I110" si="8">if(H66&gt;=1,H66-1,"0")/100</f>
        <v>0</v>
      </c>
      <c r="J66" s="50">
        <f t="shared" si="2"/>
        <v>1151.581667</v>
      </c>
      <c r="K66" s="140">
        <f t="shared" si="3"/>
        <v>1151.581667</v>
      </c>
      <c r="L66" s="142">
        <v>1.5</v>
      </c>
      <c r="M66" s="141">
        <f>sumif(Farms!$C$68:$C$104,E66,Farms!$F$68:$F$104)</f>
        <v>60</v>
      </c>
      <c r="N66" s="141">
        <f>sumif(Farms!$C$68:$C$104,E66,Farms!$G$68:$G$104)</f>
        <v>13</v>
      </c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>
      <c r="A67" s="135">
        <f>IFERROR(__xludf.DUMMYFUNCTION("""COMPUTED_VALUE"""),45927.0)</f>
        <v>45927</v>
      </c>
      <c r="B67" s="87" t="str">
        <f>IFERROR(__xludf.DUMMYFUNCTION("""COMPUTED_VALUE"""),"Cuff ")</f>
        <v>Cuff </v>
      </c>
      <c r="C67" s="87">
        <f>IFERROR(__xludf.DUMMYFUNCTION("""COMPUTED_VALUE"""),56080.0)</f>
        <v>56080</v>
      </c>
      <c r="D67" s="136"/>
      <c r="E67" s="137" t="str">
        <f>IFERROR(__xludf.DUMMYFUNCTION("""COMPUTED_VALUE"""),"262 OR Seed beans")</f>
        <v>262 OR Seed beans</v>
      </c>
      <c r="F67" s="138"/>
      <c r="G67" t="str">
        <f>IFERROR(__xludf.DUMMYFUNCTION("""COMPUTED_VALUE"""),"GR01 Ken Trucked")</f>
        <v>GR01 Ken Trucked</v>
      </c>
      <c r="H67" s="50"/>
      <c r="I67" s="139">
        <f t="shared" si="8"/>
        <v>0</v>
      </c>
      <c r="J67" s="50">
        <f t="shared" si="2"/>
        <v>1116.926667</v>
      </c>
      <c r="K67" s="140">
        <f t="shared" si="3"/>
        <v>1116.926667</v>
      </c>
      <c r="L67" s="142">
        <v>1.5</v>
      </c>
      <c r="M67" s="141">
        <f>sumif(Farms!$C$68:$C$104,E67,Farms!$F$68:$F$104)</f>
        <v>60</v>
      </c>
      <c r="N67" s="141">
        <f>sumif(Farms!$C$68:$C$104,E67,Farms!$G$68:$G$104)</f>
        <v>13</v>
      </c>
    </row>
    <row r="68">
      <c r="A68" s="135">
        <f>IFERROR(__xludf.DUMMYFUNCTION("""COMPUTED_VALUE"""),45927.0)</f>
        <v>45927</v>
      </c>
      <c r="B68" s="87" t="str">
        <f>IFERROR(__xludf.DUMMYFUNCTION("""COMPUTED_VALUE"""),"Cuff ")</f>
        <v>Cuff </v>
      </c>
      <c r="C68">
        <f>IFERROR(__xludf.DUMMYFUNCTION("""COMPUTED_VALUE"""),57000.0)</f>
        <v>57000</v>
      </c>
      <c r="D68" s="136"/>
      <c r="E68" s="137" t="str">
        <f>IFERROR(__xludf.DUMMYFUNCTION("""COMPUTED_VALUE"""),"262 OR Seed beans")</f>
        <v>262 OR Seed beans</v>
      </c>
      <c r="F68" s="138" t="str">
        <f>IFERROR(__xludf.DUMMYFUNCTION("""COMPUTED_VALUE"""),"00338")</f>
        <v>00338</v>
      </c>
      <c r="G68" t="str">
        <f>IFERROR(__xludf.DUMMYFUNCTION("""COMPUTED_VALUE"""),"HBT# 5558 WD  Trk# 41")</f>
        <v>HBT# 5558 WD  Trk# 41</v>
      </c>
      <c r="H68" s="50"/>
      <c r="I68" s="139">
        <f t="shared" si="8"/>
        <v>0</v>
      </c>
      <c r="J68" s="50">
        <f t="shared" si="2"/>
        <v>950</v>
      </c>
      <c r="K68" s="140">
        <f t="shared" si="3"/>
        <v>950</v>
      </c>
      <c r="L68" s="142">
        <v>0.0</v>
      </c>
      <c r="M68" s="141">
        <f>sumif(Farms!$C$68:$C$104,E68,Farms!$F$68:$F$104)</f>
        <v>60</v>
      </c>
      <c r="N68" s="141">
        <f>sumif(Farms!$C$68:$C$104,E68,Farms!$G$68:$G$104)</f>
        <v>13</v>
      </c>
    </row>
    <row r="69">
      <c r="A69" s="135">
        <f>IFERROR(__xludf.DUMMYFUNCTION("""COMPUTED_VALUE"""),45937.0)</f>
        <v>45937</v>
      </c>
      <c r="B69" s="87" t="str">
        <f>IFERROR(__xludf.DUMMYFUNCTION("""COMPUTED_VALUE"""),"Daun")</f>
        <v>Daun</v>
      </c>
      <c r="C69">
        <f>IFERROR(__xludf.DUMMYFUNCTION("""COMPUTED_VALUE"""),58580.0)</f>
        <v>58580</v>
      </c>
      <c r="D69" s="136">
        <f>IFERROR(__xludf.DUMMYFUNCTION("""COMPUTED_VALUE"""),16.0)</f>
        <v>16</v>
      </c>
      <c r="E69" s="137" t="str">
        <f>IFERROR(__xludf.DUMMYFUNCTION("""COMPUTED_VALUE"""),"Non-GMO Yellow Corn")</f>
        <v>Non-GMO Yellow Corn</v>
      </c>
      <c r="F69" s="138" t="str">
        <f>IFERROR(__xludf.DUMMYFUNCTION("""COMPUTED_VALUE"""),"0549093")</f>
        <v>0549093</v>
      </c>
      <c r="G69" t="str">
        <f>IFERROR(__xludf.DUMMYFUNCTION("""COMPUTED_VALUE"""),"HBT#5543 TL Trk# 2")</f>
        <v>HBT#5543 TL Trk# 2</v>
      </c>
      <c r="H69" s="50">
        <f>IFERROR(__xludf.DUMMYFUNCTION("""COMPUTED_VALUE"""),0.0)</f>
        <v>0</v>
      </c>
      <c r="I69" s="139">
        <f t="shared" si="8"/>
        <v>0</v>
      </c>
      <c r="J69" s="50">
        <f t="shared" si="2"/>
        <v>1030.380357</v>
      </c>
      <c r="K69" s="140">
        <f t="shared" si="3"/>
        <v>1030.380357</v>
      </c>
      <c r="L69" s="141">
        <f>sumif(Farms!$C$68:$C$104,E69,Farms!$D$68:$D$104)</f>
        <v>1.5</v>
      </c>
      <c r="M69" s="141">
        <f>sumif(Farms!$C$68:$C$104,E69,Farms!$F$68:$F$104)</f>
        <v>56</v>
      </c>
      <c r="N69" s="142">
        <v>15.0</v>
      </c>
    </row>
    <row r="70">
      <c r="A70" s="135">
        <f>IFERROR(__xludf.DUMMYFUNCTION("""COMPUTED_VALUE"""),45937.0)</f>
        <v>45937</v>
      </c>
      <c r="B70" s="87" t="str">
        <f>IFERROR(__xludf.DUMMYFUNCTION("""COMPUTED_VALUE"""),"Daun")</f>
        <v>Daun</v>
      </c>
      <c r="C70">
        <f>IFERROR(__xludf.DUMMYFUNCTION("""COMPUTED_VALUE"""),54780.0)</f>
        <v>54780</v>
      </c>
      <c r="D70" s="136">
        <f>IFERROR(__xludf.DUMMYFUNCTION("""COMPUTED_VALUE"""),15.3)</f>
        <v>15.3</v>
      </c>
      <c r="E70" s="137" t="str">
        <f>IFERROR(__xludf.DUMMYFUNCTION("""COMPUTED_VALUE"""),"Non-GMO Yellow Corn")</f>
        <v>Non-GMO Yellow Corn</v>
      </c>
      <c r="F70" s="138" t="str">
        <f>IFERROR(__xludf.DUMMYFUNCTION("""COMPUTED_VALUE"""),"2549100")</f>
        <v>2549100</v>
      </c>
      <c r="G70" t="str">
        <f>IFERROR(__xludf.DUMMYFUNCTION("""COMPUTED_VALUE"""),"HBT#5763 WDH Trk# 4 Last Load")</f>
        <v>HBT#5763 WDH Trk# 4 Last Load</v>
      </c>
      <c r="H70" s="50">
        <f>IFERROR(__xludf.DUMMYFUNCTION("""COMPUTED_VALUE"""),0.0)</f>
        <v>0</v>
      </c>
      <c r="I70" s="139">
        <f t="shared" si="8"/>
        <v>0</v>
      </c>
      <c r="J70" s="50">
        <f t="shared" si="2"/>
        <v>973.8123214</v>
      </c>
      <c r="K70" s="140">
        <f t="shared" si="3"/>
        <v>973.8123214</v>
      </c>
      <c r="L70" s="141">
        <f>sumif(Farms!$C$68:$C$104,E70,Farms!$D$68:$D$104)</f>
        <v>1.5</v>
      </c>
      <c r="M70" s="141">
        <f>sumif(Farms!$C$68:$C$104,E70,Farms!$F$68:$F$104)</f>
        <v>56</v>
      </c>
      <c r="N70" s="142">
        <v>15.0</v>
      </c>
    </row>
    <row r="71">
      <c r="A71" s="135">
        <f>IFERROR(__xludf.DUMMYFUNCTION("""COMPUTED_VALUE"""),45944.0)</f>
        <v>45944</v>
      </c>
      <c r="B71" s="87" t="str">
        <f>IFERROR(__xludf.DUMMYFUNCTION("""COMPUTED_VALUE"""),"delong avon")</f>
        <v>delong avon</v>
      </c>
      <c r="C71">
        <f>IFERROR(__xludf.DUMMYFUNCTION("""COMPUTED_VALUE"""),58380.0)</f>
        <v>58380</v>
      </c>
      <c r="D71" s="136">
        <f>IFERROR(__xludf.DUMMYFUNCTION("""COMPUTED_VALUE"""),15.3)</f>
        <v>15.3</v>
      </c>
      <c r="E71" s="137" t="str">
        <f>IFERROR(__xludf.DUMMYFUNCTION("""COMPUTED_VALUE"""),"Non-GMO Yellow Corn")</f>
        <v>Non-GMO Yellow Corn</v>
      </c>
      <c r="F71" s="138" t="str">
        <f>IFERROR(__xludf.DUMMYFUNCTION("""COMPUTED_VALUE"""),"B0118826")</f>
        <v>B0118826</v>
      </c>
      <c r="G71" t="str">
        <f>IFERROR(__xludf.DUMMYFUNCTION("""COMPUTED_VALUE"""),"HBT#5364 Jack Trk # 63")</f>
        <v>HBT#5364 Jack Trk # 63</v>
      </c>
      <c r="H71" s="50"/>
      <c r="I71" s="139">
        <f t="shared" si="8"/>
        <v>0</v>
      </c>
      <c r="J71" s="50">
        <f t="shared" si="2"/>
        <v>1037.80875</v>
      </c>
      <c r="K71" s="140">
        <f t="shared" si="3"/>
        <v>1037.80875</v>
      </c>
      <c r="L71" s="141">
        <f>sumif(Farms!$C$68:$C$104,E71,Farms!$D$68:$D$104)</f>
        <v>1.5</v>
      </c>
      <c r="M71" s="141">
        <f>sumif(Farms!$C$68:$C$104,E71,Farms!$F$68:$F$104)</f>
        <v>56</v>
      </c>
      <c r="N71" s="142">
        <v>15.0</v>
      </c>
    </row>
    <row r="72">
      <c r="A72" s="135">
        <f>IFERROR(__xludf.DUMMYFUNCTION("""COMPUTED_VALUE"""),45944.0)</f>
        <v>45944</v>
      </c>
      <c r="B72" s="87" t="str">
        <f>IFERROR(__xludf.DUMMYFUNCTION("""COMPUTED_VALUE"""),"delong avon")</f>
        <v>delong avon</v>
      </c>
      <c r="C72">
        <f>IFERROR(__xludf.DUMMYFUNCTION("""COMPUTED_VALUE"""),56840.0)</f>
        <v>56840</v>
      </c>
      <c r="D72" s="136">
        <f>IFERROR(__xludf.DUMMYFUNCTION("""COMPUTED_VALUE"""),15.0)</f>
        <v>15</v>
      </c>
      <c r="E72" s="137" t="str">
        <f>IFERROR(__xludf.DUMMYFUNCTION("""COMPUTED_VALUE"""),"Non-GMO Yellow Corn")</f>
        <v>Non-GMO Yellow Corn</v>
      </c>
      <c r="F72" s="138" t="str">
        <f>IFERROR(__xludf.DUMMYFUNCTION("""COMPUTED_VALUE"""),"B0118827")</f>
        <v>B0118827</v>
      </c>
      <c r="G72" t="str">
        <f>IFERROR(__xludf.DUMMYFUNCTION("""COMPUTED_VALUE"""),"HBT#5006 Bob  Trk # 3")</f>
        <v>HBT#5006 Bob  Trk # 3</v>
      </c>
      <c r="H72" s="50"/>
      <c r="I72" s="139">
        <f t="shared" si="8"/>
        <v>0</v>
      </c>
      <c r="J72" s="50">
        <f t="shared" si="2"/>
        <v>1015</v>
      </c>
      <c r="K72" s="140">
        <f t="shared" si="3"/>
        <v>1015</v>
      </c>
      <c r="L72" s="142">
        <v>1.5</v>
      </c>
      <c r="M72" s="142">
        <v>56.0</v>
      </c>
      <c r="N72" s="141">
        <f>sumif(Farms!$C$68:$C$104,E72,Farms!$G$68:$G$104)</f>
        <v>15</v>
      </c>
    </row>
    <row r="73">
      <c r="A73" s="135">
        <f>IFERROR(__xludf.DUMMYFUNCTION("""COMPUTED_VALUE"""),45944.0)</f>
        <v>45944</v>
      </c>
      <c r="B73" s="87" t="str">
        <f>IFERROR(__xludf.DUMMYFUNCTION("""COMPUTED_VALUE"""),"delong avon")</f>
        <v>delong avon</v>
      </c>
      <c r="C73">
        <f>IFERROR(__xludf.DUMMYFUNCTION("""COMPUTED_VALUE"""),56860.0)</f>
        <v>56860</v>
      </c>
      <c r="D73" s="136">
        <f>IFERROR(__xludf.DUMMYFUNCTION("""COMPUTED_VALUE"""),15.2)</f>
        <v>15.2</v>
      </c>
      <c r="E73" s="137" t="str">
        <f>IFERROR(__xludf.DUMMYFUNCTION("""COMPUTED_VALUE"""),"Non-GMO Yellow Corn")</f>
        <v>Non-GMO Yellow Corn</v>
      </c>
      <c r="F73" s="138" t="str">
        <f>IFERROR(__xludf.DUMMYFUNCTION("""COMPUTED_VALUE"""),"B0118829")</f>
        <v>B0118829</v>
      </c>
      <c r="G73" t="str">
        <f>IFERROR(__xludf.DUMMYFUNCTION("""COMPUTED_VALUE"""),"HBT#5789 BK Trk # 4")</f>
        <v>HBT#5789 BK Trk # 4</v>
      </c>
      <c r="H73" s="50"/>
      <c r="I73" s="139">
        <f t="shared" si="8"/>
        <v>0</v>
      </c>
      <c r="J73" s="50">
        <f t="shared" si="2"/>
        <v>1012.311071</v>
      </c>
      <c r="K73" s="140">
        <f t="shared" si="3"/>
        <v>1012.311071</v>
      </c>
      <c r="L73" s="142">
        <v>1.5</v>
      </c>
      <c r="M73" s="142">
        <v>56.0</v>
      </c>
      <c r="N73" s="141">
        <f>sumif(Farms!$C$68:$C$104,E73,Farms!$G$68:$G$104)</f>
        <v>15</v>
      </c>
    </row>
    <row r="74">
      <c r="A74" s="135">
        <f>IFERROR(__xludf.DUMMYFUNCTION("""COMPUTED_VALUE"""),45944.0)</f>
        <v>45944</v>
      </c>
      <c r="B74" s="87" t="str">
        <f>IFERROR(__xludf.DUMMYFUNCTION("""COMPUTED_VALUE"""),"delong avon")</f>
        <v>delong avon</v>
      </c>
      <c r="C74">
        <f>IFERROR(__xludf.DUMMYFUNCTION("""COMPUTED_VALUE"""),55980.0)</f>
        <v>55980</v>
      </c>
      <c r="D74" s="136">
        <f>IFERROR(__xludf.DUMMYFUNCTION("""COMPUTED_VALUE"""),14.9)</f>
        <v>14.9</v>
      </c>
      <c r="E74" s="137" t="str">
        <f>IFERROR(__xludf.DUMMYFUNCTION("""COMPUTED_VALUE"""),"Non-GMO Yellow Corn")</f>
        <v>Non-GMO Yellow Corn</v>
      </c>
      <c r="F74" s="138" t="str">
        <f>IFERROR(__xludf.DUMMYFUNCTION("""COMPUTED_VALUE"""),"B0118830")</f>
        <v>B0118830</v>
      </c>
      <c r="G74" t="str">
        <f>IFERROR(__xludf.DUMMYFUNCTION("""COMPUTED_VALUE"""),"HBT#5212 JB  Trk # 5")</f>
        <v>HBT#5212 JB  Trk # 5</v>
      </c>
      <c r="H74" s="50"/>
      <c r="I74" s="139">
        <f t="shared" si="8"/>
        <v>0</v>
      </c>
      <c r="J74" s="50">
        <f t="shared" si="2"/>
        <v>1001.142321</v>
      </c>
      <c r="K74" s="140">
        <f t="shared" si="3"/>
        <v>1001.142321</v>
      </c>
      <c r="L74" s="141">
        <f>sumif(Farms!$C$68:$C$104,E74,Farms!$D$68:$D$104)</f>
        <v>1.5</v>
      </c>
      <c r="M74" s="142">
        <v>56.0</v>
      </c>
      <c r="N74" s="141">
        <f>sumif(Farms!$C$68:$C$104,E74,Farms!$G$68:$G$104)</f>
        <v>15</v>
      </c>
    </row>
    <row r="75">
      <c r="A75" s="135">
        <f>IFERROR(__xludf.DUMMYFUNCTION("""COMPUTED_VALUE"""),45944.0)</f>
        <v>45944</v>
      </c>
      <c r="B75" s="87" t="str">
        <f>IFERROR(__xludf.DUMMYFUNCTION("""COMPUTED_VALUE"""),"delong avon")</f>
        <v>delong avon</v>
      </c>
      <c r="C75">
        <f>IFERROR(__xludf.DUMMYFUNCTION("""COMPUTED_VALUE"""),57200.0)</f>
        <v>57200</v>
      </c>
      <c r="D75" s="136">
        <f>IFERROR(__xludf.DUMMYFUNCTION("""COMPUTED_VALUE"""),15.0)</f>
        <v>15</v>
      </c>
      <c r="E75" s="137" t="str">
        <f>IFERROR(__xludf.DUMMYFUNCTION("""COMPUTED_VALUE"""),"Non-GMO Yellow Corn")</f>
        <v>Non-GMO Yellow Corn</v>
      </c>
      <c r="F75" s="138" t="str">
        <f>IFERROR(__xludf.DUMMYFUNCTION("""COMPUTED_VALUE"""),"B0118836")</f>
        <v>B0118836</v>
      </c>
      <c r="G75" t="str">
        <f>IFERROR(__xludf.DUMMYFUNCTION("""COMPUTED_VALUE"""),"HBT#5007 Bob Trk # 3")</f>
        <v>HBT#5007 Bob Trk # 3</v>
      </c>
      <c r="H75" s="50"/>
      <c r="I75" s="139">
        <f t="shared" si="8"/>
        <v>0</v>
      </c>
      <c r="J75" s="50">
        <f t="shared" si="2"/>
        <v>1021.428571</v>
      </c>
      <c r="K75" s="140">
        <f t="shared" si="3"/>
        <v>1021.428571</v>
      </c>
      <c r="L75" s="142">
        <v>0.0</v>
      </c>
      <c r="M75" s="141">
        <f>sumif(Farms!$C$68:$C$104,E75,Farms!$F$68:$F$104)</f>
        <v>56</v>
      </c>
      <c r="N75" s="141">
        <f>sumif(Farms!$C$68:$C$104,E75,Farms!$G$68:$G$104)</f>
        <v>15</v>
      </c>
    </row>
    <row r="76">
      <c r="A76" s="135">
        <f>IFERROR(__xludf.DUMMYFUNCTION("""COMPUTED_VALUE"""),45944.0)</f>
        <v>45944</v>
      </c>
      <c r="B76" s="87" t="str">
        <f>IFERROR(__xludf.DUMMYFUNCTION("""COMPUTED_VALUE"""),"delong avon")</f>
        <v>delong avon</v>
      </c>
      <c r="C76">
        <f>IFERROR(__xludf.DUMMYFUNCTION("""COMPUTED_VALUE"""),57800.0)</f>
        <v>57800</v>
      </c>
      <c r="D76" s="136">
        <f>IFERROR(__xludf.DUMMYFUNCTION("""COMPUTED_VALUE"""),15.3)</f>
        <v>15.3</v>
      </c>
      <c r="E76" s="137" t="str">
        <f>IFERROR(__xludf.DUMMYFUNCTION("""COMPUTED_VALUE"""),"Non-GMO Yellow Corn")</f>
        <v>Non-GMO Yellow Corn</v>
      </c>
      <c r="F76" s="138" t="str">
        <f>IFERROR(__xludf.DUMMYFUNCTION("""COMPUTED_VALUE"""),"B0118837")</f>
        <v>B0118837</v>
      </c>
      <c r="G76" t="str">
        <f>IFERROR(__xludf.DUMMYFUNCTION("""COMPUTED_VALUE"""),"HBT5365 Jack Trk # 63")</f>
        <v>HBT5365 Jack Trk # 63</v>
      </c>
      <c r="H76" s="50"/>
      <c r="I76" s="139">
        <f t="shared" si="8"/>
        <v>0</v>
      </c>
      <c r="J76" s="50">
        <f t="shared" si="2"/>
        <v>1032.142857</v>
      </c>
      <c r="K76" s="140">
        <f t="shared" si="3"/>
        <v>1032.142857</v>
      </c>
      <c r="L76" s="142">
        <v>0.0</v>
      </c>
      <c r="M76" s="141">
        <f>sumif(Farms!$C$68:$C$104,E76,Farms!$F$68:$F$104)</f>
        <v>56</v>
      </c>
      <c r="N76" s="141">
        <f>sumif(Farms!$C$68:$C$104,E76,Farms!$G$68:$G$104)</f>
        <v>15</v>
      </c>
    </row>
    <row r="77">
      <c r="A77" s="135">
        <f>IFERROR(__xludf.DUMMYFUNCTION("""COMPUTED_VALUE"""),45944.0)</f>
        <v>45944</v>
      </c>
      <c r="B77" s="87" t="str">
        <f>IFERROR(__xludf.DUMMYFUNCTION("""COMPUTED_VALUE"""),"delong avon")</f>
        <v>delong avon</v>
      </c>
      <c r="C77">
        <f>IFERROR(__xludf.DUMMYFUNCTION("""COMPUTED_VALUE"""),58380.0)</f>
        <v>58380</v>
      </c>
      <c r="D77" s="136">
        <f>IFERROR(__xludf.DUMMYFUNCTION("""COMPUTED_VALUE"""),15.2)</f>
        <v>15.2</v>
      </c>
      <c r="E77" s="137" t="str">
        <f>IFERROR(__xludf.DUMMYFUNCTION("""COMPUTED_VALUE"""),"Non-GMO Yellow Corn")</f>
        <v>Non-GMO Yellow Corn</v>
      </c>
      <c r="F77" s="138" t="str">
        <f>IFERROR(__xludf.DUMMYFUNCTION("""COMPUTED_VALUE"""),"B0118843")</f>
        <v>B0118843</v>
      </c>
      <c r="G77" t="str">
        <f>IFERROR(__xludf.DUMMYFUNCTION("""COMPUTED_VALUE"""),"HBT#5790 BK Trk # 4")</f>
        <v>HBT#5790 BK Trk # 4</v>
      </c>
      <c r="H77" s="50"/>
      <c r="I77" s="139">
        <f t="shared" si="8"/>
        <v>0</v>
      </c>
      <c r="J77" s="50">
        <f t="shared" si="2"/>
        <v>1039.3725</v>
      </c>
      <c r="K77" s="140">
        <f t="shared" si="3"/>
        <v>1039.3725</v>
      </c>
      <c r="L77" s="142">
        <v>1.5</v>
      </c>
      <c r="M77" s="141">
        <f>sumif(Farms!$C$68:$C$104,E77,Farms!$F$68:$F$104)</f>
        <v>56</v>
      </c>
      <c r="N77" s="141">
        <f>sumif(Farms!$C$68:$C$104,E77,Farms!$G$68:$G$104)</f>
        <v>15</v>
      </c>
    </row>
    <row r="78">
      <c r="A78" s="151">
        <f>IFERROR(__xludf.DUMMYFUNCTION("""COMPUTED_VALUE"""),45944.0)</f>
        <v>45944</v>
      </c>
      <c r="B78" s="87" t="str">
        <f>IFERROR(__xludf.DUMMYFUNCTION("""COMPUTED_VALUE"""),"delong avon")</f>
        <v>delong avon</v>
      </c>
      <c r="C78" s="87">
        <f>IFERROR(__xludf.DUMMYFUNCTION("""COMPUTED_VALUE"""),57140.0)</f>
        <v>57140</v>
      </c>
      <c r="D78" s="128">
        <f>IFERROR(__xludf.DUMMYFUNCTION("""COMPUTED_VALUE"""),15.4)</f>
        <v>15.4</v>
      </c>
      <c r="E78" s="129" t="str">
        <f>IFERROR(__xludf.DUMMYFUNCTION("""COMPUTED_VALUE"""),"Non-GMO Yellow Corn")</f>
        <v>Non-GMO Yellow Corn</v>
      </c>
      <c r="F78" s="152" t="str">
        <f>IFERROR(__xludf.DUMMYFUNCTION("""COMPUTED_VALUE"""),"B0118846")</f>
        <v>B0118846</v>
      </c>
      <c r="G78" s="87" t="str">
        <f>IFERROR(__xludf.DUMMYFUNCTION("""COMPUTED_VALUE"""),"HBT#5213 JB Trk #5")</f>
        <v>HBT#5213 JB Trk #5</v>
      </c>
      <c r="H78" s="50"/>
      <c r="I78" s="139">
        <f t="shared" si="8"/>
        <v>0</v>
      </c>
      <c r="J78" s="50">
        <f t="shared" si="2"/>
        <v>1014.235</v>
      </c>
      <c r="K78" s="140">
        <f t="shared" si="3"/>
        <v>1014.235</v>
      </c>
      <c r="L78" s="141">
        <f>sumif(Farms!$C$68:$C$104,E78,Farms!$D$68:$D$104)</f>
        <v>1.5</v>
      </c>
      <c r="M78" s="141">
        <f>sumif(Farms!$C$68:$C$104,E78,Farms!$F$68:$F$104)</f>
        <v>56</v>
      </c>
      <c r="N78" s="141">
        <f>sumif(Farms!$C$68:$C$104,E78,Farms!$G$68:$G$104)</f>
        <v>15</v>
      </c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</row>
    <row r="79">
      <c r="A79" s="135">
        <f>IFERROR(__xludf.DUMMYFUNCTION("""COMPUTED_VALUE"""),45944.0)</f>
        <v>45944</v>
      </c>
      <c r="B79" s="87" t="str">
        <f>IFERROR(__xludf.DUMMYFUNCTION("""COMPUTED_VALUE"""),"delong avon")</f>
        <v>delong avon</v>
      </c>
      <c r="C79">
        <f>IFERROR(__xludf.DUMMYFUNCTION("""COMPUTED_VALUE"""),22680.0)</f>
        <v>22680</v>
      </c>
      <c r="D79" s="136">
        <f>IFERROR(__xludf.DUMMYFUNCTION("""COMPUTED_VALUE"""),15.7)</f>
        <v>15.7</v>
      </c>
      <c r="E79" s="137" t="str">
        <f>IFERROR(__xludf.DUMMYFUNCTION("""COMPUTED_VALUE"""),"Non-GMO Yellow Corn")</f>
        <v>Non-GMO Yellow Corn</v>
      </c>
      <c r="F79" s="138" t="str">
        <f>IFERROR(__xludf.DUMMYFUNCTION("""COMPUTED_VALUE"""),"B0118847")</f>
        <v>B0118847</v>
      </c>
      <c r="G79" t="str">
        <f>IFERROR(__xludf.DUMMYFUNCTION("""COMPUTED_VALUE"""),"HBT5586 WR Trk # 41 Last Load")</f>
        <v>HBT5586 WR Trk # 41 Last Load</v>
      </c>
      <c r="H79" s="50"/>
      <c r="I79" s="139">
        <f t="shared" si="8"/>
        <v>0</v>
      </c>
      <c r="J79" s="50">
        <f t="shared" si="2"/>
        <v>400.7475</v>
      </c>
      <c r="K79" s="140">
        <f t="shared" si="3"/>
        <v>400.7475</v>
      </c>
      <c r="L79" s="141">
        <f>sumif(Farms!$C$68:$C$104,E79,Farms!$D$68:$D$104)</f>
        <v>1.5</v>
      </c>
      <c r="M79" s="141">
        <f>sumif(Farms!$C$68:$C$104,E79,Farms!$F$68:$F$104)</f>
        <v>56</v>
      </c>
      <c r="N79" s="141">
        <f>sumif(Farms!$C$68:$C$104,E79,Farms!$G$68:$G$104)</f>
        <v>15</v>
      </c>
    </row>
    <row r="80">
      <c r="A80" s="135">
        <f>IFERROR(__xludf.DUMMYFUNCTION("""COMPUTED_VALUE"""),45950.0)</f>
        <v>45950</v>
      </c>
      <c r="B80" s="87" t="str">
        <f>IFERROR(__xludf.DUMMYFUNCTION("""COMPUTED_VALUE"""),"delong christopherson")</f>
        <v>delong christopherson</v>
      </c>
      <c r="C80">
        <f>IFERROR(__xludf.DUMMYFUNCTION("""COMPUTED_VALUE"""),16870.0)</f>
        <v>16870</v>
      </c>
      <c r="D80">
        <f>IFERROR(__xludf.DUMMYFUNCTION("""COMPUTED_VALUE"""),16.5)</f>
        <v>16.5</v>
      </c>
      <c r="E80" s="137" t="str">
        <f>IFERROR(__xludf.DUMMYFUNCTION("""COMPUTED_VALUE"""),"Non-GMO Yellow Corn")</f>
        <v>Non-GMO Yellow Corn</v>
      </c>
      <c r="F80" s="137">
        <f>IFERROR(__xludf.DUMMYFUNCTION("""COMPUTED_VALUE"""),255781.0)</f>
        <v>255781</v>
      </c>
      <c r="G80" t="str">
        <f>IFERROR(__xludf.DUMMYFUNCTION("""COMPUTED_VALUE"""),"HBT# 5034 Bob Trk# 3 Split &amp; Last Load")</f>
        <v>HBT# 5034 Bob Trk# 3 Split &amp; Last Load</v>
      </c>
      <c r="H80" s="50"/>
      <c r="I80" s="139">
        <f t="shared" si="8"/>
        <v>0</v>
      </c>
      <c r="J80" s="50">
        <f t="shared" si="2"/>
        <v>294.471875</v>
      </c>
      <c r="K80" s="140">
        <f t="shared" si="3"/>
        <v>294.471875</v>
      </c>
      <c r="L80" s="141">
        <f>sumif(Farms!$C$68:$C$104,E80,Farms!$D$68:$D$104)</f>
        <v>1.5</v>
      </c>
      <c r="M80" s="141">
        <f>sumif(Farms!$C$68:$C$104,E80,Farms!$F$68:$F$104)</f>
        <v>56</v>
      </c>
      <c r="N80" s="141">
        <f>sumif(Farms!$C$68:$C$104,E80,Farms!$G$68:$G$104)</f>
        <v>15</v>
      </c>
    </row>
    <row r="81">
      <c r="A81" s="135">
        <f>IFERROR(__xludf.DUMMYFUNCTION("""COMPUTED_VALUE"""),45947.0)</f>
        <v>45947</v>
      </c>
      <c r="B81" s="87" t="str">
        <f>IFERROR(__xludf.DUMMYFUNCTION("""COMPUTED_VALUE"""),"delong christopherson")</f>
        <v>delong christopherson</v>
      </c>
      <c r="C81">
        <f>IFERROR(__xludf.DUMMYFUNCTION("""COMPUTED_VALUE"""),57220.0)</f>
        <v>57220</v>
      </c>
      <c r="D81" s="136">
        <f>IFERROR(__xludf.DUMMYFUNCTION("""COMPUTED_VALUE"""),18.8)</f>
        <v>18.8</v>
      </c>
      <c r="E81" s="137" t="str">
        <f>IFERROR(__xludf.DUMMYFUNCTION("""COMPUTED_VALUE"""),"Non-GMO Yellow Corn")</f>
        <v>Non-GMO Yellow Corn</v>
      </c>
      <c r="F81" s="138" t="str">
        <f>IFERROR(__xludf.DUMMYFUNCTION("""COMPUTED_VALUE"""),"00255548")</f>
        <v>00255548</v>
      </c>
      <c r="G81" t="str">
        <f>IFERROR(__xludf.DUMMYFUNCTION("""COMPUTED_VALUE"""),"HBT#5939 Mike  Trk# 2   ")</f>
        <v>HBT#5939 Mike  Trk# 2   </v>
      </c>
      <c r="H81" s="50"/>
      <c r="I81" s="139">
        <f t="shared" si="8"/>
        <v>0</v>
      </c>
      <c r="J81" s="50">
        <f t="shared" si="2"/>
        <v>963.5439286</v>
      </c>
      <c r="K81" s="140">
        <f t="shared" si="3"/>
        <v>963.5439286</v>
      </c>
      <c r="L81" s="141">
        <f>sumif(Farms!$C$68:$C$104,E81,Farms!$D$68:$D$104)</f>
        <v>1.5</v>
      </c>
      <c r="M81" s="141">
        <f>sumif(Farms!$C$68:$C$104,E81,Farms!$F$68:$F$104)</f>
        <v>56</v>
      </c>
      <c r="N81" s="141">
        <f>sumif(Farms!$C$68:$C$104,E81,Farms!$G$68:$G$104)</f>
        <v>15</v>
      </c>
    </row>
    <row r="82">
      <c r="A82" s="135">
        <f>IFERROR(__xludf.DUMMYFUNCTION("""COMPUTED_VALUE"""),45947.0)</f>
        <v>45947</v>
      </c>
      <c r="B82" s="87" t="str">
        <f>IFERROR(__xludf.DUMMYFUNCTION("""COMPUTED_VALUE"""),"delong christopherson")</f>
        <v>delong christopherson</v>
      </c>
      <c r="C82">
        <f>IFERROR(__xludf.DUMMYFUNCTION("""COMPUTED_VALUE"""),57340.0)</f>
        <v>57340</v>
      </c>
      <c r="D82" s="136">
        <f>IFERROR(__xludf.DUMMYFUNCTION("""COMPUTED_VALUE"""),17.2)</f>
        <v>17.2</v>
      </c>
      <c r="E82" s="137" t="str">
        <f>IFERROR(__xludf.DUMMYFUNCTION("""COMPUTED_VALUE"""),"Non-GMO Yellow Corn")</f>
        <v>Non-GMO Yellow Corn</v>
      </c>
      <c r="F82" s="138" t="str">
        <f>IFERROR(__xludf.DUMMYFUNCTION("""COMPUTED_VALUE"""),"00255556")</f>
        <v>00255556</v>
      </c>
      <c r="G82" t="str">
        <f>IFERROR(__xludf.DUMMYFUNCTION("""COMPUTED_VALUE"""),"HBT#5813 BK  Trk# 4   ")</f>
        <v>HBT#5813 BK  Trk# 4   </v>
      </c>
      <c r="H82" s="50"/>
      <c r="I82" s="139">
        <f t="shared" si="8"/>
        <v>0</v>
      </c>
      <c r="J82" s="50">
        <f t="shared" si="2"/>
        <v>990.1389286</v>
      </c>
      <c r="K82" s="140">
        <f t="shared" si="3"/>
        <v>990.1389286</v>
      </c>
      <c r="L82" s="141">
        <f>sumif(Farms!$C$68:$C$104,E82,Farms!$D$68:$D$104)</f>
        <v>1.5</v>
      </c>
      <c r="M82" s="141">
        <f>sumif(Farms!$C$68:$C$104,E82,Farms!$F$68:$F$104)</f>
        <v>56</v>
      </c>
      <c r="N82" s="141">
        <f>sumif(Farms!$C$68:$C$104,E82,Farms!$G$68:$G$104)</f>
        <v>15</v>
      </c>
    </row>
    <row r="83">
      <c r="A83" s="135">
        <f>IFERROR(__xludf.DUMMYFUNCTION("""COMPUTED_VALUE"""),45947.0)</f>
        <v>45947</v>
      </c>
      <c r="B83" s="87" t="str">
        <f>IFERROR(__xludf.DUMMYFUNCTION("""COMPUTED_VALUE"""),"delong christopherson")</f>
        <v>delong christopherson</v>
      </c>
      <c r="C83">
        <f>IFERROR(__xludf.DUMMYFUNCTION("""COMPUTED_VALUE"""),57100.0)</f>
        <v>57100</v>
      </c>
      <c r="D83" s="136">
        <f>IFERROR(__xludf.DUMMYFUNCTION("""COMPUTED_VALUE"""),16.9)</f>
        <v>16.9</v>
      </c>
      <c r="E83" s="137" t="str">
        <f>IFERROR(__xludf.DUMMYFUNCTION("""COMPUTED_VALUE"""),"Non-GMO Yellow Corn")</f>
        <v>Non-GMO Yellow Corn</v>
      </c>
      <c r="F83" s="138" t="str">
        <f>IFERROR(__xludf.DUMMYFUNCTION("""COMPUTED_VALUE"""),"00255561")</f>
        <v>00255561</v>
      </c>
      <c r="G83" t="str">
        <f>IFERROR(__xludf.DUMMYFUNCTION("""COMPUTED_VALUE"""),"HBT#5030 Bob Trk# 3   ")</f>
        <v>HBT#5030 Bob Trk# 3   </v>
      </c>
      <c r="H83" s="50"/>
      <c r="I83" s="139">
        <f t="shared" si="8"/>
        <v>0</v>
      </c>
      <c r="J83" s="50">
        <f t="shared" si="2"/>
        <v>990.5830357</v>
      </c>
      <c r="K83" s="140">
        <f t="shared" si="3"/>
        <v>990.5830357</v>
      </c>
      <c r="L83" s="141">
        <f>sumif(Farms!$C$68:$C$104,E83,Farms!$D$68:$D$104)</f>
        <v>1.5</v>
      </c>
      <c r="M83" s="141">
        <f>sumif(Farms!$C$68:$C$104,E83,Farms!$F$68:$F$104)</f>
        <v>56</v>
      </c>
      <c r="N83" s="141">
        <f>sumif(Farms!$C$68:$C$104,E83,Farms!$G$68:$G$104)</f>
        <v>15</v>
      </c>
    </row>
    <row r="84">
      <c r="A84" s="135">
        <f>IFERROR(__xludf.DUMMYFUNCTION("""COMPUTED_VALUE"""),45947.0)</f>
        <v>45947</v>
      </c>
      <c r="B84" s="87" t="str">
        <f>IFERROR(__xludf.DUMMYFUNCTION("""COMPUTED_VALUE"""),"delong christopherson")</f>
        <v>delong christopherson</v>
      </c>
      <c r="C84">
        <f>IFERROR(__xludf.DUMMYFUNCTION("""COMPUTED_VALUE"""),57080.0)</f>
        <v>57080</v>
      </c>
      <c r="D84" s="136">
        <f>IFERROR(__xludf.DUMMYFUNCTION("""COMPUTED_VALUE"""),17.9)</f>
        <v>17.9</v>
      </c>
      <c r="E84" s="137" t="str">
        <f>IFERROR(__xludf.DUMMYFUNCTION("""COMPUTED_VALUE"""),"Non-GMO Yellow Corn")</f>
        <v>Non-GMO Yellow Corn</v>
      </c>
      <c r="F84" s="138" t="str">
        <f>IFERROR(__xludf.DUMMYFUNCTION("""COMPUTED_VALUE"""),"00255565")</f>
        <v>00255565</v>
      </c>
      <c r="G84" t="str">
        <f>IFERROR(__xludf.DUMMYFUNCTION("""COMPUTED_VALUE"""),"HBT# 5940  Mike Trk# 2")</f>
        <v>HBT# 5940  Mike Trk# 2</v>
      </c>
      <c r="H84" s="50"/>
      <c r="I84" s="139">
        <f t="shared" si="8"/>
        <v>0</v>
      </c>
      <c r="J84" s="50">
        <f t="shared" si="2"/>
        <v>974.9467857</v>
      </c>
      <c r="K84" s="140">
        <f t="shared" si="3"/>
        <v>974.9467857</v>
      </c>
      <c r="L84" s="141">
        <f>sumif(Farms!$C$68:$C$104,E84,Farms!$D$68:$D$104)</f>
        <v>1.5</v>
      </c>
      <c r="M84" s="141">
        <f>sumif(Farms!$C$68:$C$104,E84,Farms!$F$68:$F$104)</f>
        <v>56</v>
      </c>
      <c r="N84" s="141">
        <f>sumif(Farms!$C$68:$C$104,E84,Farms!$G$68:$G$104)</f>
        <v>15</v>
      </c>
    </row>
    <row r="85">
      <c r="A85" s="135">
        <f>IFERROR(__xludf.DUMMYFUNCTION("""COMPUTED_VALUE"""),45947.0)</f>
        <v>45947</v>
      </c>
      <c r="B85" s="87" t="str">
        <f>IFERROR(__xludf.DUMMYFUNCTION("""COMPUTED_VALUE"""),"delong christopherson")</f>
        <v>delong christopherson</v>
      </c>
      <c r="C85">
        <f>IFERROR(__xludf.DUMMYFUNCTION("""COMPUTED_VALUE"""),57540.0)</f>
        <v>57540</v>
      </c>
      <c r="D85" s="136">
        <f>IFERROR(__xludf.DUMMYFUNCTION("""COMPUTED_VALUE"""),17.4)</f>
        <v>17.4</v>
      </c>
      <c r="E85" s="137" t="str">
        <f>IFERROR(__xludf.DUMMYFUNCTION("""COMPUTED_VALUE"""),"Non-GMO Yellow Corn")</f>
        <v>Non-GMO Yellow Corn</v>
      </c>
      <c r="F85" s="138" t="str">
        <f>IFERROR(__xludf.DUMMYFUNCTION("""COMPUTED_VALUE"""),"00255571")</f>
        <v>00255571</v>
      </c>
      <c r="G85" t="str">
        <f>IFERROR(__xludf.DUMMYFUNCTION("""COMPUTED_VALUE"""),"HBT# 5224 Jack Trk# 5")</f>
        <v>HBT# 5224 Jack Trk# 5</v>
      </c>
      <c r="H85" s="50"/>
      <c r="I85" s="139">
        <f t="shared" si="8"/>
        <v>0</v>
      </c>
      <c r="J85" s="50">
        <f t="shared" si="2"/>
        <v>990.51</v>
      </c>
      <c r="K85" s="140">
        <f t="shared" si="3"/>
        <v>990.51</v>
      </c>
      <c r="L85" s="141">
        <f>sumif(Farms!$C$68:$C$104,E85,Farms!$D$68:$D$104)</f>
        <v>1.5</v>
      </c>
      <c r="M85" s="141">
        <f>sumif(Farms!$C$68:$C$104,E85,Farms!$F$68:$F$104)</f>
        <v>56</v>
      </c>
      <c r="N85" s="141">
        <f>sumif(Farms!$C$68:$C$104,E85,Farms!$G$68:$G$104)</f>
        <v>15</v>
      </c>
    </row>
    <row r="86">
      <c r="A86" s="135">
        <f>IFERROR(__xludf.DUMMYFUNCTION("""COMPUTED_VALUE"""),45947.0)</f>
        <v>45947</v>
      </c>
      <c r="B86" s="87" t="str">
        <f>IFERROR(__xludf.DUMMYFUNCTION("""COMPUTED_VALUE"""),"delong christopherson")</f>
        <v>delong christopherson</v>
      </c>
      <c r="C86">
        <f>IFERROR(__xludf.DUMMYFUNCTION("""COMPUTED_VALUE"""),57040.0)</f>
        <v>57040</v>
      </c>
      <c r="D86" s="136">
        <f>IFERROR(__xludf.DUMMYFUNCTION("""COMPUTED_VALUE"""),17.7)</f>
        <v>17.7</v>
      </c>
      <c r="E86" s="137" t="str">
        <f>IFERROR(__xludf.DUMMYFUNCTION("""COMPUTED_VALUE"""),"Non-GMO Yellow Corn")</f>
        <v>Non-GMO Yellow Corn</v>
      </c>
      <c r="F86" s="138" t="str">
        <f>IFERROR(__xludf.DUMMYFUNCTION("""COMPUTED_VALUE"""),"00255576")</f>
        <v>00255576</v>
      </c>
      <c r="G86" t="str">
        <f>IFERROR(__xludf.DUMMYFUNCTION("""COMPUTED_VALUE"""),"HBT# 5814 BK Trk# 4")</f>
        <v>HBT# 5814 BK Trk# 4</v>
      </c>
      <c r="H86" s="50"/>
      <c r="I86" s="139">
        <f t="shared" si="8"/>
        <v>0</v>
      </c>
      <c r="J86" s="50">
        <f t="shared" si="2"/>
        <v>977.3192857</v>
      </c>
      <c r="K86" s="140">
        <f t="shared" si="3"/>
        <v>977.3192857</v>
      </c>
      <c r="L86" s="141">
        <f>sumif(Farms!$C$68:$C$104,E86,Farms!$D$68:$D$104)</f>
        <v>1.5</v>
      </c>
      <c r="M86" s="141">
        <f>sumif(Farms!$C$68:$C$104,E86,Farms!$F$68:$F$104)</f>
        <v>56</v>
      </c>
      <c r="N86" s="141">
        <f>sumif(Farms!$C$68:$C$104,E86,Farms!$G$68:$G$104)</f>
        <v>15</v>
      </c>
    </row>
    <row r="87">
      <c r="A87" s="135">
        <f>IFERROR(__xludf.DUMMYFUNCTION("""COMPUTED_VALUE"""),45947.0)</f>
        <v>45947</v>
      </c>
      <c r="B87" s="87" t="str">
        <f>IFERROR(__xludf.DUMMYFUNCTION("""COMPUTED_VALUE"""),"delong christopherson")</f>
        <v>delong christopherson</v>
      </c>
      <c r="C87">
        <f>IFERROR(__xludf.DUMMYFUNCTION("""COMPUTED_VALUE"""),56380.0)</f>
        <v>56380</v>
      </c>
      <c r="D87" s="50">
        <f>IFERROR(__xludf.DUMMYFUNCTION("""COMPUTED_VALUE"""),17.4)</f>
        <v>17.4</v>
      </c>
      <c r="E87" s="137" t="str">
        <f>IFERROR(__xludf.DUMMYFUNCTION("""COMPUTED_VALUE"""),"Non-GMO Yellow Corn")</f>
        <v>Non-GMO Yellow Corn</v>
      </c>
      <c r="F87" s="138" t="str">
        <f>IFERROR(__xludf.DUMMYFUNCTION("""COMPUTED_VALUE"""),"00255578")</f>
        <v>00255578</v>
      </c>
      <c r="G87" t="str">
        <f>IFERROR(__xludf.DUMMYFUNCTION("""COMPUTED_VALUE"""),"HBT# 5031  Bob Trk# 3")</f>
        <v>HBT# 5031  Bob Trk# 3</v>
      </c>
      <c r="H87" s="50"/>
      <c r="I87" s="139">
        <f t="shared" si="8"/>
        <v>0</v>
      </c>
      <c r="J87" s="50">
        <f t="shared" si="2"/>
        <v>970.5414286</v>
      </c>
      <c r="K87" s="140">
        <f t="shared" si="3"/>
        <v>970.5414286</v>
      </c>
      <c r="L87" s="141">
        <f>sumif(Farms!$C$68:$C$104,E87,Farms!$D$68:$D$104)</f>
        <v>1.5</v>
      </c>
      <c r="M87" s="141">
        <f>sumif(Farms!$C$68:$C$104,E87,Farms!$F$68:$F$104)</f>
        <v>56</v>
      </c>
      <c r="N87" s="141">
        <f>sumif(Farms!$C$68:$C$104,E87,Farms!$G$68:$G$104)</f>
        <v>15</v>
      </c>
    </row>
    <row r="88">
      <c r="A88" s="135">
        <f>IFERROR(__xludf.DUMMYFUNCTION("""COMPUTED_VALUE"""),45947.0)</f>
        <v>45947</v>
      </c>
      <c r="B88" s="87" t="str">
        <f>IFERROR(__xludf.DUMMYFUNCTION("""COMPUTED_VALUE"""),"delong christopherson")</f>
        <v>delong christopherson</v>
      </c>
      <c r="C88">
        <f>IFERROR(__xludf.DUMMYFUNCTION("""COMPUTED_VALUE"""),56340.0)</f>
        <v>56340</v>
      </c>
      <c r="D88" s="136">
        <f>IFERROR(__xludf.DUMMYFUNCTION("""COMPUTED_VALUE"""),18.2)</f>
        <v>18.2</v>
      </c>
      <c r="E88" s="137" t="str">
        <f>IFERROR(__xludf.DUMMYFUNCTION("""COMPUTED_VALUE"""),"Non-GMO Yellow Corn")</f>
        <v>Non-GMO Yellow Corn</v>
      </c>
      <c r="F88" s="138" t="str">
        <f>IFERROR(__xludf.DUMMYFUNCTION("""COMPUTED_VALUE"""),"00255582")</f>
        <v>00255582</v>
      </c>
      <c r="G88" t="str">
        <f>IFERROR(__xludf.DUMMYFUNCTION("""COMPUTED_VALUE"""),"HBT# 5941 Mike Trk# 2")</f>
        <v>HBT# 5941 Mike Trk# 2</v>
      </c>
      <c r="H88" s="50"/>
      <c r="I88" s="139">
        <f t="shared" si="8"/>
        <v>0</v>
      </c>
      <c r="J88" s="50">
        <f t="shared" si="2"/>
        <v>957.78</v>
      </c>
      <c r="K88" s="140">
        <f t="shared" si="3"/>
        <v>957.78</v>
      </c>
      <c r="L88" s="141">
        <f>sumif(Farms!$C$68:$C$104,E88,Farms!$D$68:$D$104)</f>
        <v>1.5</v>
      </c>
      <c r="M88" s="141">
        <f>sumif(Farms!$C$68:$C$104,E88,Farms!$F$68:$F$104)</f>
        <v>56</v>
      </c>
      <c r="N88" s="141">
        <f>sumif(Farms!$C$68:$C$104,E88,Farms!$G$68:$G$104)</f>
        <v>15</v>
      </c>
    </row>
    <row r="89">
      <c r="A89" s="135">
        <f>IFERROR(__xludf.DUMMYFUNCTION("""COMPUTED_VALUE"""),45950.0)</f>
        <v>45950</v>
      </c>
      <c r="B89" s="87" t="str">
        <f>IFERROR(__xludf.DUMMYFUNCTION("""COMPUTED_VALUE"""),"delong christopherson")</f>
        <v>delong christopherson</v>
      </c>
      <c r="C89">
        <f>IFERROR(__xludf.DUMMYFUNCTION("""COMPUTED_VALUE"""),58540.0)</f>
        <v>58540</v>
      </c>
      <c r="D89" s="136">
        <f>IFERROR(__xludf.DUMMYFUNCTION("""COMPUTED_VALUE"""),16.4)</f>
        <v>16.4</v>
      </c>
      <c r="E89" s="137" t="str">
        <f>IFERROR(__xludf.DUMMYFUNCTION("""COMPUTED_VALUE"""),"Non-GMO Yellow Corn")</f>
        <v>Non-GMO Yellow Corn</v>
      </c>
      <c r="F89" s="138" t="str">
        <f>IFERROR(__xludf.DUMMYFUNCTION("""COMPUTED_VALUE"""),"00255773")</f>
        <v>00255773</v>
      </c>
      <c r="G89" t="str">
        <f>IFERROR(__xludf.DUMMYFUNCTION("""COMPUTED_VALUE"""),"HBT# 5385 Jack Trk# 63")</f>
        <v>HBT# 5385 Jack Trk# 63</v>
      </c>
      <c r="H89" s="50"/>
      <c r="I89" s="139">
        <f t="shared" si="8"/>
        <v>0</v>
      </c>
      <c r="J89" s="50">
        <f t="shared" si="2"/>
        <v>1023.404643</v>
      </c>
      <c r="K89" s="140">
        <f t="shared" si="3"/>
        <v>1023.404643</v>
      </c>
      <c r="L89" s="141">
        <f>sumif(Farms!$C$68:$C$104,E89,Farms!$D$68:$D$104)</f>
        <v>1.5</v>
      </c>
      <c r="M89" s="142">
        <v>56.0</v>
      </c>
      <c r="N89" s="142">
        <v>15.0</v>
      </c>
    </row>
    <row r="90">
      <c r="A90" s="135">
        <f>IFERROR(__xludf.DUMMYFUNCTION("""COMPUTED_VALUE"""),45950.0)</f>
        <v>45950</v>
      </c>
      <c r="B90" s="87" t="str">
        <f>IFERROR(__xludf.DUMMYFUNCTION("""COMPUTED_VALUE"""),"delong christopherson")</f>
        <v>delong christopherson</v>
      </c>
      <c r="C90">
        <f>IFERROR(__xludf.DUMMYFUNCTION("""COMPUTED_VALUE"""),56260.0)</f>
        <v>56260</v>
      </c>
      <c r="D90" s="136">
        <f>IFERROR(__xludf.DUMMYFUNCTION("""COMPUTED_VALUE"""),17.8)</f>
        <v>17.8</v>
      </c>
      <c r="E90" s="137" t="str">
        <f>IFERROR(__xludf.DUMMYFUNCTION("""COMPUTED_VALUE"""),"Non-GMO Yellow Corn")</f>
        <v>Non-GMO Yellow Corn</v>
      </c>
      <c r="F90" s="138" t="str">
        <f>IFERROR(__xludf.DUMMYFUNCTION("""COMPUTED_VALUE"""),"A072474")</f>
        <v>A072474</v>
      </c>
      <c r="G90" t="str">
        <f>IFERROR(__xludf.DUMMYFUNCTION("""COMPUTED_VALUE"""),"HBT# 5032  Bob Trk# 3")</f>
        <v>HBT# 5032  Bob Trk# 3</v>
      </c>
      <c r="H90" s="50"/>
      <c r="I90" s="139">
        <f t="shared" si="8"/>
        <v>0</v>
      </c>
      <c r="J90" s="50">
        <f t="shared" si="2"/>
        <v>962.4478571</v>
      </c>
      <c r="K90" s="140">
        <f t="shared" si="3"/>
        <v>962.4478571</v>
      </c>
      <c r="L90" s="141">
        <f>sumif(Farms!$C$68:$C$104,E90,Farms!$D$68:$D$104)</f>
        <v>1.5</v>
      </c>
      <c r="M90" s="141">
        <f>sumif(Farms!$C$68:$C$104,E90,Farms!$F$68:$F$104)</f>
        <v>56</v>
      </c>
      <c r="N90" s="141">
        <f>sumif(Farms!$C$68:$C$104,E90,Farms!$G$68:$G$104)</f>
        <v>15</v>
      </c>
    </row>
    <row r="91">
      <c r="A91" s="135">
        <f>IFERROR(__xludf.DUMMYFUNCTION("""COMPUTED_VALUE"""),45950.0)</f>
        <v>45950</v>
      </c>
      <c r="B91" s="87" t="str">
        <f>IFERROR(__xludf.DUMMYFUNCTION("""COMPUTED_VALUE"""),"delong christopherson")</f>
        <v>delong christopherson</v>
      </c>
      <c r="C91">
        <f>IFERROR(__xludf.DUMMYFUNCTION("""COMPUTED_VALUE"""),57400.0)</f>
        <v>57400</v>
      </c>
      <c r="D91" s="136">
        <f>IFERROR(__xludf.DUMMYFUNCTION("""COMPUTED_VALUE"""),17.9)</f>
        <v>17.9</v>
      </c>
      <c r="E91" s="137" t="str">
        <f>IFERROR(__xludf.DUMMYFUNCTION("""COMPUTED_VALUE"""),"Non-GMO Yellow Corn")</f>
        <v>Non-GMO Yellow Corn</v>
      </c>
      <c r="F91" s="138" t="str">
        <f>IFERROR(__xludf.DUMMYFUNCTION("""COMPUTED_VALUE"""),"A072475")</f>
        <v>A072475</v>
      </c>
      <c r="G91" t="str">
        <f>IFERROR(__xludf.DUMMYFUNCTION("""COMPUTED_VALUE"""),"HBT# 5815 BK Trk# 4")</f>
        <v>HBT# 5815 BK Trk# 4</v>
      </c>
      <c r="H91" s="50"/>
      <c r="I91" s="139">
        <f t="shared" si="8"/>
        <v>0</v>
      </c>
      <c r="J91" s="50">
        <f t="shared" si="2"/>
        <v>980.4125</v>
      </c>
      <c r="K91" s="140">
        <f t="shared" si="3"/>
        <v>980.4125</v>
      </c>
      <c r="L91" s="141">
        <f>sumif(Farms!$C$68:$C$104,E91,Farms!$D$68:$D$104)</f>
        <v>1.5</v>
      </c>
      <c r="M91" s="141">
        <f>sumif(Farms!$C$68:$C$104,E91,Farms!$F$68:$F$104)</f>
        <v>56</v>
      </c>
      <c r="N91" s="141">
        <f>sumif(Farms!$C$68:$C$104,E91,Farms!$G$68:$G$104)</f>
        <v>15</v>
      </c>
    </row>
    <row r="92">
      <c r="A92" s="135">
        <f>IFERROR(__xludf.DUMMYFUNCTION("""COMPUTED_VALUE"""),45950.0)</f>
        <v>45950</v>
      </c>
      <c r="B92" s="87" t="str">
        <f>IFERROR(__xludf.DUMMYFUNCTION("""COMPUTED_VALUE"""),"delong christopherson")</f>
        <v>delong christopherson</v>
      </c>
      <c r="C92">
        <f>IFERROR(__xludf.DUMMYFUNCTION("""COMPUTED_VALUE"""),57480.0)</f>
        <v>57480</v>
      </c>
      <c r="D92" s="136">
        <f>IFERROR(__xludf.DUMMYFUNCTION("""COMPUTED_VALUE"""),12.7)</f>
        <v>12.7</v>
      </c>
      <c r="E92" s="137" t="str">
        <f>IFERROR(__xludf.DUMMYFUNCTION("""COMPUTED_VALUE"""),"Non-GMO Yellow Corn")</f>
        <v>Non-GMO Yellow Corn</v>
      </c>
      <c r="F92" s="138" t="str">
        <f>IFERROR(__xludf.DUMMYFUNCTION("""COMPUTED_VALUE"""),"A072476")</f>
        <v>A072476</v>
      </c>
      <c r="G92" t="str">
        <f>IFERROR(__xludf.DUMMYFUNCTION("""COMPUTED_VALUE"""),"HBT# 5942 TL Trk# 2")</f>
        <v>HBT# 5942 TL Trk# 2</v>
      </c>
      <c r="H92" s="50"/>
      <c r="I92" s="139">
        <f t="shared" si="8"/>
        <v>0</v>
      </c>
      <c r="J92" s="50">
        <f t="shared" si="2"/>
        <v>1061.840357</v>
      </c>
      <c r="K92" s="140">
        <f t="shared" si="3"/>
        <v>1061.840357</v>
      </c>
      <c r="L92" s="141">
        <f>sumif(Farms!$C$68:$C$104,E92,Farms!$D$68:$D$104)</f>
        <v>1.5</v>
      </c>
      <c r="M92" s="141">
        <f>sumif(Farms!$C$68:$C$104,E92,Farms!$F$68:$F$104)</f>
        <v>56</v>
      </c>
      <c r="N92" s="141">
        <f>sumif(Farms!$C$68:$C$104,E92,Farms!$G$68:$G$104)</f>
        <v>15</v>
      </c>
    </row>
    <row r="93">
      <c r="A93" s="135">
        <f>IFERROR(__xludf.DUMMYFUNCTION("""COMPUTED_VALUE"""),45950.0)</f>
        <v>45950</v>
      </c>
      <c r="B93" s="87" t="str">
        <f>IFERROR(__xludf.DUMMYFUNCTION("""COMPUTED_VALUE"""),"delong christopherson")</f>
        <v>delong christopherson</v>
      </c>
      <c r="C93">
        <f>IFERROR(__xludf.DUMMYFUNCTION("""COMPUTED_VALUE"""),56840.0)</f>
        <v>56840</v>
      </c>
      <c r="D93" s="136">
        <f>IFERROR(__xludf.DUMMYFUNCTION("""COMPUTED_VALUE"""),17.9)</f>
        <v>17.9</v>
      </c>
      <c r="E93" s="137" t="str">
        <f>IFERROR(__xludf.DUMMYFUNCTION("""COMPUTED_VALUE"""),"Non-GMO Yellow Corn")</f>
        <v>Non-GMO Yellow Corn</v>
      </c>
      <c r="F93" s="138" t="str">
        <f>IFERROR(__xludf.DUMMYFUNCTION("""COMPUTED_VALUE"""),"A072481")</f>
        <v>A072481</v>
      </c>
      <c r="G93" t="str">
        <f>IFERROR(__xludf.DUMMYFUNCTION("""COMPUTED_VALUE"""),"HBT# 5225 JB Trk#  5")</f>
        <v>HBT# 5225 JB Trk#  5</v>
      </c>
      <c r="H93" s="50"/>
      <c r="I93" s="139">
        <f t="shared" si="8"/>
        <v>0</v>
      </c>
      <c r="J93" s="50">
        <f t="shared" si="2"/>
        <v>970.8475</v>
      </c>
      <c r="K93" s="140">
        <f t="shared" si="3"/>
        <v>970.8475</v>
      </c>
      <c r="L93" s="141">
        <f>sumif(Farms!$C$68:$C$104,E93,Farms!$D$68:$D$104)</f>
        <v>1.5</v>
      </c>
      <c r="M93" s="141">
        <f>sumif(Farms!$C$68:$C$104,E93,Farms!$F$68:$F$104)</f>
        <v>56</v>
      </c>
      <c r="N93" s="141">
        <f>sumif(Farms!$C$68:$C$104,E93,Farms!$G$68:$G$104)</f>
        <v>15</v>
      </c>
    </row>
    <row r="94">
      <c r="A94" s="135">
        <f>IFERROR(__xludf.DUMMYFUNCTION("""COMPUTED_VALUE"""),45947.0)</f>
        <v>45947</v>
      </c>
      <c r="B94" s="87" t="str">
        <f>IFERROR(__xludf.DUMMYFUNCTION("""COMPUTED_VALUE"""),"delong christopherson")</f>
        <v>delong christopherson</v>
      </c>
      <c r="C94" s="87">
        <f>IFERROR(__xludf.DUMMYFUNCTION("""COMPUTED_VALUE"""),57280.0)</f>
        <v>57280</v>
      </c>
      <c r="D94" s="136">
        <f>IFERROR(__xludf.DUMMYFUNCTION("""COMPUTED_VALUE"""),15.7)</f>
        <v>15.7</v>
      </c>
      <c r="E94" s="137" t="str">
        <f>IFERROR(__xludf.DUMMYFUNCTION("""COMPUTED_VALUE"""),"Non-GMO Yellow Corn")</f>
        <v>Non-GMO Yellow Corn</v>
      </c>
      <c r="F94" s="138" t="str">
        <f>IFERROR(__xludf.DUMMYFUNCTION("""COMPUTED_VALUE"""),"B0119228")</f>
        <v>B0119228</v>
      </c>
      <c r="G94" t="str">
        <f>IFERROR(__xludf.DUMMYFUNCTION("""COMPUTED_VALUE"""),"HBT#5937 Mike  Trk# 2   ")</f>
        <v>HBT#5937 Mike  Trk# 2   </v>
      </c>
      <c r="H94" s="50"/>
      <c r="I94" s="139">
        <f t="shared" si="8"/>
        <v>0</v>
      </c>
      <c r="J94" s="50">
        <f t="shared" si="2"/>
        <v>1012.117143</v>
      </c>
      <c r="K94" s="140">
        <f t="shared" si="3"/>
        <v>1012.117143</v>
      </c>
      <c r="L94" s="141">
        <f>sumif(Farms!$C$68:$C$104,E94,Farms!$D$68:$D$104)</f>
        <v>1.5</v>
      </c>
      <c r="M94" s="141">
        <f>sumif(Farms!$C$68:$C$104,E94,Farms!$F$68:$F$104)</f>
        <v>56</v>
      </c>
      <c r="N94" s="141">
        <f>sumif(Farms!$C$68:$C$104,E94,Farms!$G$68:$G$104)</f>
        <v>15</v>
      </c>
    </row>
    <row r="95">
      <c r="A95" s="135">
        <f>IFERROR(__xludf.DUMMYFUNCTION("""COMPUTED_VALUE"""),45950.0)</f>
        <v>45950</v>
      </c>
      <c r="B95" s="87" t="str">
        <f>IFERROR(__xludf.DUMMYFUNCTION("""COMPUTED_VALUE"""),"delong meyer")</f>
        <v>delong meyer</v>
      </c>
      <c r="C95" s="87">
        <f>IFERROR(__xludf.DUMMYFUNCTION("""COMPUTED_VALUE"""),45610.0)</f>
        <v>45610</v>
      </c>
      <c r="D95" s="136">
        <f>IFERROR(__xludf.DUMMYFUNCTION("""COMPUTED_VALUE"""),16.5)</f>
        <v>16.5</v>
      </c>
      <c r="E95" s="137" t="str">
        <f>IFERROR(__xludf.DUMMYFUNCTION("""COMPUTED_VALUE"""),"Non-GMO Yellow Corn")</f>
        <v>Non-GMO Yellow Corn</v>
      </c>
      <c r="F95" s="138" t="str">
        <f>IFERROR(__xludf.DUMMYFUNCTION("""COMPUTED_VALUE"""),"00255781")</f>
        <v>00255781</v>
      </c>
      <c r="G95" t="str">
        <f>IFERROR(__xludf.DUMMYFUNCTION("""COMPUTED_VALUE"""),"HBT# 5033 Bob Trk# 3 Split Load")</f>
        <v>HBT# 5033 Bob Trk# 3 Split Load</v>
      </c>
      <c r="H95" s="50"/>
      <c r="I95" s="139">
        <f t="shared" si="8"/>
        <v>0</v>
      </c>
      <c r="J95" s="50">
        <f t="shared" si="2"/>
        <v>796.1388393</v>
      </c>
      <c r="K95" s="140">
        <f t="shared" si="3"/>
        <v>796.1388393</v>
      </c>
      <c r="L95" s="141">
        <f>sumif(Farms!$C$68:$C$104,E95,Farms!$D$68:$D$104)</f>
        <v>1.5</v>
      </c>
      <c r="M95" s="141">
        <f>sumif(Farms!$C$68:$C$104,E95,Farms!$F$68:$F$104)</f>
        <v>56</v>
      </c>
      <c r="N95" s="141">
        <f>sumif(Farms!$C$68:$C$104,E95,Farms!$G$68:$G$104)</f>
        <v>15</v>
      </c>
    </row>
    <row r="96">
      <c r="A96" s="135">
        <f>IFERROR(__xludf.DUMMYFUNCTION("""COMPUTED_VALUE"""),45950.0)</f>
        <v>45950</v>
      </c>
      <c r="B96" s="87" t="str">
        <f>IFERROR(__xludf.DUMMYFUNCTION("""COMPUTED_VALUE"""),"delong meyer")</f>
        <v>delong meyer</v>
      </c>
      <c r="C96" s="87">
        <f>IFERROR(__xludf.DUMMYFUNCTION("""COMPUTED_VALUE"""),57080.0)</f>
        <v>57080</v>
      </c>
      <c r="D96" s="136">
        <f>IFERROR(__xludf.DUMMYFUNCTION("""COMPUTED_VALUE"""),17.7)</f>
        <v>17.7</v>
      </c>
      <c r="E96" s="137" t="str">
        <f>IFERROR(__xludf.DUMMYFUNCTION("""COMPUTED_VALUE"""),"Non-GMO Yellow Corn")</f>
        <v>Non-GMO Yellow Corn</v>
      </c>
      <c r="F96" s="138" t="str">
        <f>IFERROR(__xludf.DUMMYFUNCTION("""COMPUTED_VALUE"""),"A072491")</f>
        <v>A072491</v>
      </c>
      <c r="G96" t="str">
        <f>IFERROR(__xludf.DUMMYFUNCTION("""COMPUTED_VALUE"""),"HBT# 5386 Jack Trk# 63 ")</f>
        <v>HBT# 5386 Jack Trk# 63 </v>
      </c>
      <c r="H96" s="50"/>
      <c r="I96" s="139">
        <f t="shared" si="8"/>
        <v>0</v>
      </c>
      <c r="J96" s="50">
        <f t="shared" si="2"/>
        <v>978.0046429</v>
      </c>
      <c r="K96" s="140">
        <f t="shared" si="3"/>
        <v>978.0046429</v>
      </c>
      <c r="L96" s="141">
        <f>sumif(Farms!$C$68:$C$104,E96,Farms!$D$68:$D$104)</f>
        <v>1.5</v>
      </c>
      <c r="M96" s="141">
        <f>sumif(Farms!$C$68:$C$104,E96,Farms!$F$68:$F$104)</f>
        <v>56</v>
      </c>
      <c r="N96" s="141">
        <f>sumif(Farms!$C$68:$C$104,E96,Farms!$G$68:$G$104)</f>
        <v>15</v>
      </c>
    </row>
    <row r="97">
      <c r="A97" s="135">
        <f>IFERROR(__xludf.DUMMYFUNCTION("""COMPUTED_VALUE"""),45950.0)</f>
        <v>45950</v>
      </c>
      <c r="B97" s="87" t="str">
        <f>IFERROR(__xludf.DUMMYFUNCTION("""COMPUTED_VALUE"""),"delong meyer")</f>
        <v>delong meyer</v>
      </c>
      <c r="C97" s="87">
        <f>IFERROR(__xludf.DUMMYFUNCTION("""COMPUTED_VALUE"""),57540.0)</f>
        <v>57540</v>
      </c>
      <c r="D97" s="136">
        <f>IFERROR(__xludf.DUMMYFUNCTION("""COMPUTED_VALUE"""),16.1)</f>
        <v>16.1</v>
      </c>
      <c r="E97" s="137" t="str">
        <f>IFERROR(__xludf.DUMMYFUNCTION("""COMPUTED_VALUE"""),"Non-GMO Yellow Corn")</f>
        <v>Non-GMO Yellow Corn</v>
      </c>
      <c r="F97" s="138" t="str">
        <f>IFERROR(__xludf.DUMMYFUNCTION("""COMPUTED_VALUE"""),"A072494")</f>
        <v>A072494</v>
      </c>
      <c r="G97" t="str">
        <f>IFERROR(__xludf.DUMMYFUNCTION("""COMPUTED_VALUE"""),"HBT# 5816 BK Trk# 4 1st Load")</f>
        <v>HBT# 5816 BK Trk# 4 1st Load</v>
      </c>
      <c r="H97" s="50"/>
      <c r="I97" s="139">
        <f t="shared" si="8"/>
        <v>0</v>
      </c>
      <c r="J97" s="50">
        <f t="shared" si="2"/>
        <v>1010.54625</v>
      </c>
      <c r="K97" s="140">
        <f t="shared" si="3"/>
        <v>1010.54625</v>
      </c>
      <c r="L97" s="141">
        <f>sumif(Farms!$C$68:$C$104,E97,Farms!$D$68:$D$104)</f>
        <v>1.5</v>
      </c>
      <c r="M97" s="141">
        <f>sumif(Farms!$C$68:$C$104,E97,Farms!$F$68:$F$104)</f>
        <v>56</v>
      </c>
      <c r="N97" s="141">
        <f>sumif(Farms!$C$68:$C$104,E97,Farms!$G$68:$G$104)</f>
        <v>15</v>
      </c>
    </row>
    <row r="98">
      <c r="A98" s="135">
        <f>IFERROR(__xludf.DUMMYFUNCTION("""COMPUTED_VALUE"""),45950.0)</f>
        <v>45950</v>
      </c>
      <c r="B98" s="87" t="str">
        <f>IFERROR(__xludf.DUMMYFUNCTION("""COMPUTED_VALUE"""),"delong meyer")</f>
        <v>delong meyer</v>
      </c>
      <c r="C98" s="87">
        <f>IFERROR(__xludf.DUMMYFUNCTION("""COMPUTED_VALUE"""),57640.0)</f>
        <v>57640</v>
      </c>
      <c r="D98" s="136">
        <f>IFERROR(__xludf.DUMMYFUNCTION("""COMPUTED_VALUE"""),17.5)</f>
        <v>17.5</v>
      </c>
      <c r="E98" s="137" t="str">
        <f>IFERROR(__xludf.DUMMYFUNCTION("""COMPUTED_VALUE"""),"Non-GMO Yellow Corn")</f>
        <v>Non-GMO Yellow Corn</v>
      </c>
      <c r="F98" s="138" t="str">
        <f>IFERROR(__xludf.DUMMYFUNCTION("""COMPUTED_VALUE"""),"A072494")</f>
        <v>A072494</v>
      </c>
      <c r="G98" t="str">
        <f>IFERROR(__xludf.DUMMYFUNCTION("""COMPUTED_VALUE"""),"HBT#943 TL Trk# 2")</f>
        <v>HBT#943 TL Trk# 2</v>
      </c>
      <c r="H98" s="50"/>
      <c r="I98" s="139">
        <f t="shared" si="8"/>
        <v>0</v>
      </c>
      <c r="J98" s="50">
        <f t="shared" si="2"/>
        <v>990.6875</v>
      </c>
      <c r="K98" s="140">
        <f t="shared" si="3"/>
        <v>990.6875</v>
      </c>
      <c r="L98" s="141">
        <f>sumif(Farms!$C$68:$C$104,E98,Farms!$D$68:$D$104)</f>
        <v>1.5</v>
      </c>
      <c r="M98" s="141">
        <f>sumif(Farms!$C$68:$C$104,E98,Farms!$F$68:$F$104)</f>
        <v>56</v>
      </c>
      <c r="N98" s="141">
        <f>sumif(Farms!$C$68:$C$104,E98,Farms!$G$68:$G$104)</f>
        <v>15</v>
      </c>
    </row>
    <row r="99">
      <c r="A99" s="135">
        <f>IFERROR(__xludf.DUMMYFUNCTION("""COMPUTED_VALUE"""),45950.0)</f>
        <v>45950</v>
      </c>
      <c r="B99" s="87" t="str">
        <f>IFERROR(__xludf.DUMMYFUNCTION("""COMPUTED_VALUE"""),"delong meyer")</f>
        <v>delong meyer</v>
      </c>
      <c r="C99" s="87">
        <f>IFERROR(__xludf.DUMMYFUNCTION("""COMPUTED_VALUE"""),58680.0)</f>
        <v>58680</v>
      </c>
      <c r="D99" s="136">
        <f>IFERROR(__xludf.DUMMYFUNCTION("""COMPUTED_VALUE"""),17.1)</f>
        <v>17.1</v>
      </c>
      <c r="E99" s="137" t="str">
        <f>IFERROR(__xludf.DUMMYFUNCTION("""COMPUTED_VALUE"""),"Non-GMO Yellow Corn")</f>
        <v>Non-GMO Yellow Corn</v>
      </c>
      <c r="F99" s="138" t="str">
        <f>IFERROR(__xludf.DUMMYFUNCTION("""COMPUTED_VALUE"""),"A072497")</f>
        <v>A072497</v>
      </c>
      <c r="G99" t="str">
        <f>IFERROR(__xludf.DUMMYFUNCTION("""COMPUTED_VALUE"""),"HBT#5226 JB Trk# 5")</f>
        <v>HBT#5226 JB Trk# 5</v>
      </c>
      <c r="H99" s="50"/>
      <c r="I99" s="139">
        <f t="shared" si="8"/>
        <v>0</v>
      </c>
      <c r="J99" s="50">
        <f t="shared" si="2"/>
        <v>1014.849643</v>
      </c>
      <c r="K99" s="140">
        <f t="shared" si="3"/>
        <v>1014.849643</v>
      </c>
      <c r="L99" s="141">
        <f>sumif(Farms!$C$68:$C$104,E99,Farms!$D$68:$D$104)</f>
        <v>1.5</v>
      </c>
      <c r="M99" s="141">
        <f>sumif(Farms!$C$68:$C$104,E99,Farms!$F$68:$F$104)</f>
        <v>56</v>
      </c>
      <c r="N99" s="141">
        <f>sumif(Farms!$C$68:$C$104,E99,Farms!$G$68:$G$104)</f>
        <v>15</v>
      </c>
    </row>
    <row r="100">
      <c r="A100" s="151">
        <f>IFERROR(__xludf.DUMMYFUNCTION("""COMPUTED_VALUE"""),45950.0)</f>
        <v>45950</v>
      </c>
      <c r="B100" s="87" t="str">
        <f>IFERROR(__xludf.DUMMYFUNCTION("""COMPUTED_VALUE"""),"delong meyer")</f>
        <v>delong meyer</v>
      </c>
      <c r="C100" s="87">
        <f>IFERROR(__xludf.DUMMYFUNCTION("""COMPUTED_VALUE"""),58840.0)</f>
        <v>58840</v>
      </c>
      <c r="D100" s="128">
        <f>IFERROR(__xludf.DUMMYFUNCTION("""COMPUTED_VALUE"""),16.5)</f>
        <v>16.5</v>
      </c>
      <c r="E100" s="129" t="str">
        <f>IFERROR(__xludf.DUMMYFUNCTION("""COMPUTED_VALUE"""),"Non-GMO Yellow Corn")</f>
        <v>Non-GMO Yellow Corn</v>
      </c>
      <c r="F100" s="152" t="str">
        <f>IFERROR(__xludf.DUMMYFUNCTION("""COMPUTED_VALUE"""),"A072501")</f>
        <v>A072501</v>
      </c>
      <c r="G100" s="87" t="str">
        <f>IFERROR(__xludf.DUMMYFUNCTION("""COMPUTED_VALUE"""),"HBT#5818 BK Trk# 4")</f>
        <v>HBT#5818 BK Trk# 4</v>
      </c>
      <c r="H100" s="49"/>
      <c r="I100" s="139">
        <f t="shared" si="8"/>
        <v>0</v>
      </c>
      <c r="J100" s="50">
        <f t="shared" si="2"/>
        <v>1027.073214</v>
      </c>
      <c r="K100" s="140">
        <f t="shared" si="3"/>
        <v>1027.073214</v>
      </c>
      <c r="L100" s="141">
        <f>sumif(Farms!$C$68:$C$104,E100,Farms!$D$68:$D$104)</f>
        <v>1.5</v>
      </c>
      <c r="M100" s="141">
        <f>sumif(Farms!$C$68:$C$104,E100,Farms!$F$68:$F$104)</f>
        <v>56</v>
      </c>
      <c r="N100" s="141">
        <f>sumif(Farms!$C$68:$C$104,E100,Farms!$G$68:$G$104)</f>
        <v>15</v>
      </c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</row>
    <row r="101">
      <c r="A101" s="135">
        <f>IFERROR(__xludf.DUMMYFUNCTION("""COMPUTED_VALUE"""),45950.0)</f>
        <v>45950</v>
      </c>
      <c r="B101" s="154" t="str">
        <f>IFERROR(__xludf.DUMMYFUNCTION("""COMPUTED_VALUE"""),"delong meyer")</f>
        <v>delong meyer</v>
      </c>
      <c r="C101" s="87">
        <f>IFERROR(__xludf.DUMMYFUNCTION("""COMPUTED_VALUE"""),57200.0)</f>
        <v>57200</v>
      </c>
      <c r="D101" s="136">
        <f>IFERROR(__xludf.DUMMYFUNCTION("""COMPUTED_VALUE"""),16.2)</f>
        <v>16.2</v>
      </c>
      <c r="E101" s="155" t="str">
        <f>IFERROR(__xludf.DUMMYFUNCTION("""COMPUTED_VALUE"""),"Non-GMO Yellow Corn")</f>
        <v>Non-GMO Yellow Corn</v>
      </c>
      <c r="F101" s="138" t="str">
        <f>IFERROR(__xludf.DUMMYFUNCTION("""COMPUTED_VALUE"""),"A072503")</f>
        <v>A072503</v>
      </c>
      <c r="G101" t="str">
        <f>IFERROR(__xludf.DUMMYFUNCTION("""COMPUTED_VALUE"""),"HBT#5035 Bob Trk# 3")</f>
        <v>HBT#5035 Bob Trk# 3</v>
      </c>
      <c r="H101" s="50"/>
      <c r="I101" s="139">
        <f t="shared" si="8"/>
        <v>0</v>
      </c>
      <c r="J101" s="50">
        <f t="shared" si="2"/>
        <v>1003.042857</v>
      </c>
      <c r="K101" s="140">
        <f t="shared" si="3"/>
        <v>1003.042857</v>
      </c>
      <c r="L101" s="141">
        <f>sumif(Farms!$C$68:$C$104,E101,Farms!$D$68:$D$104)</f>
        <v>1.5</v>
      </c>
      <c r="M101" s="141">
        <f>sumif(Farms!$C$68:$C$104,E101,Farms!$F$68:$F$104)</f>
        <v>56</v>
      </c>
      <c r="N101" s="141">
        <f>sumif(Farms!$C$68:$C$104,E101,Farms!$G$68:$G$104)</f>
        <v>15</v>
      </c>
    </row>
    <row r="102">
      <c r="A102" s="135">
        <f>IFERROR(__xludf.DUMMYFUNCTION("""COMPUTED_VALUE"""),45950.0)</f>
        <v>45950</v>
      </c>
      <c r="B102" s="87" t="str">
        <f>IFERROR(__xludf.DUMMYFUNCTION("""COMPUTED_VALUE"""),"delong meyer")</f>
        <v>delong meyer</v>
      </c>
      <c r="C102" s="87">
        <f>IFERROR(__xludf.DUMMYFUNCTION("""COMPUTED_VALUE"""),58560.0)</f>
        <v>58560</v>
      </c>
      <c r="D102" s="136">
        <f>IFERROR(__xludf.DUMMYFUNCTION("""COMPUTED_VALUE"""),16.5)</f>
        <v>16.5</v>
      </c>
      <c r="E102" s="137" t="str">
        <f>IFERROR(__xludf.DUMMYFUNCTION("""COMPUTED_VALUE"""),"Non-GMO Yellow Corn")</f>
        <v>Non-GMO Yellow Corn</v>
      </c>
      <c r="F102" s="138" t="str">
        <f>IFERROR(__xludf.DUMMYFUNCTION("""COMPUTED_VALUE"""),"A072509")</f>
        <v>A072509</v>
      </c>
      <c r="G102" t="str">
        <f>IFERROR(__xludf.DUMMYFUNCTION("""COMPUTED_VALUE"""),"HBT#5593 WDH Trk# 41")</f>
        <v>HBT#5593 WDH Trk# 41</v>
      </c>
      <c r="H102" s="50"/>
      <c r="I102" s="139">
        <f t="shared" si="8"/>
        <v>0</v>
      </c>
      <c r="J102" s="50">
        <f t="shared" si="2"/>
        <v>1022.185714</v>
      </c>
      <c r="K102" s="140">
        <f t="shared" si="3"/>
        <v>1022.185714</v>
      </c>
      <c r="L102" s="141">
        <f>sumif(Farms!$C$68:$C$104,E102,Farms!$D$68:$D$104)</f>
        <v>1.5</v>
      </c>
      <c r="M102" s="141">
        <f>sumif(Farms!$C$68:$C$104,E102,Farms!$F$68:$F$104)</f>
        <v>56</v>
      </c>
      <c r="N102" s="141">
        <f>sumif(Farms!$C$68:$C$104,E102,Farms!$G$68:$G$104)</f>
        <v>15</v>
      </c>
    </row>
    <row r="103">
      <c r="A103" s="135">
        <f>IFERROR(__xludf.DUMMYFUNCTION("""COMPUTED_VALUE"""),45950.0)</f>
        <v>45950</v>
      </c>
      <c r="B103" s="87" t="str">
        <f>IFERROR(__xludf.DUMMYFUNCTION("""COMPUTED_VALUE"""),"delong meyer")</f>
        <v>delong meyer</v>
      </c>
      <c r="C103">
        <f>IFERROR(__xludf.DUMMYFUNCTION("""COMPUTED_VALUE"""),57880.0)</f>
        <v>57880</v>
      </c>
      <c r="D103" s="136">
        <f>IFERROR(__xludf.DUMMYFUNCTION("""COMPUTED_VALUE"""),16.7)</f>
        <v>16.7</v>
      </c>
      <c r="E103" s="137" t="str">
        <f>IFERROR(__xludf.DUMMYFUNCTION("""COMPUTED_VALUE"""),"Non-GMO Yellow Corn")</f>
        <v>Non-GMO Yellow Corn</v>
      </c>
      <c r="F103" s="138" t="str">
        <f>IFERROR(__xludf.DUMMYFUNCTION("""COMPUTED_VALUE"""),"A072511")</f>
        <v>A072511</v>
      </c>
      <c r="G103" t="str">
        <f>IFERROR(__xludf.DUMMYFUNCTION("""COMPUTED_VALUE"""),"HBT#5387  Jack Trk# 63")</f>
        <v>HBT#5387  Jack Trk# 63</v>
      </c>
      <c r="H103" s="50"/>
      <c r="I103" s="139">
        <f t="shared" si="8"/>
        <v>0</v>
      </c>
      <c r="J103" s="50">
        <f t="shared" si="2"/>
        <v>1007.215357</v>
      </c>
      <c r="K103" s="140">
        <f t="shared" si="3"/>
        <v>1007.215357</v>
      </c>
      <c r="L103" s="141">
        <f>sumif(Farms!$C$68:$C$104,E103,Farms!$D$68:$D$104)</f>
        <v>1.5</v>
      </c>
      <c r="M103" s="141">
        <f>sumif(Farms!$C$68:$C$104,E103,Farms!$F$68:$F$104)</f>
        <v>56</v>
      </c>
      <c r="N103" s="141">
        <f>sumif(Farms!$C$68:$C$104,E103,Farms!$G$68:$G$104)</f>
        <v>15</v>
      </c>
    </row>
    <row r="104">
      <c r="A104" s="135">
        <f>IFERROR(__xludf.DUMMYFUNCTION("""COMPUTED_VALUE"""),45950.0)</f>
        <v>45950</v>
      </c>
      <c r="B104" s="87" t="str">
        <f>IFERROR(__xludf.DUMMYFUNCTION("""COMPUTED_VALUE"""),"delong meyer")</f>
        <v>delong meyer</v>
      </c>
      <c r="C104">
        <f>IFERROR(__xludf.DUMMYFUNCTION("""COMPUTED_VALUE"""),57940.0)</f>
        <v>57940</v>
      </c>
      <c r="D104" s="136">
        <f>IFERROR(__xludf.DUMMYFUNCTION("""COMPUTED_VALUE"""),16.8)</f>
        <v>16.8</v>
      </c>
      <c r="E104" s="137" t="str">
        <f>IFERROR(__xludf.DUMMYFUNCTION("""COMPUTED_VALUE"""),"Non-GMO Yellow Corn")</f>
        <v>Non-GMO Yellow Corn</v>
      </c>
      <c r="F104" s="138" t="str">
        <f>IFERROR(__xludf.DUMMYFUNCTION("""COMPUTED_VALUE"""),"A072513")</f>
        <v>A072513</v>
      </c>
      <c r="G104" t="str">
        <f>IFERROR(__xludf.DUMMYFUNCTION("""COMPUTED_VALUE"""),"HBT#5944 TL Trk# 2")</f>
        <v>HBT#5944 TL Trk# 2</v>
      </c>
      <c r="H104" s="50"/>
      <c r="I104" s="139">
        <f t="shared" si="8"/>
        <v>0</v>
      </c>
      <c r="J104" s="50">
        <f t="shared" si="2"/>
        <v>1006.7075</v>
      </c>
      <c r="K104" s="140">
        <f t="shared" si="3"/>
        <v>1006.7075</v>
      </c>
      <c r="L104" s="141">
        <f>sumif(Farms!$C$68:$C$104,E104,Farms!$D$68:$D$104)</f>
        <v>1.5</v>
      </c>
      <c r="M104" s="141">
        <f>sumif(Farms!$C$68:$C$104,E104,Farms!$F$68:$F$104)</f>
        <v>56</v>
      </c>
      <c r="N104" s="141">
        <f>sumif(Farms!$C$68:$C$104,E104,Farms!$G$68:$G$104)</f>
        <v>15</v>
      </c>
    </row>
    <row r="105">
      <c r="A105" s="135">
        <f>IFERROR(__xludf.DUMMYFUNCTION("""COMPUTED_VALUE"""),45950.0)</f>
        <v>45950</v>
      </c>
      <c r="B105" s="87" t="str">
        <f>IFERROR(__xludf.DUMMYFUNCTION("""COMPUTED_VALUE"""),"delong meyer")</f>
        <v>delong meyer</v>
      </c>
      <c r="C105">
        <f>IFERROR(__xludf.DUMMYFUNCTION("""COMPUTED_VALUE"""),58360.0)</f>
        <v>58360</v>
      </c>
      <c r="D105" s="136">
        <f>IFERROR(__xludf.DUMMYFUNCTION("""COMPUTED_VALUE"""),16.7)</f>
        <v>16.7</v>
      </c>
      <c r="E105" s="137" t="str">
        <f>IFERROR(__xludf.DUMMYFUNCTION("""COMPUTED_VALUE"""),"Non-GMO Yellow Corn")</f>
        <v>Non-GMO Yellow Corn</v>
      </c>
      <c r="F105" s="138" t="str">
        <f>IFERROR(__xludf.DUMMYFUNCTION("""COMPUTED_VALUE"""),"A072515")</f>
        <v>A072515</v>
      </c>
      <c r="G105" t="str">
        <f>IFERROR(__xludf.DUMMYFUNCTION("""COMPUTED_VALUE"""),"HBT#5227 JB Trk# 5")</f>
        <v>HBT#5227 JB Trk# 5</v>
      </c>
      <c r="H105" s="50"/>
      <c r="I105" s="139">
        <f t="shared" si="8"/>
        <v>0</v>
      </c>
      <c r="J105" s="50">
        <f t="shared" si="2"/>
        <v>1015.568214</v>
      </c>
      <c r="K105" s="140">
        <f t="shared" si="3"/>
        <v>1015.568214</v>
      </c>
      <c r="L105" s="141">
        <f>sumif(Farms!$C$68:$C$104,E105,Farms!$D$68:$D$104)</f>
        <v>1.5</v>
      </c>
      <c r="M105" s="141">
        <f>sumif(Farms!$C$68:$C$104,E105,Farms!$F$68:$F$104)</f>
        <v>56</v>
      </c>
      <c r="N105" s="141">
        <f>sumif(Farms!$C$68:$C$104,E105,Farms!$G$68:$G$104)</f>
        <v>15</v>
      </c>
    </row>
    <row r="106">
      <c r="A106" s="135">
        <f>IFERROR(__xludf.DUMMYFUNCTION("""COMPUTED_VALUE"""),45950.0)</f>
        <v>45950</v>
      </c>
      <c r="B106" s="87" t="str">
        <f>IFERROR(__xludf.DUMMYFUNCTION("""COMPUTED_VALUE"""),"delong meyer")</f>
        <v>delong meyer</v>
      </c>
      <c r="C106">
        <f>IFERROR(__xludf.DUMMYFUNCTION("""COMPUTED_VALUE"""),58580.0)</f>
        <v>58580</v>
      </c>
      <c r="D106" s="136">
        <f>IFERROR(__xludf.DUMMYFUNCTION("""COMPUTED_VALUE"""),17.0)</f>
        <v>17</v>
      </c>
      <c r="E106" s="137" t="str">
        <f>IFERROR(__xludf.DUMMYFUNCTION("""COMPUTED_VALUE"""),"Non-GMO Yellow Corn")</f>
        <v>Non-GMO Yellow Corn</v>
      </c>
      <c r="F106" s="138" t="str">
        <f>IFERROR(__xludf.DUMMYFUNCTION("""COMPUTED_VALUE"""),"A072517")</f>
        <v>A072517</v>
      </c>
      <c r="G106" t="str">
        <f>IFERROR(__xludf.DUMMYFUNCTION("""COMPUTED_VALUE"""),"HBT#5036 Bob Trk# 3")</f>
        <v>HBT#5036 Bob Trk# 3</v>
      </c>
      <c r="H106" s="50"/>
      <c r="I106" s="139">
        <f t="shared" si="8"/>
        <v>0</v>
      </c>
      <c r="J106" s="50">
        <f t="shared" si="2"/>
        <v>1014.689286</v>
      </c>
      <c r="K106" s="140">
        <f t="shared" si="3"/>
        <v>1014.689286</v>
      </c>
      <c r="L106" s="141">
        <f>sumif(Farms!$C$68:$C$104,E106,Farms!$D$68:$D$104)</f>
        <v>1.5</v>
      </c>
      <c r="M106" s="149">
        <v>56.0</v>
      </c>
      <c r="N106" s="141">
        <f>sumif(Farms!$C$68:$C$104,E106,Farms!$G$68:$G$104)</f>
        <v>15</v>
      </c>
    </row>
    <row r="107">
      <c r="A107" s="135">
        <f>IFERROR(__xludf.DUMMYFUNCTION("""COMPUTED_VALUE"""),45950.0)</f>
        <v>45950</v>
      </c>
      <c r="B107" s="87" t="str">
        <f>IFERROR(__xludf.DUMMYFUNCTION("""COMPUTED_VALUE"""),"delong meyer")</f>
        <v>delong meyer</v>
      </c>
      <c r="C107">
        <f>IFERROR(__xludf.DUMMYFUNCTION("""COMPUTED_VALUE"""),57920.0)</f>
        <v>57920</v>
      </c>
      <c r="D107" s="136">
        <f>IFERROR(__xludf.DUMMYFUNCTION("""COMPUTED_VALUE"""),17.0)</f>
        <v>17</v>
      </c>
      <c r="E107" s="137" t="str">
        <f>IFERROR(__xludf.DUMMYFUNCTION("""COMPUTED_VALUE"""),"Non-GMO Yellow Corn")</f>
        <v>Non-GMO Yellow Corn</v>
      </c>
      <c r="F107" s="138" t="str">
        <f>IFERROR(__xludf.DUMMYFUNCTION("""COMPUTED_VALUE"""),"A072518")</f>
        <v>A072518</v>
      </c>
      <c r="G107" t="str">
        <f>IFERROR(__xludf.DUMMYFUNCTION("""COMPUTED_VALUE"""),"HBT#5817 BK Trk# 4")</f>
        <v>HBT#5817 BK Trk# 4</v>
      </c>
      <c r="H107" s="50"/>
      <c r="I107" s="139">
        <f t="shared" si="8"/>
        <v>0</v>
      </c>
      <c r="J107" s="50">
        <f t="shared" si="2"/>
        <v>1003.257143</v>
      </c>
      <c r="K107" s="140">
        <f t="shared" si="3"/>
        <v>1003.257143</v>
      </c>
      <c r="L107" s="141">
        <f>sumif(Farms!$C$68:$C$104,E107,Farms!$D$68:$D$104)</f>
        <v>1.5</v>
      </c>
      <c r="M107" s="141">
        <f>sumif(Farms!$C$68:$C$104,E107,Farms!$F$68:$F$104)</f>
        <v>56</v>
      </c>
      <c r="N107" s="141">
        <f>sumif(Farms!$C$68:$C$104,E107,Farms!$G$68:$G$104)</f>
        <v>15</v>
      </c>
    </row>
    <row r="108">
      <c r="A108" s="135">
        <f>IFERROR(__xludf.DUMMYFUNCTION("""COMPUTED_VALUE"""),45950.0)</f>
        <v>45950</v>
      </c>
      <c r="B108" s="87" t="str">
        <f>IFERROR(__xludf.DUMMYFUNCTION("""COMPUTED_VALUE"""),"delong meyer")</f>
        <v>delong meyer</v>
      </c>
      <c r="C108">
        <f>IFERROR(__xludf.DUMMYFUNCTION("""COMPUTED_VALUE"""),57480.0)</f>
        <v>57480</v>
      </c>
      <c r="D108" s="136">
        <f>IFERROR(__xludf.DUMMYFUNCTION("""COMPUTED_VALUE"""),17.7)</f>
        <v>17.7</v>
      </c>
      <c r="E108" s="137" t="str">
        <f>IFERROR(__xludf.DUMMYFUNCTION("""COMPUTED_VALUE"""),"Non-GMO Yellow Corn")</f>
        <v>Non-GMO Yellow Corn</v>
      </c>
      <c r="F108" s="138" t="str">
        <f>IFERROR(__xludf.DUMMYFUNCTION("""COMPUTED_VALUE"""),"A072525")</f>
        <v>A072525</v>
      </c>
      <c r="G108" t="str">
        <f>IFERROR(__xludf.DUMMYFUNCTION("""COMPUTED_VALUE"""),"HBT#5594 WDH Trk# 41")</f>
        <v>HBT#5594 WDH Trk# 41</v>
      </c>
      <c r="H108" s="50"/>
      <c r="I108" s="139">
        <f t="shared" si="8"/>
        <v>0</v>
      </c>
      <c r="J108" s="50">
        <f t="shared" si="2"/>
        <v>984.8582143</v>
      </c>
      <c r="K108" s="140">
        <f t="shared" si="3"/>
        <v>984.8582143</v>
      </c>
      <c r="L108" s="141">
        <f>sumif(Farms!$C$68:$C$104,E108,Farms!$D$68:$D$104)</f>
        <v>1.5</v>
      </c>
      <c r="M108" s="141">
        <f>sumif(Farms!$C$68:$C$104,E108,Farms!$F$68:$F$104)</f>
        <v>56</v>
      </c>
      <c r="N108" s="141">
        <f>sumif(Farms!$C$68:$C$104,E108,Farms!$G$68:$G$104)</f>
        <v>15</v>
      </c>
    </row>
    <row r="109">
      <c r="A109" s="135">
        <f>IFERROR(__xludf.DUMMYFUNCTION("""COMPUTED_VALUE"""),45950.0)</f>
        <v>45950</v>
      </c>
      <c r="B109" s="87" t="str">
        <f>IFERROR(__xludf.DUMMYFUNCTION("""COMPUTED_VALUE"""),"delong meyer")</f>
        <v>delong meyer</v>
      </c>
      <c r="C109">
        <f>IFERROR(__xludf.DUMMYFUNCTION("""COMPUTED_VALUE"""),36760.0)</f>
        <v>36760</v>
      </c>
      <c r="D109" s="136">
        <f>IFERROR(__xludf.DUMMYFUNCTION("""COMPUTED_VALUE"""),17.1)</f>
        <v>17.1</v>
      </c>
      <c r="E109" s="137" t="str">
        <f>IFERROR(__xludf.DUMMYFUNCTION("""COMPUTED_VALUE"""),"Non-GMO Yellow Corn")</f>
        <v>Non-GMO Yellow Corn</v>
      </c>
      <c r="F109" s="138" t="str">
        <f>IFERROR(__xludf.DUMMYFUNCTION("""COMPUTED_VALUE"""),"A072529")</f>
        <v>A072529</v>
      </c>
      <c r="G109" t="str">
        <f>IFERROR(__xludf.DUMMYFUNCTION("""COMPUTED_VALUE"""),"HBT#5945 TL Trk#2 last Load")</f>
        <v>HBT#5945 TL Trk#2 last Load</v>
      </c>
      <c r="H109" s="50"/>
      <c r="I109" s="139">
        <f t="shared" si="8"/>
        <v>0</v>
      </c>
      <c r="J109" s="50">
        <f t="shared" si="2"/>
        <v>635.7510714</v>
      </c>
      <c r="K109" s="140">
        <f t="shared" si="3"/>
        <v>635.7510714</v>
      </c>
      <c r="L109" s="141">
        <f>sumif(Farms!$C$68:$C$104,E109,Farms!$D$68:$D$104)</f>
        <v>1.5</v>
      </c>
      <c r="M109" s="141">
        <f>sumif(Farms!$C$68:$C$104,E109,Farms!$F$68:$F$104)</f>
        <v>56</v>
      </c>
      <c r="N109" s="141">
        <f>sumif(Farms!$C$68:$C$104,E109,Farms!$G$68:$G$104)</f>
        <v>15</v>
      </c>
    </row>
    <row r="110">
      <c r="A110" s="135">
        <f>IFERROR(__xludf.DUMMYFUNCTION("""COMPUTED_VALUE"""),45907.0)</f>
        <v>45907</v>
      </c>
      <c r="B110" s="87" t="str">
        <f>IFERROR(__xludf.DUMMYFUNCTION("""COMPUTED_VALUE"""),"elwoods")</f>
        <v>elwoods</v>
      </c>
      <c r="C110">
        <f>IFERROR(__xludf.DUMMYFUNCTION("""COMPUTED_VALUE"""),296480.0)</f>
        <v>296480</v>
      </c>
      <c r="D110" s="136"/>
      <c r="E110" s="137" t="str">
        <f>IFERROR(__xludf.DUMMYFUNCTION("""COMPUTED_VALUE"""),"Lima Beans")</f>
        <v>Lima Beans</v>
      </c>
      <c r="F110" s="138" t="str">
        <f>IFERROR(__xludf.DUMMYFUNCTION("""COMPUTED_VALUE"""),"531-040638")</f>
        <v>531-040638</v>
      </c>
      <c r="G110" t="str">
        <f>IFERROR(__xludf.DUMMYFUNCTION("""COMPUTED_VALUE"""),"Seneca")</f>
        <v>Seneca</v>
      </c>
      <c r="H110" s="50"/>
      <c r="I110" s="139">
        <f t="shared" si="8"/>
        <v>0</v>
      </c>
      <c r="J110" s="50">
        <f t="shared" si="2"/>
        <v>148.24</v>
      </c>
      <c r="K110" s="140">
        <f t="shared" si="3"/>
        <v>148.24</v>
      </c>
      <c r="L110" s="142">
        <v>0.0</v>
      </c>
      <c r="M110" s="141">
        <f>sumif(Farms!$C$68:$C$104,E110,Farms!$F$68:$F$104)</f>
        <v>2000</v>
      </c>
      <c r="N110" s="142">
        <v>15.0</v>
      </c>
    </row>
    <row r="111">
      <c r="A111" s="135">
        <f>IFERROR(__xludf.DUMMYFUNCTION("""COMPUTED_VALUE"""),45930.0)</f>
        <v>45930</v>
      </c>
      <c r="B111" s="87" t="str">
        <f>IFERROR(__xludf.DUMMYFUNCTION("""COMPUTED_VALUE"""),"fagan")</f>
        <v>fagan</v>
      </c>
      <c r="C111">
        <f>IFERROR(__xludf.DUMMYFUNCTION("""COMPUTED_VALUE"""),41842.0)</f>
        <v>41842</v>
      </c>
      <c r="D111" s="136">
        <f>IFERROR(__xludf.DUMMYFUNCTION("""COMPUTED_VALUE"""),10.2)</f>
        <v>10.2</v>
      </c>
      <c r="E111" s="137" t="str">
        <f>IFERROR(__xludf.DUMMYFUNCTION("""COMPUTED_VALUE"""),"Enlist Soybeans")</f>
        <v>Enlist Soybeans</v>
      </c>
      <c r="F111" s="138" t="str">
        <f>IFERROR(__xludf.DUMMYFUNCTION("""COMPUTED_VALUE"""),"M038474")</f>
        <v>M038474</v>
      </c>
      <c r="G111" t="str">
        <f>IFERROR(__xludf.DUMMYFUNCTION("""COMPUTED_VALUE"""),"HBT# 5095  Bob Trk# 3")</f>
        <v>HBT# 5095  Bob Trk# 3</v>
      </c>
      <c r="H111" s="50">
        <f>IFERROR(__xludf.DUMMYFUNCTION("""COMPUTED_VALUE"""),0.28)</f>
        <v>0.28</v>
      </c>
      <c r="I111" s="148">
        <v>0.0</v>
      </c>
      <c r="J111" s="50">
        <f t="shared" si="2"/>
        <v>800.9754286</v>
      </c>
      <c r="K111" s="140">
        <f t="shared" si="3"/>
        <v>800.9754286</v>
      </c>
      <c r="L111" s="142">
        <v>1.5</v>
      </c>
      <c r="M111" s="141">
        <f>sumif(Farms!$C$68:$C$104,E111,Farms!$F$68:$F$104)</f>
        <v>56</v>
      </c>
      <c r="N111" s="142">
        <v>15.0</v>
      </c>
    </row>
    <row r="112">
      <c r="A112" s="135">
        <f>IFERROR(__xludf.DUMMYFUNCTION("""COMPUTED_VALUE"""),45931.0)</f>
        <v>45931</v>
      </c>
      <c r="B112" s="87" t="str">
        <f>IFERROR(__xludf.DUMMYFUNCTION("""COMPUTED_VALUE"""),"fox den")</f>
        <v>fox den</v>
      </c>
      <c r="C112">
        <f>IFERROR(__xludf.DUMMYFUNCTION("""COMPUTED_VALUE"""),30280.0)</f>
        <v>30280</v>
      </c>
      <c r="D112" s="136">
        <f>IFERROR(__xludf.DUMMYFUNCTION("""COMPUTED_VALUE"""),11.2)</f>
        <v>11.2</v>
      </c>
      <c r="E112" s="137" t="str">
        <f>IFERROR(__xludf.DUMMYFUNCTION("""COMPUTED_VALUE"""),"Enlist Soybeans")</f>
        <v>Enlist Soybeans</v>
      </c>
      <c r="F112" s="138" t="str">
        <f>IFERROR(__xludf.DUMMYFUNCTION("""COMPUTED_VALUE"""),"M38542")</f>
        <v>M38542</v>
      </c>
      <c r="G112" t="str">
        <f>IFERROR(__xludf.DUMMYFUNCTION("""COMPUTED_VALUE"""),"HBT# 5857 Jack  Trk# 3")</f>
        <v>HBT# 5857 Jack  Trk# 3</v>
      </c>
      <c r="H112" s="50">
        <f>IFERROR(__xludf.DUMMYFUNCTION("""COMPUTED_VALUE"""),0.33)</f>
        <v>0.33</v>
      </c>
      <c r="I112" s="139">
        <f t="shared" ref="I112:I135" si="9">if(H112&gt;=1,H112-1,"0")/100</f>
        <v>0</v>
      </c>
      <c r="J112" s="50">
        <f t="shared" si="2"/>
        <v>571.535</v>
      </c>
      <c r="K112" s="140">
        <f t="shared" si="3"/>
        <v>571.535</v>
      </c>
      <c r="L112" s="142">
        <v>1.5</v>
      </c>
      <c r="M112" s="142">
        <v>56.0</v>
      </c>
      <c r="N112" s="142">
        <v>15.0</v>
      </c>
    </row>
    <row r="113">
      <c r="A113" s="135">
        <f>IFERROR(__xludf.DUMMYFUNCTION("""COMPUTED_VALUE"""),45860.0)</f>
        <v>45860</v>
      </c>
      <c r="B113" s="87" t="str">
        <f>IFERROR(__xludf.DUMMYFUNCTION("""COMPUTED_VALUE"""),"fox kettle")</f>
        <v>fox kettle</v>
      </c>
      <c r="C113">
        <f>IFERROR(__xludf.DUMMYFUNCTION("""COMPUTED_VALUE"""),54500.0)</f>
        <v>54500</v>
      </c>
      <c r="E113" s="137" t="str">
        <f>IFERROR(__xludf.DUMMYFUNCTION("""COMPUTED_VALUE"""),"Hybrid Rye")</f>
        <v>Hybrid Rye</v>
      </c>
      <c r="F113" s="137">
        <f>IFERROR(__xludf.DUMMYFUNCTION("""COMPUTED_VALUE"""),171.0)</f>
        <v>171</v>
      </c>
      <c r="G113" t="str">
        <f>IFERROR(__xludf.DUMMYFUNCTION("""COMPUTED_VALUE"""),"HBT# 4556 Bob Trk# 63")</f>
        <v>HBT# 4556 Bob Trk# 63</v>
      </c>
      <c r="H113" s="50"/>
      <c r="I113" s="139">
        <f t="shared" si="9"/>
        <v>0</v>
      </c>
      <c r="J113" s="50">
        <f t="shared" si="2"/>
        <v>1192.1875</v>
      </c>
      <c r="K113" s="140">
        <f t="shared" si="3"/>
        <v>1192.1875</v>
      </c>
      <c r="L113" s="142">
        <v>1.5</v>
      </c>
      <c r="M113" s="149">
        <v>56.0</v>
      </c>
      <c r="N113" s="142">
        <v>15.0</v>
      </c>
    </row>
    <row r="114">
      <c r="A114" s="135">
        <f>IFERROR(__xludf.DUMMYFUNCTION("""COMPUTED_VALUE"""),45856.0)</f>
        <v>45856</v>
      </c>
      <c r="B114" s="87" t="str">
        <f>IFERROR(__xludf.DUMMYFUNCTION("""COMPUTED_VALUE"""),"fox kettle")</f>
        <v>fox kettle</v>
      </c>
      <c r="C114">
        <f>IFERROR(__xludf.DUMMYFUNCTION("""COMPUTED_VALUE"""),53100.0)</f>
        <v>53100</v>
      </c>
      <c r="D114" s="136"/>
      <c r="E114" s="137" t="str">
        <f>IFERROR(__xludf.DUMMYFUNCTION("""COMPUTED_VALUE"""),"Hybrid Rye")</f>
        <v>Hybrid Rye</v>
      </c>
      <c r="F114" s="138" t="str">
        <f>IFERROR(__xludf.DUMMYFUNCTION("""COMPUTED_VALUE"""),"00166")</f>
        <v>00166</v>
      </c>
      <c r="G114" t="str">
        <f>IFERROR(__xludf.DUMMYFUNCTION("""COMPUTED_VALUE"""),"HBT# 3120 Bob Trk# 5")</f>
        <v>HBT# 3120 Bob Trk# 5</v>
      </c>
      <c r="H114" s="50"/>
      <c r="I114" s="139">
        <f t="shared" si="9"/>
        <v>0</v>
      </c>
      <c r="J114" s="50">
        <f t="shared" si="2"/>
        <v>948.2142857</v>
      </c>
      <c r="K114" s="140">
        <f t="shared" si="3"/>
        <v>948.2142857</v>
      </c>
      <c r="L114" s="141">
        <f>sumif(Farms!$C$68:$C$104,E114,Farms!$D$68:$D$104)</f>
        <v>0</v>
      </c>
      <c r="M114" s="141">
        <f>sumif(Farms!$C$68:$C$104,E114,Farms!$F$68:$F$104)</f>
        <v>56</v>
      </c>
      <c r="N114" s="141">
        <f>sumif(Farms!$C$68:$C$104,E114,Farms!$G$68:$G$104)</f>
        <v>13</v>
      </c>
    </row>
    <row r="115">
      <c r="A115" s="135">
        <f>IFERROR(__xludf.DUMMYFUNCTION("""COMPUTED_VALUE"""),45859.0)</f>
        <v>45859</v>
      </c>
      <c r="B115" s="87" t="str">
        <f>IFERROR(__xludf.DUMMYFUNCTION("""COMPUTED_VALUE"""),"fox kettle")</f>
        <v>fox kettle</v>
      </c>
      <c r="C115">
        <f>IFERROR(__xludf.DUMMYFUNCTION("""COMPUTED_VALUE"""),56260.0)</f>
        <v>56260</v>
      </c>
      <c r="D115" s="136"/>
      <c r="E115" s="137" t="str">
        <f>IFERROR(__xludf.DUMMYFUNCTION("""COMPUTED_VALUE"""),"Hybrid Rye")</f>
        <v>Hybrid Rye</v>
      </c>
      <c r="F115" s="138" t="str">
        <f>IFERROR(__xludf.DUMMYFUNCTION("""COMPUTED_VALUE"""),"00168")</f>
        <v>00168</v>
      </c>
      <c r="G115" t="str">
        <f>IFERROR(__xludf.DUMMYFUNCTION("""COMPUTED_VALUE"""),"HBT#4555 Bob Trk#5 ")</f>
        <v>HBT#4555 Bob Trk#5 </v>
      </c>
      <c r="H115" s="50">
        <f>IFERROR(__xludf.DUMMYFUNCTION("""COMPUTED_VALUE"""),0.0)</f>
        <v>0</v>
      </c>
      <c r="I115" s="139">
        <f t="shared" si="9"/>
        <v>0</v>
      </c>
      <c r="J115" s="50">
        <f t="shared" si="2"/>
        <v>1004.642857</v>
      </c>
      <c r="K115" s="140">
        <f t="shared" si="3"/>
        <v>1004.642857</v>
      </c>
      <c r="L115" s="141">
        <f>sumif(Farms!$C$68:$C$104,E115,Farms!$D$68:$D$104)</f>
        <v>0</v>
      </c>
      <c r="M115" s="141">
        <f>sumif(Farms!$C$68:$C$104,E115,Farms!$F$68:$F$104)</f>
        <v>56</v>
      </c>
      <c r="N115" s="141">
        <f>sumif(Farms!$C$68:$C$104,E115,Farms!$G$68:$G$104)</f>
        <v>13</v>
      </c>
    </row>
    <row r="116">
      <c r="A116" s="135">
        <f>IFERROR(__xludf.DUMMYFUNCTION("""COMPUTED_VALUE"""),45860.0)</f>
        <v>45860</v>
      </c>
      <c r="B116" s="87" t="str">
        <f>IFERROR(__xludf.DUMMYFUNCTION("""COMPUTED_VALUE"""),"fox kettle")</f>
        <v>fox kettle</v>
      </c>
      <c r="C116">
        <f>IFERROR(__xludf.DUMMYFUNCTION("""COMPUTED_VALUE"""),55800.0)</f>
        <v>55800</v>
      </c>
      <c r="E116" s="137" t="str">
        <f>IFERROR(__xludf.DUMMYFUNCTION("""COMPUTED_VALUE"""),"Hybrid Rye")</f>
        <v>Hybrid Rye</v>
      </c>
      <c r="F116" s="138" t="str">
        <f>IFERROR(__xludf.DUMMYFUNCTION("""COMPUTED_VALUE"""),"00169")</f>
        <v>00169</v>
      </c>
      <c r="G116" t="str">
        <f>IFERROR(__xludf.DUMMYFUNCTION("""COMPUTED_VALUE"""),"HBT#3121 Bob Trk#5 ")</f>
        <v>HBT#3121 Bob Trk#5 </v>
      </c>
      <c r="H116" s="50">
        <f>IFERROR(__xludf.DUMMYFUNCTION("""COMPUTED_VALUE"""),0.0)</f>
        <v>0</v>
      </c>
      <c r="I116" s="139">
        <f t="shared" si="9"/>
        <v>0</v>
      </c>
      <c r="J116" s="50">
        <f t="shared" si="2"/>
        <v>996.4285714</v>
      </c>
      <c r="K116" s="140">
        <f t="shared" si="3"/>
        <v>996.4285714</v>
      </c>
      <c r="L116" s="141">
        <f>sumif(Farms!$C$68:$C$104,E116,Farms!$D$68:$D$104)</f>
        <v>0</v>
      </c>
      <c r="M116" s="141">
        <f>sumif(Farms!$C$68:$C$104,E116,Farms!$F$68:$F$104)</f>
        <v>56</v>
      </c>
      <c r="N116" s="141">
        <f>sumif(Farms!$C$68:$C$104,E116,Farms!$G$68:$G$104)</f>
        <v>13</v>
      </c>
    </row>
    <row r="117">
      <c r="A117" s="151">
        <f>IFERROR(__xludf.DUMMYFUNCTION("""COMPUTED_VALUE"""),45936.0)</f>
        <v>45936</v>
      </c>
      <c r="B117" s="87" t="str">
        <f>IFERROR(__xludf.DUMMYFUNCTION("""COMPUTED_VALUE"""),"fox kettle little ")</f>
        <v>fox kettle little </v>
      </c>
      <c r="C117" s="87">
        <f>IFERROR(__xludf.DUMMYFUNCTION("""COMPUTED_VALUE"""),55440.0)</f>
        <v>55440</v>
      </c>
      <c r="D117" s="128">
        <f>IFERROR(__xludf.DUMMYFUNCTION("""COMPUTED_VALUE"""),15.5)</f>
        <v>15.5</v>
      </c>
      <c r="E117" s="129" t="str">
        <f>IFERROR(__xludf.DUMMYFUNCTION("""COMPUTED_VALUE"""),"Non-GMO Yellow Corn")</f>
        <v>Non-GMO Yellow Corn</v>
      </c>
      <c r="F117" s="152" t="str">
        <f>IFERROR(__xludf.DUMMYFUNCTION("""COMPUTED_VALUE"""),"0548951")</f>
        <v>0548951</v>
      </c>
      <c r="G117" s="87" t="str">
        <f>IFERROR(__xludf.DUMMYFUNCTION("""COMPUTED_VALUE"""),"HBT# 5861 Bob Trk# 3")</f>
        <v>HBT# 5861 Bob Trk# 3</v>
      </c>
      <c r="H117" s="49">
        <f>IFERROR(__xludf.DUMMYFUNCTION("""COMPUTED_VALUE"""),0.0)</f>
        <v>0</v>
      </c>
      <c r="I117" s="139">
        <f t="shared" si="9"/>
        <v>0</v>
      </c>
      <c r="J117" s="50">
        <f t="shared" si="2"/>
        <v>982.575</v>
      </c>
      <c r="K117" s="140">
        <f t="shared" si="3"/>
        <v>982.575</v>
      </c>
      <c r="L117" s="141">
        <f>sumif(Farms!$C$68:$C$104,E117,Farms!$D$68:$D$104)</f>
        <v>1.5</v>
      </c>
      <c r="M117" s="141">
        <f>sumif(Farms!$C$68:$C$104,E117,Farms!$F$68:$F$104)</f>
        <v>56</v>
      </c>
      <c r="N117" s="141">
        <f>sumif(Farms!$C$68:$C$104,E117,Farms!$G$68:$G$104)</f>
        <v>15</v>
      </c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</row>
    <row r="118">
      <c r="A118" s="151">
        <f>IFERROR(__xludf.DUMMYFUNCTION("""COMPUTED_VALUE"""),45936.0)</f>
        <v>45936</v>
      </c>
      <c r="B118" s="87" t="str">
        <f>IFERROR(__xludf.DUMMYFUNCTION("""COMPUTED_VALUE"""),"fox kettle little ")</f>
        <v>fox kettle little </v>
      </c>
      <c r="C118">
        <f>IFERROR(__xludf.DUMMYFUNCTION("""COMPUTED_VALUE"""),10674.0)</f>
        <v>10674</v>
      </c>
      <c r="D118" s="136">
        <f>IFERROR(__xludf.DUMMYFUNCTION("""COMPUTED_VALUE"""),15.5)</f>
        <v>15.5</v>
      </c>
      <c r="E118" s="137" t="str">
        <f>IFERROR(__xludf.DUMMYFUNCTION("""COMPUTED_VALUE"""),"Non-GMO Yellow Corn")</f>
        <v>Non-GMO Yellow Corn</v>
      </c>
      <c r="F118" s="138" t="str">
        <f>IFERROR(__xludf.DUMMYFUNCTION("""COMPUTED_VALUE"""),"0548953")</f>
        <v>0548953</v>
      </c>
      <c r="G118" t="str">
        <f>IFERROR(__xludf.DUMMYFUNCTION("""COMPUTED_VALUE"""),"HBT# 2502 Juliannte Trk# 5 Split Load")</f>
        <v>HBT# 2502 Juliannte Trk# 5 Split Load</v>
      </c>
      <c r="H118" s="50">
        <f>IFERROR(__xludf.DUMMYFUNCTION("""COMPUTED_VALUE"""),0.0)</f>
        <v>0</v>
      </c>
      <c r="I118" s="139">
        <f t="shared" si="9"/>
        <v>0</v>
      </c>
      <c r="J118" s="50">
        <f t="shared" si="2"/>
        <v>189.1775893</v>
      </c>
      <c r="K118" s="140">
        <f t="shared" si="3"/>
        <v>189.1775893</v>
      </c>
      <c r="L118" s="141">
        <f>sumif(Farms!$C$68:$C$104,E118,Farms!$D$68:$D$104)</f>
        <v>1.5</v>
      </c>
      <c r="M118" s="141">
        <f>sumif(Farms!$C$68:$C$104,E118,Farms!$F$68:$F$104)</f>
        <v>56</v>
      </c>
      <c r="N118" s="141">
        <f>sumif(Farms!$C$68:$C$104,E118,Farms!$G$68:$G$104)</f>
        <v>15</v>
      </c>
    </row>
    <row r="119">
      <c r="A119" s="135">
        <f>IFERROR(__xludf.DUMMYFUNCTION("""COMPUTED_VALUE"""),45937.0)</f>
        <v>45937</v>
      </c>
      <c r="B119" s="87" t="str">
        <f>IFERROR(__xludf.DUMMYFUNCTION("""COMPUTED_VALUE"""),"fox kettle little ")</f>
        <v>fox kettle little </v>
      </c>
      <c r="C119">
        <f>IFERROR(__xludf.DUMMYFUNCTION("""COMPUTED_VALUE"""),35815.0)</f>
        <v>35815</v>
      </c>
      <c r="D119" s="136">
        <f>IFERROR(__xludf.DUMMYFUNCTION("""COMPUTED_VALUE"""),16.2)</f>
        <v>16.2</v>
      </c>
      <c r="E119" s="137" t="str">
        <f>IFERROR(__xludf.DUMMYFUNCTION("""COMPUTED_VALUE"""),"Non-GMO Yellow Corn")</f>
        <v>Non-GMO Yellow Corn</v>
      </c>
      <c r="F119" s="138" t="str">
        <f>IFERROR(__xludf.DUMMYFUNCTION("""COMPUTED_VALUE"""),"0548957")</f>
        <v>0548957</v>
      </c>
      <c r="G119" t="str">
        <f>IFERROR(__xludf.DUMMYFUNCTION("""COMPUTED_VALUE"""),"HBT#4577 Jack Trk# 63 Split &amp; Last Load")</f>
        <v>HBT#4577 Jack Trk# 63 Split &amp; Last Load</v>
      </c>
      <c r="H119" s="50">
        <f>IFERROR(__xludf.DUMMYFUNCTION("""COMPUTED_VALUE"""),0.0)</f>
        <v>0</v>
      </c>
      <c r="I119" s="139">
        <f t="shared" si="9"/>
        <v>0</v>
      </c>
      <c r="J119" s="50">
        <f t="shared" si="2"/>
        <v>628.0416071</v>
      </c>
      <c r="K119" s="140">
        <f t="shared" si="3"/>
        <v>628.0416071</v>
      </c>
      <c r="L119" s="141">
        <f>sumif(Farms!$C$68:$C$104,E119,Farms!$D$68:$D$104)</f>
        <v>1.5</v>
      </c>
      <c r="M119" s="141">
        <f>sumif(Farms!$C$68:$C$104,E119,Farms!$F$68:$F$104)</f>
        <v>56</v>
      </c>
      <c r="N119" s="141">
        <f>sumif(Farms!$C$68:$C$104,E119,Farms!$G$68:$G$104)</f>
        <v>15</v>
      </c>
    </row>
    <row r="120">
      <c r="A120" s="135">
        <f>IFERROR(__xludf.DUMMYFUNCTION("""COMPUTED_VALUE"""),45931.0)</f>
        <v>45931</v>
      </c>
      <c r="B120" s="87" t="str">
        <f>IFERROR(__xludf.DUMMYFUNCTION("""COMPUTED_VALUE"""),"fox lemans")</f>
        <v>fox lemans</v>
      </c>
      <c r="C120">
        <f>IFERROR(__xludf.DUMMYFUNCTION("""COMPUTED_VALUE"""),29669.0)</f>
        <v>29669</v>
      </c>
      <c r="D120" s="136">
        <f>IFERROR(__xludf.DUMMYFUNCTION("""COMPUTED_VALUE"""),9.7)</f>
        <v>9.7</v>
      </c>
      <c r="E120" s="137" t="str">
        <f>IFERROR(__xludf.DUMMYFUNCTION("""COMPUTED_VALUE"""),"Enlist Soybeans")</f>
        <v>Enlist Soybeans</v>
      </c>
      <c r="F120" s="138" t="str">
        <f>IFERROR(__xludf.DUMMYFUNCTION("""COMPUTED_VALUE"""),"M038503")</f>
        <v>M038503</v>
      </c>
      <c r="G120" t="str">
        <f>IFERROR(__xludf.DUMMYFUNCTION("""COMPUTED_VALUE"""),"HBT# 5098  Tim Trk# 3 Split Load")</f>
        <v>HBT# 5098  Tim Trk# 3 Split Load</v>
      </c>
      <c r="H120" s="50">
        <f>IFERROR(__xludf.DUMMYFUNCTION("""COMPUTED_VALUE"""),0.27)</f>
        <v>0.27</v>
      </c>
      <c r="I120" s="139">
        <f t="shared" si="9"/>
        <v>0</v>
      </c>
      <c r="J120" s="50">
        <f t="shared" si="2"/>
        <v>554.2804964</v>
      </c>
      <c r="K120" s="140">
        <f t="shared" si="3"/>
        <v>554.2804964</v>
      </c>
      <c r="L120" s="141">
        <f>sumif(Farms!$C$68:$C$104,E120,Farms!$D$68:$D$104)</f>
        <v>1.4</v>
      </c>
      <c r="M120" s="141">
        <f>sumif(Farms!$C$68:$C$104,E120,Farms!$F$68:$F$104)</f>
        <v>56</v>
      </c>
      <c r="N120" s="141">
        <f>sumif(Farms!$C$68:$C$104,E120,Farms!$G$68:$G$104)</f>
        <v>13</v>
      </c>
    </row>
    <row r="121">
      <c r="A121" s="135">
        <f>IFERROR(__xludf.DUMMYFUNCTION("""COMPUTED_VALUE"""),45931.0)</f>
        <v>45931</v>
      </c>
      <c r="B121" s="87" t="str">
        <f>IFERROR(__xludf.DUMMYFUNCTION("""COMPUTED_VALUE"""),"fox lemans")</f>
        <v>fox lemans</v>
      </c>
      <c r="C121">
        <f>IFERROR(__xludf.DUMMYFUNCTION("""COMPUTED_VALUE"""),27520.0)</f>
        <v>27520</v>
      </c>
      <c r="D121" s="136">
        <f>IFERROR(__xludf.DUMMYFUNCTION("""COMPUTED_VALUE"""),9.7)</f>
        <v>9.7</v>
      </c>
      <c r="E121" s="137" t="str">
        <f>IFERROR(__xludf.DUMMYFUNCTION("""COMPUTED_VALUE"""),"Enlist Soybeans")</f>
        <v>Enlist Soybeans</v>
      </c>
      <c r="F121" s="138" t="str">
        <f>IFERROR(__xludf.DUMMYFUNCTION("""COMPUTED_VALUE"""),"M038525")</f>
        <v>M038525</v>
      </c>
      <c r="G121" t="str">
        <f>IFERROR(__xludf.DUMMYFUNCTION("""COMPUTED_VALUE"""),"HBT# 5099 Fox Lemans  Trk# 3")</f>
        <v>HBT# 5099 Fox Lemans  Trk# 3</v>
      </c>
      <c r="H121" s="50">
        <f>IFERROR(__xludf.DUMMYFUNCTION("""COMPUTED_VALUE"""),0.23)</f>
        <v>0.23</v>
      </c>
      <c r="I121" s="139">
        <f t="shared" si="9"/>
        <v>0</v>
      </c>
      <c r="J121" s="50">
        <f t="shared" si="2"/>
        <v>514.1325714</v>
      </c>
      <c r="K121" s="140">
        <f t="shared" si="3"/>
        <v>514.1325714</v>
      </c>
      <c r="L121" s="141">
        <f>sumif(Farms!$C$68:$C$104,E121,Farms!$D$68:$D$104)</f>
        <v>1.4</v>
      </c>
      <c r="M121" s="141">
        <f>sumif(Farms!$C$68:$C$104,E121,Farms!$F$68:$F$104)</f>
        <v>56</v>
      </c>
      <c r="N121" s="141">
        <f>sumif(Farms!$C$68:$C$104,E121,Farms!$G$68:$G$104)</f>
        <v>13</v>
      </c>
    </row>
    <row r="122">
      <c r="A122" s="135">
        <f>IFERROR(__xludf.DUMMYFUNCTION("""COMPUTED_VALUE"""),45947.0)</f>
        <v>45947</v>
      </c>
      <c r="B122" s="87" t="str">
        <f>IFERROR(__xludf.DUMMYFUNCTION("""COMPUTED_VALUE"""),"Gessert ")</f>
        <v>Gessert </v>
      </c>
      <c r="C122">
        <f>IFERROR(__xludf.DUMMYFUNCTION("""COMPUTED_VALUE"""),24440.0)</f>
        <v>24440</v>
      </c>
      <c r="D122" s="136">
        <f>IFERROR(__xludf.DUMMYFUNCTION("""COMPUTED_VALUE"""),16.4)</f>
        <v>16.4</v>
      </c>
      <c r="E122" s="137" t="str">
        <f>IFERROR(__xludf.DUMMYFUNCTION("""COMPUTED_VALUE"""),"Non-GMO Yellow Corn")</f>
        <v>Non-GMO Yellow Corn</v>
      </c>
      <c r="F122" s="138" t="str">
        <f>IFERROR(__xludf.DUMMYFUNCTION("""COMPUTED_VALUE"""),"00255530")</f>
        <v>00255530</v>
      </c>
      <c r="G122" t="str">
        <f>IFERROR(__xludf.DUMMYFUNCTION("""COMPUTED_VALUE"""),"HBT#5938 Mike  Trk# 2 Last Load")</f>
        <v>HBT#5938 Mike  Trk# 2 Last Load</v>
      </c>
      <c r="H122" s="50"/>
      <c r="I122" s="139">
        <f t="shared" si="9"/>
        <v>0</v>
      </c>
      <c r="J122" s="50">
        <f t="shared" si="2"/>
        <v>427.2635714</v>
      </c>
      <c r="K122" s="140">
        <f t="shared" si="3"/>
        <v>427.2635714</v>
      </c>
      <c r="L122" s="141">
        <f>sumif(Farms!$C$68:$C$104,E122,Farms!$D$68:$D$104)</f>
        <v>1.5</v>
      </c>
      <c r="M122" s="141">
        <f>sumif(Farms!$C$68:$C$104,E122,Farms!$F$68:$F$104)</f>
        <v>56</v>
      </c>
      <c r="N122" s="141">
        <f>sumif(Farms!$C$68:$C$104,E122,Farms!$G$68:$G$104)</f>
        <v>15</v>
      </c>
    </row>
    <row r="123">
      <c r="A123" s="135">
        <f>IFERROR(__xludf.DUMMYFUNCTION("""COMPUTED_VALUE"""),45947.0)</f>
        <v>45947</v>
      </c>
      <c r="B123" s="87" t="str">
        <f>IFERROR(__xludf.DUMMYFUNCTION("""COMPUTED_VALUE"""),"Gessert ")</f>
        <v>Gessert </v>
      </c>
      <c r="C123">
        <f>IFERROR(__xludf.DUMMYFUNCTION("""COMPUTED_VALUE"""),57780.0)</f>
        <v>57780</v>
      </c>
      <c r="D123" s="136">
        <f>IFERROR(__xludf.DUMMYFUNCTION("""COMPUTED_VALUE"""),16.5)</f>
        <v>16.5</v>
      </c>
      <c r="E123" s="137" t="str">
        <f>IFERROR(__xludf.DUMMYFUNCTION("""COMPUTED_VALUE"""),"Non-GMO Yellow Corn")</f>
        <v>Non-GMO Yellow Corn</v>
      </c>
      <c r="F123" s="138" t="str">
        <f>IFERROR(__xludf.DUMMYFUNCTION("""COMPUTED_VALUE"""),"0549961")</f>
        <v>0549961</v>
      </c>
      <c r="G123" t="str">
        <f>IFERROR(__xludf.DUMMYFUNCTION("""COMPUTED_VALUE"""),"HBT#5933 Mike  Trk# 2   ")</f>
        <v>HBT#5933 Mike  Trk# 2   </v>
      </c>
      <c r="H123" s="50"/>
      <c r="I123" s="139">
        <f t="shared" si="9"/>
        <v>0</v>
      </c>
      <c r="J123" s="50">
        <f t="shared" si="2"/>
        <v>1008.570536</v>
      </c>
      <c r="K123" s="140">
        <f t="shared" si="3"/>
        <v>1008.570536</v>
      </c>
      <c r="L123" s="141">
        <f>sumif(Farms!$C$68:$C$104,E123,Farms!$D$68:$D$104)</f>
        <v>1.5</v>
      </c>
      <c r="M123" s="141">
        <f>sumif(Farms!$C$68:$C$104,E123,Farms!$F$68:$F$104)</f>
        <v>56</v>
      </c>
      <c r="N123" s="141">
        <f>sumif(Farms!$C$68:$C$104,E123,Farms!$G$68:$G$104)</f>
        <v>15</v>
      </c>
    </row>
    <row r="124">
      <c r="A124" s="135">
        <f>IFERROR(__xludf.DUMMYFUNCTION("""COMPUTED_VALUE"""),45947.0)</f>
        <v>45947</v>
      </c>
      <c r="B124" s="87" t="str">
        <f>IFERROR(__xludf.DUMMYFUNCTION("""COMPUTED_VALUE"""),"Gessert ")</f>
        <v>Gessert </v>
      </c>
      <c r="C124">
        <f>IFERROR(__xludf.DUMMYFUNCTION("""COMPUTED_VALUE"""),57140.0)</f>
        <v>57140</v>
      </c>
      <c r="D124" s="136">
        <f>IFERROR(__xludf.DUMMYFUNCTION("""COMPUTED_VALUE"""),16.4)</f>
        <v>16.4</v>
      </c>
      <c r="E124" s="137" t="str">
        <f>IFERROR(__xludf.DUMMYFUNCTION("""COMPUTED_VALUE"""),"Non-GMO Yellow Corn")</f>
        <v>Non-GMO Yellow Corn</v>
      </c>
      <c r="F124" s="138" t="str">
        <f>IFERROR(__xludf.DUMMYFUNCTION("""COMPUTED_VALUE"""),"218671")</f>
        <v>218671</v>
      </c>
      <c r="G124" t="str">
        <f>IFERROR(__xludf.DUMMYFUNCTION("""COMPUTED_VALUE"""),"HBT#5029 Bobk  Trk# 3")</f>
        <v>HBT#5029 Bobk  Trk# 3</v>
      </c>
      <c r="H124" s="50"/>
      <c r="I124" s="139">
        <f t="shared" si="9"/>
        <v>0</v>
      </c>
      <c r="J124" s="50">
        <f t="shared" si="2"/>
        <v>1020.357143</v>
      </c>
      <c r="K124" s="140">
        <f t="shared" si="3"/>
        <v>1020.357143</v>
      </c>
      <c r="L124" s="142">
        <v>0.0</v>
      </c>
      <c r="M124" s="141">
        <f>sumif(Farms!$C$68:$C$104,E124,Farms!$F$68:$F$104)</f>
        <v>56</v>
      </c>
      <c r="N124" s="141">
        <f>sumif(Farms!$C$68:$C$104,E124,Farms!$G$68:$G$104)</f>
        <v>15</v>
      </c>
    </row>
    <row r="125">
      <c r="A125" s="135">
        <f>IFERROR(__xludf.DUMMYFUNCTION("""COMPUTED_VALUE"""),45947.0)</f>
        <v>45947</v>
      </c>
      <c r="B125" s="87" t="str">
        <f>IFERROR(__xludf.DUMMYFUNCTION("""COMPUTED_VALUE"""),"Gessert ")</f>
        <v>Gessert </v>
      </c>
      <c r="C125">
        <f>IFERROR(__xludf.DUMMYFUNCTION("""COMPUTED_VALUE"""),58520.0)</f>
        <v>58520</v>
      </c>
      <c r="D125" s="136">
        <f>IFERROR(__xludf.DUMMYFUNCTION("""COMPUTED_VALUE"""),15.7)</f>
        <v>15.7</v>
      </c>
      <c r="E125" s="137" t="str">
        <f>IFERROR(__xludf.DUMMYFUNCTION("""COMPUTED_VALUE"""),"Non-GMO Yellow Corn")</f>
        <v>Non-GMO Yellow Corn</v>
      </c>
      <c r="F125" s="138" t="str">
        <f>IFERROR(__xludf.DUMMYFUNCTION("""COMPUTED_VALUE"""),"218675")</f>
        <v>218675</v>
      </c>
      <c r="G125" t="str">
        <f>IFERROR(__xludf.DUMMYFUNCTION("""COMPUTED_VALUE"""),"HBT#5384 Jack  Trk# 63")</f>
        <v>HBT#5384 Jack  Trk# 63</v>
      </c>
      <c r="H125" s="50"/>
      <c r="I125" s="139">
        <f t="shared" si="9"/>
        <v>0</v>
      </c>
      <c r="J125" s="50">
        <f t="shared" si="2"/>
        <v>1034.0275</v>
      </c>
      <c r="K125" s="140">
        <f t="shared" si="3"/>
        <v>1034.0275</v>
      </c>
      <c r="L125" s="141">
        <f>sumif(Farms!$C$68:$C$104,E125,Farms!$D$68:$D$104)</f>
        <v>1.5</v>
      </c>
      <c r="M125" s="141">
        <f>sumif(Farms!$C$68:$C$104,E125,Farms!$F$68:$F$104)</f>
        <v>56</v>
      </c>
      <c r="N125" s="141">
        <f>sumif(Farms!$C$68:$C$104,E125,Farms!$G$68:$G$104)</f>
        <v>15</v>
      </c>
    </row>
    <row r="126">
      <c r="A126" s="135">
        <f>IFERROR(__xludf.DUMMYFUNCTION("""COMPUTED_VALUE"""),45947.0)</f>
        <v>45947</v>
      </c>
      <c r="B126" s="87" t="str">
        <f>IFERROR(__xludf.DUMMYFUNCTION("""COMPUTED_VALUE"""),"Gessert ")</f>
        <v>Gessert </v>
      </c>
      <c r="C126">
        <f>IFERROR(__xludf.DUMMYFUNCTION("""COMPUTED_VALUE"""),56400.0)</f>
        <v>56400</v>
      </c>
      <c r="D126" s="136">
        <f>IFERROR(__xludf.DUMMYFUNCTION("""COMPUTED_VALUE"""),16.7)</f>
        <v>16.7</v>
      </c>
      <c r="E126" s="137" t="str">
        <f>IFERROR(__xludf.DUMMYFUNCTION("""COMPUTED_VALUE"""),"Non-GMO Yellow Corn")</f>
        <v>Non-GMO Yellow Corn</v>
      </c>
      <c r="F126" s="138" t="str">
        <f>IFERROR(__xludf.DUMMYFUNCTION("""COMPUTED_VALUE"""),"549936")</f>
        <v>549936</v>
      </c>
      <c r="G126" t="str">
        <f>IFERROR(__xludf.DUMMYFUNCTION("""COMPUTED_VALUE"""),"HBT#5223 Bob  Trk# 3")</f>
        <v>HBT#5223 Bob  Trk# 3</v>
      </c>
      <c r="H126" s="50"/>
      <c r="I126" s="139">
        <f t="shared" si="9"/>
        <v>0</v>
      </c>
      <c r="J126" s="50">
        <f t="shared" si="2"/>
        <v>981.4607143</v>
      </c>
      <c r="K126" s="140">
        <f t="shared" si="3"/>
        <v>981.4607143</v>
      </c>
      <c r="L126" s="141">
        <f>sumif(Farms!$C$68:$C$104,E126,Farms!$D$68:$D$104)</f>
        <v>1.5</v>
      </c>
      <c r="M126" s="141">
        <f>sumif(Farms!$C$68:$C$104,E126,Farms!$F$68:$F$104)</f>
        <v>56</v>
      </c>
      <c r="N126" s="141">
        <f>sumif(Farms!$C$68:$C$104,E126,Farms!$G$68:$G$104)</f>
        <v>15</v>
      </c>
    </row>
    <row r="127">
      <c r="A127" s="135">
        <f>IFERROR(__xludf.DUMMYFUNCTION("""COMPUTED_VALUE"""),45947.0)</f>
        <v>45947</v>
      </c>
      <c r="B127" s="87" t="str">
        <f>IFERROR(__xludf.DUMMYFUNCTION("""COMPUTED_VALUE"""),"Gessert ")</f>
        <v>Gessert </v>
      </c>
      <c r="C127">
        <f>IFERROR(__xludf.DUMMYFUNCTION("""COMPUTED_VALUE"""),57760.0)</f>
        <v>57760</v>
      </c>
      <c r="D127" s="136">
        <f>IFERROR(__xludf.DUMMYFUNCTION("""COMPUTED_VALUE"""),16.5)</f>
        <v>16.5</v>
      </c>
      <c r="E127" s="137" t="str">
        <f>IFERROR(__xludf.DUMMYFUNCTION("""COMPUTED_VALUE"""),"Non-GMO Yellow Corn")</f>
        <v>Non-GMO Yellow Corn</v>
      </c>
      <c r="F127" s="138" t="str">
        <f>IFERROR(__xludf.DUMMYFUNCTION("""COMPUTED_VALUE"""),"549942")</f>
        <v>549942</v>
      </c>
      <c r="G127" t="str">
        <f>IFERROR(__xludf.DUMMYFUNCTION("""COMPUTED_VALUE"""),"HBT#5592 Jack  Trk# 41")</f>
        <v>HBT#5592 Jack  Trk# 41</v>
      </c>
      <c r="H127" s="50"/>
      <c r="I127" s="139">
        <f t="shared" si="9"/>
        <v>0</v>
      </c>
      <c r="J127" s="50">
        <f t="shared" si="2"/>
        <v>1008.221429</v>
      </c>
      <c r="K127" s="140">
        <f t="shared" si="3"/>
        <v>1008.221429</v>
      </c>
      <c r="L127" s="141">
        <f>sumif(Farms!$C$68:$C$104,E127,Farms!$D$68:$D$104)</f>
        <v>1.5</v>
      </c>
      <c r="M127" s="141">
        <f>sumif(Farms!$C$68:$C$104,E127,Farms!$F$68:$F$104)</f>
        <v>56</v>
      </c>
      <c r="N127" s="141">
        <f>sumif(Farms!$C$68:$C$104,E127,Farms!$G$68:$G$104)</f>
        <v>15</v>
      </c>
    </row>
    <row r="128">
      <c r="A128" s="135">
        <f>IFERROR(__xludf.DUMMYFUNCTION("""COMPUTED_VALUE"""),45947.0)</f>
        <v>45947</v>
      </c>
      <c r="B128" s="87" t="str">
        <f>IFERROR(__xludf.DUMMYFUNCTION("""COMPUTED_VALUE"""),"Gessert ")</f>
        <v>Gessert </v>
      </c>
      <c r="C128">
        <f>IFERROR(__xludf.DUMMYFUNCTION("""COMPUTED_VALUE"""),57620.0)</f>
        <v>57620</v>
      </c>
      <c r="D128" s="136">
        <f>IFERROR(__xludf.DUMMYFUNCTION("""COMPUTED_VALUE"""),16.5)</f>
        <v>16.5</v>
      </c>
      <c r="E128" s="137" t="str">
        <f>IFERROR(__xludf.DUMMYFUNCTION("""COMPUTED_VALUE"""),"Non-GMO Yellow Corn")</f>
        <v>Non-GMO Yellow Corn</v>
      </c>
      <c r="F128" s="138" t="str">
        <f>IFERROR(__xludf.DUMMYFUNCTION("""COMPUTED_VALUE"""),"549950")</f>
        <v>549950</v>
      </c>
      <c r="G128" t="str">
        <f>IFERROR(__xludf.DUMMYFUNCTION("""COMPUTED_VALUE"""),"HBT#5378 Jack  Trk# 63")</f>
        <v>HBT#5378 Jack  Trk# 63</v>
      </c>
      <c r="H128" s="50"/>
      <c r="I128" s="139">
        <f t="shared" si="9"/>
        <v>0</v>
      </c>
      <c r="J128" s="50">
        <f t="shared" si="2"/>
        <v>1005.777679</v>
      </c>
      <c r="K128" s="140">
        <f t="shared" si="3"/>
        <v>1005.777679</v>
      </c>
      <c r="L128" s="141">
        <f>sumif(Farms!$C$68:$C$104,E128,Farms!$D$68:$D$104)</f>
        <v>1.5</v>
      </c>
      <c r="M128" s="141">
        <f>sumif(Farms!$C$68:$C$104,E128,Farms!$F$68:$F$104)</f>
        <v>56</v>
      </c>
      <c r="N128" s="141">
        <f>sumif(Farms!$C$68:$C$104,E128,Farms!$G$68:$G$104)</f>
        <v>15</v>
      </c>
    </row>
    <row r="129">
      <c r="A129" s="135">
        <f>IFERROR(__xludf.DUMMYFUNCTION("""COMPUTED_VALUE"""),45944.0)</f>
        <v>45944</v>
      </c>
      <c r="B129" s="87" t="str">
        <f>IFERROR(__xludf.DUMMYFUNCTION("""COMPUTED_VALUE"""),"Gessert ")</f>
        <v>Gessert </v>
      </c>
      <c r="C129">
        <f>IFERROR(__xludf.DUMMYFUNCTION("""COMPUTED_VALUE"""),58020.0)</f>
        <v>58020</v>
      </c>
      <c r="D129" s="136">
        <f>IFERROR(__xludf.DUMMYFUNCTION("""COMPUTED_VALUE"""),15.7)</f>
        <v>15.7</v>
      </c>
      <c r="E129" s="137" t="str">
        <f>IFERROR(__xludf.DUMMYFUNCTION("""COMPUTED_VALUE"""),"Non-GMO Yellow Corn")</f>
        <v>Non-GMO Yellow Corn</v>
      </c>
      <c r="F129" s="138" t="str">
        <f>IFERROR(__xludf.DUMMYFUNCTION("""COMPUTED_VALUE"""),"670004339")</f>
        <v>670004339</v>
      </c>
      <c r="G129" t="str">
        <f>IFERROR(__xludf.DUMMYFUNCTION("""COMPUTED_VALUE"""),"HBT # 5010 Bob Trk# 3")</f>
        <v>HBT # 5010 Bob Trk# 3</v>
      </c>
      <c r="H129" s="50"/>
      <c r="I129" s="139">
        <f t="shared" si="9"/>
        <v>0</v>
      </c>
      <c r="J129" s="50">
        <f t="shared" si="2"/>
        <v>1025.192679</v>
      </c>
      <c r="K129" s="140">
        <f t="shared" si="3"/>
        <v>1025.192679</v>
      </c>
      <c r="L129" s="141">
        <f>sumif(Farms!$C$68:$C$104,E129,Farms!$D$68:$D$104)</f>
        <v>1.5</v>
      </c>
      <c r="M129" s="141">
        <f>sumif(Farms!$C$68:$C$104,E129,Farms!$F$68:$F$104)</f>
        <v>56</v>
      </c>
      <c r="N129" s="141">
        <f>sumif(Farms!$C$68:$C$104,E129,Farms!$G$68:$G$104)</f>
        <v>15</v>
      </c>
      <c r="O129" s="46" t="s">
        <v>152</v>
      </c>
    </row>
    <row r="130">
      <c r="A130" s="135">
        <f>IFERROR(__xludf.DUMMYFUNCTION("""COMPUTED_VALUE"""),45944.0)</f>
        <v>45944</v>
      </c>
      <c r="B130" s="87" t="str">
        <f>IFERROR(__xludf.DUMMYFUNCTION("""COMPUTED_VALUE"""),"Gessert ")</f>
        <v>Gessert </v>
      </c>
      <c r="C130">
        <f>IFERROR(__xludf.DUMMYFUNCTION("""COMPUTED_VALUE"""),58220.0)</f>
        <v>58220</v>
      </c>
      <c r="D130" s="136">
        <f>IFERROR(__xludf.DUMMYFUNCTION("""COMPUTED_VALUE"""),16.5)</f>
        <v>16.5</v>
      </c>
      <c r="E130" s="137" t="str">
        <f>IFERROR(__xludf.DUMMYFUNCTION("""COMPUTED_VALUE"""),"Non-GMO Yellow Corn")</f>
        <v>Non-GMO Yellow Corn</v>
      </c>
      <c r="F130" s="138" t="str">
        <f>IFERROR(__xludf.DUMMYFUNCTION("""COMPUTED_VALUE"""),"670004351")</f>
        <v>670004351</v>
      </c>
      <c r="G130" t="str">
        <f>IFERROR(__xludf.DUMMYFUNCTION("""COMPUTED_VALUE"""),"HBT#5369 Jack Trk # 63")</f>
        <v>HBT#5369 Jack Trk # 63</v>
      </c>
      <c r="H130" s="50"/>
      <c r="I130" s="139">
        <f t="shared" si="9"/>
        <v>0</v>
      </c>
      <c r="J130" s="50">
        <f t="shared" si="2"/>
        <v>1016.250893</v>
      </c>
      <c r="K130" s="140">
        <f t="shared" si="3"/>
        <v>1016.250893</v>
      </c>
      <c r="L130" s="141">
        <f>sumif(Farms!$C$68:$C$104,E130,Farms!$D$68:$D$104)</f>
        <v>1.5</v>
      </c>
      <c r="M130" s="141">
        <f>sumif(Farms!$C$68:$C$104,E130,Farms!$F$68:$F$104)</f>
        <v>56</v>
      </c>
      <c r="N130" s="141">
        <f>sumif(Farms!$C$68:$C$104,E130,Farms!$G$68:$G$104)</f>
        <v>15</v>
      </c>
    </row>
    <row r="131">
      <c r="A131" s="135">
        <f>IFERROR(__xludf.DUMMYFUNCTION("""COMPUTED_VALUE"""),45944.0)</f>
        <v>45944</v>
      </c>
      <c r="B131" s="87" t="str">
        <f>IFERROR(__xludf.DUMMYFUNCTION("""COMPUTED_VALUE"""),"Gessert ")</f>
        <v>Gessert </v>
      </c>
      <c r="C131">
        <f>IFERROR(__xludf.DUMMYFUNCTION("""COMPUTED_VALUE"""),57860.0)</f>
        <v>57860</v>
      </c>
      <c r="D131" s="136">
        <f>IFERROR(__xludf.DUMMYFUNCTION("""COMPUTED_VALUE"""),16.0)</f>
        <v>16</v>
      </c>
      <c r="E131" s="137" t="str">
        <f>IFERROR(__xludf.DUMMYFUNCTION("""COMPUTED_VALUE"""),"Non-GMO Yellow Corn")</f>
        <v>Non-GMO Yellow Corn</v>
      </c>
      <c r="F131" s="138" t="str">
        <f>IFERROR(__xludf.DUMMYFUNCTION("""COMPUTED_VALUE"""),"670004370")</f>
        <v>670004370</v>
      </c>
      <c r="G131" t="str">
        <f>IFERROR(__xludf.DUMMYFUNCTION("""COMPUTED_VALUE"""),"HBT#5011 Bob Trk # 3")</f>
        <v>HBT#5011 Bob Trk # 3</v>
      </c>
      <c r="H131" s="50"/>
      <c r="I131" s="139">
        <f t="shared" si="9"/>
        <v>0</v>
      </c>
      <c r="J131" s="50">
        <f t="shared" si="2"/>
        <v>1017.716071</v>
      </c>
      <c r="K131" s="140">
        <f t="shared" si="3"/>
        <v>1017.716071</v>
      </c>
      <c r="L131" s="141">
        <f>sumif(Farms!$C$68:$C$104,E131,Farms!$D$68:$D$104)</f>
        <v>1.5</v>
      </c>
      <c r="M131" s="141">
        <f>sumif(Farms!$C$68:$C$104,E131,Farms!$F$68:$F$104)</f>
        <v>56</v>
      </c>
      <c r="N131" s="141">
        <f>sumif(Farms!$C$68:$C$104,E131,Farms!$G$68:$G$104)</f>
        <v>15</v>
      </c>
    </row>
    <row r="132">
      <c r="A132" s="135">
        <f>IFERROR(__xludf.DUMMYFUNCTION("""COMPUTED_VALUE"""),45946.0)</f>
        <v>45946</v>
      </c>
      <c r="B132" s="87" t="str">
        <f>IFERROR(__xludf.DUMMYFUNCTION("""COMPUTED_VALUE"""),"Gessert ")</f>
        <v>Gessert </v>
      </c>
      <c r="C132">
        <f>IFERROR(__xludf.DUMMYFUNCTION("""COMPUTED_VALUE"""),57800.0)</f>
        <v>57800</v>
      </c>
      <c r="D132" s="136">
        <f>IFERROR(__xludf.DUMMYFUNCTION("""COMPUTED_VALUE"""),16.1)</f>
        <v>16.1</v>
      </c>
      <c r="E132" s="137" t="str">
        <f>IFERROR(__xludf.DUMMYFUNCTION("""COMPUTED_VALUE"""),"Non-GMO Yellow Corn")</f>
        <v>Non-GMO Yellow Corn</v>
      </c>
      <c r="F132" s="138" t="str">
        <f>IFERROR(__xludf.DUMMYFUNCTION("""COMPUTED_VALUE"""),"670004548")</f>
        <v>670004548</v>
      </c>
      <c r="G132" t="str">
        <f>IFERROR(__xludf.DUMMYFUNCTION("""COMPUTED_VALUE"""),"HBT#5016 Bob Trk  #3")</f>
        <v>HBT#5016 Bob Trk  #3</v>
      </c>
      <c r="H132" s="50"/>
      <c r="I132" s="139">
        <f t="shared" si="9"/>
        <v>0</v>
      </c>
      <c r="J132" s="50">
        <f t="shared" si="2"/>
        <v>1015.1125</v>
      </c>
      <c r="K132" s="140">
        <f t="shared" si="3"/>
        <v>1015.1125</v>
      </c>
      <c r="L132" s="141">
        <f>sumif(Farms!$C$68:$C$104,E132,Farms!$D$68:$D$104)</f>
        <v>1.5</v>
      </c>
      <c r="M132" s="141">
        <f>sumif(Farms!$C$68:$C$104,E132,Farms!$F$68:$F$104)</f>
        <v>56</v>
      </c>
      <c r="N132" s="141">
        <f>sumif(Farms!$C$68:$C$104,E132,Farms!$G$68:$G$104)</f>
        <v>15</v>
      </c>
    </row>
    <row r="133">
      <c r="A133" s="135">
        <f>IFERROR(__xludf.DUMMYFUNCTION("""COMPUTED_VALUE"""),45946.0)</f>
        <v>45946</v>
      </c>
      <c r="B133" s="87" t="str">
        <f>IFERROR(__xludf.DUMMYFUNCTION("""COMPUTED_VALUE"""),"Gessert ")</f>
        <v>Gessert </v>
      </c>
      <c r="C133">
        <f>IFERROR(__xludf.DUMMYFUNCTION("""COMPUTED_VALUE"""),57360.0)</f>
        <v>57360</v>
      </c>
      <c r="D133" s="136">
        <f>IFERROR(__xludf.DUMMYFUNCTION("""COMPUTED_VALUE"""),16.3)</f>
        <v>16.3</v>
      </c>
      <c r="E133" s="137" t="str">
        <f>IFERROR(__xludf.DUMMYFUNCTION("""COMPUTED_VALUE"""),"Non-GMO Yellow Corn")</f>
        <v>Non-GMO Yellow Corn</v>
      </c>
      <c r="F133" s="138" t="str">
        <f>IFERROR(__xludf.DUMMYFUNCTION("""COMPUTED_VALUE"""),"670004557")</f>
        <v>670004557</v>
      </c>
      <c r="G133" t="str">
        <f>IFERROR(__xludf.DUMMYFUNCTION("""COMPUTED_VALUE"""),"HBT#5374 Jack Trk  #63")</f>
        <v>HBT#5374 Jack Trk  #63</v>
      </c>
      <c r="H133" s="50"/>
      <c r="I133" s="139">
        <f t="shared" si="9"/>
        <v>0</v>
      </c>
      <c r="J133" s="50">
        <f t="shared" si="2"/>
        <v>1004.312143</v>
      </c>
      <c r="K133" s="140">
        <f t="shared" si="3"/>
        <v>1004.312143</v>
      </c>
      <c r="L133" s="141">
        <f>sumif(Farms!$C$68:$C$104,E133,Farms!$D$68:$D$104)</f>
        <v>1.5</v>
      </c>
      <c r="M133" s="141">
        <f>sumif(Farms!$C$68:$C$104,E133,Farms!$F$68:$F$104)</f>
        <v>56</v>
      </c>
      <c r="N133" s="141">
        <f>sumif(Farms!$C$68:$C$104,E133,Farms!$G$68:$G$104)</f>
        <v>15</v>
      </c>
    </row>
    <row r="134">
      <c r="A134" s="135">
        <f>IFERROR(__xludf.DUMMYFUNCTION("""COMPUTED_VALUE"""),45946.0)</f>
        <v>45946</v>
      </c>
      <c r="B134" s="87" t="str">
        <f>IFERROR(__xludf.DUMMYFUNCTION("""COMPUTED_VALUE"""),"Gessert ")</f>
        <v>Gessert </v>
      </c>
      <c r="C134">
        <f>IFERROR(__xludf.DUMMYFUNCTION("""COMPUTED_VALUE"""),57620.0)</f>
        <v>57620</v>
      </c>
      <c r="D134" s="136">
        <f>IFERROR(__xludf.DUMMYFUNCTION("""COMPUTED_VALUE"""),16.3)</f>
        <v>16.3</v>
      </c>
      <c r="E134" s="137" t="str">
        <f>IFERROR(__xludf.DUMMYFUNCTION("""COMPUTED_VALUE"""),"Non-GMO Yellow Corn")</f>
        <v>Non-GMO Yellow Corn</v>
      </c>
      <c r="F134" s="138" t="str">
        <f>IFERROR(__xludf.DUMMYFUNCTION("""COMPUTED_VALUE"""),"670004569")</f>
        <v>670004569</v>
      </c>
      <c r="G134" t="str">
        <f>IFERROR(__xludf.DUMMYFUNCTION("""COMPUTED_VALUE"""),"HBT#5017 Bob Trk  #3")</f>
        <v>HBT#5017 Bob Trk  #3</v>
      </c>
      <c r="H134" s="50"/>
      <c r="I134" s="139">
        <f t="shared" si="9"/>
        <v>0</v>
      </c>
      <c r="J134" s="50">
        <f t="shared" si="2"/>
        <v>1008.864464</v>
      </c>
      <c r="K134" s="140">
        <f t="shared" si="3"/>
        <v>1008.864464</v>
      </c>
      <c r="L134" s="141">
        <f>sumif(Farms!$C$68:$C$104,E134,Farms!$D$68:$D$104)</f>
        <v>1.5</v>
      </c>
      <c r="M134" s="141">
        <f>sumif(Farms!$C$68:$C$104,E134,Farms!$F$68:$F$104)</f>
        <v>56</v>
      </c>
      <c r="N134" s="141">
        <f>sumif(Farms!$C$68:$C$104,E134,Farms!$G$68:$G$104)</f>
        <v>15</v>
      </c>
    </row>
    <row r="135">
      <c r="A135" s="151">
        <f>IFERROR(__xludf.DUMMYFUNCTION("""COMPUTED_VALUE"""),45946.0)</f>
        <v>45946</v>
      </c>
      <c r="B135" s="87" t="str">
        <f>IFERROR(__xludf.DUMMYFUNCTION("""COMPUTED_VALUE"""),"Gessert ")</f>
        <v>Gessert </v>
      </c>
      <c r="C135" s="87">
        <f>IFERROR(__xludf.DUMMYFUNCTION("""COMPUTED_VALUE"""),57380.0)</f>
        <v>57380</v>
      </c>
      <c r="D135" s="128">
        <f>IFERROR(__xludf.DUMMYFUNCTION("""COMPUTED_VALUE"""),16.0)</f>
        <v>16</v>
      </c>
      <c r="E135" s="129" t="str">
        <f>IFERROR(__xludf.DUMMYFUNCTION("""COMPUTED_VALUE"""),"Non-GMO Yellow Corn")</f>
        <v>Non-GMO Yellow Corn</v>
      </c>
      <c r="F135" s="152" t="str">
        <f>IFERROR(__xludf.DUMMYFUNCTION("""COMPUTED_VALUE"""),"670004578")</f>
        <v>670004578</v>
      </c>
      <c r="G135" s="87" t="str">
        <f>IFERROR(__xludf.DUMMYFUNCTION("""COMPUTED_VALUE"""),"HBT#5376 Jack Trk  #63")</f>
        <v>HBT#5376 Jack Trk  #63</v>
      </c>
      <c r="H135" s="49"/>
      <c r="I135" s="139">
        <f t="shared" si="9"/>
        <v>0</v>
      </c>
      <c r="J135" s="50">
        <f t="shared" si="2"/>
        <v>1024.642857</v>
      </c>
      <c r="K135" s="140">
        <f t="shared" si="3"/>
        <v>1024.642857</v>
      </c>
      <c r="L135" s="142">
        <v>0.0</v>
      </c>
      <c r="M135" s="141">
        <f>sumif(Farms!$C$68:$C$104,E135,Farms!$F$68:$F$104)</f>
        <v>56</v>
      </c>
      <c r="N135" s="141">
        <f>sumif(Farms!$C$68:$C$104,E135,Farms!$G$68:$G$104)</f>
        <v>15</v>
      </c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</row>
    <row r="136">
      <c r="A136" s="135">
        <f>IFERROR(__xludf.DUMMYFUNCTION("""COMPUTED_VALUE"""),45946.0)</f>
        <v>45946</v>
      </c>
      <c r="B136" s="87" t="str">
        <f>IFERROR(__xludf.DUMMYFUNCTION("""COMPUTED_VALUE"""),"Gessert ")</f>
        <v>Gessert </v>
      </c>
      <c r="C136">
        <f>IFERROR(__xludf.DUMMYFUNCTION("""COMPUTED_VALUE"""),57220.0)</f>
        <v>57220</v>
      </c>
      <c r="D136" s="136">
        <f>IFERROR(__xludf.DUMMYFUNCTION("""COMPUTED_VALUE"""),16.3)</f>
        <v>16.3</v>
      </c>
      <c r="E136" s="137" t="str">
        <f>IFERROR(__xludf.DUMMYFUNCTION("""COMPUTED_VALUE"""),"Non-GMO Yellow Corn")</f>
        <v>Non-GMO Yellow Corn</v>
      </c>
      <c r="F136" s="138" t="str">
        <f>IFERROR(__xludf.DUMMYFUNCTION("""COMPUTED_VALUE"""),"670004590")</f>
        <v>670004590</v>
      </c>
      <c r="G136" t="str">
        <f>IFERROR(__xludf.DUMMYFUNCTION("""COMPUTED_VALUE"""),"HBT#5018 bob Trk  #3")</f>
        <v>HBT#5018 bob Trk  #3</v>
      </c>
      <c r="H136" s="50"/>
      <c r="I136" s="148">
        <v>0.0</v>
      </c>
      <c r="J136" s="50">
        <f t="shared" si="2"/>
        <v>1001.860893</v>
      </c>
      <c r="K136" s="140">
        <f t="shared" si="3"/>
        <v>1001.860893</v>
      </c>
      <c r="L136" s="141">
        <f>sumif(Farms!$C$68:$C$104,E136,Farms!$D$68:$D$104)</f>
        <v>1.5</v>
      </c>
      <c r="M136" s="141">
        <f>sumif(Farms!$C$68:$C$104,E136,Farms!$F$68:$F$104)</f>
        <v>56</v>
      </c>
      <c r="N136" s="141">
        <f>sumif(Farms!$C$68:$C$104,E136,Farms!$G$68:$G$104)</f>
        <v>15</v>
      </c>
    </row>
    <row r="137">
      <c r="A137" s="135">
        <f>IFERROR(__xludf.DUMMYFUNCTION("""COMPUTED_VALUE"""),45946.0)</f>
        <v>45946</v>
      </c>
      <c r="B137" s="87" t="str">
        <f>IFERROR(__xludf.DUMMYFUNCTION("""COMPUTED_VALUE"""),"Gessert ")</f>
        <v>Gessert </v>
      </c>
      <c r="C137">
        <f>IFERROR(__xludf.DUMMYFUNCTION("""COMPUTED_VALUE"""),57500.0)</f>
        <v>57500</v>
      </c>
      <c r="D137" s="136">
        <f>IFERROR(__xludf.DUMMYFUNCTION("""COMPUTED_VALUE"""),16.5)</f>
        <v>16.5</v>
      </c>
      <c r="E137" s="137" t="str">
        <f>IFERROR(__xludf.DUMMYFUNCTION("""COMPUTED_VALUE"""),"Non-GMO Yellow Corn")</f>
        <v>Non-GMO Yellow Corn</v>
      </c>
      <c r="F137" s="138" t="str">
        <f>IFERROR(__xludf.DUMMYFUNCTION("""COMPUTED_VALUE"""),"670004606")</f>
        <v>670004606</v>
      </c>
      <c r="G137" t="str">
        <f>IFERROR(__xludf.DUMMYFUNCTION("""COMPUTED_VALUE"""),"HBT#5377 Jack Trk  63")</f>
        <v>HBT#5377 Jack Trk  63</v>
      </c>
      <c r="H137" s="50"/>
      <c r="I137" s="139">
        <f t="shared" ref="I137:I284" si="10">if(H137&gt;=1,H137-1,"0")/100</f>
        <v>0</v>
      </c>
      <c r="J137" s="50">
        <f t="shared" si="2"/>
        <v>1003.683036</v>
      </c>
      <c r="K137" s="140">
        <f t="shared" si="3"/>
        <v>1003.683036</v>
      </c>
      <c r="L137" s="142">
        <v>1.5</v>
      </c>
      <c r="M137" s="141">
        <f>sumif(Farms!$C$68:$C$104,E137,Farms!$F$68:$F$104)</f>
        <v>56</v>
      </c>
      <c r="N137" s="141">
        <f>sumif(Farms!$C$68:$C$104,E137,Farms!$G$68:$G$104)</f>
        <v>15</v>
      </c>
    </row>
    <row r="138">
      <c r="A138" s="135">
        <f>IFERROR(__xludf.DUMMYFUNCTION("""COMPUTED_VALUE"""),45947.0)</f>
        <v>45947</v>
      </c>
      <c r="B138" s="87" t="str">
        <f>IFERROR(__xludf.DUMMYFUNCTION("""COMPUTED_VALUE"""),"Gessert ")</f>
        <v>Gessert </v>
      </c>
      <c r="C138">
        <f>IFERROR(__xludf.DUMMYFUNCTION("""COMPUTED_VALUE"""),56720.0)</f>
        <v>56720</v>
      </c>
      <c r="D138" s="136">
        <f>IFERROR(__xludf.DUMMYFUNCTION("""COMPUTED_VALUE"""),16.4)</f>
        <v>16.4</v>
      </c>
      <c r="E138" s="137" t="str">
        <f>IFERROR(__xludf.DUMMYFUNCTION("""COMPUTED_VALUE"""),"Non-GMO Yellow Corn")</f>
        <v>Non-GMO Yellow Corn</v>
      </c>
      <c r="F138" s="138" t="str">
        <f>IFERROR(__xludf.DUMMYFUNCTION("""COMPUTED_VALUE"""),"670004734")</f>
        <v>670004734</v>
      </c>
      <c r="G138" t="str">
        <f>IFERROR(__xludf.DUMMYFUNCTION("""COMPUTED_VALUE"""),"HBT#5805 BK  Trk# 4")</f>
        <v>HBT#5805 BK  Trk# 4</v>
      </c>
      <c r="H138" s="50"/>
      <c r="I138" s="139">
        <f t="shared" si="10"/>
        <v>0</v>
      </c>
      <c r="J138" s="50">
        <f t="shared" si="2"/>
        <v>1012.857143</v>
      </c>
      <c r="K138" s="140">
        <f t="shared" si="3"/>
        <v>1012.857143</v>
      </c>
      <c r="L138" s="142">
        <v>0.0</v>
      </c>
      <c r="M138" s="142">
        <v>56.0</v>
      </c>
      <c r="N138" s="141">
        <f>sumif(Farms!$C$68:$C$104,E138,Farms!$G$68:$G$104)</f>
        <v>15</v>
      </c>
    </row>
    <row r="139">
      <c r="A139" s="135">
        <f>IFERROR(__xludf.DUMMYFUNCTION("""COMPUTED_VALUE"""),45947.0)</f>
        <v>45947</v>
      </c>
      <c r="B139" s="87" t="str">
        <f>IFERROR(__xludf.DUMMYFUNCTION("""COMPUTED_VALUE"""),"Gessert ")</f>
        <v>Gessert </v>
      </c>
      <c r="C139">
        <f>IFERROR(__xludf.DUMMYFUNCTION("""COMPUTED_VALUE"""),57040.0)</f>
        <v>57040</v>
      </c>
      <c r="D139" s="136">
        <f>IFERROR(__xludf.DUMMYFUNCTION("""COMPUTED_VALUE"""),16.2)</f>
        <v>16.2</v>
      </c>
      <c r="E139" s="137" t="str">
        <f>IFERROR(__xludf.DUMMYFUNCTION("""COMPUTED_VALUE"""),"Non-GMO Yellow Corn")</f>
        <v>Non-GMO Yellow Corn</v>
      </c>
      <c r="F139" s="138" t="str">
        <f>IFERROR(__xludf.DUMMYFUNCTION("""COMPUTED_VALUE"""),"670004771")</f>
        <v>670004771</v>
      </c>
      <c r="G139" t="str">
        <f>IFERROR(__xludf.DUMMYFUNCTION("""COMPUTED_VALUE"""),"HBT#5806 BK  Trk# 4")</f>
        <v>HBT#5806 BK  Trk# 4</v>
      </c>
      <c r="H139" s="50"/>
      <c r="I139" s="139">
        <f t="shared" si="10"/>
        <v>0</v>
      </c>
      <c r="J139" s="50">
        <f t="shared" si="2"/>
        <v>1018.571429</v>
      </c>
      <c r="K139" s="140">
        <f t="shared" si="3"/>
        <v>1018.571429</v>
      </c>
      <c r="L139" s="142">
        <v>0.0</v>
      </c>
      <c r="M139" s="142">
        <v>56.0</v>
      </c>
      <c r="N139" s="141">
        <f>sumif(Farms!$C$68:$C$104,E139,Farms!$G$68:$G$104)</f>
        <v>15</v>
      </c>
    </row>
    <row r="140">
      <c r="A140" s="135">
        <f>IFERROR(__xludf.DUMMYFUNCTION("""COMPUTED_VALUE"""),45947.0)</f>
        <v>45947</v>
      </c>
      <c r="B140" s="87" t="str">
        <f>IFERROR(__xludf.DUMMYFUNCTION("""COMPUTED_VALUE"""),"Gessert ")</f>
        <v>Gessert </v>
      </c>
      <c r="C140">
        <f>IFERROR(__xludf.DUMMYFUNCTION("""COMPUTED_VALUE"""),57620.0)</f>
        <v>57620</v>
      </c>
      <c r="D140" s="136">
        <f>IFERROR(__xludf.DUMMYFUNCTION("""COMPUTED_VALUE"""),16.3)</f>
        <v>16.3</v>
      </c>
      <c r="E140" s="137" t="str">
        <f>IFERROR(__xludf.DUMMYFUNCTION("""COMPUTED_VALUE"""),"Non-GMO Yellow Corn")</f>
        <v>Non-GMO Yellow Corn</v>
      </c>
      <c r="F140" s="138" t="str">
        <f>IFERROR(__xludf.DUMMYFUNCTION("""COMPUTED_VALUE"""),"670004775")</f>
        <v>670004775</v>
      </c>
      <c r="G140" t="str">
        <f>IFERROR(__xludf.DUMMYFUNCTION("""COMPUTED_VALUE"""),"HBT#5023 Bob  Trk# 3")</f>
        <v>HBT#5023 Bob  Trk# 3</v>
      </c>
      <c r="H140" s="50"/>
      <c r="I140" s="139">
        <f t="shared" si="10"/>
        <v>0</v>
      </c>
      <c r="J140" s="50">
        <f t="shared" si="2"/>
        <v>1028.928571</v>
      </c>
      <c r="K140" s="140">
        <f t="shared" si="3"/>
        <v>1028.928571</v>
      </c>
      <c r="L140" s="142">
        <v>0.0</v>
      </c>
      <c r="M140" s="141">
        <f>sumif(Farms!$C$68:$C$104,E140,Farms!$F$68:$F$104)</f>
        <v>56</v>
      </c>
      <c r="N140" s="141">
        <f>sumif(Farms!$C$68:$C$104,E140,Farms!$G$68:$G$104)</f>
        <v>15</v>
      </c>
    </row>
    <row r="141">
      <c r="A141" s="135">
        <f>IFERROR(__xludf.DUMMYFUNCTION("""COMPUTED_VALUE"""),45947.0)</f>
        <v>45947</v>
      </c>
      <c r="B141" s="87" t="str">
        <f>IFERROR(__xludf.DUMMYFUNCTION("""COMPUTED_VALUE"""),"Gessert ")</f>
        <v>Gessert </v>
      </c>
      <c r="C141">
        <f>IFERROR(__xludf.DUMMYFUNCTION("""COMPUTED_VALUE"""),57500.0)</f>
        <v>57500</v>
      </c>
      <c r="D141" s="136">
        <f>IFERROR(__xludf.DUMMYFUNCTION("""COMPUTED_VALUE"""),16.3)</f>
        <v>16.3</v>
      </c>
      <c r="E141" s="137" t="str">
        <f>IFERROR(__xludf.DUMMYFUNCTION("""COMPUTED_VALUE"""),"Non-GMO Yellow Corn")</f>
        <v>Non-GMO Yellow Corn</v>
      </c>
      <c r="F141" s="138" t="str">
        <f>IFERROR(__xludf.DUMMYFUNCTION("""COMPUTED_VALUE"""),"670004796")</f>
        <v>670004796</v>
      </c>
      <c r="G141" t="str">
        <f>IFERROR(__xludf.DUMMYFUNCTION("""COMPUTED_VALUE"""),"HBT5807 BK  Trk#4")</f>
        <v>HBT5807 BK  Trk#4</v>
      </c>
      <c r="H141" s="50"/>
      <c r="I141" s="139">
        <f t="shared" si="10"/>
        <v>0</v>
      </c>
      <c r="J141" s="50">
        <f t="shared" si="2"/>
        <v>1026.785714</v>
      </c>
      <c r="K141" s="140">
        <f t="shared" si="3"/>
        <v>1026.785714</v>
      </c>
      <c r="L141" s="142">
        <v>0.0</v>
      </c>
      <c r="M141" s="141">
        <f>sumif(Farms!$C$68:$C$104,E141,Farms!$F$68:$F$104)</f>
        <v>56</v>
      </c>
      <c r="N141" s="141">
        <f>sumif(Farms!$C$68:$C$104,E141,Farms!$G$68:$G$104)</f>
        <v>15</v>
      </c>
    </row>
    <row r="142">
      <c r="A142" s="135">
        <f>IFERROR(__xludf.DUMMYFUNCTION("""COMPUTED_VALUE"""),45947.0)</f>
        <v>45947</v>
      </c>
      <c r="B142" s="87" t="str">
        <f>IFERROR(__xludf.DUMMYFUNCTION("""COMPUTED_VALUE"""),"Gessert ")</f>
        <v>Gessert </v>
      </c>
      <c r="C142">
        <f>IFERROR(__xludf.DUMMYFUNCTION("""COMPUTED_VALUE"""),58100.0)</f>
        <v>58100</v>
      </c>
      <c r="D142" s="136">
        <f>IFERROR(__xludf.DUMMYFUNCTION("""COMPUTED_VALUE"""),16.1)</f>
        <v>16.1</v>
      </c>
      <c r="E142" s="137" t="str">
        <f>IFERROR(__xludf.DUMMYFUNCTION("""COMPUTED_VALUE"""),"Non-GMO Yellow Corn")</f>
        <v>Non-GMO Yellow Corn</v>
      </c>
      <c r="F142" s="138" t="str">
        <f>IFERROR(__xludf.DUMMYFUNCTION("""COMPUTED_VALUE"""),"670004952")</f>
        <v>670004952</v>
      </c>
      <c r="G142" t="str">
        <f>IFERROR(__xludf.DUMMYFUNCTION("""COMPUTED_VALUE"""),"HBT#5812 BK  Trk#4")</f>
        <v>HBT#5812 BK  Trk#4</v>
      </c>
      <c r="H142" s="50"/>
      <c r="I142" s="139">
        <f t="shared" si="10"/>
        <v>0</v>
      </c>
      <c r="J142" s="50">
        <f t="shared" si="2"/>
        <v>1037.5</v>
      </c>
      <c r="K142" s="140">
        <f t="shared" si="3"/>
        <v>1037.5</v>
      </c>
      <c r="L142" s="142">
        <v>0.0</v>
      </c>
      <c r="M142" s="141">
        <f>sumif(Farms!$C$68:$C$104,E142,Farms!$F$68:$F$104)</f>
        <v>56</v>
      </c>
      <c r="N142" s="141">
        <f>sumif(Farms!$C$68:$C$104,E142,Farms!$G$68:$G$104)</f>
        <v>15</v>
      </c>
    </row>
    <row r="143">
      <c r="A143" s="135">
        <f>IFERROR(__xludf.DUMMYFUNCTION("""COMPUTED_VALUE"""),45945.0)</f>
        <v>45945</v>
      </c>
      <c r="B143" s="87" t="str">
        <f>IFERROR(__xludf.DUMMYFUNCTION("""COMPUTED_VALUE"""),"Gessert ")</f>
        <v>Gessert </v>
      </c>
      <c r="C143">
        <f>IFERROR(__xludf.DUMMYFUNCTION("""COMPUTED_VALUE"""),57260.0)</f>
        <v>57260</v>
      </c>
      <c r="D143" s="136">
        <f>IFERROR(__xludf.DUMMYFUNCTION("""COMPUTED_VALUE"""),15.7)</f>
        <v>15.7</v>
      </c>
      <c r="E143" s="137" t="str">
        <f>IFERROR(__xludf.DUMMYFUNCTION("""COMPUTED_VALUE"""),"Non-GMO Yellow Corn")</f>
        <v>Non-GMO Yellow Corn</v>
      </c>
      <c r="F143" s="138" t="str">
        <f>IFERROR(__xludf.DUMMYFUNCTION("""COMPUTED_VALUE"""),"A072265")</f>
        <v>A072265</v>
      </c>
      <c r="G143" t="str">
        <f>IFERROR(__xludf.DUMMYFUNCTION("""COMPUTED_VALUE"""),"HBT#5012  Bob Trk # 3")</f>
        <v>HBT#5012  Bob Trk # 3</v>
      </c>
      <c r="H143" s="50"/>
      <c r="I143" s="139">
        <f t="shared" si="10"/>
        <v>0</v>
      </c>
      <c r="J143" s="50">
        <f t="shared" si="2"/>
        <v>1022.5</v>
      </c>
      <c r="K143" s="140">
        <f t="shared" si="3"/>
        <v>1022.5</v>
      </c>
      <c r="L143" s="142">
        <v>0.0</v>
      </c>
      <c r="M143" s="141">
        <f>sumif(Farms!$C$68:$C$104,E143,Farms!$F$68:$F$104)</f>
        <v>56</v>
      </c>
      <c r="N143" s="141">
        <f>sumif(Farms!$C$68:$C$104,E143,Farms!$G$68:$G$104)</f>
        <v>15</v>
      </c>
    </row>
    <row r="144">
      <c r="A144" s="135">
        <f>IFERROR(__xludf.DUMMYFUNCTION("""COMPUTED_VALUE"""),45945.0)</f>
        <v>45945</v>
      </c>
      <c r="B144" s="87" t="str">
        <f>IFERROR(__xludf.DUMMYFUNCTION("""COMPUTED_VALUE"""),"Gessert ")</f>
        <v>Gessert </v>
      </c>
      <c r="C144">
        <f>IFERROR(__xludf.DUMMYFUNCTION("""COMPUTED_VALUE"""),56620.0)</f>
        <v>56620</v>
      </c>
      <c r="D144" s="136">
        <f>IFERROR(__xludf.DUMMYFUNCTION("""COMPUTED_VALUE"""),15.5)</f>
        <v>15.5</v>
      </c>
      <c r="E144" s="137" t="str">
        <f>IFERROR(__xludf.DUMMYFUNCTION("""COMPUTED_VALUE"""),"Non-GMO Yellow Corn")</f>
        <v>Non-GMO Yellow Corn</v>
      </c>
      <c r="F144" s="138" t="str">
        <f>IFERROR(__xludf.DUMMYFUNCTION("""COMPUTED_VALUE"""),"A072266")</f>
        <v>A072266</v>
      </c>
      <c r="G144" t="str">
        <f>IFERROR(__xludf.DUMMYFUNCTION("""COMPUTED_VALUE"""),"HBT#5219  Jack Trk # 5")</f>
        <v>HBT#5219  Jack Trk # 5</v>
      </c>
      <c r="H144" s="50"/>
      <c r="I144" s="139">
        <f t="shared" si="10"/>
        <v>0</v>
      </c>
      <c r="J144" s="50">
        <f t="shared" si="2"/>
        <v>1011.071429</v>
      </c>
      <c r="K144" s="140">
        <f t="shared" si="3"/>
        <v>1011.071429</v>
      </c>
      <c r="L144" s="142">
        <v>0.0</v>
      </c>
      <c r="M144" s="141">
        <f>sumif(Farms!$C$68:$C$104,E144,Farms!$F$68:$F$104)</f>
        <v>56</v>
      </c>
      <c r="N144" s="141">
        <f>sumif(Farms!$C$68:$C$104,E144,Farms!$G$68:$G$104)</f>
        <v>15</v>
      </c>
    </row>
    <row r="145">
      <c r="A145" s="135">
        <f>IFERROR(__xludf.DUMMYFUNCTION("""COMPUTED_VALUE"""),45945.0)</f>
        <v>45945</v>
      </c>
      <c r="B145" s="87" t="str">
        <f>IFERROR(__xludf.DUMMYFUNCTION("""COMPUTED_VALUE"""),"Gessert ")</f>
        <v>Gessert </v>
      </c>
      <c r="C145">
        <f>IFERROR(__xludf.DUMMYFUNCTION("""COMPUTED_VALUE"""),58600.0)</f>
        <v>58600</v>
      </c>
      <c r="D145" s="136">
        <f>IFERROR(__xludf.DUMMYFUNCTION("""COMPUTED_VALUE"""),15.4)</f>
        <v>15.4</v>
      </c>
      <c r="E145" s="137" t="str">
        <f>IFERROR(__xludf.DUMMYFUNCTION("""COMPUTED_VALUE"""),"Non-GMO Yellow Corn")</f>
        <v>Non-GMO Yellow Corn</v>
      </c>
      <c r="F145" s="138" t="str">
        <f>IFERROR(__xludf.DUMMYFUNCTION("""COMPUTED_VALUE"""),"A072267")</f>
        <v>A072267</v>
      </c>
      <c r="G145" t="str">
        <f>IFERROR(__xludf.DUMMYFUNCTION("""COMPUTED_VALUE"""),"HBT#5795 BK Trk # 4")</f>
        <v>HBT#5795 BK Trk # 4</v>
      </c>
      <c r="H145" s="50"/>
      <c r="I145" s="139">
        <f t="shared" si="10"/>
        <v>0</v>
      </c>
      <c r="J145" s="50">
        <f t="shared" si="2"/>
        <v>1046.428571</v>
      </c>
      <c r="K145" s="140">
        <f t="shared" si="3"/>
        <v>1046.428571</v>
      </c>
      <c r="L145" s="142">
        <v>0.0</v>
      </c>
      <c r="M145" s="141">
        <f>sumif(Farms!$C$68:$C$104,E145,Farms!$F$68:$F$104)</f>
        <v>56</v>
      </c>
      <c r="N145" s="141">
        <f>sumif(Farms!$C$68:$C$104,E145,Farms!$G$68:$G$104)</f>
        <v>15</v>
      </c>
    </row>
    <row r="146">
      <c r="A146" s="135">
        <f>IFERROR(__xludf.DUMMYFUNCTION("""COMPUTED_VALUE"""),45945.0)</f>
        <v>45945</v>
      </c>
      <c r="B146" s="87" t="str">
        <f>IFERROR(__xludf.DUMMYFUNCTION("""COMPUTED_VALUE"""),"Gessert ")</f>
        <v>Gessert </v>
      </c>
      <c r="C146">
        <f>IFERROR(__xludf.DUMMYFUNCTION("""COMPUTED_VALUE"""),57380.0)</f>
        <v>57380</v>
      </c>
      <c r="D146" s="136">
        <f>IFERROR(__xludf.DUMMYFUNCTION("""COMPUTED_VALUE"""),16.4)</f>
        <v>16.4</v>
      </c>
      <c r="E146" s="137" t="str">
        <f>IFERROR(__xludf.DUMMYFUNCTION("""COMPUTED_VALUE"""),"Non-GMO Yellow Corn")</f>
        <v>Non-GMO Yellow Corn</v>
      </c>
      <c r="F146" s="138" t="str">
        <f>IFERROR(__xludf.DUMMYFUNCTION("""COMPUTED_VALUE"""),"A072270")</f>
        <v>A072270</v>
      </c>
      <c r="G146" t="str">
        <f>IFERROR(__xludf.DUMMYFUNCTION("""COMPUTED_VALUE"""),"HBT#5591   Jack Trk # 41")</f>
        <v>HBT#5591   Jack Trk # 41</v>
      </c>
      <c r="H146" s="50"/>
      <c r="I146" s="139">
        <f t="shared" si="10"/>
        <v>0</v>
      </c>
      <c r="J146" s="50">
        <f t="shared" si="2"/>
        <v>1024.642857</v>
      </c>
      <c r="K146" s="140">
        <f t="shared" si="3"/>
        <v>1024.642857</v>
      </c>
      <c r="L146" s="142">
        <v>0.0</v>
      </c>
      <c r="M146" s="141">
        <f>sumif(Farms!$C$68:$C$104,E146,Farms!$F$68:$F$104)</f>
        <v>56</v>
      </c>
      <c r="N146" s="141">
        <f>sumif(Farms!$C$68:$C$104,E146,Farms!$G$68:$G$104)</f>
        <v>15</v>
      </c>
    </row>
    <row r="147">
      <c r="A147" s="135">
        <f>IFERROR(__xludf.DUMMYFUNCTION("""COMPUTED_VALUE"""),45945.0)</f>
        <v>45945</v>
      </c>
      <c r="B147" s="87" t="str">
        <f>IFERROR(__xludf.DUMMYFUNCTION("""COMPUTED_VALUE"""),"Gessert ")</f>
        <v>Gessert </v>
      </c>
      <c r="C147">
        <f>IFERROR(__xludf.DUMMYFUNCTION("""COMPUTED_VALUE"""),57000.0)</f>
        <v>57000</v>
      </c>
      <c r="D147" s="136">
        <f>IFERROR(__xludf.DUMMYFUNCTION("""COMPUTED_VALUE"""),16.1)</f>
        <v>16.1</v>
      </c>
      <c r="E147" s="137" t="str">
        <f>IFERROR(__xludf.DUMMYFUNCTION("""COMPUTED_VALUE"""),"Non-GMO Yellow Corn")</f>
        <v>Non-GMO Yellow Corn</v>
      </c>
      <c r="F147" s="138" t="str">
        <f>IFERROR(__xludf.DUMMYFUNCTION("""COMPUTED_VALUE"""),"A072276")</f>
        <v>A072276</v>
      </c>
      <c r="G147" t="str">
        <f>IFERROR(__xludf.DUMMYFUNCTION("""COMPUTED_VALUE"""),"HBT#5370 Jack Trk #6 3")</f>
        <v>HBT#5370 Jack Trk #6 3</v>
      </c>
      <c r="H147" s="50"/>
      <c r="I147" s="139">
        <f t="shared" si="10"/>
        <v>0</v>
      </c>
      <c r="J147" s="50">
        <f t="shared" si="2"/>
        <v>1017.857143</v>
      </c>
      <c r="K147" s="140">
        <f t="shared" si="3"/>
        <v>1017.857143</v>
      </c>
      <c r="L147" s="142">
        <v>0.0</v>
      </c>
      <c r="M147" s="141">
        <f>sumif(Farms!$C$68:$C$104,E147,Farms!$F$68:$F$104)</f>
        <v>56</v>
      </c>
      <c r="N147" s="141">
        <f>sumif(Farms!$C$68:$C$104,E147,Farms!$G$68:$G$104)</f>
        <v>15</v>
      </c>
    </row>
    <row r="148">
      <c r="A148" s="135">
        <f>IFERROR(__xludf.DUMMYFUNCTION("""COMPUTED_VALUE"""),45946.0)</f>
        <v>45946</v>
      </c>
      <c r="B148" s="87" t="str">
        <f>IFERROR(__xludf.DUMMYFUNCTION("""COMPUTED_VALUE"""),"Gessert ")</f>
        <v>Gessert </v>
      </c>
      <c r="C148">
        <f>IFERROR(__xludf.DUMMYFUNCTION("""COMPUTED_VALUE"""),57640.0)</f>
        <v>57640</v>
      </c>
      <c r="D148" s="136">
        <f>IFERROR(__xludf.DUMMYFUNCTION("""COMPUTED_VALUE"""),16.4)</f>
        <v>16.4</v>
      </c>
      <c r="E148" s="137" t="str">
        <f>IFERROR(__xludf.DUMMYFUNCTION("""COMPUTED_VALUE"""),"Non-GMO Yellow Corn")</f>
        <v>Non-GMO Yellow Corn</v>
      </c>
      <c r="F148" s="138" t="str">
        <f>IFERROR(__xludf.DUMMYFUNCTION("""COMPUTED_VALUE"""),"A072341")</f>
        <v>A072341</v>
      </c>
      <c r="G148" t="str">
        <f>IFERROR(__xludf.DUMMYFUNCTION("""COMPUTED_VALUE"""),"HBT#5022  Bob  Trk # 3")</f>
        <v>HBT#5022  Bob  Trk # 3</v>
      </c>
      <c r="H148" s="50"/>
      <c r="I148" s="139">
        <f t="shared" si="10"/>
        <v>0</v>
      </c>
      <c r="J148" s="50">
        <f t="shared" si="2"/>
        <v>1029.285714</v>
      </c>
      <c r="K148" s="140">
        <f t="shared" si="3"/>
        <v>1029.285714</v>
      </c>
      <c r="L148" s="142">
        <v>0.0</v>
      </c>
      <c r="M148" s="141">
        <f>sumif(Farms!$C$68:$C$104,E148,Farms!$F$68:$F$104)</f>
        <v>56</v>
      </c>
      <c r="N148" s="141">
        <f>sumif(Farms!$C$68:$C$104,E148,Farms!$G$68:$G$104)</f>
        <v>15</v>
      </c>
    </row>
    <row r="149">
      <c r="A149" s="135">
        <f>IFERROR(__xludf.DUMMYFUNCTION("""COMPUTED_VALUE"""),45946.0)</f>
        <v>45946</v>
      </c>
      <c r="B149" s="87" t="str">
        <f>IFERROR(__xludf.DUMMYFUNCTION("""COMPUTED_VALUE"""),"Gessert ")</f>
        <v>Gessert </v>
      </c>
      <c r="C149">
        <f>IFERROR(__xludf.DUMMYFUNCTION("""COMPUTED_VALUE"""),58460.0)</f>
        <v>58460</v>
      </c>
      <c r="D149" s="136">
        <f>IFERROR(__xludf.DUMMYFUNCTION("""COMPUTED_VALUE"""),16.0)</f>
        <v>16</v>
      </c>
      <c r="E149" s="137" t="str">
        <f>IFERROR(__xludf.DUMMYFUNCTION("""COMPUTED_VALUE"""),"Non-GMO Yellow Corn")</f>
        <v>Non-GMO Yellow Corn</v>
      </c>
      <c r="F149" s="138" t="str">
        <f>IFERROR(__xludf.DUMMYFUNCTION("""COMPUTED_VALUE"""),"B0118911")</f>
        <v>B0118911</v>
      </c>
      <c r="G149" t="str">
        <f>IFERROR(__xludf.DUMMYFUNCTION("""COMPUTED_VALUE"""),"HBT#5793  BK  Trk # 4")</f>
        <v>HBT#5793  BK  Trk # 4</v>
      </c>
      <c r="H149" s="50"/>
      <c r="I149" s="139">
        <f t="shared" si="10"/>
        <v>0</v>
      </c>
      <c r="J149" s="50">
        <f t="shared" si="2"/>
        <v>1043.928571</v>
      </c>
      <c r="K149" s="140">
        <f t="shared" si="3"/>
        <v>1043.928571</v>
      </c>
      <c r="L149" s="142">
        <v>0.0</v>
      </c>
      <c r="M149" s="142">
        <v>56.0</v>
      </c>
      <c r="N149" s="141">
        <f>sumif(Farms!$C$68:$C$104,E149,Farms!$G$68:$G$104)</f>
        <v>15</v>
      </c>
    </row>
    <row r="150">
      <c r="A150" s="135">
        <f>IFERROR(__xludf.DUMMYFUNCTION("""COMPUTED_VALUE"""),45945.0)</f>
        <v>45945</v>
      </c>
      <c r="B150" s="87" t="str">
        <f>IFERROR(__xludf.DUMMYFUNCTION("""COMPUTED_VALUE"""),"Gessert ")</f>
        <v>Gessert </v>
      </c>
      <c r="C150">
        <f>IFERROR(__xludf.DUMMYFUNCTION("""COMPUTED_VALUE"""),57660.0)</f>
        <v>57660</v>
      </c>
      <c r="D150" s="136">
        <f>IFERROR(__xludf.DUMMYFUNCTION("""COMPUTED_VALUE"""),16.3)</f>
        <v>16.3</v>
      </c>
      <c r="E150" s="137" t="str">
        <f>IFERROR(__xludf.DUMMYFUNCTION("""COMPUTED_VALUE"""),"Non-GMO Yellow Corn")</f>
        <v>Non-GMO Yellow Corn</v>
      </c>
      <c r="F150" s="138" t="str">
        <f>IFERROR(__xludf.DUMMYFUNCTION("""COMPUTED_VALUE"""),"B0118913")</f>
        <v>B0118913</v>
      </c>
      <c r="G150" t="str">
        <f>IFERROR(__xludf.DUMMYFUNCTION("""COMPUTED_VALUE"""),"HBT#5218  WDH Trk # 5")</f>
        <v>HBT#5218  WDH Trk # 5</v>
      </c>
      <c r="I150" s="139">
        <f t="shared" si="10"/>
        <v>0</v>
      </c>
      <c r="J150" s="50">
        <f t="shared" si="2"/>
        <v>1029.642857</v>
      </c>
      <c r="K150" s="140">
        <f t="shared" si="3"/>
        <v>1029.642857</v>
      </c>
      <c r="L150" s="142">
        <v>0.0</v>
      </c>
      <c r="M150" s="141">
        <f>sumif(Farms!$C$68:$C$104,E150,Farms!$F$68:$F$104)</f>
        <v>56</v>
      </c>
      <c r="N150" s="141">
        <f>sumif(Farms!$C$68:$C$104,E150,Farms!$G$68:$G$104)</f>
        <v>15</v>
      </c>
    </row>
    <row r="151" ht="16.5" customHeight="1">
      <c r="A151" s="135">
        <f>IFERROR(__xludf.DUMMYFUNCTION("""COMPUTED_VALUE"""),45944.0)</f>
        <v>45944</v>
      </c>
      <c r="B151" s="87" t="str">
        <f>IFERROR(__xludf.DUMMYFUNCTION("""COMPUTED_VALUE"""),"Gessert ")</f>
        <v>Gessert </v>
      </c>
      <c r="C151">
        <f>IFERROR(__xludf.DUMMYFUNCTION("""COMPUTED_VALUE"""),57040.0)</f>
        <v>57040</v>
      </c>
      <c r="D151" s="136">
        <f>IFERROR(__xludf.DUMMYFUNCTION("""COMPUTED_VALUE"""),15.0)</f>
        <v>15</v>
      </c>
      <c r="E151" s="137" t="str">
        <f>IFERROR(__xludf.DUMMYFUNCTION("""COMPUTED_VALUE"""),"Non-GMO Yellow Corn")</f>
        <v>Non-GMO Yellow Corn</v>
      </c>
      <c r="F151" s="138" t="str">
        <f>IFERROR(__xludf.DUMMYFUNCTION("""COMPUTED_VALUE"""),"B0118914")</f>
        <v>B0118914</v>
      </c>
      <c r="G151" t="str">
        <f>IFERROR(__xludf.DUMMYFUNCTION("""COMPUTED_VALUE"""),"HBT#5590 WR Trk  #41")</f>
        <v>HBT#5590 WR Trk  #41</v>
      </c>
      <c r="H151" s="50"/>
      <c r="I151" s="139">
        <f t="shared" si="10"/>
        <v>0</v>
      </c>
      <c r="J151" s="50">
        <f t="shared" si="2"/>
        <v>1018.571429</v>
      </c>
      <c r="K151" s="140">
        <f t="shared" si="3"/>
        <v>1018.571429</v>
      </c>
      <c r="L151" s="141">
        <f>sumif(Farms!$C$68:$C$104,E151,Farms!$D$68:$D$104)</f>
        <v>1.5</v>
      </c>
      <c r="M151" s="141">
        <f>sumif(Farms!$C$68:$C$104,E151,Farms!$F$68:$F$104)</f>
        <v>56</v>
      </c>
      <c r="N151" s="141">
        <f>sumif(Farms!$C$68:$C$104,E151,Farms!$G$68:$G$104)</f>
        <v>15</v>
      </c>
    </row>
    <row r="152">
      <c r="A152" s="135">
        <f>IFERROR(__xludf.DUMMYFUNCTION("""COMPUTED_VALUE"""),45944.0)</f>
        <v>45944</v>
      </c>
      <c r="B152" s="87" t="str">
        <f>IFERROR(__xludf.DUMMYFUNCTION("""COMPUTED_VALUE"""),"Gessert ")</f>
        <v>Gessert </v>
      </c>
      <c r="C152">
        <f>IFERROR(__xludf.DUMMYFUNCTION("""COMPUTED_VALUE"""),60340.0)</f>
        <v>60340</v>
      </c>
      <c r="D152" s="136">
        <f>IFERROR(__xludf.DUMMYFUNCTION("""COMPUTED_VALUE"""),15.0)</f>
        <v>15</v>
      </c>
      <c r="E152" s="137" t="str">
        <f>IFERROR(__xludf.DUMMYFUNCTION("""COMPUTED_VALUE"""),"Non-GMO Yellow Corn")</f>
        <v>Non-GMO Yellow Corn</v>
      </c>
      <c r="F152" s="138" t="str">
        <f>IFERROR(__xludf.DUMMYFUNCTION("""COMPUTED_VALUE"""),"B0118919")</f>
        <v>B0118919</v>
      </c>
      <c r="G152" t="str">
        <f>IFERROR(__xludf.DUMMYFUNCTION("""COMPUTED_VALUE"""),"HBT#5794 BK Trk  #4")</f>
        <v>HBT#5794 BK Trk  #4</v>
      </c>
      <c r="H152" s="50"/>
      <c r="I152" s="139">
        <f t="shared" si="10"/>
        <v>0</v>
      </c>
      <c r="J152" s="50">
        <f t="shared" si="2"/>
        <v>1077.5</v>
      </c>
      <c r="K152" s="140">
        <f t="shared" si="3"/>
        <v>1077.5</v>
      </c>
      <c r="L152" s="142">
        <v>1.5</v>
      </c>
      <c r="M152" s="141">
        <f>sumif(Farms!$C$68:$C$104,E152,Farms!$F$68:$F$104)</f>
        <v>56</v>
      </c>
      <c r="N152" s="141">
        <f>sumif(Farms!$C$68:$C$104,E152,Farms!$G$68:$G$104)</f>
        <v>15</v>
      </c>
    </row>
    <row r="153">
      <c r="A153" s="135">
        <f>IFERROR(__xludf.DUMMYFUNCTION("""COMPUTED_VALUE"""),45946.0)</f>
        <v>45946</v>
      </c>
      <c r="B153" s="87" t="str">
        <f>IFERROR(__xludf.DUMMYFUNCTION("""COMPUTED_VALUE"""),"Gessert ")</f>
        <v>Gessert </v>
      </c>
      <c r="C153">
        <f>IFERROR(__xludf.DUMMYFUNCTION("""COMPUTED_VALUE"""),57240.0)</f>
        <v>57240</v>
      </c>
      <c r="D153" s="136">
        <f>IFERROR(__xludf.DUMMYFUNCTION("""COMPUTED_VALUE"""),15.4)</f>
        <v>15.4</v>
      </c>
      <c r="E153" s="137" t="str">
        <f>IFERROR(__xludf.DUMMYFUNCTION("""COMPUTED_VALUE"""),"Non-GMO Yellow Corn")</f>
        <v>Non-GMO Yellow Corn</v>
      </c>
      <c r="F153" s="138" t="str">
        <f>IFERROR(__xludf.DUMMYFUNCTION("""COMPUTED_VALUE"""),"B0118940")</f>
        <v>B0118940</v>
      </c>
      <c r="G153" t="str">
        <f>IFERROR(__xludf.DUMMYFUNCTION("""COMPUTED_VALUE"""),"HBT#5013 Bob  Trk # 3")</f>
        <v>HBT#5013 Bob  Trk # 3</v>
      </c>
      <c r="H153" s="50"/>
      <c r="I153" s="139">
        <f t="shared" si="10"/>
        <v>0</v>
      </c>
      <c r="J153" s="50">
        <f t="shared" si="2"/>
        <v>1016.01</v>
      </c>
      <c r="K153" s="140">
        <f t="shared" si="3"/>
        <v>1016.01</v>
      </c>
      <c r="L153" s="142">
        <v>1.5</v>
      </c>
      <c r="M153" s="141">
        <f>sumif(Farms!$C$68:$C$104,E153,Farms!$F$68:$F$104)</f>
        <v>56</v>
      </c>
      <c r="N153" s="141">
        <f>sumif(Farms!$C$68:$C$104,E153,Farms!$G$68:$G$104)</f>
        <v>15</v>
      </c>
    </row>
    <row r="154">
      <c r="A154" s="135">
        <f>IFERROR(__xludf.DUMMYFUNCTION("""COMPUTED_VALUE"""),45946.0)</f>
        <v>45946</v>
      </c>
      <c r="B154" s="87" t="str">
        <f>IFERROR(__xludf.DUMMYFUNCTION("""COMPUTED_VALUE"""),"Gessert ")</f>
        <v>Gessert </v>
      </c>
      <c r="C154">
        <f>IFERROR(__xludf.DUMMYFUNCTION("""COMPUTED_VALUE"""),58140.0)</f>
        <v>58140</v>
      </c>
      <c r="D154" s="136">
        <f>IFERROR(__xludf.DUMMYFUNCTION("""COMPUTED_VALUE"""),15.2)</f>
        <v>15.2</v>
      </c>
      <c r="E154" s="137" t="str">
        <f>IFERROR(__xludf.DUMMYFUNCTION("""COMPUTED_VALUE"""),"Non-GMO Yellow Corn")</f>
        <v>Non-GMO Yellow Corn</v>
      </c>
      <c r="F154" s="138" t="str">
        <f>IFERROR(__xludf.DUMMYFUNCTION("""COMPUTED_VALUE"""),"B0118944")</f>
        <v>B0118944</v>
      </c>
      <c r="G154" t="str">
        <f>IFERROR(__xludf.DUMMYFUNCTION("""COMPUTED_VALUE"""),"HBT#5014 Bob  Trk # 3")</f>
        <v>HBT#5014 Bob  Trk # 3</v>
      </c>
      <c r="H154" s="50"/>
      <c r="I154" s="139">
        <f t="shared" si="10"/>
        <v>0</v>
      </c>
      <c r="J154" s="50">
        <f t="shared" si="2"/>
        <v>1038.214286</v>
      </c>
      <c r="K154" s="140">
        <f t="shared" si="3"/>
        <v>1038.214286</v>
      </c>
      <c r="L154" s="142">
        <v>0.0</v>
      </c>
      <c r="M154" s="141">
        <f>sumif(Farms!$C$68:$C$104,E154,Farms!$F$68:$F$104)</f>
        <v>56</v>
      </c>
      <c r="N154" s="141">
        <f>sumif(Farms!$C$68:$C$104,E154,Farms!$G$68:$G$104)</f>
        <v>15</v>
      </c>
      <c r="O154" s="46" t="s">
        <v>152</v>
      </c>
    </row>
    <row r="155">
      <c r="A155" s="135">
        <f>IFERROR(__xludf.DUMMYFUNCTION("""COMPUTED_VALUE"""),45946.0)</f>
        <v>45946</v>
      </c>
      <c r="B155" s="87" t="str">
        <f>IFERROR(__xludf.DUMMYFUNCTION("""COMPUTED_VALUE"""),"Gessert ")</f>
        <v>Gessert </v>
      </c>
      <c r="C155">
        <f>IFERROR(__xludf.DUMMYFUNCTION("""COMPUTED_VALUE"""),58140.0)</f>
        <v>58140</v>
      </c>
      <c r="D155" s="136">
        <f>IFERROR(__xludf.DUMMYFUNCTION("""COMPUTED_VALUE"""),16.3)</f>
        <v>16.3</v>
      </c>
      <c r="E155" s="137" t="str">
        <f>IFERROR(__xludf.DUMMYFUNCTION("""COMPUTED_VALUE"""),"Non-GMO Yellow Corn")</f>
        <v>Non-GMO Yellow Corn</v>
      </c>
      <c r="F155" s="138" t="str">
        <f>IFERROR(__xludf.DUMMYFUNCTION("""COMPUTED_VALUE"""),"B0119007")</f>
        <v>B0119007</v>
      </c>
      <c r="G155" t="str">
        <f>IFERROR(__xludf.DUMMYFUNCTION("""COMPUTED_VALUE"""),"HBT#5371 Jack  Trk # 63")</f>
        <v>HBT#5371 Jack  Trk # 63</v>
      </c>
      <c r="H155" s="50"/>
      <c r="I155" s="139">
        <f t="shared" si="10"/>
        <v>0</v>
      </c>
      <c r="J155" s="50">
        <f t="shared" si="2"/>
        <v>1038.214286</v>
      </c>
      <c r="K155" s="140">
        <f t="shared" si="3"/>
        <v>1038.214286</v>
      </c>
      <c r="L155" s="142">
        <v>0.0</v>
      </c>
      <c r="M155" s="141">
        <f>sumif(Farms!$C$68:$C$104,E155,Farms!$F$68:$F$104)</f>
        <v>56</v>
      </c>
      <c r="N155" s="141">
        <f>sumif(Farms!$C$68:$C$104,E155,Farms!$G$68:$G$104)</f>
        <v>15</v>
      </c>
    </row>
    <row r="156">
      <c r="A156" s="135">
        <f>IFERROR(__xludf.DUMMYFUNCTION("""COMPUTED_VALUE"""),45946.0)</f>
        <v>45946</v>
      </c>
      <c r="B156" s="87" t="str">
        <f>IFERROR(__xludf.DUMMYFUNCTION("""COMPUTED_VALUE"""),"Gessert ")</f>
        <v>Gessert </v>
      </c>
      <c r="C156">
        <f>IFERROR(__xludf.DUMMYFUNCTION("""COMPUTED_VALUE"""),60860.0)</f>
        <v>60860</v>
      </c>
      <c r="D156" s="136">
        <f>IFERROR(__xludf.DUMMYFUNCTION("""COMPUTED_VALUE"""),15.8)</f>
        <v>15.8</v>
      </c>
      <c r="E156" s="137" t="str">
        <f>IFERROR(__xludf.DUMMYFUNCTION("""COMPUTED_VALUE"""),"Non-GMO Yellow Corn")</f>
        <v>Non-GMO Yellow Corn</v>
      </c>
      <c r="F156" s="138" t="str">
        <f>IFERROR(__xludf.DUMMYFUNCTION("""COMPUTED_VALUE"""),"B0119008")</f>
        <v>B0119008</v>
      </c>
      <c r="G156" t="str">
        <f>IFERROR(__xludf.DUMMYFUNCTION("""COMPUTED_VALUE"""),"HBT#5796 BK Trk # 4")</f>
        <v>HBT#5796 BK Trk # 4</v>
      </c>
      <c r="H156" s="50"/>
      <c r="I156" s="139">
        <f t="shared" si="10"/>
        <v>0</v>
      </c>
      <c r="J156" s="50">
        <f t="shared" si="2"/>
        <v>1086.785714</v>
      </c>
      <c r="K156" s="140">
        <f t="shared" si="3"/>
        <v>1086.785714</v>
      </c>
      <c r="L156" s="142">
        <v>0.0</v>
      </c>
      <c r="M156" s="141">
        <f>sumif(Farms!$C$68:$C$104,E156,Farms!$F$68:$F$104)</f>
        <v>56</v>
      </c>
      <c r="N156" s="141">
        <f>sumif(Farms!$C$68:$C$104,E156,Farms!$G$68:$G$104)</f>
        <v>15</v>
      </c>
    </row>
    <row r="157">
      <c r="A157" s="135">
        <f>IFERROR(__xludf.DUMMYFUNCTION("""COMPUTED_VALUE"""),45946.0)</f>
        <v>45946</v>
      </c>
      <c r="B157" s="87" t="str">
        <f>IFERROR(__xludf.DUMMYFUNCTION("""COMPUTED_VALUE"""),"Gessert ")</f>
        <v>Gessert </v>
      </c>
      <c r="C157">
        <f>IFERROR(__xludf.DUMMYFUNCTION("""COMPUTED_VALUE"""),57880.0)</f>
        <v>57880</v>
      </c>
      <c r="D157" s="136">
        <f>IFERROR(__xludf.DUMMYFUNCTION("""COMPUTED_VALUE"""),15.7)</f>
        <v>15.7</v>
      </c>
      <c r="E157" s="137" t="str">
        <f>IFERROR(__xludf.DUMMYFUNCTION("""COMPUTED_VALUE"""),"Non-GMO Yellow Corn")</f>
        <v>Non-GMO Yellow Corn</v>
      </c>
      <c r="F157" s="138" t="str">
        <f>IFERROR(__xludf.DUMMYFUNCTION("""COMPUTED_VALUE"""),"B0119009")</f>
        <v>B0119009</v>
      </c>
      <c r="G157" t="str">
        <f>IFERROR(__xludf.DUMMYFUNCTION("""COMPUTED_VALUE"""),"HBT#5015 Bob  Trk # 3")</f>
        <v>HBT#5015 Bob  Trk # 3</v>
      </c>
      <c r="H157" s="50"/>
      <c r="I157" s="139">
        <f t="shared" si="10"/>
        <v>0</v>
      </c>
      <c r="J157" s="50">
        <f t="shared" si="2"/>
        <v>1022.718929</v>
      </c>
      <c r="K157" s="140">
        <f t="shared" si="3"/>
        <v>1022.718929</v>
      </c>
      <c r="L157" s="142">
        <v>1.5</v>
      </c>
      <c r="M157" s="141">
        <f>sumif(Farms!$C$68:$C$104,E157,Farms!$F$68:$F$104)</f>
        <v>56</v>
      </c>
      <c r="N157" s="141">
        <f>sumif(Farms!$C$68:$C$104,E157,Farms!$G$68:$G$104)</f>
        <v>15</v>
      </c>
    </row>
    <row r="158">
      <c r="A158" s="135">
        <f>IFERROR(__xludf.DUMMYFUNCTION("""COMPUTED_VALUE"""),45946.0)</f>
        <v>45946</v>
      </c>
      <c r="B158" s="87" t="str">
        <f>IFERROR(__xludf.DUMMYFUNCTION("""COMPUTED_VALUE"""),"Gessert ")</f>
        <v>Gessert </v>
      </c>
      <c r="C158">
        <f>IFERROR(__xludf.DUMMYFUNCTION("""COMPUTED_VALUE"""),57920.0)</f>
        <v>57920</v>
      </c>
      <c r="D158" s="136">
        <f>IFERROR(__xludf.DUMMYFUNCTION("""COMPUTED_VALUE"""),15.7)</f>
        <v>15.7</v>
      </c>
      <c r="E158" s="137" t="str">
        <f>IFERROR(__xludf.DUMMYFUNCTION("""COMPUTED_VALUE"""),"Non-GMO Yellow Corn")</f>
        <v>Non-GMO Yellow Corn</v>
      </c>
      <c r="F158" s="138" t="str">
        <f>IFERROR(__xludf.DUMMYFUNCTION("""COMPUTED_VALUE"""),"B0119012")</f>
        <v>B0119012</v>
      </c>
      <c r="G158" t="str">
        <f>IFERROR(__xludf.DUMMYFUNCTION("""COMPUTED_VALUE"""),"HBT#5923 TL  Trk # 2")</f>
        <v>HBT#5923 TL  Trk # 2</v>
      </c>
      <c r="H158" s="50"/>
      <c r="I158" s="139">
        <f t="shared" si="10"/>
        <v>0</v>
      </c>
      <c r="J158" s="50">
        <f t="shared" si="2"/>
        <v>1023.425714</v>
      </c>
      <c r="K158" s="140">
        <f t="shared" si="3"/>
        <v>1023.425714</v>
      </c>
      <c r="L158" s="141">
        <f>sumif(Farms!$C$68:$C$104,E158,Farms!$D$68:$D$104)</f>
        <v>1.5</v>
      </c>
      <c r="M158" s="141">
        <f>sumif(Farms!$C$68:$C$104,E158,Farms!$F$68:$F$104)</f>
        <v>56</v>
      </c>
      <c r="N158" s="141">
        <f>sumif(Farms!$C$68:$C$104,E158,Farms!$G$68:$G$104)</f>
        <v>15</v>
      </c>
    </row>
    <row r="159">
      <c r="A159" s="135">
        <f>IFERROR(__xludf.DUMMYFUNCTION("""COMPUTED_VALUE"""),45946.0)</f>
        <v>45946</v>
      </c>
      <c r="B159" s="87" t="str">
        <f>IFERROR(__xludf.DUMMYFUNCTION("""COMPUTED_VALUE"""),"Gessert ")</f>
        <v>Gessert </v>
      </c>
      <c r="C159">
        <f>IFERROR(__xludf.DUMMYFUNCTION("""COMPUTED_VALUE"""),58140.0)</f>
        <v>58140</v>
      </c>
      <c r="D159" s="136">
        <f>IFERROR(__xludf.DUMMYFUNCTION("""COMPUTED_VALUE"""),15.9)</f>
        <v>15.9</v>
      </c>
      <c r="E159" s="137" t="str">
        <f>IFERROR(__xludf.DUMMYFUNCTION("""COMPUTED_VALUE"""),"Non-GMO Yellow Corn")</f>
        <v>Non-GMO Yellow Corn</v>
      </c>
      <c r="F159" s="138" t="str">
        <f>IFERROR(__xludf.DUMMYFUNCTION("""COMPUTED_VALUE"""),"B0119014")</f>
        <v>B0119014</v>
      </c>
      <c r="G159" t="str">
        <f>IFERROR(__xludf.DUMMYFUNCTION("""COMPUTED_VALUE"""),"HBT#5372 Jack  Trk # 63")</f>
        <v>HBT#5372 Jack  Trk # 63</v>
      </c>
      <c r="H159" s="50"/>
      <c r="I159" s="139">
        <f t="shared" si="10"/>
        <v>0</v>
      </c>
      <c r="J159" s="50">
        <f t="shared" si="2"/>
        <v>1024.198393</v>
      </c>
      <c r="K159" s="140">
        <f t="shared" si="3"/>
        <v>1024.198393</v>
      </c>
      <c r="L159" s="141">
        <f>sumif(Farms!$C$68:$C$104,E159,Farms!$D$68:$D$104)</f>
        <v>1.5</v>
      </c>
      <c r="M159" s="141">
        <f>sumif(Farms!$C$68:$C$104,E159,Farms!$F$68:$F$104)</f>
        <v>56</v>
      </c>
      <c r="N159" s="141">
        <f>sumif(Farms!$C$68:$C$104,E159,Farms!$G$68:$G$104)</f>
        <v>15</v>
      </c>
    </row>
    <row r="160">
      <c r="A160" s="135">
        <f>IFERROR(__xludf.DUMMYFUNCTION("""COMPUTED_VALUE"""),45946.0)</f>
        <v>45946</v>
      </c>
      <c r="B160" s="87" t="str">
        <f>IFERROR(__xludf.DUMMYFUNCTION("""COMPUTED_VALUE"""),"Gessert ")</f>
        <v>Gessert </v>
      </c>
      <c r="C160">
        <f>IFERROR(__xludf.DUMMYFUNCTION("""COMPUTED_VALUE"""),58300.0)</f>
        <v>58300</v>
      </c>
      <c r="D160" s="136">
        <f>IFERROR(__xludf.DUMMYFUNCTION("""COMPUTED_VALUE"""),15.4)</f>
        <v>15.4</v>
      </c>
      <c r="E160" s="137" t="str">
        <f>IFERROR(__xludf.DUMMYFUNCTION("""COMPUTED_VALUE"""),"Non-GMO Yellow Corn")</f>
        <v>Non-GMO Yellow Corn</v>
      </c>
      <c r="F160" s="138" t="str">
        <f>IFERROR(__xludf.DUMMYFUNCTION("""COMPUTED_VALUE"""),"B0119018")</f>
        <v>B0119018</v>
      </c>
      <c r="G160" t="str">
        <f>IFERROR(__xludf.DUMMYFUNCTION("""COMPUTED_VALUE"""),"HBT#5797 BK Trk # 4")</f>
        <v>HBT#5797 BK Trk # 4</v>
      </c>
      <c r="H160" s="50"/>
      <c r="I160" s="139">
        <f t="shared" si="10"/>
        <v>0</v>
      </c>
      <c r="J160" s="50">
        <f t="shared" si="2"/>
        <v>1041.071429</v>
      </c>
      <c r="K160" s="140">
        <f t="shared" si="3"/>
        <v>1041.071429</v>
      </c>
      <c r="L160" s="142">
        <v>0.0</v>
      </c>
      <c r="M160" s="141">
        <f>sumif(Farms!$C$68:$C$104,E160,Farms!$F$68:$F$104)</f>
        <v>56</v>
      </c>
      <c r="N160" s="141">
        <f>sumif(Farms!$C$68:$C$104,E160,Farms!$G$68:$G$104)</f>
        <v>15</v>
      </c>
    </row>
    <row r="161">
      <c r="A161" s="135">
        <f>IFERROR(__xludf.DUMMYFUNCTION("""COMPUTED_VALUE"""),45946.0)</f>
        <v>45946</v>
      </c>
      <c r="B161" s="87" t="str">
        <f>IFERROR(__xludf.DUMMYFUNCTION("""COMPUTED_VALUE"""),"Gessert ")</f>
        <v>Gessert </v>
      </c>
      <c r="C161">
        <f>IFERROR(__xludf.DUMMYFUNCTION("""COMPUTED_VALUE"""),57880.0)</f>
        <v>57880</v>
      </c>
      <c r="D161" s="136">
        <f>IFERROR(__xludf.DUMMYFUNCTION("""COMPUTED_VALUE"""),16.0)</f>
        <v>16</v>
      </c>
      <c r="E161" s="137" t="str">
        <f>IFERROR(__xludf.DUMMYFUNCTION("""COMPUTED_VALUE"""),"Non-GMO Yellow Corn")</f>
        <v>Non-GMO Yellow Corn</v>
      </c>
      <c r="F161" s="138" t="str">
        <f>IFERROR(__xludf.DUMMYFUNCTION("""COMPUTED_VALUE"""),"B0119021")</f>
        <v>B0119021</v>
      </c>
      <c r="G161" t="str">
        <f>IFERROR(__xludf.DUMMYFUNCTION("""COMPUTED_VALUE"""),"HBT#5924 TL Trk # 2")</f>
        <v>HBT#5924 TL Trk # 2</v>
      </c>
      <c r="H161" s="50"/>
      <c r="I161" s="139">
        <f t="shared" si="10"/>
        <v>0</v>
      </c>
      <c r="J161" s="50">
        <f t="shared" si="2"/>
        <v>1033.571429</v>
      </c>
      <c r="K161" s="140">
        <f t="shared" si="3"/>
        <v>1033.571429</v>
      </c>
      <c r="L161" s="142">
        <v>0.0</v>
      </c>
      <c r="M161" s="141">
        <f>sumif(Farms!$C$68:$C$104,E161,Farms!$F$68:$F$104)</f>
        <v>56</v>
      </c>
      <c r="N161" s="141">
        <f>sumif(Farms!$C$68:$C$104,E161,Farms!$G$68:$G$104)</f>
        <v>15</v>
      </c>
    </row>
    <row r="162">
      <c r="A162" s="135">
        <f>IFERROR(__xludf.DUMMYFUNCTION("""COMPUTED_VALUE"""),45946.0)</f>
        <v>45946</v>
      </c>
      <c r="B162" s="87" t="str">
        <f>IFERROR(__xludf.DUMMYFUNCTION("""COMPUTED_VALUE"""),"Gessert ")</f>
        <v>Gessert </v>
      </c>
      <c r="C162">
        <f>IFERROR(__xludf.DUMMYFUNCTION("""COMPUTED_VALUE"""),58220.0)</f>
        <v>58220</v>
      </c>
      <c r="D162" s="136">
        <f>IFERROR(__xludf.DUMMYFUNCTION("""COMPUTED_VALUE"""),15.9)</f>
        <v>15.9</v>
      </c>
      <c r="E162" s="137" t="str">
        <f>IFERROR(__xludf.DUMMYFUNCTION("""COMPUTED_VALUE"""),"Non-GMO Yellow Corn")</f>
        <v>Non-GMO Yellow Corn</v>
      </c>
      <c r="F162" s="138" t="str">
        <f>IFERROR(__xludf.DUMMYFUNCTION("""COMPUTED_VALUE"""),"B0119022")</f>
        <v>B0119022</v>
      </c>
      <c r="G162" t="str">
        <f>IFERROR(__xludf.DUMMYFUNCTION("""COMPUTED_VALUE"""),"HBT#5373 Jack  Trk # 63")</f>
        <v>HBT#5373 Jack  Trk # 63</v>
      </c>
      <c r="H162" s="50"/>
      <c r="I162" s="139">
        <f t="shared" si="10"/>
        <v>0</v>
      </c>
      <c r="J162" s="50">
        <f t="shared" si="2"/>
        <v>1039.642857</v>
      </c>
      <c r="K162" s="140">
        <f t="shared" si="3"/>
        <v>1039.642857</v>
      </c>
      <c r="L162" s="142">
        <v>0.0</v>
      </c>
      <c r="M162" s="141">
        <f>sumif(Farms!$C$68:$C$104,E162,Farms!$F$68:$F$104)</f>
        <v>56</v>
      </c>
      <c r="N162" s="141">
        <f>sumif(Farms!$C$68:$C$104,E162,Farms!$G$68:$G$104)</f>
        <v>15</v>
      </c>
    </row>
    <row r="163">
      <c r="A163" s="135">
        <f>IFERROR(__xludf.DUMMYFUNCTION("""COMPUTED_VALUE"""),45946.0)</f>
        <v>45946</v>
      </c>
      <c r="B163" s="87" t="str">
        <f>IFERROR(__xludf.DUMMYFUNCTION("""COMPUTED_VALUE"""),"Gessert ")</f>
        <v>Gessert </v>
      </c>
      <c r="C163">
        <f>IFERROR(__xludf.DUMMYFUNCTION("""COMPUTED_VALUE"""),57560.0)</f>
        <v>57560</v>
      </c>
      <c r="D163" s="136">
        <f>IFERROR(__xludf.DUMMYFUNCTION("""COMPUTED_VALUE"""),16.2)</f>
        <v>16.2</v>
      </c>
      <c r="E163" s="137" t="str">
        <f>IFERROR(__xludf.DUMMYFUNCTION("""COMPUTED_VALUE"""),"Non-GMO Yellow Corn")</f>
        <v>Non-GMO Yellow Corn</v>
      </c>
      <c r="F163" s="138" t="str">
        <f>IFERROR(__xludf.DUMMYFUNCTION("""COMPUTED_VALUE"""),"B0119024")</f>
        <v>B0119024</v>
      </c>
      <c r="G163" t="str">
        <f>IFERROR(__xludf.DUMMYFUNCTION("""COMPUTED_VALUE"""),"HBT#5798 BK Trk # 4")</f>
        <v>HBT#5798 BK Trk # 4</v>
      </c>
      <c r="H163" s="50"/>
      <c r="I163" s="139">
        <f t="shared" si="10"/>
        <v>0</v>
      </c>
      <c r="J163" s="50">
        <f t="shared" si="2"/>
        <v>1027.857143</v>
      </c>
      <c r="K163" s="140">
        <f t="shared" si="3"/>
        <v>1027.857143</v>
      </c>
      <c r="L163" s="142">
        <v>0.0</v>
      </c>
      <c r="M163" s="141">
        <f>sumif(Farms!$C$68:$C$104,E163,Farms!$F$68:$F$104)</f>
        <v>56</v>
      </c>
      <c r="N163" s="141">
        <f>sumif(Farms!$C$68:$C$104,E163,Farms!$G$68:$G$104)</f>
        <v>15</v>
      </c>
    </row>
    <row r="164">
      <c r="A164" s="135">
        <f>IFERROR(__xludf.DUMMYFUNCTION("""COMPUTED_VALUE"""),45946.0)</f>
        <v>45946</v>
      </c>
      <c r="B164" s="87" t="str">
        <f>IFERROR(__xludf.DUMMYFUNCTION("""COMPUTED_VALUE"""),"Gessert ")</f>
        <v>Gessert </v>
      </c>
      <c r="C164">
        <f>IFERROR(__xludf.DUMMYFUNCTION("""COMPUTED_VALUE"""),57880.0)</f>
        <v>57880</v>
      </c>
      <c r="D164" s="136">
        <f>IFERROR(__xludf.DUMMYFUNCTION("""COMPUTED_VALUE"""),16.7)</f>
        <v>16.7</v>
      </c>
      <c r="E164" s="137" t="str">
        <f>IFERROR(__xludf.DUMMYFUNCTION("""COMPUTED_VALUE"""),"Non-GMO Yellow Corn")</f>
        <v>Non-GMO Yellow Corn</v>
      </c>
      <c r="F164" s="138" t="str">
        <f>IFERROR(__xludf.DUMMYFUNCTION("""COMPUTED_VALUE"""),"B0119033")</f>
        <v>B0119033</v>
      </c>
      <c r="G164" t="str">
        <f>IFERROR(__xludf.DUMMYFUNCTION("""COMPUTED_VALUE"""),"HBT#5924 TLTrk # 2")</f>
        <v>HBT#5924 TLTrk # 2</v>
      </c>
      <c r="H164" s="50"/>
      <c r="I164" s="139">
        <f t="shared" si="10"/>
        <v>0</v>
      </c>
      <c r="J164" s="50">
        <f t="shared" si="2"/>
        <v>1033.571429</v>
      </c>
      <c r="K164" s="140">
        <f t="shared" si="3"/>
        <v>1033.571429</v>
      </c>
      <c r="L164" s="142">
        <v>0.0</v>
      </c>
      <c r="M164" s="141">
        <f>sumif(Farms!$C$68:$C$104,E164,Farms!$F$68:$F$104)</f>
        <v>56</v>
      </c>
      <c r="N164" s="141">
        <f>sumif(Farms!$C$68:$C$104,E164,Farms!$G$68:$G$104)</f>
        <v>15</v>
      </c>
    </row>
    <row r="165">
      <c r="A165" s="135">
        <f>IFERROR(__xludf.DUMMYFUNCTION("""COMPUTED_VALUE"""),45946.0)</f>
        <v>45946</v>
      </c>
      <c r="B165" s="87" t="str">
        <f>IFERROR(__xludf.DUMMYFUNCTION("""COMPUTED_VALUE"""),"Gessert ")</f>
        <v>Gessert </v>
      </c>
      <c r="C165">
        <f>IFERROR(__xludf.DUMMYFUNCTION("""COMPUTED_VALUE"""),59220.0)</f>
        <v>59220</v>
      </c>
      <c r="D165" s="136">
        <f>IFERROR(__xludf.DUMMYFUNCTION("""COMPUTED_VALUE"""),16.2)</f>
        <v>16.2</v>
      </c>
      <c r="E165" s="137" t="str">
        <f>IFERROR(__xludf.DUMMYFUNCTION("""COMPUTED_VALUE"""),"Non-GMO Yellow Corn")</f>
        <v>Non-GMO Yellow Corn</v>
      </c>
      <c r="F165" s="138" t="str">
        <f>IFERROR(__xludf.DUMMYFUNCTION("""COMPUTED_VALUE"""),"B0119035")</f>
        <v>B0119035</v>
      </c>
      <c r="G165" t="str">
        <f>IFERROR(__xludf.DUMMYFUNCTION("""COMPUTED_VALUE"""),"HBT#5799 BK Trk # 4")</f>
        <v>HBT#5799 BK Trk # 4</v>
      </c>
      <c r="H165" s="50"/>
      <c r="I165" s="139">
        <f t="shared" si="10"/>
        <v>0</v>
      </c>
      <c r="J165" s="50">
        <f t="shared" si="2"/>
        <v>1057.5</v>
      </c>
      <c r="K165" s="140">
        <f t="shared" si="3"/>
        <v>1057.5</v>
      </c>
      <c r="L165" s="142">
        <v>0.0</v>
      </c>
      <c r="M165" s="141">
        <f>sumif(Farms!$C$68:$C$104,E165,Farms!$F$68:$F$104)</f>
        <v>56</v>
      </c>
      <c r="N165" s="141">
        <f>sumif(Farms!$C$68:$C$104,E165,Farms!$G$68:$G$104)</f>
        <v>15</v>
      </c>
    </row>
    <row r="166">
      <c r="A166" s="135">
        <f>IFERROR(__xludf.DUMMYFUNCTION("""COMPUTED_VALUE"""),45946.0)</f>
        <v>45946</v>
      </c>
      <c r="B166" s="87" t="str">
        <f>IFERROR(__xludf.DUMMYFUNCTION("""COMPUTED_VALUE"""),"Gessert ")</f>
        <v>Gessert </v>
      </c>
      <c r="C166">
        <f>IFERROR(__xludf.DUMMYFUNCTION("""COMPUTED_VALUE"""),57560.0)</f>
        <v>57560</v>
      </c>
      <c r="D166" s="136">
        <f>IFERROR(__xludf.DUMMYFUNCTION("""COMPUTED_VALUE"""),15.9)</f>
        <v>15.9</v>
      </c>
      <c r="E166" s="137" t="str">
        <f>IFERROR(__xludf.DUMMYFUNCTION("""COMPUTED_VALUE"""),"Non-GMO Yellow Corn")</f>
        <v>Non-GMO Yellow Corn</v>
      </c>
      <c r="F166" s="138" t="str">
        <f>IFERROR(__xludf.DUMMYFUNCTION("""COMPUTED_VALUE"""),"B0119045")</f>
        <v>B0119045</v>
      </c>
      <c r="G166" t="str">
        <f>IFERROR(__xludf.DUMMYFUNCTION("""COMPUTED_VALUE"""),"HBT#5375  Jack  Trk # 63")</f>
        <v>HBT#5375  Jack  Trk # 63</v>
      </c>
      <c r="I166" s="139">
        <f t="shared" si="10"/>
        <v>0</v>
      </c>
      <c r="J166" s="50">
        <f t="shared" si="2"/>
        <v>1013.981071</v>
      </c>
      <c r="K166" s="140">
        <f t="shared" si="3"/>
        <v>1013.981071</v>
      </c>
      <c r="L166" s="142">
        <v>1.5</v>
      </c>
      <c r="M166" s="142">
        <v>56.0</v>
      </c>
      <c r="N166" s="141">
        <f>sumif(Farms!$C$68:$C$104,E166,Farms!$G$68:$G$104)</f>
        <v>15</v>
      </c>
    </row>
    <row r="167">
      <c r="A167" s="135">
        <f>IFERROR(__xludf.DUMMYFUNCTION("""COMPUTED_VALUE"""),45946.0)</f>
        <v>45946</v>
      </c>
      <c r="B167" s="87" t="str">
        <f>IFERROR(__xludf.DUMMYFUNCTION("""COMPUTED_VALUE"""),"Gessert ")</f>
        <v>Gessert </v>
      </c>
      <c r="C167">
        <f>IFERROR(__xludf.DUMMYFUNCTION("""COMPUTED_VALUE"""),57540.0)</f>
        <v>57540</v>
      </c>
      <c r="D167" s="136">
        <f>IFERROR(__xludf.DUMMYFUNCTION("""COMPUTED_VALUE"""),16.3)</f>
        <v>16.3</v>
      </c>
      <c r="E167" s="137" t="str">
        <f>IFERROR(__xludf.DUMMYFUNCTION("""COMPUTED_VALUE"""),"Non-GMO Yellow Corn")</f>
        <v>Non-GMO Yellow Corn</v>
      </c>
      <c r="F167" s="138" t="str">
        <f>IFERROR(__xludf.DUMMYFUNCTION("""COMPUTED_VALUE"""),"B0119046")</f>
        <v>B0119046</v>
      </c>
      <c r="G167" t="str">
        <f>IFERROR(__xludf.DUMMYFUNCTION("""COMPUTED_VALUE"""),"HBT#5926 TL Trk # 2")</f>
        <v>HBT#5926 TL Trk # 2</v>
      </c>
      <c r="H167" s="50"/>
      <c r="I167" s="139">
        <f t="shared" si="10"/>
        <v>0</v>
      </c>
      <c r="J167" s="50">
        <f t="shared" si="2"/>
        <v>1007.46375</v>
      </c>
      <c r="K167" s="140">
        <f t="shared" si="3"/>
        <v>1007.46375</v>
      </c>
      <c r="L167" s="142">
        <v>1.5</v>
      </c>
      <c r="M167" s="141">
        <f>sumif(Farms!$C$68:$C$104,E167,Farms!$F$68:$F$104)</f>
        <v>56</v>
      </c>
      <c r="N167" s="141">
        <f>sumif(Farms!$C$68:$C$104,E167,Farms!$G$68:$G$104)</f>
        <v>15</v>
      </c>
    </row>
    <row r="168">
      <c r="A168" s="135">
        <f>IFERROR(__xludf.DUMMYFUNCTION("""COMPUTED_VALUE"""),45946.0)</f>
        <v>45946</v>
      </c>
      <c r="B168" s="87" t="str">
        <f>IFERROR(__xludf.DUMMYFUNCTION("""COMPUTED_VALUE"""),"Gessert ")</f>
        <v>Gessert </v>
      </c>
      <c r="C168">
        <f>IFERROR(__xludf.DUMMYFUNCTION("""COMPUTED_VALUE"""),57800.0)</f>
        <v>57800</v>
      </c>
      <c r="D168" s="136">
        <f>IFERROR(__xludf.DUMMYFUNCTION("""COMPUTED_VALUE"""),16.0)</f>
        <v>16</v>
      </c>
      <c r="E168" s="137" t="str">
        <f>IFERROR(__xludf.DUMMYFUNCTION("""COMPUTED_VALUE"""),"Non-GMO Yellow Corn")</f>
        <v>Non-GMO Yellow Corn</v>
      </c>
      <c r="F168" s="138" t="str">
        <f>IFERROR(__xludf.DUMMYFUNCTION("""COMPUTED_VALUE"""),"B0119048")</f>
        <v>B0119048</v>
      </c>
      <c r="G168" t="str">
        <f>IFERROR(__xludf.DUMMYFUNCTION("""COMPUTED_VALUE"""),"HBT#5800 BK Trk # 4")</f>
        <v>HBT#5800 BK Trk # 4</v>
      </c>
      <c r="H168" s="50"/>
      <c r="I168" s="139">
        <f t="shared" si="10"/>
        <v>0</v>
      </c>
      <c r="J168" s="50">
        <f t="shared" si="2"/>
        <v>1016.660714</v>
      </c>
      <c r="K168" s="140">
        <f t="shared" si="3"/>
        <v>1016.660714</v>
      </c>
      <c r="L168" s="141">
        <f>sumif(Farms!$C$68:$C$104,E168,Farms!$D$68:$D$104)</f>
        <v>1.5</v>
      </c>
      <c r="M168" s="141">
        <f>sumif(Farms!$C$68:$C$104,E168,Farms!$F$68:$F$104)</f>
        <v>56</v>
      </c>
      <c r="N168" s="141">
        <f>sumif(Farms!$C$68:$C$104,E168,Farms!$G$68:$G$104)</f>
        <v>15</v>
      </c>
    </row>
    <row r="169">
      <c r="A169" s="135">
        <f>IFERROR(__xludf.DUMMYFUNCTION("""COMPUTED_VALUE"""),45946.0)</f>
        <v>45946</v>
      </c>
      <c r="B169" s="87" t="str">
        <f>IFERROR(__xludf.DUMMYFUNCTION("""COMPUTED_VALUE"""),"Gessert ")</f>
        <v>Gessert </v>
      </c>
      <c r="C169">
        <f>IFERROR(__xludf.DUMMYFUNCTION("""COMPUTED_VALUE"""),57480.0)</f>
        <v>57480</v>
      </c>
      <c r="D169" s="136">
        <f>IFERROR(__xludf.DUMMYFUNCTION("""COMPUTED_VALUE"""),15.8)</f>
        <v>15.8</v>
      </c>
      <c r="E169" s="137" t="str">
        <f>IFERROR(__xludf.DUMMYFUNCTION("""COMPUTED_VALUE"""),"Non-GMO Yellow Corn")</f>
        <v>Non-GMO Yellow Corn</v>
      </c>
      <c r="F169" s="138" t="str">
        <f>IFERROR(__xludf.DUMMYFUNCTION("""COMPUTED_VALUE"""),"B0119052")</f>
        <v>B0119052</v>
      </c>
      <c r="G169" t="str">
        <f>IFERROR(__xludf.DUMMYFUNCTION("""COMPUTED_VALUE"""),"HBT#5927 TL Trk # 2")</f>
        <v>HBT#5927 TL Trk # 2</v>
      </c>
      <c r="H169" s="50"/>
      <c r="I169" s="139">
        <f t="shared" si="10"/>
        <v>0</v>
      </c>
      <c r="J169" s="50">
        <f t="shared" si="2"/>
        <v>1014.111429</v>
      </c>
      <c r="K169" s="140">
        <f t="shared" si="3"/>
        <v>1014.111429</v>
      </c>
      <c r="L169" s="142">
        <v>1.5</v>
      </c>
      <c r="M169" s="141">
        <f>sumif(Farms!$C$68:$C$104,E169,Farms!$F$68:$F$104)</f>
        <v>56</v>
      </c>
      <c r="N169" s="141">
        <f>sumif(Farms!$C$68:$C$104,E169,Farms!$G$68:$G$104)</f>
        <v>15</v>
      </c>
    </row>
    <row r="170">
      <c r="A170" s="135">
        <f>IFERROR(__xludf.DUMMYFUNCTION("""COMPUTED_VALUE"""),45946.0)</f>
        <v>45946</v>
      </c>
      <c r="B170" s="87" t="str">
        <f>IFERROR(__xludf.DUMMYFUNCTION("""COMPUTED_VALUE"""),"Gessert ")</f>
        <v>Gessert </v>
      </c>
      <c r="C170">
        <f>IFERROR(__xludf.DUMMYFUNCTION("""COMPUTED_VALUE"""),57780.0)</f>
        <v>57780</v>
      </c>
      <c r="D170" s="136">
        <f>IFERROR(__xludf.DUMMYFUNCTION("""COMPUTED_VALUE"""),16.2)</f>
        <v>16.2</v>
      </c>
      <c r="E170" s="137" t="str">
        <f>IFERROR(__xludf.DUMMYFUNCTION("""COMPUTED_VALUE"""),"Non-GMO Yellow Corn")</f>
        <v>Non-GMO Yellow Corn</v>
      </c>
      <c r="F170" s="138" t="str">
        <f>IFERROR(__xludf.DUMMYFUNCTION("""COMPUTED_VALUE"""),"B0119059")</f>
        <v>B0119059</v>
      </c>
      <c r="G170" t="str">
        <f>IFERROR(__xludf.DUMMYFUNCTION("""COMPUTED_VALUE"""),"HBT#5801 BK Trk # 4")</f>
        <v>HBT#5801 BK Trk # 4</v>
      </c>
      <c r="H170" s="50"/>
      <c r="I170" s="139">
        <f t="shared" si="10"/>
        <v>0</v>
      </c>
      <c r="J170" s="50">
        <f t="shared" si="2"/>
        <v>1013.213571</v>
      </c>
      <c r="K170" s="140">
        <f t="shared" si="3"/>
        <v>1013.213571</v>
      </c>
      <c r="L170" s="141">
        <f>sumif(Farms!$C$68:$C$104,E170,Farms!$D$68:$D$104)</f>
        <v>1.5</v>
      </c>
      <c r="M170" s="141">
        <f>sumif(Farms!$C$68:$C$104,E170,Farms!$F$68:$F$104)</f>
        <v>56</v>
      </c>
      <c r="N170" s="141">
        <f>sumif(Farms!$C$68:$C$104,E170,Farms!$G$68:$G$104)</f>
        <v>15</v>
      </c>
    </row>
    <row r="171">
      <c r="A171" s="135">
        <f>IFERROR(__xludf.DUMMYFUNCTION("""COMPUTED_VALUE"""),45946.0)</f>
        <v>45946</v>
      </c>
      <c r="B171" s="87" t="str">
        <f>IFERROR(__xludf.DUMMYFUNCTION("""COMPUTED_VALUE"""),"Gessert ")</f>
        <v>Gessert </v>
      </c>
      <c r="C171">
        <f>IFERROR(__xludf.DUMMYFUNCTION("""COMPUTED_VALUE"""),57100.0)</f>
        <v>57100</v>
      </c>
      <c r="D171" s="136">
        <f>IFERROR(__xludf.DUMMYFUNCTION("""COMPUTED_VALUE"""),16.0)</f>
        <v>16</v>
      </c>
      <c r="E171" s="137" t="str">
        <f>IFERROR(__xludf.DUMMYFUNCTION("""COMPUTED_VALUE"""),"Non-GMO Yellow Corn")</f>
        <v>Non-GMO Yellow Corn</v>
      </c>
      <c r="F171" s="138" t="str">
        <f>IFERROR(__xludf.DUMMYFUNCTION("""COMPUTED_VALUE"""),"B0119064")</f>
        <v>B0119064</v>
      </c>
      <c r="G171" t="str">
        <f>IFERROR(__xludf.DUMMYFUNCTION("""COMPUTED_VALUE"""),"HBT#5928 TL Trk # 2")</f>
        <v>HBT#5928 TL Trk # 2</v>
      </c>
      <c r="H171" s="50"/>
      <c r="I171" s="139">
        <f t="shared" si="10"/>
        <v>0</v>
      </c>
      <c r="J171" s="50">
        <f t="shared" si="2"/>
        <v>1004.348214</v>
      </c>
      <c r="K171" s="140">
        <f t="shared" si="3"/>
        <v>1004.348214</v>
      </c>
      <c r="L171" s="142">
        <v>1.5</v>
      </c>
      <c r="M171" s="141">
        <f>sumif(Farms!$C$68:$C$104,E171,Farms!$F$68:$F$104)</f>
        <v>56</v>
      </c>
      <c r="N171" s="141">
        <f>sumif(Farms!$C$68:$C$104,E171,Farms!$G$68:$G$104)</f>
        <v>15</v>
      </c>
      <c r="O171" s="46" t="s">
        <v>152</v>
      </c>
    </row>
    <row r="172">
      <c r="A172" s="135">
        <f>IFERROR(__xludf.DUMMYFUNCTION("""COMPUTED_VALUE"""),45946.0)</f>
        <v>45946</v>
      </c>
      <c r="B172" s="87" t="str">
        <f>IFERROR(__xludf.DUMMYFUNCTION("""COMPUTED_VALUE"""),"Gessert ")</f>
        <v>Gessert </v>
      </c>
      <c r="C172">
        <f>IFERROR(__xludf.DUMMYFUNCTION("""COMPUTED_VALUE"""),57340.0)</f>
        <v>57340</v>
      </c>
      <c r="D172" s="136">
        <f>IFERROR(__xludf.DUMMYFUNCTION("""COMPUTED_VALUE"""),16.2)</f>
        <v>16.2</v>
      </c>
      <c r="E172" s="137" t="str">
        <f>IFERROR(__xludf.DUMMYFUNCTION("""COMPUTED_VALUE"""),"Non-GMO Yellow Corn")</f>
        <v>Non-GMO Yellow Corn</v>
      </c>
      <c r="F172" s="138" t="str">
        <f>IFERROR(__xludf.DUMMYFUNCTION("""COMPUTED_VALUE"""),"B0119070")</f>
        <v>B0119070</v>
      </c>
      <c r="G172" t="str">
        <f>IFERROR(__xludf.DUMMYFUNCTION("""COMPUTED_VALUE"""),"HBT#5220 BK Trk # 5")</f>
        <v>HBT#5220 BK Trk # 5</v>
      </c>
      <c r="H172" s="50"/>
      <c r="I172" s="139">
        <f t="shared" si="10"/>
        <v>0</v>
      </c>
      <c r="J172" s="50">
        <f t="shared" si="2"/>
        <v>1005.497857</v>
      </c>
      <c r="K172" s="140">
        <f t="shared" si="3"/>
        <v>1005.497857</v>
      </c>
      <c r="L172" s="142">
        <v>1.5</v>
      </c>
      <c r="M172" s="142">
        <v>56.0</v>
      </c>
      <c r="N172" s="141">
        <f>sumif(Farms!$C$68:$C$104,E172,Farms!$G$68:$G$104)</f>
        <v>15</v>
      </c>
    </row>
    <row r="173">
      <c r="A173" s="135">
        <f>IFERROR(__xludf.DUMMYFUNCTION("""COMPUTED_VALUE"""),45946.0)</f>
        <v>45946</v>
      </c>
      <c r="B173" s="87" t="str">
        <f>IFERROR(__xludf.DUMMYFUNCTION("""COMPUTED_VALUE"""),"Gessert ")</f>
        <v>Gessert </v>
      </c>
      <c r="C173">
        <f>IFERROR(__xludf.DUMMYFUNCTION("""COMPUTED_VALUE"""),57900.0)</f>
        <v>57900</v>
      </c>
      <c r="D173" s="136">
        <f>IFERROR(__xludf.DUMMYFUNCTION("""COMPUTED_VALUE"""),16.5)</f>
        <v>16.5</v>
      </c>
      <c r="E173" s="137" t="str">
        <f>IFERROR(__xludf.DUMMYFUNCTION("""COMPUTED_VALUE"""),"Non-GMO Yellow Corn")</f>
        <v>Non-GMO Yellow Corn</v>
      </c>
      <c r="F173" s="138" t="str">
        <f>IFERROR(__xludf.DUMMYFUNCTION("""COMPUTED_VALUE"""),"B0119073")</f>
        <v>B0119073</v>
      </c>
      <c r="G173" t="str">
        <f>IFERROR(__xludf.DUMMYFUNCTION("""COMPUTED_VALUE"""),"HBT#5929 TL Trk # 2")</f>
        <v>HBT#5929 TL Trk # 2</v>
      </c>
      <c r="H173" s="50"/>
      <c r="I173" s="139">
        <f t="shared" si="10"/>
        <v>0</v>
      </c>
      <c r="J173" s="50">
        <f t="shared" si="2"/>
        <v>1010.665179</v>
      </c>
      <c r="K173" s="140">
        <f t="shared" si="3"/>
        <v>1010.665179</v>
      </c>
      <c r="L173" s="142">
        <v>1.5</v>
      </c>
      <c r="M173" s="142">
        <v>56.0</v>
      </c>
      <c r="N173" s="141">
        <f>sumif(Farms!$C$68:$C$104,E173,Farms!$G$68:$G$104)</f>
        <v>15</v>
      </c>
    </row>
    <row r="174">
      <c r="A174" s="135">
        <f>IFERROR(__xludf.DUMMYFUNCTION("""COMPUTED_VALUE"""),45946.0)</f>
        <v>45946</v>
      </c>
      <c r="B174" s="87" t="str">
        <f>IFERROR(__xludf.DUMMYFUNCTION("""COMPUTED_VALUE"""),"Gessert ")</f>
        <v>Gessert </v>
      </c>
      <c r="C174">
        <f>IFERROR(__xludf.DUMMYFUNCTION("""COMPUTED_VALUE"""),56740.0)</f>
        <v>56740</v>
      </c>
      <c r="D174" s="136">
        <f>IFERROR(__xludf.DUMMYFUNCTION("""COMPUTED_VALUE"""),16.3)</f>
        <v>16.3</v>
      </c>
      <c r="E174" s="137" t="str">
        <f>IFERROR(__xludf.DUMMYFUNCTION("""COMPUTED_VALUE"""),"Non-GMO Yellow Corn")</f>
        <v>Non-GMO Yellow Corn</v>
      </c>
      <c r="F174" s="138" t="str">
        <f>IFERROR(__xludf.DUMMYFUNCTION("""COMPUTED_VALUE"""),"B0119079")</f>
        <v>B0119079</v>
      </c>
      <c r="G174" t="str">
        <f>IFERROR(__xludf.DUMMYFUNCTION("""COMPUTED_VALUE"""),"HBT#5019 Bob Trk # 3")</f>
        <v>HBT#5019 Bob Trk # 3</v>
      </c>
      <c r="H174" s="50"/>
      <c r="I174" s="139">
        <f t="shared" si="10"/>
        <v>0</v>
      </c>
      <c r="J174" s="50">
        <f t="shared" si="2"/>
        <v>993.4566071</v>
      </c>
      <c r="K174" s="140">
        <f t="shared" si="3"/>
        <v>993.4566071</v>
      </c>
      <c r="L174" s="141">
        <f>sumif(Farms!$C$68:$C$104,E174,Farms!$D$68:$D$104)</f>
        <v>1.5</v>
      </c>
      <c r="M174" s="141">
        <f>sumif(Farms!$C$68:$C$104,E174,Farms!$F$68:$F$104)</f>
        <v>56</v>
      </c>
      <c r="N174" s="141">
        <f>sumif(Farms!$C$68:$C$104,E174,Farms!$G$68:$G$104)</f>
        <v>15</v>
      </c>
    </row>
    <row r="175">
      <c r="A175" s="135">
        <f>IFERROR(__xludf.DUMMYFUNCTION("""COMPUTED_VALUE"""),45946.0)</f>
        <v>45946</v>
      </c>
      <c r="B175" s="87" t="str">
        <f>IFERROR(__xludf.DUMMYFUNCTION("""COMPUTED_VALUE"""),"Gessert ")</f>
        <v>Gessert </v>
      </c>
      <c r="C175">
        <f>IFERROR(__xludf.DUMMYFUNCTION("""COMPUTED_VALUE"""),58180.0)</f>
        <v>58180</v>
      </c>
      <c r="D175" s="136">
        <f>IFERROR(__xludf.DUMMYFUNCTION("""COMPUTED_VALUE"""),15.9)</f>
        <v>15.9</v>
      </c>
      <c r="E175" s="137" t="str">
        <f>IFERROR(__xludf.DUMMYFUNCTION("""COMPUTED_VALUE"""),"Non-GMO Yellow Corn")</f>
        <v>Non-GMO Yellow Corn</v>
      </c>
      <c r="F175" s="138" t="str">
        <f>IFERROR(__xludf.DUMMYFUNCTION("""COMPUTED_VALUE"""),"B0119081")</f>
        <v>B0119081</v>
      </c>
      <c r="G175" t="str">
        <f>IFERROR(__xludf.DUMMYFUNCTION("""COMPUTED_VALUE"""),"HBT#5802 BK Trk # 4")</f>
        <v>HBT#5802 BK Trk # 4</v>
      </c>
      <c r="H175" s="50"/>
      <c r="I175" s="139">
        <f t="shared" si="10"/>
        <v>0</v>
      </c>
      <c r="J175" s="50">
        <f t="shared" si="2"/>
        <v>1024.903036</v>
      </c>
      <c r="K175" s="140">
        <f t="shared" si="3"/>
        <v>1024.903036</v>
      </c>
      <c r="L175" s="141">
        <f>sumif(Farms!$C$68:$C$104,E175,Farms!$D$68:$D$104)</f>
        <v>1.5</v>
      </c>
      <c r="M175" s="141">
        <f>sumif(Farms!$C$68:$C$104,E175,Farms!$F$68:$F$104)</f>
        <v>56</v>
      </c>
      <c r="N175" s="141">
        <f>sumif(Farms!$C$68:$C$104,E175,Farms!$G$68:$G$104)</f>
        <v>15</v>
      </c>
    </row>
    <row r="176">
      <c r="A176" s="135">
        <f>IFERROR(__xludf.DUMMYFUNCTION("""COMPUTED_VALUE"""),45946.0)</f>
        <v>45946</v>
      </c>
      <c r="B176" s="87" t="str">
        <f>IFERROR(__xludf.DUMMYFUNCTION("""COMPUTED_VALUE"""),"Gessert ")</f>
        <v>Gessert </v>
      </c>
      <c r="C176">
        <f>IFERROR(__xludf.DUMMYFUNCTION("""COMPUTED_VALUE"""),57840.0)</f>
        <v>57840</v>
      </c>
      <c r="D176" s="136">
        <f>IFERROR(__xludf.DUMMYFUNCTION("""COMPUTED_VALUE"""),16.4)</f>
        <v>16.4</v>
      </c>
      <c r="E176" s="137" t="str">
        <f>IFERROR(__xludf.DUMMYFUNCTION("""COMPUTED_VALUE"""),"Non-GMO Yellow Corn")</f>
        <v>Non-GMO Yellow Corn</v>
      </c>
      <c r="F176" s="138" t="str">
        <f>IFERROR(__xludf.DUMMYFUNCTION("""COMPUTED_VALUE"""),"B0119084")</f>
        <v>B0119084</v>
      </c>
      <c r="G176" t="str">
        <f>IFERROR(__xludf.DUMMYFUNCTION("""COMPUTED_VALUE"""),"HBT#5930 TL Trk # 2")</f>
        <v>HBT#5930 TL Trk # 2</v>
      </c>
      <c r="H176" s="50"/>
      <c r="I176" s="139">
        <f t="shared" si="10"/>
        <v>0</v>
      </c>
      <c r="J176" s="50">
        <f t="shared" si="2"/>
        <v>1011.167143</v>
      </c>
      <c r="K176" s="140">
        <f t="shared" si="3"/>
        <v>1011.167143</v>
      </c>
      <c r="L176" s="142">
        <v>1.5</v>
      </c>
      <c r="M176" s="141">
        <f>sumif(Farms!$C$68:$C$104,E176,Farms!$F$68:$F$104)</f>
        <v>56</v>
      </c>
      <c r="N176" s="141">
        <f>sumif(Farms!$C$68:$C$104,E176,Farms!$G$68:$G$104)</f>
        <v>15</v>
      </c>
    </row>
    <row r="177">
      <c r="A177" s="135">
        <f>IFERROR(__xludf.DUMMYFUNCTION("""COMPUTED_VALUE"""),45946.0)</f>
        <v>45946</v>
      </c>
      <c r="B177" s="87" t="str">
        <f>IFERROR(__xludf.DUMMYFUNCTION("""COMPUTED_VALUE"""),"Gessert ")</f>
        <v>Gessert </v>
      </c>
      <c r="C177">
        <f>IFERROR(__xludf.DUMMYFUNCTION("""COMPUTED_VALUE"""),57740.0)</f>
        <v>57740</v>
      </c>
      <c r="D177" s="136">
        <f>IFERROR(__xludf.DUMMYFUNCTION("""COMPUTED_VALUE"""),15.9)</f>
        <v>15.9</v>
      </c>
      <c r="E177" s="137" t="str">
        <f>IFERROR(__xludf.DUMMYFUNCTION("""COMPUTED_VALUE"""),"Non-GMO Yellow Corn")</f>
        <v>Non-GMO Yellow Corn</v>
      </c>
      <c r="F177" s="138" t="str">
        <f>IFERROR(__xludf.DUMMYFUNCTION("""COMPUTED_VALUE"""),"B0119087")</f>
        <v>B0119087</v>
      </c>
      <c r="G177" t="str">
        <f>IFERROR(__xludf.DUMMYFUNCTION("""COMPUTED_VALUE"""),"HBT#5020 Bob Trk # 3")</f>
        <v>HBT#5020 Bob Trk # 3</v>
      </c>
      <c r="H177" s="50"/>
      <c r="I177" s="139">
        <f t="shared" si="10"/>
        <v>0</v>
      </c>
      <c r="J177" s="50">
        <f t="shared" si="2"/>
        <v>1017.151964</v>
      </c>
      <c r="K177" s="140">
        <f t="shared" si="3"/>
        <v>1017.151964</v>
      </c>
      <c r="L177" s="142">
        <v>1.5</v>
      </c>
      <c r="M177" s="142">
        <v>56.0</v>
      </c>
      <c r="N177" s="141">
        <f>sumif(Farms!$C$68:$C$104,E177,Farms!$G$68:$G$104)</f>
        <v>15</v>
      </c>
    </row>
    <row r="178">
      <c r="A178" s="135">
        <f>IFERROR(__xludf.DUMMYFUNCTION("""COMPUTED_VALUE"""),45946.0)</f>
        <v>45946</v>
      </c>
      <c r="B178" s="87" t="str">
        <f>IFERROR(__xludf.DUMMYFUNCTION("""COMPUTED_VALUE"""),"Gessert ")</f>
        <v>Gessert </v>
      </c>
      <c r="C178">
        <f>IFERROR(__xludf.DUMMYFUNCTION("""COMPUTED_VALUE"""),57480.0)</f>
        <v>57480</v>
      </c>
      <c r="D178" s="136">
        <f>IFERROR(__xludf.DUMMYFUNCTION("""COMPUTED_VALUE"""),16.3)</f>
        <v>16.3</v>
      </c>
      <c r="E178" s="137" t="str">
        <f>IFERROR(__xludf.DUMMYFUNCTION("""COMPUTED_VALUE"""),"Non-GMO Yellow Corn")</f>
        <v>Non-GMO Yellow Corn</v>
      </c>
      <c r="F178" s="138" t="str">
        <f>IFERROR(__xludf.DUMMYFUNCTION("""COMPUTED_VALUE"""),"B0119090")</f>
        <v>B0119090</v>
      </c>
      <c r="G178" t="str">
        <f>IFERROR(__xludf.DUMMYFUNCTION("""COMPUTED_VALUE"""),"HBT#5803 BK Trk # 4")</f>
        <v>HBT#5803 BK Trk # 4</v>
      </c>
      <c r="H178" s="50"/>
      <c r="I178" s="139">
        <f t="shared" si="10"/>
        <v>0</v>
      </c>
      <c r="J178" s="50">
        <f t="shared" si="2"/>
        <v>1026.428571</v>
      </c>
      <c r="K178" s="140">
        <f t="shared" si="3"/>
        <v>1026.428571</v>
      </c>
      <c r="L178" s="142">
        <v>0.0</v>
      </c>
      <c r="M178" s="141">
        <f>sumif(Farms!$C$68:$C$104,E178,Farms!$F$68:$F$104)</f>
        <v>56</v>
      </c>
      <c r="N178" s="142">
        <v>15.0</v>
      </c>
    </row>
    <row r="179">
      <c r="A179" s="135">
        <f>IFERROR(__xludf.DUMMYFUNCTION("""COMPUTED_VALUE"""),45946.0)</f>
        <v>45946</v>
      </c>
      <c r="B179" s="87" t="str">
        <f>IFERROR(__xludf.DUMMYFUNCTION("""COMPUTED_VALUE"""),"Gessert ")</f>
        <v>Gessert </v>
      </c>
      <c r="C179">
        <f>IFERROR(__xludf.DUMMYFUNCTION("""COMPUTED_VALUE"""),57800.0)</f>
        <v>57800</v>
      </c>
      <c r="D179" s="136">
        <f>IFERROR(__xludf.DUMMYFUNCTION("""COMPUTED_VALUE"""),16.2)</f>
        <v>16.2</v>
      </c>
      <c r="E179" s="137" t="str">
        <f>IFERROR(__xludf.DUMMYFUNCTION("""COMPUTED_VALUE"""),"Non-GMO Yellow Corn")</f>
        <v>Non-GMO Yellow Corn</v>
      </c>
      <c r="F179" s="138" t="str">
        <f>IFERROR(__xludf.DUMMYFUNCTION("""COMPUTED_VALUE"""),"B0119096")</f>
        <v>B0119096</v>
      </c>
      <c r="G179" t="str">
        <f>IFERROR(__xludf.DUMMYFUNCTION("""COMPUTED_VALUE"""),"HBT#5931 TL Trk # 2")</f>
        <v>HBT#5931 TL Trk # 2</v>
      </c>
      <c r="H179" s="50"/>
      <c r="I179" s="139">
        <f t="shared" si="10"/>
        <v>0</v>
      </c>
      <c r="J179" s="50">
        <f t="shared" si="2"/>
        <v>1013.564286</v>
      </c>
      <c r="K179" s="140">
        <f t="shared" si="3"/>
        <v>1013.564286</v>
      </c>
      <c r="L179" s="141">
        <f>sumif(Farms!$C$68:$C$104,E179,Farms!$D$68:$D$104)</f>
        <v>1.5</v>
      </c>
      <c r="M179" s="141">
        <f>sumif(Farms!$C$68:$C$104,E179,Farms!$F$68:$F$104)</f>
        <v>56</v>
      </c>
      <c r="N179" s="141">
        <f>sumif(Farms!$C$68:$C$104,E179,Farms!$G$68:$G$104)</f>
        <v>15</v>
      </c>
    </row>
    <row r="180">
      <c r="A180" s="135">
        <f>IFERROR(__xludf.DUMMYFUNCTION("""COMPUTED_VALUE"""),45946.0)</f>
        <v>45946</v>
      </c>
      <c r="B180" s="87" t="str">
        <f>IFERROR(__xludf.DUMMYFUNCTION("""COMPUTED_VALUE"""),"Gessert ")</f>
        <v>Gessert </v>
      </c>
      <c r="C180">
        <f>IFERROR(__xludf.DUMMYFUNCTION("""COMPUTED_VALUE"""),57720.0)</f>
        <v>57720</v>
      </c>
      <c r="D180" s="136">
        <f>IFERROR(__xludf.DUMMYFUNCTION("""COMPUTED_VALUE"""),16.0)</f>
        <v>16</v>
      </c>
      <c r="E180" s="137" t="str">
        <f>IFERROR(__xludf.DUMMYFUNCTION("""COMPUTED_VALUE"""),"Non-GMO Yellow Corn")</f>
        <v>Non-GMO Yellow Corn</v>
      </c>
      <c r="F180" s="138" t="str">
        <f>IFERROR(__xludf.DUMMYFUNCTION("""COMPUTED_VALUE"""),"B0119102")</f>
        <v>B0119102</v>
      </c>
      <c r="G180" t="str">
        <f>IFERROR(__xludf.DUMMYFUNCTION("""COMPUTED_VALUE"""),"HBT#5221 Bob Trk # 3")</f>
        <v>HBT#5221 Bob Trk # 3</v>
      </c>
      <c r="H180" s="50"/>
      <c r="I180" s="139">
        <f t="shared" si="10"/>
        <v>0</v>
      </c>
      <c r="J180" s="50">
        <f t="shared" si="2"/>
        <v>1015.253571</v>
      </c>
      <c r="K180" s="140">
        <f t="shared" si="3"/>
        <v>1015.253571</v>
      </c>
      <c r="L180" s="141">
        <f>sumif(Farms!$C$68:$C$104,E180,Farms!$D$68:$D$104)</f>
        <v>1.5</v>
      </c>
      <c r="M180" s="141">
        <f>sumif(Farms!$C$68:$C$104,E180,Farms!$F$68:$F$104)</f>
        <v>56</v>
      </c>
      <c r="N180" s="141">
        <f>sumif(Farms!$C$68:$C$104,E180,Farms!$G$68:$G$104)</f>
        <v>15</v>
      </c>
    </row>
    <row r="181">
      <c r="A181" s="135">
        <f>IFERROR(__xludf.DUMMYFUNCTION("""COMPUTED_VALUE"""),45946.0)</f>
        <v>45946</v>
      </c>
      <c r="B181" s="87" t="str">
        <f>IFERROR(__xludf.DUMMYFUNCTION("""COMPUTED_VALUE"""),"Gessert ")</f>
        <v>Gessert </v>
      </c>
      <c r="C181">
        <f>IFERROR(__xludf.DUMMYFUNCTION("""COMPUTED_VALUE"""),57420.0)</f>
        <v>57420</v>
      </c>
      <c r="D181" s="136">
        <f>IFERROR(__xludf.DUMMYFUNCTION("""COMPUTED_VALUE"""),16.9)</f>
        <v>16.9</v>
      </c>
      <c r="E181" s="137" t="str">
        <f>IFERROR(__xludf.DUMMYFUNCTION("""COMPUTED_VALUE"""),"Non-GMO Yellow Corn")</f>
        <v>Non-GMO Yellow Corn</v>
      </c>
      <c r="F181" s="138" t="str">
        <f>IFERROR(__xludf.DUMMYFUNCTION("""COMPUTED_VALUE"""),"B0119103")</f>
        <v>B0119103</v>
      </c>
      <c r="G181" t="str">
        <f>IFERROR(__xludf.DUMMYFUNCTION("""COMPUTED_VALUE"""),"HBT#5804 BK Trk # 4")</f>
        <v>HBT#5804 BK Trk # 4</v>
      </c>
      <c r="H181" s="50"/>
      <c r="I181" s="139">
        <f t="shared" si="10"/>
        <v>0</v>
      </c>
      <c r="J181" s="50">
        <f t="shared" si="2"/>
        <v>996.1344643</v>
      </c>
      <c r="K181" s="140">
        <f t="shared" si="3"/>
        <v>996.1344643</v>
      </c>
      <c r="L181" s="141">
        <f>sumif(Farms!$C$68:$C$104,E181,Farms!$D$68:$D$104)</f>
        <v>1.5</v>
      </c>
      <c r="M181" s="141">
        <f>sumif(Farms!$C$68:$C$104,E181,Farms!$F$68:$F$104)</f>
        <v>56</v>
      </c>
      <c r="N181" s="141">
        <f>sumif(Farms!$C$68:$C$104,E181,Farms!$G$68:$G$104)</f>
        <v>15</v>
      </c>
    </row>
    <row r="182">
      <c r="A182" s="135">
        <f>IFERROR(__xludf.DUMMYFUNCTION("""COMPUTED_VALUE"""),45946.0)</f>
        <v>45946</v>
      </c>
      <c r="B182" s="87" t="str">
        <f>IFERROR(__xludf.DUMMYFUNCTION("""COMPUTED_VALUE"""),"Gessert ")</f>
        <v>Gessert </v>
      </c>
      <c r="C182">
        <f>IFERROR(__xludf.DUMMYFUNCTION("""COMPUTED_VALUE"""),57880.0)</f>
        <v>57880</v>
      </c>
      <c r="D182" s="136">
        <f>IFERROR(__xludf.DUMMYFUNCTION("""COMPUTED_VALUE"""),16.3)</f>
        <v>16.3</v>
      </c>
      <c r="E182" s="137" t="str">
        <f>IFERROR(__xludf.DUMMYFUNCTION("""COMPUTED_VALUE"""),"Non-GMO Yellow Corn")</f>
        <v>Non-GMO Yellow Corn</v>
      </c>
      <c r="F182" s="138" t="str">
        <f>IFERROR(__xludf.DUMMYFUNCTION("""COMPUTED_VALUE"""),"B0119108")</f>
        <v>B0119108</v>
      </c>
      <c r="G182" t="str">
        <f>IFERROR(__xludf.DUMMYFUNCTION("""COMPUTED_VALUE"""),"HBT#5932 TL Trk # 2")</f>
        <v>HBT#5932 TL Trk # 2</v>
      </c>
      <c r="H182" s="50"/>
      <c r="I182" s="139">
        <f t="shared" si="10"/>
        <v>0</v>
      </c>
      <c r="J182" s="50">
        <f t="shared" si="2"/>
        <v>1013.416786</v>
      </c>
      <c r="K182" s="140">
        <f t="shared" si="3"/>
        <v>1013.416786</v>
      </c>
      <c r="L182" s="141">
        <f>sumif(Farms!$C$68:$C$104,E182,Farms!$D$68:$D$104)</f>
        <v>1.5</v>
      </c>
      <c r="M182" s="141">
        <f>sumif(Farms!$C$68:$C$104,E182,Farms!$F$68:$F$104)</f>
        <v>56</v>
      </c>
      <c r="N182" s="141">
        <f>sumif(Farms!$C$68:$C$104,E182,Farms!$G$68:$G$104)</f>
        <v>15</v>
      </c>
    </row>
    <row r="183">
      <c r="A183" s="135">
        <f>IFERROR(__xludf.DUMMYFUNCTION("""COMPUTED_VALUE"""),45946.0)</f>
        <v>45946</v>
      </c>
      <c r="B183" s="87" t="str">
        <f>IFERROR(__xludf.DUMMYFUNCTION("""COMPUTED_VALUE"""),"Gessert ")</f>
        <v>Gessert </v>
      </c>
      <c r="C183">
        <f>IFERROR(__xludf.DUMMYFUNCTION("""COMPUTED_VALUE"""),57400.0)</f>
        <v>57400</v>
      </c>
      <c r="D183" s="136">
        <f>IFERROR(__xludf.DUMMYFUNCTION("""COMPUTED_VALUE"""),16.4)</f>
        <v>16.4</v>
      </c>
      <c r="E183" s="137" t="str">
        <f>IFERROR(__xludf.DUMMYFUNCTION("""COMPUTED_VALUE"""),"Non-GMO Yellow Corn")</f>
        <v>Non-GMO Yellow Corn</v>
      </c>
      <c r="F183" s="138" t="str">
        <f>IFERROR(__xludf.DUMMYFUNCTION("""COMPUTED_VALUE"""),"B0119111")</f>
        <v>B0119111</v>
      </c>
      <c r="G183" t="str">
        <f>IFERROR(__xludf.DUMMYFUNCTION("""COMPUTED_VALUE"""),"HBT#5021 Bob Trk #3")</f>
        <v>HBT#5021 Bob Trk #3</v>
      </c>
      <c r="H183" s="50"/>
      <c r="I183" s="139">
        <f t="shared" si="10"/>
        <v>0</v>
      </c>
      <c r="J183" s="50">
        <f t="shared" si="2"/>
        <v>1003.475</v>
      </c>
      <c r="K183" s="140">
        <f t="shared" si="3"/>
        <v>1003.475</v>
      </c>
      <c r="L183" s="141">
        <f>sumif(Farms!$C$68:$C$104,E183,Farms!$D$68:$D$104)</f>
        <v>1.5</v>
      </c>
      <c r="M183" s="141">
        <f>sumif(Farms!$C$68:$C$104,E183,Farms!$F$68:$F$104)</f>
        <v>56</v>
      </c>
      <c r="N183" s="141">
        <f>sumif(Farms!$C$68:$C$104,E183,Farms!$G$68:$G$104)</f>
        <v>15</v>
      </c>
      <c r="O183" s="46" t="s">
        <v>152</v>
      </c>
    </row>
    <row r="184">
      <c r="A184" s="135">
        <f>IFERROR(__xludf.DUMMYFUNCTION("""COMPUTED_VALUE"""),45946.0)</f>
        <v>45946</v>
      </c>
      <c r="B184" s="87" t="str">
        <f>IFERROR(__xludf.DUMMYFUNCTION("""COMPUTED_VALUE"""),"Gessert ")</f>
        <v>Gessert </v>
      </c>
      <c r="C184">
        <f>IFERROR(__xludf.DUMMYFUNCTION("""COMPUTED_VALUE"""),57960.0)</f>
        <v>57960</v>
      </c>
      <c r="D184" s="136">
        <f>IFERROR(__xludf.DUMMYFUNCTION("""COMPUTED_VALUE"""),16.0)</f>
        <v>16</v>
      </c>
      <c r="E184" s="137" t="str">
        <f>IFERROR(__xludf.DUMMYFUNCTION("""COMPUTED_VALUE"""),"Non-GMO Yellow Corn")</f>
        <v>Non-GMO Yellow Corn</v>
      </c>
      <c r="F184" s="138" t="str">
        <f>IFERROR(__xludf.DUMMYFUNCTION("""COMPUTED_VALUE"""),"B0119118")</f>
        <v>B0119118</v>
      </c>
      <c r="G184" t="str">
        <f>IFERROR(__xludf.DUMMYFUNCTION("""COMPUTED_VALUE"""),"HBT#5222 BK Trk #5")</f>
        <v>HBT#5222 BK Trk #5</v>
      </c>
      <c r="H184" s="50"/>
      <c r="I184" s="139">
        <f t="shared" si="10"/>
        <v>0</v>
      </c>
      <c r="J184" s="50">
        <f t="shared" si="2"/>
        <v>1019.475</v>
      </c>
      <c r="K184" s="140">
        <f t="shared" si="3"/>
        <v>1019.475</v>
      </c>
      <c r="L184" s="141">
        <f>sumif(Farms!$C$68:$C$104,E184,Farms!$D$68:$D$104)</f>
        <v>1.5</v>
      </c>
      <c r="M184" s="141">
        <f>sumif(Farms!$C$68:$C$104,E184,Farms!$F$68:$F$104)</f>
        <v>56</v>
      </c>
      <c r="N184" s="141">
        <f>sumif(Farms!$C$68:$C$104,E184,Farms!$G$68:$G$104)</f>
        <v>15</v>
      </c>
    </row>
    <row r="185">
      <c r="A185" s="135">
        <f>IFERROR(__xludf.DUMMYFUNCTION("""COMPUTED_VALUE"""),45947.0)</f>
        <v>45947</v>
      </c>
      <c r="B185" s="87" t="str">
        <f>IFERROR(__xludf.DUMMYFUNCTION("""COMPUTED_VALUE"""),"Gessert ")</f>
        <v>Gessert </v>
      </c>
      <c r="C185">
        <f>IFERROR(__xludf.DUMMYFUNCTION("""COMPUTED_VALUE"""),57760.0)</f>
        <v>57760</v>
      </c>
      <c r="D185" s="136">
        <f>IFERROR(__xludf.DUMMYFUNCTION("""COMPUTED_VALUE"""),15.7)</f>
        <v>15.7</v>
      </c>
      <c r="E185" s="137" t="str">
        <f>IFERROR(__xludf.DUMMYFUNCTION("""COMPUTED_VALUE"""),"Non-GMO Yellow Corn")</f>
        <v>Non-GMO Yellow Corn</v>
      </c>
      <c r="F185" s="138" t="str">
        <f>IFERROR(__xludf.DUMMYFUNCTION("""COMPUTED_VALUE"""),"B0119147")</f>
        <v>B0119147</v>
      </c>
      <c r="G185" t="str">
        <f>IFERROR(__xludf.DUMMYFUNCTION("""COMPUTED_VALUE"""),"HBT#5024 Bob Trk 3")</f>
        <v>HBT#5024 Bob Trk 3</v>
      </c>
      <c r="H185" s="50"/>
      <c r="I185" s="139">
        <f t="shared" si="10"/>
        <v>0</v>
      </c>
      <c r="J185" s="50">
        <f t="shared" si="2"/>
        <v>1020.598571</v>
      </c>
      <c r="K185" s="140">
        <f t="shared" si="3"/>
        <v>1020.598571</v>
      </c>
      <c r="L185" s="141">
        <f>sumif(Farms!$C$68:$C$104,E185,Farms!$D$68:$D$104)</f>
        <v>1.5</v>
      </c>
      <c r="M185" s="141">
        <f>sumif(Farms!$C$68:$C$104,E185,Farms!$F$68:$F$104)</f>
        <v>56</v>
      </c>
      <c r="N185" s="141">
        <f>sumif(Farms!$C$68:$C$104,E185,Farms!$G$68:$G$104)</f>
        <v>15</v>
      </c>
    </row>
    <row r="186">
      <c r="A186" s="135">
        <f>IFERROR(__xludf.DUMMYFUNCTION("""COMPUTED_VALUE"""),45947.0)</f>
        <v>45947</v>
      </c>
      <c r="B186" s="87" t="str">
        <f>IFERROR(__xludf.DUMMYFUNCTION("""COMPUTED_VALUE"""),"Gessert ")</f>
        <v>Gessert </v>
      </c>
      <c r="C186">
        <f>IFERROR(__xludf.DUMMYFUNCTION("""COMPUTED_VALUE"""),57520.0)</f>
        <v>57520</v>
      </c>
      <c r="D186" s="136">
        <f>IFERROR(__xludf.DUMMYFUNCTION("""COMPUTED_VALUE"""),16.3)</f>
        <v>16.3</v>
      </c>
      <c r="E186" s="137" t="str">
        <f>IFERROR(__xludf.DUMMYFUNCTION("""COMPUTED_VALUE"""),"Non-GMO Yellow Corn")</f>
        <v>Non-GMO Yellow Corn</v>
      </c>
      <c r="F186" s="138" t="str">
        <f>IFERROR(__xludf.DUMMYFUNCTION("""COMPUTED_VALUE"""),"B0119154")</f>
        <v>B0119154</v>
      </c>
      <c r="G186" t="str">
        <f>IFERROR(__xludf.DUMMYFUNCTION("""COMPUTED_VALUE"""),"HBT#5379 Jack  Trk 63")</f>
        <v>HBT#5379 Jack  Trk 63</v>
      </c>
      <c r="H186" s="50"/>
      <c r="I186" s="139">
        <f t="shared" si="10"/>
        <v>0</v>
      </c>
      <c r="J186" s="50">
        <f t="shared" si="2"/>
        <v>1007.113571</v>
      </c>
      <c r="K186" s="140">
        <f t="shared" si="3"/>
        <v>1007.113571</v>
      </c>
      <c r="L186" s="141">
        <f>sumif(Farms!$C$68:$C$104,E186,Farms!$D$68:$D$104)</f>
        <v>1.5</v>
      </c>
      <c r="M186" s="141">
        <f>sumif(Farms!$C$68:$C$104,E186,Farms!$F$68:$F$104)</f>
        <v>56</v>
      </c>
      <c r="N186" s="141">
        <f>sumif(Farms!$C$68:$C$104,E186,Farms!$G$68:$G$104)</f>
        <v>15</v>
      </c>
    </row>
    <row r="187">
      <c r="A187" s="135">
        <f>IFERROR(__xludf.DUMMYFUNCTION("""COMPUTED_VALUE"""),45947.0)</f>
        <v>45947</v>
      </c>
      <c r="B187" s="87" t="str">
        <f>IFERROR(__xludf.DUMMYFUNCTION("""COMPUTED_VALUE"""),"Gessert ")</f>
        <v>Gessert </v>
      </c>
      <c r="C187">
        <f>IFERROR(__xludf.DUMMYFUNCTION("""COMPUTED_VALUE"""),59320.0)</f>
        <v>59320</v>
      </c>
      <c r="D187" s="136">
        <f>IFERROR(__xludf.DUMMYFUNCTION("""COMPUTED_VALUE"""),16.2)</f>
        <v>16.2</v>
      </c>
      <c r="E187" s="137" t="str">
        <f>IFERROR(__xludf.DUMMYFUNCTION("""COMPUTED_VALUE"""),"Non-GMO Yellow Corn")</f>
        <v>Non-GMO Yellow Corn</v>
      </c>
      <c r="F187" s="138" t="str">
        <f>IFERROR(__xludf.DUMMYFUNCTION("""COMPUTED_VALUE"""),"B0119160")</f>
        <v>B0119160</v>
      </c>
      <c r="G187" t="str">
        <f>IFERROR(__xludf.DUMMYFUNCTION("""COMPUTED_VALUE"""),"HBT#5025 Bob Trk 63")</f>
        <v>HBT#5025 Bob Trk 63</v>
      </c>
      <c r="H187" s="50"/>
      <c r="I187" s="139">
        <f t="shared" si="10"/>
        <v>0</v>
      </c>
      <c r="J187" s="50">
        <f t="shared" si="2"/>
        <v>1040.218571</v>
      </c>
      <c r="K187" s="140">
        <f t="shared" si="3"/>
        <v>1040.218571</v>
      </c>
      <c r="L187" s="141">
        <f>sumif(Farms!$C$68:$C$104,E187,Farms!$D$68:$D$104)</f>
        <v>1.5</v>
      </c>
      <c r="M187" s="141">
        <f>sumif(Farms!$C$68:$C$104,E187,Farms!$F$68:$F$104)</f>
        <v>56</v>
      </c>
      <c r="N187" s="141">
        <f>sumif(Farms!$C$68:$C$104,E187,Farms!$G$68:$G$104)</f>
        <v>15</v>
      </c>
    </row>
    <row r="188">
      <c r="A188" s="135">
        <f>IFERROR(__xludf.DUMMYFUNCTION("""COMPUTED_VALUE"""),45947.0)</f>
        <v>45947</v>
      </c>
      <c r="B188" s="87" t="str">
        <f>IFERROR(__xludf.DUMMYFUNCTION("""COMPUTED_VALUE"""),"Gessert ")</f>
        <v>Gessert </v>
      </c>
      <c r="C188">
        <f>IFERROR(__xludf.DUMMYFUNCTION("""COMPUTED_VALUE"""),59280.0)</f>
        <v>59280</v>
      </c>
      <c r="D188" s="136">
        <f>IFERROR(__xludf.DUMMYFUNCTION("""COMPUTED_VALUE"""),17.0)</f>
        <v>17</v>
      </c>
      <c r="E188" s="137" t="str">
        <f>IFERROR(__xludf.DUMMYFUNCTION("""COMPUTED_VALUE"""),"Non-GMO Yellow Corn")</f>
        <v>Non-GMO Yellow Corn</v>
      </c>
      <c r="F188" s="138" t="str">
        <f>IFERROR(__xludf.DUMMYFUNCTION("""COMPUTED_VALUE"""),"B0119166")</f>
        <v>B0119166</v>
      </c>
      <c r="G188" t="str">
        <f>IFERROR(__xludf.DUMMYFUNCTION("""COMPUTED_VALUE"""),"HBT#5808 BK Trk 4")</f>
        <v>HBT#5808 BK Trk 4</v>
      </c>
      <c r="H188" s="50"/>
      <c r="I188" s="139">
        <f t="shared" si="10"/>
        <v>0</v>
      </c>
      <c r="J188" s="50">
        <f t="shared" si="2"/>
        <v>1026.814286</v>
      </c>
      <c r="K188" s="140">
        <f t="shared" si="3"/>
        <v>1026.814286</v>
      </c>
      <c r="L188" s="141">
        <f>sumif(Farms!$C$68:$C$104,E188,Farms!$D$68:$D$104)</f>
        <v>1.5</v>
      </c>
      <c r="M188" s="141">
        <f>sumif(Farms!$C$68:$C$104,E188,Farms!$F$68:$F$104)</f>
        <v>56</v>
      </c>
      <c r="N188" s="141">
        <f>sumif(Farms!$C$68:$C$104,E188,Farms!$G$68:$G$104)</f>
        <v>15</v>
      </c>
    </row>
    <row r="189">
      <c r="A189" s="135">
        <f>IFERROR(__xludf.DUMMYFUNCTION("""COMPUTED_VALUE"""),45947.0)</f>
        <v>45947</v>
      </c>
      <c r="B189" s="87" t="str">
        <f>IFERROR(__xludf.DUMMYFUNCTION("""COMPUTED_VALUE"""),"Gessert ")</f>
        <v>Gessert </v>
      </c>
      <c r="C189">
        <f>IFERROR(__xludf.DUMMYFUNCTION("""COMPUTED_VALUE"""),57800.0)</f>
        <v>57800</v>
      </c>
      <c r="D189" s="136">
        <f>IFERROR(__xludf.DUMMYFUNCTION("""COMPUTED_VALUE"""),16.2)</f>
        <v>16.2</v>
      </c>
      <c r="E189" s="137" t="str">
        <f>IFERROR(__xludf.DUMMYFUNCTION("""COMPUTED_VALUE"""),"Non-GMO Yellow Corn")</f>
        <v>Non-GMO Yellow Corn</v>
      </c>
      <c r="F189" s="138" t="str">
        <f>IFERROR(__xludf.DUMMYFUNCTION("""COMPUTED_VALUE"""),"B0119169")</f>
        <v>B0119169</v>
      </c>
      <c r="G189" t="str">
        <f>IFERROR(__xludf.DUMMYFUNCTION("""COMPUTED_VALUE"""),"HBT#5380 Jack Trk 63")</f>
        <v>HBT#5380 Jack Trk 63</v>
      </c>
      <c r="H189" s="50"/>
      <c r="I189" s="139">
        <f t="shared" si="10"/>
        <v>0</v>
      </c>
      <c r="J189" s="50">
        <f t="shared" si="2"/>
        <v>1013.564286</v>
      </c>
      <c r="K189" s="140">
        <f t="shared" si="3"/>
        <v>1013.564286</v>
      </c>
      <c r="L189" s="141">
        <f>sumif(Farms!$C$68:$C$104,E189,Farms!$D$68:$D$104)</f>
        <v>1.5</v>
      </c>
      <c r="M189" s="141">
        <f>sumif(Farms!$C$68:$C$104,E189,Farms!$F$68:$F$104)</f>
        <v>56</v>
      </c>
      <c r="N189" s="141">
        <f>sumif(Farms!$C$68:$C$104,E189,Farms!$G$68:$G$104)</f>
        <v>15</v>
      </c>
      <c r="O189" s="46" t="s">
        <v>152</v>
      </c>
    </row>
    <row r="190">
      <c r="A190" s="135">
        <f>IFERROR(__xludf.DUMMYFUNCTION("""COMPUTED_VALUE"""),45947.0)</f>
        <v>45947</v>
      </c>
      <c r="B190" s="87" t="str">
        <f>IFERROR(__xludf.DUMMYFUNCTION("""COMPUTED_VALUE"""),"Gessert ")</f>
        <v>Gessert </v>
      </c>
      <c r="C190">
        <f>IFERROR(__xludf.DUMMYFUNCTION("""COMPUTED_VALUE"""),57680.0)</f>
        <v>57680</v>
      </c>
      <c r="D190" s="136">
        <f>IFERROR(__xludf.DUMMYFUNCTION("""COMPUTED_VALUE"""),16.4)</f>
        <v>16.4</v>
      </c>
      <c r="E190" s="137" t="str">
        <f>IFERROR(__xludf.DUMMYFUNCTION("""COMPUTED_VALUE"""),"Non-GMO Yellow Corn")</f>
        <v>Non-GMO Yellow Corn</v>
      </c>
      <c r="F190" s="138" t="str">
        <f>IFERROR(__xludf.DUMMYFUNCTION("""COMPUTED_VALUE"""),"B0119172")</f>
        <v>B0119172</v>
      </c>
      <c r="G190" t="str">
        <f>IFERROR(__xludf.DUMMYFUNCTION("""COMPUTED_VALUE"""),"HBT#5934 Mike  Trk# 2")</f>
        <v>HBT#5934 Mike  Trk# 2</v>
      </c>
      <c r="H190" s="50"/>
      <c r="I190" s="139">
        <f t="shared" si="10"/>
        <v>0</v>
      </c>
      <c r="J190" s="50">
        <f t="shared" si="2"/>
        <v>1008.37</v>
      </c>
      <c r="K190" s="140">
        <f t="shared" si="3"/>
        <v>1008.37</v>
      </c>
      <c r="L190" s="141">
        <f>sumif(Farms!$C$68:$C$104,E190,Farms!$D$68:$D$104)</f>
        <v>1.5</v>
      </c>
      <c r="M190" s="141">
        <f>sumif(Farms!$C$68:$C$104,E190,Farms!$F$68:$F$104)</f>
        <v>56</v>
      </c>
      <c r="N190" s="141">
        <f>sumif(Farms!$C$68:$C$104,E190,Farms!$G$68:$G$104)</f>
        <v>15</v>
      </c>
      <c r="O190" s="46" t="s">
        <v>152</v>
      </c>
    </row>
    <row r="191">
      <c r="A191" s="135">
        <f>IFERROR(__xludf.DUMMYFUNCTION("""COMPUTED_VALUE"""),45947.0)</f>
        <v>45947</v>
      </c>
      <c r="B191" s="87" t="str">
        <f>IFERROR(__xludf.DUMMYFUNCTION("""COMPUTED_VALUE"""),"Gessert ")</f>
        <v>Gessert </v>
      </c>
      <c r="C191">
        <f>IFERROR(__xludf.DUMMYFUNCTION("""COMPUTED_VALUE"""),57600.0)</f>
        <v>57600</v>
      </c>
      <c r="D191" s="136">
        <f>IFERROR(__xludf.DUMMYFUNCTION("""COMPUTED_VALUE"""),16.0)</f>
        <v>16</v>
      </c>
      <c r="E191" s="137" t="str">
        <f>IFERROR(__xludf.DUMMYFUNCTION("""COMPUTED_VALUE"""),"Non-GMO Yellow Corn")</f>
        <v>Non-GMO Yellow Corn</v>
      </c>
      <c r="F191" s="138" t="str">
        <f>IFERROR(__xludf.DUMMYFUNCTION("""COMPUTED_VALUE"""),"B0119173")</f>
        <v>B0119173</v>
      </c>
      <c r="G191" t="str">
        <f>IFERROR(__xludf.DUMMYFUNCTION("""COMPUTED_VALUE"""),"HBT#5026 Bob Trk 3")</f>
        <v>HBT#5026 Bob Trk 3</v>
      </c>
      <c r="H191" s="50"/>
      <c r="I191" s="139">
        <f t="shared" si="10"/>
        <v>0</v>
      </c>
      <c r="J191" s="50">
        <f t="shared" si="2"/>
        <v>1013.142857</v>
      </c>
      <c r="K191" s="140">
        <f t="shared" si="3"/>
        <v>1013.142857</v>
      </c>
      <c r="L191" s="141">
        <f>sumif(Farms!$C$68:$C$104,E191,Farms!$D$68:$D$104)</f>
        <v>1.5</v>
      </c>
      <c r="M191" s="141">
        <f>sumif(Farms!$C$68:$C$104,E191,Farms!$F$68:$F$104)</f>
        <v>56</v>
      </c>
      <c r="N191" s="141">
        <f>sumif(Farms!$C$68:$C$104,E191,Farms!$G$68:$G$104)</f>
        <v>15</v>
      </c>
    </row>
    <row r="192">
      <c r="A192" s="135">
        <f>IFERROR(__xludf.DUMMYFUNCTION("""COMPUTED_VALUE"""),45947.0)</f>
        <v>45947</v>
      </c>
      <c r="B192" s="87" t="str">
        <f>IFERROR(__xludf.DUMMYFUNCTION("""COMPUTED_VALUE"""),"Gessert ")</f>
        <v>Gessert </v>
      </c>
      <c r="C192">
        <f>IFERROR(__xludf.DUMMYFUNCTION("""COMPUTED_VALUE"""),57420.0)</f>
        <v>57420</v>
      </c>
      <c r="D192" s="136">
        <f>IFERROR(__xludf.DUMMYFUNCTION("""COMPUTED_VALUE"""),16.0)</f>
        <v>16</v>
      </c>
      <c r="E192" s="137" t="str">
        <f>IFERROR(__xludf.DUMMYFUNCTION("""COMPUTED_VALUE"""),"Non-GMO Yellow Corn")</f>
        <v>Non-GMO Yellow Corn</v>
      </c>
      <c r="F192" s="138" t="str">
        <f>IFERROR(__xludf.DUMMYFUNCTION("""COMPUTED_VALUE"""),"B0119177")</f>
        <v>B0119177</v>
      </c>
      <c r="G192" t="str">
        <f>IFERROR(__xludf.DUMMYFUNCTION("""COMPUTED_VALUE"""),"HBT#5809 BK Trk 4")</f>
        <v>HBT#5809 BK Trk 4</v>
      </c>
      <c r="H192" s="50"/>
      <c r="I192" s="139">
        <f t="shared" si="10"/>
        <v>0</v>
      </c>
      <c r="J192" s="50">
        <f t="shared" si="2"/>
        <v>1009.976786</v>
      </c>
      <c r="K192" s="140">
        <f t="shared" si="3"/>
        <v>1009.976786</v>
      </c>
      <c r="L192" s="141">
        <f>sumif(Farms!$C$68:$C$104,E192,Farms!$D$68:$D$104)</f>
        <v>1.5</v>
      </c>
      <c r="M192" s="141">
        <f>sumif(Farms!$C$68:$C$104,E192,Farms!$F$68:$F$104)</f>
        <v>56</v>
      </c>
      <c r="N192" s="141">
        <f>sumif(Farms!$C$68:$C$104,E192,Farms!$G$68:$G$104)</f>
        <v>15</v>
      </c>
    </row>
    <row r="193">
      <c r="A193" s="135">
        <f>IFERROR(__xludf.DUMMYFUNCTION("""COMPUTED_VALUE"""),45947.0)</f>
        <v>45947</v>
      </c>
      <c r="B193" s="87" t="str">
        <f>IFERROR(__xludf.DUMMYFUNCTION("""COMPUTED_VALUE"""),"Gessert ")</f>
        <v>Gessert </v>
      </c>
      <c r="C193">
        <f>IFERROR(__xludf.DUMMYFUNCTION("""COMPUTED_VALUE"""),57160.0)</f>
        <v>57160</v>
      </c>
      <c r="D193" s="136">
        <f>IFERROR(__xludf.DUMMYFUNCTION("""COMPUTED_VALUE"""),16.0)</f>
        <v>16</v>
      </c>
      <c r="E193" s="137" t="str">
        <f>IFERROR(__xludf.DUMMYFUNCTION("""COMPUTED_VALUE"""),"Non-GMO Yellow Corn")</f>
        <v>Non-GMO Yellow Corn</v>
      </c>
      <c r="F193" s="138" t="str">
        <f>IFERROR(__xludf.DUMMYFUNCTION("""COMPUTED_VALUE"""),"B0119179")</f>
        <v>B0119179</v>
      </c>
      <c r="G193" t="str">
        <f>IFERROR(__xludf.DUMMYFUNCTION("""COMPUTED_VALUE"""),"HBT#5381 Jack  Trk# 63")</f>
        <v>HBT#5381 Jack  Trk# 63</v>
      </c>
      <c r="H193" s="50"/>
      <c r="I193" s="139">
        <f t="shared" si="10"/>
        <v>0</v>
      </c>
      <c r="J193" s="50">
        <f t="shared" si="2"/>
        <v>1005.403571</v>
      </c>
      <c r="K193" s="140">
        <f t="shared" si="3"/>
        <v>1005.403571</v>
      </c>
      <c r="L193" s="141">
        <f>sumif(Farms!$C$68:$C$104,E193,Farms!$D$68:$D$104)</f>
        <v>1.5</v>
      </c>
      <c r="M193" s="141">
        <f>sumif(Farms!$C$68:$C$104,E193,Farms!$F$68:$F$104)</f>
        <v>56</v>
      </c>
      <c r="N193" s="141">
        <f>sumif(Farms!$C$68:$C$104,E193,Farms!$G$68:$G$104)</f>
        <v>15</v>
      </c>
    </row>
    <row r="194">
      <c r="A194" s="135">
        <f>IFERROR(__xludf.DUMMYFUNCTION("""COMPUTED_VALUE"""),45947.0)</f>
        <v>45947</v>
      </c>
      <c r="B194" s="87" t="str">
        <f>IFERROR(__xludf.DUMMYFUNCTION("""COMPUTED_VALUE"""),"Gessert ")</f>
        <v>Gessert </v>
      </c>
      <c r="C194">
        <f>IFERROR(__xludf.DUMMYFUNCTION("""COMPUTED_VALUE"""),58420.0)</f>
        <v>58420</v>
      </c>
      <c r="D194" s="136">
        <f>IFERROR(__xludf.DUMMYFUNCTION("""COMPUTED_VALUE"""),15.9)</f>
        <v>15.9</v>
      </c>
      <c r="E194" s="137" t="str">
        <f>IFERROR(__xludf.DUMMYFUNCTION("""COMPUTED_VALUE"""),"Non-GMO Yellow Corn")</f>
        <v>Non-GMO Yellow Corn</v>
      </c>
      <c r="F194" s="138" t="str">
        <f>IFERROR(__xludf.DUMMYFUNCTION("""COMPUTED_VALUE"""),"B0119192")</f>
        <v>B0119192</v>
      </c>
      <c r="G194" t="str">
        <f>IFERROR(__xludf.DUMMYFUNCTION("""COMPUTED_VALUE"""),"HBT#5810 BK  Trk# 4")</f>
        <v>HBT#5810 BK  Trk# 4</v>
      </c>
      <c r="H194" s="50"/>
      <c r="I194" s="139">
        <f t="shared" si="10"/>
        <v>0</v>
      </c>
      <c r="J194" s="50">
        <f t="shared" si="2"/>
        <v>1029.130893</v>
      </c>
      <c r="K194" s="140">
        <f t="shared" si="3"/>
        <v>1029.130893</v>
      </c>
      <c r="L194" s="141">
        <f>sumif(Farms!$C$68:$C$104,E194,Farms!$D$68:$D$104)</f>
        <v>1.5</v>
      </c>
      <c r="M194" s="141">
        <f>sumif(Farms!$C$68:$C$104,E194,Farms!$F$68:$F$104)</f>
        <v>56</v>
      </c>
      <c r="N194" s="141">
        <f>sumif(Farms!$C$68:$C$104,E194,Farms!$G$68:$G$104)</f>
        <v>15</v>
      </c>
    </row>
    <row r="195">
      <c r="A195" s="135">
        <f>IFERROR(__xludf.DUMMYFUNCTION("""COMPUTED_VALUE"""),45947.0)</f>
        <v>45947</v>
      </c>
      <c r="B195" s="87" t="str">
        <f>IFERROR(__xludf.DUMMYFUNCTION("""COMPUTED_VALUE"""),"Gessert ")</f>
        <v>Gessert </v>
      </c>
      <c r="C195">
        <f>IFERROR(__xludf.DUMMYFUNCTION("""COMPUTED_VALUE"""),58100.0)</f>
        <v>58100</v>
      </c>
      <c r="D195" s="136">
        <f>IFERROR(__xludf.DUMMYFUNCTION("""COMPUTED_VALUE"""),16.3)</f>
        <v>16.3</v>
      </c>
      <c r="E195" s="137" t="str">
        <f>IFERROR(__xludf.DUMMYFUNCTION("""COMPUTED_VALUE"""),"Non-GMO Yellow Corn")</f>
        <v>Non-GMO Yellow Corn</v>
      </c>
      <c r="F195" s="138" t="str">
        <f>IFERROR(__xludf.DUMMYFUNCTION("""COMPUTED_VALUE"""),"B0119193")</f>
        <v>B0119193</v>
      </c>
      <c r="G195" t="str">
        <f>IFERROR(__xludf.DUMMYFUNCTION("""COMPUTED_VALUE"""),"HBT#5027 Bob  Trk# 3")</f>
        <v>HBT#5027 Bob  Trk# 3</v>
      </c>
      <c r="H195" s="50"/>
      <c r="I195" s="139">
        <f t="shared" si="10"/>
        <v>0</v>
      </c>
      <c r="J195" s="50">
        <f t="shared" si="2"/>
        <v>1017.26875</v>
      </c>
      <c r="K195" s="140">
        <f t="shared" si="3"/>
        <v>1017.26875</v>
      </c>
      <c r="L195" s="141">
        <f>sumif(Farms!$C$68:$C$104,E195,Farms!$D$68:$D$104)</f>
        <v>1.5</v>
      </c>
      <c r="M195" s="141">
        <f>sumif(Farms!$C$68:$C$104,E195,Farms!$F$68:$F$104)</f>
        <v>56</v>
      </c>
      <c r="N195" s="141">
        <f>sumif(Farms!$C$68:$C$104,E195,Farms!$G$68:$G$104)</f>
        <v>15</v>
      </c>
    </row>
    <row r="196">
      <c r="A196" s="135">
        <f>IFERROR(__xludf.DUMMYFUNCTION("""COMPUTED_VALUE"""),45947.0)</f>
        <v>45947</v>
      </c>
      <c r="B196" s="87" t="str">
        <f>IFERROR(__xludf.DUMMYFUNCTION("""COMPUTED_VALUE"""),"Gessert ")</f>
        <v>Gessert </v>
      </c>
      <c r="C196">
        <f>IFERROR(__xludf.DUMMYFUNCTION("""COMPUTED_VALUE"""),57540.0)</f>
        <v>57540</v>
      </c>
      <c r="D196" s="136">
        <f>IFERROR(__xludf.DUMMYFUNCTION("""COMPUTED_VALUE"""),16.0)</f>
        <v>16</v>
      </c>
      <c r="E196" s="137" t="str">
        <f>IFERROR(__xludf.DUMMYFUNCTION("""COMPUTED_VALUE"""),"Non-GMO Yellow Corn")</f>
        <v>Non-GMO Yellow Corn</v>
      </c>
      <c r="F196" s="138" t="str">
        <f>IFERROR(__xludf.DUMMYFUNCTION("""COMPUTED_VALUE"""),"B0119194")</f>
        <v>B0119194</v>
      </c>
      <c r="G196" t="str">
        <f>IFERROR(__xludf.DUMMYFUNCTION("""COMPUTED_VALUE"""),"HBT#5382 Jack  Trk# 63")</f>
        <v>HBT#5382 Jack  Trk# 63</v>
      </c>
      <c r="H196" s="50"/>
      <c r="I196" s="139">
        <f t="shared" si="10"/>
        <v>0</v>
      </c>
      <c r="J196" s="50">
        <f t="shared" si="2"/>
        <v>1012.0875</v>
      </c>
      <c r="K196" s="140">
        <f t="shared" si="3"/>
        <v>1012.0875</v>
      </c>
      <c r="L196" s="141">
        <f>sumif(Farms!$C$68:$C$104,E196,Farms!$D$68:$D$104)</f>
        <v>1.5</v>
      </c>
      <c r="M196" s="141">
        <f>sumif(Farms!$C$68:$C$104,E196,Farms!$F$68:$F$104)</f>
        <v>56</v>
      </c>
      <c r="N196" s="141">
        <f>sumif(Farms!$C$68:$C$104,E196,Farms!$G$68:$G$104)</f>
        <v>15</v>
      </c>
    </row>
    <row r="197">
      <c r="A197" s="135">
        <f>IFERROR(__xludf.DUMMYFUNCTION("""COMPUTED_VALUE"""),45947.0)</f>
        <v>45947</v>
      </c>
      <c r="B197" s="87" t="str">
        <f>IFERROR(__xludf.DUMMYFUNCTION("""COMPUTED_VALUE"""),"Gessert ")</f>
        <v>Gessert </v>
      </c>
      <c r="C197">
        <f>IFERROR(__xludf.DUMMYFUNCTION("""COMPUTED_VALUE"""),57760.0)</f>
        <v>57760</v>
      </c>
      <c r="D197" s="136">
        <f>IFERROR(__xludf.DUMMYFUNCTION("""COMPUTED_VALUE"""),16.4)</f>
        <v>16.4</v>
      </c>
      <c r="E197" s="137" t="str">
        <f>IFERROR(__xludf.DUMMYFUNCTION("""COMPUTED_VALUE"""),"Non-GMO Yellow Corn")</f>
        <v>Non-GMO Yellow Corn</v>
      </c>
      <c r="F197" s="138" t="str">
        <f>IFERROR(__xludf.DUMMYFUNCTION("""COMPUTED_VALUE"""),"B01191960")</f>
        <v>B01191960</v>
      </c>
      <c r="G197" t="str">
        <f>IFERROR(__xludf.DUMMYFUNCTION("""COMPUTED_VALUE"""),"HBT#5934 Mike  Trk# 2")</f>
        <v>HBT#5934 Mike  Trk# 2</v>
      </c>
      <c r="H197" s="50"/>
      <c r="I197" s="139">
        <f t="shared" si="10"/>
        <v>0</v>
      </c>
      <c r="J197" s="50">
        <f t="shared" si="2"/>
        <v>1009.768571</v>
      </c>
      <c r="K197" s="140">
        <f t="shared" si="3"/>
        <v>1009.768571</v>
      </c>
      <c r="L197" s="141">
        <f>sumif(Farms!$C$68:$C$104,E197,Farms!$D$68:$D$104)</f>
        <v>1.5</v>
      </c>
      <c r="M197" s="141">
        <f>sumif(Farms!$C$68:$C$104,E197,Farms!$F$68:$F$104)</f>
        <v>56</v>
      </c>
      <c r="N197" s="141">
        <f>sumif(Farms!$C$68:$C$104,E197,Farms!$G$68:$G$104)</f>
        <v>15</v>
      </c>
    </row>
    <row r="198">
      <c r="A198" s="135">
        <f>IFERROR(__xludf.DUMMYFUNCTION("""COMPUTED_VALUE"""),45947.0)</f>
        <v>45947</v>
      </c>
      <c r="B198" s="87" t="str">
        <f>IFERROR(__xludf.DUMMYFUNCTION("""COMPUTED_VALUE"""),"Gessert ")</f>
        <v>Gessert </v>
      </c>
      <c r="C198">
        <f>IFERROR(__xludf.DUMMYFUNCTION("""COMPUTED_VALUE"""),57440.0)</f>
        <v>57440</v>
      </c>
      <c r="D198" s="136">
        <f>IFERROR(__xludf.DUMMYFUNCTION("""COMPUTED_VALUE"""),16.8)</f>
        <v>16.8</v>
      </c>
      <c r="E198" s="137" t="str">
        <f>IFERROR(__xludf.DUMMYFUNCTION("""COMPUTED_VALUE"""),"Non-GMO Yellow Corn")</f>
        <v>Non-GMO Yellow Corn</v>
      </c>
      <c r="F198" s="138" t="str">
        <f>IFERROR(__xludf.DUMMYFUNCTION("""COMPUTED_VALUE"""),"B0119204")</f>
        <v>B0119204</v>
      </c>
      <c r="G198" t="str">
        <f>IFERROR(__xludf.DUMMYFUNCTION("""COMPUTED_VALUE"""),"HBT#5936 Mike  Trk# 2")</f>
        <v>HBT#5936 Mike  Trk# 2</v>
      </c>
      <c r="H198" s="50"/>
      <c r="I198" s="139">
        <f t="shared" si="10"/>
        <v>0</v>
      </c>
      <c r="J198" s="50">
        <f t="shared" si="2"/>
        <v>998.02</v>
      </c>
      <c r="K198" s="140">
        <f t="shared" si="3"/>
        <v>998.02</v>
      </c>
      <c r="L198" s="141">
        <f>sumif(Farms!$C$68:$C$104,E198,Farms!$D$68:$D$104)</f>
        <v>1.5</v>
      </c>
      <c r="M198" s="141">
        <f>sumif(Farms!$C$68:$C$104,E198,Farms!$F$68:$F$104)</f>
        <v>56</v>
      </c>
      <c r="N198" s="141">
        <f>sumif(Farms!$C$68:$C$104,E198,Farms!$G$68:$G$104)</f>
        <v>15</v>
      </c>
    </row>
    <row r="199">
      <c r="A199" s="135">
        <f>IFERROR(__xludf.DUMMYFUNCTION("""COMPUTED_VALUE"""),45947.0)</f>
        <v>45947</v>
      </c>
      <c r="B199" s="87" t="str">
        <f>IFERROR(__xludf.DUMMYFUNCTION("""COMPUTED_VALUE"""),"Gessert ")</f>
        <v>Gessert </v>
      </c>
      <c r="C199">
        <f>IFERROR(__xludf.DUMMYFUNCTION("""COMPUTED_VALUE"""),57600.0)</f>
        <v>57600</v>
      </c>
      <c r="D199" s="136">
        <f>IFERROR(__xludf.DUMMYFUNCTION("""COMPUTED_VALUE"""),16.4)</f>
        <v>16.4</v>
      </c>
      <c r="E199" s="137" t="str">
        <f>IFERROR(__xludf.DUMMYFUNCTION("""COMPUTED_VALUE"""),"Non-GMO Yellow Corn")</f>
        <v>Non-GMO Yellow Corn</v>
      </c>
      <c r="F199" s="138" t="str">
        <f>IFERROR(__xludf.DUMMYFUNCTION("""COMPUTED_VALUE"""),"B0119207")</f>
        <v>B0119207</v>
      </c>
      <c r="G199" t="str">
        <f>IFERROR(__xludf.DUMMYFUNCTION("""COMPUTED_VALUE"""),"HBT#5811 BK  Trk# 4")</f>
        <v>HBT#5811 BK  Trk# 4</v>
      </c>
      <c r="H199" s="50"/>
      <c r="I199" s="139">
        <f t="shared" si="10"/>
        <v>0</v>
      </c>
      <c r="J199" s="50">
        <f t="shared" si="2"/>
        <v>1006.971429</v>
      </c>
      <c r="K199" s="140">
        <f t="shared" si="3"/>
        <v>1006.971429</v>
      </c>
      <c r="L199" s="141">
        <f>sumif(Farms!$C$68:$C$104,E199,Farms!$D$68:$D$104)</f>
        <v>1.5</v>
      </c>
      <c r="M199" s="141">
        <f>sumif(Farms!$C$68:$C$104,E199,Farms!$F$68:$F$104)</f>
        <v>56</v>
      </c>
      <c r="N199" s="141">
        <f>sumif(Farms!$C$68:$C$104,E199,Farms!$G$68:$G$104)</f>
        <v>15</v>
      </c>
    </row>
    <row r="200">
      <c r="A200" s="135">
        <f>IFERROR(__xludf.DUMMYFUNCTION("""COMPUTED_VALUE"""),45947.0)</f>
        <v>45947</v>
      </c>
      <c r="B200" s="87" t="str">
        <f>IFERROR(__xludf.DUMMYFUNCTION("""COMPUTED_VALUE"""),"Gessert ")</f>
        <v>Gessert </v>
      </c>
      <c r="C200">
        <f>IFERROR(__xludf.DUMMYFUNCTION("""COMPUTED_VALUE"""),60180.0)</f>
        <v>60180</v>
      </c>
      <c r="D200" s="136">
        <f>IFERROR(__xludf.DUMMYFUNCTION("""COMPUTED_VALUE"""),16.2)</f>
        <v>16.2</v>
      </c>
      <c r="E200" s="137" t="str">
        <f>IFERROR(__xludf.DUMMYFUNCTION("""COMPUTED_VALUE"""),"Non-GMO Yellow Corn")</f>
        <v>Non-GMO Yellow Corn</v>
      </c>
      <c r="F200" s="138" t="str">
        <f>IFERROR(__xludf.DUMMYFUNCTION("""COMPUTED_VALUE"""),"B0119209")</f>
        <v>B0119209</v>
      </c>
      <c r="G200" t="str">
        <f>IFERROR(__xludf.DUMMYFUNCTION("""COMPUTED_VALUE"""),"HBT#5029 Bob  Trk# 3")</f>
        <v>HBT#5029 Bob  Trk# 3</v>
      </c>
      <c r="H200" s="50"/>
      <c r="I200" s="139">
        <f t="shared" si="10"/>
        <v>0</v>
      </c>
      <c r="J200" s="50">
        <f t="shared" si="2"/>
        <v>1055.299286</v>
      </c>
      <c r="K200" s="140">
        <f t="shared" si="3"/>
        <v>1055.299286</v>
      </c>
      <c r="L200" s="141">
        <f>sumif(Farms!$C$68:$C$104,E200,Farms!$D$68:$D$104)</f>
        <v>1.5</v>
      </c>
      <c r="M200" s="141">
        <f>sumif(Farms!$C$68:$C$104,E200,Farms!$F$68:$F$104)</f>
        <v>56</v>
      </c>
      <c r="N200" s="141">
        <f>sumif(Farms!$C$68:$C$104,E200,Farms!$G$68:$G$104)</f>
        <v>15</v>
      </c>
      <c r="O200" s="46" t="s">
        <v>152</v>
      </c>
    </row>
    <row r="201">
      <c r="A201" s="135">
        <f>IFERROR(__xludf.DUMMYFUNCTION("""COMPUTED_VALUE"""),45947.0)</f>
        <v>45947</v>
      </c>
      <c r="B201" s="87" t="str">
        <f>IFERROR(__xludf.DUMMYFUNCTION("""COMPUTED_VALUE"""),"Gessert ")</f>
        <v>Gessert </v>
      </c>
      <c r="C201">
        <f>IFERROR(__xludf.DUMMYFUNCTION("""COMPUTED_VALUE"""),57520.0)</f>
        <v>57520</v>
      </c>
      <c r="D201" s="136">
        <f>IFERROR(__xludf.DUMMYFUNCTION("""COMPUTED_VALUE"""),15.9)</f>
        <v>15.9</v>
      </c>
      <c r="E201" s="137" t="str">
        <f>IFERROR(__xludf.DUMMYFUNCTION("""COMPUTED_VALUE"""),"Non-GMO Yellow Corn")</f>
        <v>Non-GMO Yellow Corn</v>
      </c>
      <c r="F201" s="138" t="str">
        <f>IFERROR(__xludf.DUMMYFUNCTION("""COMPUTED_VALUE"""),"B0119213")</f>
        <v>B0119213</v>
      </c>
      <c r="G201" t="str">
        <f>IFERROR(__xludf.DUMMYFUNCTION("""COMPUTED_VALUE"""),"HBT#5383 Jack  Trk# 63")</f>
        <v>HBT#5383 Jack  Trk# 63</v>
      </c>
      <c r="H201" s="50"/>
      <c r="I201" s="139">
        <f t="shared" si="10"/>
        <v>0</v>
      </c>
      <c r="J201" s="50">
        <f t="shared" si="2"/>
        <v>1013.276429</v>
      </c>
      <c r="K201" s="140">
        <f t="shared" si="3"/>
        <v>1013.276429</v>
      </c>
      <c r="L201" s="141">
        <f>sumif(Farms!$C$68:$C$104,E201,Farms!$D$68:$D$104)</f>
        <v>1.5</v>
      </c>
      <c r="M201" s="141">
        <f>sumif(Farms!$C$68:$C$104,E201,Farms!$F$68:$F$104)</f>
        <v>56</v>
      </c>
      <c r="N201" s="141">
        <f>sumif(Farms!$C$68:$C$104,E201,Farms!$G$68:$G$104)</f>
        <v>15</v>
      </c>
      <c r="O201" s="46" t="s">
        <v>152</v>
      </c>
    </row>
    <row r="202">
      <c r="A202" s="135">
        <f>IFERROR(__xludf.DUMMYFUNCTION("""COMPUTED_VALUE"""),45941.0)</f>
        <v>45941</v>
      </c>
      <c r="B202" s="87" t="str">
        <f>IFERROR(__xludf.DUMMYFUNCTION("""COMPUTED_VALUE"""),"gessley")</f>
        <v>gessley</v>
      </c>
      <c r="C202">
        <f>IFERROR(__xludf.DUMMYFUNCTION("""COMPUTED_VALUE"""),57200.0)</f>
        <v>57200</v>
      </c>
      <c r="D202" s="136">
        <f>IFERROR(__xludf.DUMMYFUNCTION("""COMPUTED_VALUE"""),16.1)</f>
        <v>16.1</v>
      </c>
      <c r="E202" s="137" t="str">
        <f>IFERROR(__xludf.DUMMYFUNCTION("""COMPUTED_VALUE"""),"Non-GMO Yellow Corn")</f>
        <v>Non-GMO Yellow Corn</v>
      </c>
      <c r="F202" s="138" t="str">
        <f>IFERROR(__xludf.DUMMYFUNCTION("""COMPUTED_VALUE"""),"0549511")</f>
        <v>0549511</v>
      </c>
      <c r="G202" t="str">
        <f>IFERROR(__xludf.DUMMYFUNCTION("""COMPUTED_VALUE"""),"HBT#5206 JB Trk # 5")</f>
        <v>HBT#5206 JB Trk # 5</v>
      </c>
      <c r="H202" s="50"/>
      <c r="I202" s="139">
        <f t="shared" si="10"/>
        <v>0</v>
      </c>
      <c r="J202" s="50">
        <f t="shared" si="2"/>
        <v>1004.575</v>
      </c>
      <c r="K202" s="140">
        <f t="shared" si="3"/>
        <v>1004.575</v>
      </c>
      <c r="L202" s="141">
        <f>sumif(Farms!$C$68:$C$104,E202,Farms!$D$68:$D$104)</f>
        <v>1.5</v>
      </c>
      <c r="M202" s="141">
        <f>sumif(Farms!$C$68:$C$104,E202,Farms!$F$68:$F$104)</f>
        <v>56</v>
      </c>
      <c r="N202" s="141">
        <f>sumif(Farms!$C$68:$C$104,E202,Farms!$G$68:$G$104)</f>
        <v>15</v>
      </c>
    </row>
    <row r="203">
      <c r="A203" s="135">
        <f>IFERROR(__xludf.DUMMYFUNCTION("""COMPUTED_VALUE"""),45941.0)</f>
        <v>45941</v>
      </c>
      <c r="B203" s="87" t="str">
        <f>IFERROR(__xludf.DUMMYFUNCTION("""COMPUTED_VALUE"""),"gessley")</f>
        <v>gessley</v>
      </c>
      <c r="C203">
        <f>IFERROR(__xludf.DUMMYFUNCTION("""COMPUTED_VALUE"""),56800.0)</f>
        <v>56800</v>
      </c>
      <c r="D203" s="136">
        <f>IFERROR(__xludf.DUMMYFUNCTION("""COMPUTED_VALUE"""),16.0)</f>
        <v>16</v>
      </c>
      <c r="E203" s="137" t="str">
        <f>IFERROR(__xludf.DUMMYFUNCTION("""COMPUTED_VALUE"""),"Non-GMO Yellow Corn")</f>
        <v>Non-GMO Yellow Corn</v>
      </c>
      <c r="F203" s="138" t="str">
        <f>IFERROR(__xludf.DUMMYFUNCTION("""COMPUTED_VALUE"""),"0549514")</f>
        <v>0549514</v>
      </c>
      <c r="G203" t="str">
        <f>IFERROR(__xludf.DUMMYFUNCTION("""COMPUTED_VALUE"""),"HBT#5357 WDH Trk # 63")</f>
        <v>HBT#5357 WDH Trk # 63</v>
      </c>
      <c r="H203" s="50"/>
      <c r="I203" s="139">
        <f t="shared" si="10"/>
        <v>0</v>
      </c>
      <c r="J203" s="50">
        <f t="shared" si="2"/>
        <v>999.0714286</v>
      </c>
      <c r="K203" s="140">
        <f t="shared" si="3"/>
        <v>999.0714286</v>
      </c>
      <c r="L203" s="141">
        <f>sumif(Farms!$C$68:$C$104,E203,Farms!$D$68:$D$104)</f>
        <v>1.5</v>
      </c>
      <c r="M203" s="141">
        <f>sumif(Farms!$C$68:$C$104,E203,Farms!$F$68:$F$104)</f>
        <v>56</v>
      </c>
      <c r="N203" s="141">
        <f>sumif(Farms!$C$68:$C$104,E203,Farms!$G$68:$G$104)</f>
        <v>15</v>
      </c>
    </row>
    <row r="204">
      <c r="A204" s="135">
        <f>IFERROR(__xludf.DUMMYFUNCTION("""COMPUTED_VALUE"""),45941.0)</f>
        <v>45941</v>
      </c>
      <c r="B204" s="87" t="str">
        <f>IFERROR(__xludf.DUMMYFUNCTION("""COMPUTED_VALUE"""),"gessley")</f>
        <v>gessley</v>
      </c>
      <c r="C204">
        <f>IFERROR(__xludf.DUMMYFUNCTION("""COMPUTED_VALUE"""),57920.0)</f>
        <v>57920</v>
      </c>
      <c r="D204" s="136">
        <f>IFERROR(__xludf.DUMMYFUNCTION("""COMPUTED_VALUE"""),16.4)</f>
        <v>16.4</v>
      </c>
      <c r="E204" s="137" t="str">
        <f>IFERROR(__xludf.DUMMYFUNCTION("""COMPUTED_VALUE"""),"Non-GMO Yellow Corn")</f>
        <v>Non-GMO Yellow Corn</v>
      </c>
      <c r="F204" s="138" t="str">
        <f>IFERROR(__xludf.DUMMYFUNCTION("""COMPUTED_VALUE"""),"0549520")</f>
        <v>0549520</v>
      </c>
      <c r="G204" t="str">
        <f>IFERROR(__xludf.DUMMYFUNCTION("""COMPUTED_VALUE"""),"HBT#5895 Bob Trk # 3")</f>
        <v>HBT#5895 Bob Trk # 3</v>
      </c>
      <c r="H204" s="50"/>
      <c r="I204" s="139">
        <f t="shared" si="10"/>
        <v>0</v>
      </c>
      <c r="J204" s="50">
        <f t="shared" si="2"/>
        <v>1012.565714</v>
      </c>
      <c r="K204" s="140">
        <f t="shared" si="3"/>
        <v>1012.565714</v>
      </c>
      <c r="L204" s="141">
        <f>sumif(Farms!$C$68:$C$104,E204,Farms!$D$68:$D$104)</f>
        <v>1.5</v>
      </c>
      <c r="M204" s="141">
        <f>sumif(Farms!$C$68:$C$104,E204,Farms!$F$68:$F$104)</f>
        <v>56</v>
      </c>
      <c r="N204" s="141">
        <f>sumif(Farms!$C$68:$C$104,E204,Farms!$G$68:$G$104)</f>
        <v>15</v>
      </c>
    </row>
    <row r="205">
      <c r="A205" s="135">
        <f>IFERROR(__xludf.DUMMYFUNCTION("""COMPUTED_VALUE"""),45941.0)</f>
        <v>45941</v>
      </c>
      <c r="B205" s="87" t="str">
        <f>IFERROR(__xludf.DUMMYFUNCTION("""COMPUTED_VALUE"""),"gessley")</f>
        <v>gessley</v>
      </c>
      <c r="C205">
        <f>IFERROR(__xludf.DUMMYFUNCTION("""COMPUTED_VALUE"""),55960.0)</f>
        <v>55960</v>
      </c>
      <c r="D205" s="136">
        <f>IFERROR(__xludf.DUMMYFUNCTION("""COMPUTED_VALUE"""),16.6)</f>
        <v>16.6</v>
      </c>
      <c r="E205" s="137" t="str">
        <f>IFERROR(__xludf.DUMMYFUNCTION("""COMPUTED_VALUE"""),"Non-GMO Yellow Corn")</f>
        <v>Non-GMO Yellow Corn</v>
      </c>
      <c r="F205" s="138" t="str">
        <f>IFERROR(__xludf.DUMMYFUNCTION("""COMPUTED_VALUE"""),"0549527")</f>
        <v>0549527</v>
      </c>
      <c r="G205" t="str">
        <f>IFERROR(__xludf.DUMMYFUNCTION("""COMPUTED_VALUE"""),"HBT#5915 TL Trk # 2")</f>
        <v>HBT#5915 TL Trk # 2</v>
      </c>
      <c r="H205" s="50"/>
      <c r="I205" s="139">
        <f t="shared" si="10"/>
        <v>0</v>
      </c>
      <c r="J205" s="50">
        <f t="shared" si="2"/>
        <v>975.3028571</v>
      </c>
      <c r="K205" s="140">
        <f t="shared" si="3"/>
        <v>975.3028571</v>
      </c>
      <c r="L205" s="141">
        <f>sumif(Farms!$C$68:$C$104,E205,Farms!$D$68:$D$104)</f>
        <v>1.5</v>
      </c>
      <c r="M205" s="141">
        <f>sumif(Farms!$C$68:$C$104,E205,Farms!$F$68:$F$104)</f>
        <v>56</v>
      </c>
      <c r="N205" s="141">
        <f>sumif(Farms!$C$68:$C$104,E205,Farms!$G$68:$G$104)</f>
        <v>15</v>
      </c>
    </row>
    <row r="206">
      <c r="A206" s="135">
        <f>IFERROR(__xludf.DUMMYFUNCTION("""COMPUTED_VALUE"""),45941.0)</f>
        <v>45941</v>
      </c>
      <c r="B206" s="87" t="str">
        <f>IFERROR(__xludf.DUMMYFUNCTION("""COMPUTED_VALUE"""),"gessley")</f>
        <v>gessley</v>
      </c>
      <c r="C206">
        <f>IFERROR(__xludf.DUMMYFUNCTION("""COMPUTED_VALUE"""),57120.0)</f>
        <v>57120</v>
      </c>
      <c r="D206" s="136">
        <f>IFERROR(__xludf.DUMMYFUNCTION("""COMPUTED_VALUE"""),16.2)</f>
        <v>16.2</v>
      </c>
      <c r="E206" s="137" t="str">
        <f>IFERROR(__xludf.DUMMYFUNCTION("""COMPUTED_VALUE"""),"Non-GMO Yellow Corn")</f>
        <v>Non-GMO Yellow Corn</v>
      </c>
      <c r="F206" s="138" t="str">
        <f>IFERROR(__xludf.DUMMYFUNCTION("""COMPUTED_VALUE"""),"0549529")</f>
        <v>0549529</v>
      </c>
      <c r="G206" t="str">
        <f>IFERROR(__xludf.DUMMYFUNCTION("""COMPUTED_VALUE"""),"HBT#5580 WR Trk # 41")</f>
        <v>HBT#5580 WR Trk # 41</v>
      </c>
      <c r="H206" s="50"/>
      <c r="I206" s="139">
        <f t="shared" si="10"/>
        <v>0</v>
      </c>
      <c r="J206" s="50">
        <f t="shared" si="2"/>
        <v>1001.64</v>
      </c>
      <c r="K206" s="140">
        <f t="shared" si="3"/>
        <v>1001.64</v>
      </c>
      <c r="L206" s="141">
        <f>sumif(Farms!$C$68:$C$104,E206,Farms!$D$68:$D$104)</f>
        <v>1.5</v>
      </c>
      <c r="M206" s="141">
        <f>sumif(Farms!$C$68:$C$104,E206,Farms!$F$68:$F$104)</f>
        <v>56</v>
      </c>
      <c r="N206" s="141">
        <f>sumif(Farms!$C$68:$C$104,E206,Farms!$G$68:$G$104)</f>
        <v>15</v>
      </c>
    </row>
    <row r="207">
      <c r="A207" s="135">
        <f>IFERROR(__xludf.DUMMYFUNCTION("""COMPUTED_VALUE"""),45941.0)</f>
        <v>45941</v>
      </c>
      <c r="B207" s="87" t="str">
        <f>IFERROR(__xludf.DUMMYFUNCTION("""COMPUTED_VALUE"""),"gessley")</f>
        <v>gessley</v>
      </c>
      <c r="C207">
        <f>IFERROR(__xludf.DUMMYFUNCTION("""COMPUTED_VALUE"""),57760.0)</f>
        <v>57760</v>
      </c>
      <c r="D207" s="136">
        <f>IFERROR(__xludf.DUMMYFUNCTION("""COMPUTED_VALUE"""),16.9)</f>
        <v>16.9</v>
      </c>
      <c r="E207" s="137" t="str">
        <f>IFERROR(__xludf.DUMMYFUNCTION("""COMPUTED_VALUE"""),"Non-GMO Yellow Corn")</f>
        <v>Non-GMO Yellow Corn</v>
      </c>
      <c r="F207" s="138" t="str">
        <f>IFERROR(__xludf.DUMMYFUNCTION("""COMPUTED_VALUE"""),"0549531")</f>
        <v>0549531</v>
      </c>
      <c r="G207" t="str">
        <f>IFERROR(__xludf.DUMMYFUNCTION("""COMPUTED_VALUE"""),"HBT#5207 JB Trk #5")</f>
        <v>HBT#5207 JB Trk #5</v>
      </c>
      <c r="H207" s="50"/>
      <c r="I207" s="139">
        <f t="shared" si="10"/>
        <v>0</v>
      </c>
      <c r="J207" s="50">
        <f t="shared" si="2"/>
        <v>1002.032857</v>
      </c>
      <c r="K207" s="140">
        <f t="shared" si="3"/>
        <v>1002.032857</v>
      </c>
      <c r="L207" s="141">
        <f>sumif(Farms!$C$68:$C$104,E207,Farms!$D$68:$D$104)</f>
        <v>1.5</v>
      </c>
      <c r="M207" s="141">
        <f>sumif(Farms!$C$68:$C$104,E207,Farms!$F$68:$F$104)</f>
        <v>56</v>
      </c>
      <c r="N207" s="141">
        <f>sumif(Farms!$C$68:$C$104,E207,Farms!$G$68:$G$104)</f>
        <v>15</v>
      </c>
    </row>
    <row r="208">
      <c r="A208" s="135">
        <f>IFERROR(__xludf.DUMMYFUNCTION("""COMPUTED_VALUE"""),45941.0)</f>
        <v>45941</v>
      </c>
      <c r="B208" s="87" t="str">
        <f>IFERROR(__xludf.DUMMYFUNCTION("""COMPUTED_VALUE"""),"gessley")</f>
        <v>gessley</v>
      </c>
      <c r="C208">
        <f>IFERROR(__xludf.DUMMYFUNCTION("""COMPUTED_VALUE"""),57320.0)</f>
        <v>57320</v>
      </c>
      <c r="D208" s="136">
        <f>IFERROR(__xludf.DUMMYFUNCTION("""COMPUTED_VALUE"""),16.3)</f>
        <v>16.3</v>
      </c>
      <c r="E208" s="137" t="str">
        <f>IFERROR(__xludf.DUMMYFUNCTION("""COMPUTED_VALUE"""),"Non-GMO Yellow Corn")</f>
        <v>Non-GMO Yellow Corn</v>
      </c>
      <c r="F208" s="138" t="str">
        <f>IFERROR(__xludf.DUMMYFUNCTION("""COMPUTED_VALUE"""),"0549535")</f>
        <v>0549535</v>
      </c>
      <c r="G208" t="str">
        <f>IFERROR(__xludf.DUMMYFUNCTION("""COMPUTED_VALUE"""),"HBT#5358 WDH Trk #63")</f>
        <v>HBT#5358 WDH Trk #63</v>
      </c>
      <c r="H208" s="50"/>
      <c r="I208" s="139">
        <f t="shared" si="10"/>
        <v>0</v>
      </c>
      <c r="J208" s="50">
        <f t="shared" si="2"/>
        <v>1003.611786</v>
      </c>
      <c r="K208" s="140">
        <f t="shared" si="3"/>
        <v>1003.611786</v>
      </c>
      <c r="L208" s="141">
        <f>sumif(Farms!$C$68:$C$104,E208,Farms!$D$68:$D$104)</f>
        <v>1.5</v>
      </c>
      <c r="M208" s="141">
        <f>sumif(Farms!$C$68:$C$104,E208,Farms!$F$68:$F$104)</f>
        <v>56</v>
      </c>
      <c r="N208" s="141">
        <f>sumif(Farms!$C$68:$C$104,E208,Farms!$G$68:$G$104)</f>
        <v>15</v>
      </c>
      <c r="O208" s="46" t="s">
        <v>152</v>
      </c>
    </row>
    <row r="209">
      <c r="A209" s="135">
        <f>IFERROR(__xludf.DUMMYFUNCTION("""COMPUTED_VALUE"""),45941.0)</f>
        <v>45941</v>
      </c>
      <c r="B209" s="87" t="str">
        <f>IFERROR(__xludf.DUMMYFUNCTION("""COMPUTED_VALUE"""),"gessley")</f>
        <v>gessley</v>
      </c>
      <c r="C209">
        <f>IFERROR(__xludf.DUMMYFUNCTION("""COMPUTED_VALUE"""),56740.0)</f>
        <v>56740</v>
      </c>
      <c r="D209" s="136">
        <f>IFERROR(__xludf.DUMMYFUNCTION("""COMPUTED_VALUE"""),16.0)</f>
        <v>16</v>
      </c>
      <c r="E209" s="137" t="str">
        <f>IFERROR(__xludf.DUMMYFUNCTION("""COMPUTED_VALUE"""),"Non-GMO Yellow Corn")</f>
        <v>Non-GMO Yellow Corn</v>
      </c>
      <c r="F209" s="138" t="str">
        <f>IFERROR(__xludf.DUMMYFUNCTION("""COMPUTED_VALUE"""),"0549538")</f>
        <v>0549538</v>
      </c>
      <c r="G209" t="str">
        <f>IFERROR(__xludf.DUMMYFUNCTION("""COMPUTED_VALUE"""),"HBT#5896 Bob Trk #3")</f>
        <v>HBT#5896 Bob Trk #3</v>
      </c>
      <c r="H209" s="50"/>
      <c r="I209" s="139">
        <f t="shared" si="10"/>
        <v>0</v>
      </c>
      <c r="J209" s="50">
        <f t="shared" si="2"/>
        <v>998.0160714</v>
      </c>
      <c r="K209" s="140">
        <f t="shared" si="3"/>
        <v>998.0160714</v>
      </c>
      <c r="L209" s="141">
        <f>sumif(Farms!$C$68:$C$104,E209,Farms!$D$68:$D$104)</f>
        <v>1.5</v>
      </c>
      <c r="M209" s="141">
        <f>sumif(Farms!$C$68:$C$104,E209,Farms!$F$68:$F$104)</f>
        <v>56</v>
      </c>
      <c r="N209" s="141">
        <f>sumif(Farms!$C$68:$C$104,E209,Farms!$G$68:$G$104)</f>
        <v>15</v>
      </c>
    </row>
    <row r="210">
      <c r="A210" s="135">
        <f>IFERROR(__xludf.DUMMYFUNCTION("""COMPUTED_VALUE"""),45941.0)</f>
        <v>45941</v>
      </c>
      <c r="B210" s="87" t="str">
        <f>IFERROR(__xludf.DUMMYFUNCTION("""COMPUTED_VALUE"""),"gessley")</f>
        <v>gessley</v>
      </c>
      <c r="C210">
        <f>IFERROR(__xludf.DUMMYFUNCTION("""COMPUTED_VALUE"""),58280.0)</f>
        <v>58280</v>
      </c>
      <c r="D210" s="136">
        <f>IFERROR(__xludf.DUMMYFUNCTION("""COMPUTED_VALUE"""),15.5)</f>
        <v>15.5</v>
      </c>
      <c r="E210" s="137" t="str">
        <f>IFERROR(__xludf.DUMMYFUNCTION("""COMPUTED_VALUE"""),"Non-GMO Yellow Corn")</f>
        <v>Non-GMO Yellow Corn</v>
      </c>
      <c r="F210" s="138" t="str">
        <f>IFERROR(__xludf.DUMMYFUNCTION("""COMPUTED_VALUE"""),"0549541")</f>
        <v>0549541</v>
      </c>
      <c r="G210" t="str">
        <f>IFERROR(__xludf.DUMMYFUNCTION("""COMPUTED_VALUE"""),"HBT#5782 BK Trk #4")</f>
        <v>HBT#5782 BK Trk #4</v>
      </c>
      <c r="H210" s="50"/>
      <c r="I210" s="139">
        <f t="shared" si="10"/>
        <v>0</v>
      </c>
      <c r="J210" s="50">
        <f t="shared" si="2"/>
        <v>1032.908929</v>
      </c>
      <c r="K210" s="140">
        <f t="shared" si="3"/>
        <v>1032.908929</v>
      </c>
      <c r="L210" s="141">
        <f>sumif(Farms!$C$68:$C$104,E210,Farms!$D$68:$D$104)</f>
        <v>1.5</v>
      </c>
      <c r="M210" s="141">
        <f>sumif(Farms!$C$68:$C$104,E210,Farms!$F$68:$F$104)</f>
        <v>56</v>
      </c>
      <c r="N210" s="141">
        <f>sumif(Farms!$C$68:$C$104,E210,Farms!$G$68:$G$104)</f>
        <v>15</v>
      </c>
    </row>
    <row r="211">
      <c r="A211" s="135">
        <f>IFERROR(__xludf.DUMMYFUNCTION("""COMPUTED_VALUE"""),45941.0)</f>
        <v>45941</v>
      </c>
      <c r="B211" s="87" t="str">
        <f>IFERROR(__xludf.DUMMYFUNCTION("""COMPUTED_VALUE"""),"gessley")</f>
        <v>gessley</v>
      </c>
      <c r="C211">
        <f>IFERROR(__xludf.DUMMYFUNCTION("""COMPUTED_VALUE"""),58360.0)</f>
        <v>58360</v>
      </c>
      <c r="D211" s="136">
        <f>IFERROR(__xludf.DUMMYFUNCTION("""COMPUTED_VALUE"""),15.6)</f>
        <v>15.6</v>
      </c>
      <c r="E211" s="137" t="str">
        <f>IFERROR(__xludf.DUMMYFUNCTION("""COMPUTED_VALUE"""),"Non-GMO Yellow Corn")</f>
        <v>Non-GMO Yellow Corn</v>
      </c>
      <c r="F211" s="138" t="str">
        <f>IFERROR(__xludf.DUMMYFUNCTION("""COMPUTED_VALUE"""),"0549546")</f>
        <v>0549546</v>
      </c>
      <c r="G211" t="str">
        <f>IFERROR(__xludf.DUMMYFUNCTION("""COMPUTED_VALUE"""),"HBT#5916 TL Trk #2")</f>
        <v>HBT#5916 TL Trk #2</v>
      </c>
      <c r="H211" s="50"/>
      <c r="I211" s="139">
        <f t="shared" si="10"/>
        <v>0</v>
      </c>
      <c r="J211" s="50">
        <f t="shared" si="2"/>
        <v>1032.763571</v>
      </c>
      <c r="K211" s="140">
        <f t="shared" si="3"/>
        <v>1032.763571</v>
      </c>
      <c r="L211" s="141">
        <f>sumif(Farms!$C$68:$C$104,E211,Farms!$D$68:$D$104)</f>
        <v>1.5</v>
      </c>
      <c r="M211" s="141">
        <f>sumif(Farms!$C$68:$C$104,E211,Farms!$F$68:$F$104)</f>
        <v>56</v>
      </c>
      <c r="N211" s="141">
        <f>sumif(Farms!$C$68:$C$104,E211,Farms!$G$68:$G$104)</f>
        <v>15</v>
      </c>
    </row>
    <row r="212">
      <c r="A212" s="135">
        <f>IFERROR(__xludf.DUMMYFUNCTION("""COMPUTED_VALUE"""),45941.0)</f>
        <v>45941</v>
      </c>
      <c r="B212" s="87" t="str">
        <f>IFERROR(__xludf.DUMMYFUNCTION("""COMPUTED_VALUE"""),"gessley")</f>
        <v>gessley</v>
      </c>
      <c r="C212">
        <f>IFERROR(__xludf.DUMMYFUNCTION("""COMPUTED_VALUE"""),56460.0)</f>
        <v>56460</v>
      </c>
      <c r="D212" s="136">
        <f>IFERROR(__xludf.DUMMYFUNCTION("""COMPUTED_VALUE"""),15.7)</f>
        <v>15.7</v>
      </c>
      <c r="E212" s="137" t="str">
        <f>IFERROR(__xludf.DUMMYFUNCTION("""COMPUTED_VALUE"""),"Non-GMO Yellow Corn")</f>
        <v>Non-GMO Yellow Corn</v>
      </c>
      <c r="F212" s="138" t="str">
        <f>IFERROR(__xludf.DUMMYFUNCTION("""COMPUTED_VALUE"""),"0549549")</f>
        <v>0549549</v>
      </c>
      <c r="G212" t="str">
        <f>IFERROR(__xludf.DUMMYFUNCTION("""COMPUTED_VALUE"""),"HBT#5581 WR Trk #41")</f>
        <v>HBT#5581 WR Trk #41</v>
      </c>
      <c r="H212" s="50"/>
      <c r="I212" s="139">
        <f t="shared" si="10"/>
        <v>0</v>
      </c>
      <c r="J212" s="50">
        <f t="shared" si="2"/>
        <v>997.6280357</v>
      </c>
      <c r="K212" s="140">
        <f t="shared" si="3"/>
        <v>997.6280357</v>
      </c>
      <c r="L212" s="141">
        <f>sumif(Farms!$C$68:$C$104,E212,Farms!$D$68:$D$104)</f>
        <v>1.5</v>
      </c>
      <c r="M212" s="141">
        <f>sumif(Farms!$C$68:$C$104,E212,Farms!$F$68:$F$104)</f>
        <v>56</v>
      </c>
      <c r="N212" s="141">
        <f>sumif(Farms!$C$68:$C$104,E212,Farms!$G$68:$G$104)</f>
        <v>15</v>
      </c>
    </row>
    <row r="213">
      <c r="A213" s="135">
        <f>IFERROR(__xludf.DUMMYFUNCTION("""COMPUTED_VALUE"""),45941.0)</f>
        <v>45941</v>
      </c>
      <c r="B213" s="87" t="str">
        <f>IFERROR(__xludf.DUMMYFUNCTION("""COMPUTED_VALUE"""),"gessley")</f>
        <v>gessley</v>
      </c>
      <c r="C213">
        <f>IFERROR(__xludf.DUMMYFUNCTION("""COMPUTED_VALUE"""),58360.0)</f>
        <v>58360</v>
      </c>
      <c r="D213" s="136">
        <f>IFERROR(__xludf.DUMMYFUNCTION("""COMPUTED_VALUE"""),15.6)</f>
        <v>15.6</v>
      </c>
      <c r="E213" s="137" t="str">
        <f>IFERROR(__xludf.DUMMYFUNCTION("""COMPUTED_VALUE"""),"Non-GMO Yellow Corn")</f>
        <v>Non-GMO Yellow Corn</v>
      </c>
      <c r="F213" s="138" t="str">
        <f>IFERROR(__xludf.DUMMYFUNCTION("""COMPUTED_VALUE"""),"0549550")</f>
        <v>0549550</v>
      </c>
      <c r="G213" t="str">
        <f>IFERROR(__xludf.DUMMYFUNCTION("""COMPUTED_VALUE"""),"HBT#5208 JB Trk #5")</f>
        <v>HBT#5208 JB Trk #5</v>
      </c>
      <c r="H213" s="50"/>
      <c r="I213" s="139">
        <f t="shared" si="10"/>
        <v>0</v>
      </c>
      <c r="J213" s="50">
        <f t="shared" si="2"/>
        <v>1032.763571</v>
      </c>
      <c r="K213" s="140">
        <f t="shared" si="3"/>
        <v>1032.763571</v>
      </c>
      <c r="L213" s="141">
        <f>sumif(Farms!$C$68:$C$104,E213,Farms!$D$68:$D$104)</f>
        <v>1.5</v>
      </c>
      <c r="M213" s="141">
        <f>sumif(Farms!$C$68:$C$104,E213,Farms!$F$68:$F$104)</f>
        <v>56</v>
      </c>
      <c r="N213" s="141">
        <f>sumif(Farms!$C$68:$C$104,E213,Farms!$G$68:$G$104)</f>
        <v>15</v>
      </c>
    </row>
    <row r="214">
      <c r="A214" s="135">
        <f>IFERROR(__xludf.DUMMYFUNCTION("""COMPUTED_VALUE"""),45941.0)</f>
        <v>45941</v>
      </c>
      <c r="B214" s="87" t="str">
        <f>IFERROR(__xludf.DUMMYFUNCTION("""COMPUTED_VALUE"""),"gessley")</f>
        <v>gessley</v>
      </c>
      <c r="C214">
        <f>IFERROR(__xludf.DUMMYFUNCTION("""COMPUTED_VALUE"""),57300.0)</f>
        <v>57300</v>
      </c>
      <c r="D214" s="136">
        <f>IFERROR(__xludf.DUMMYFUNCTION("""COMPUTED_VALUE"""),15.8)</f>
        <v>15.8</v>
      </c>
      <c r="E214" s="137" t="str">
        <f>IFERROR(__xludf.DUMMYFUNCTION("""COMPUTED_VALUE"""),"Non-GMO Yellow Corn")</f>
        <v>Non-GMO Yellow Corn</v>
      </c>
      <c r="F214" s="138" t="str">
        <f>IFERROR(__xludf.DUMMYFUNCTION("""COMPUTED_VALUE"""),"0549551")</f>
        <v>0549551</v>
      </c>
      <c r="G214" t="str">
        <f>IFERROR(__xludf.DUMMYFUNCTION("""COMPUTED_VALUE"""),"HBT#5359 WDH  Trk #63")</f>
        <v>HBT#5359 WDH  Trk #63</v>
      </c>
      <c r="H214" s="50"/>
      <c r="I214" s="139">
        <f t="shared" si="10"/>
        <v>0</v>
      </c>
      <c r="J214" s="50">
        <f t="shared" si="2"/>
        <v>1010.935714</v>
      </c>
      <c r="K214" s="140">
        <f t="shared" si="3"/>
        <v>1010.935714</v>
      </c>
      <c r="L214" s="141">
        <f>sumif(Farms!$C$68:$C$104,E214,Farms!$D$68:$D$104)</f>
        <v>1.5</v>
      </c>
      <c r="M214" s="141">
        <f>sumif(Farms!$C$68:$C$104,E214,Farms!$F$68:$F$104)</f>
        <v>56</v>
      </c>
      <c r="N214" s="141">
        <f>sumif(Farms!$C$68:$C$104,E214,Farms!$G$68:$G$104)</f>
        <v>15</v>
      </c>
    </row>
    <row r="215">
      <c r="A215" s="135">
        <f>IFERROR(__xludf.DUMMYFUNCTION("""COMPUTED_VALUE"""),45941.0)</f>
        <v>45941</v>
      </c>
      <c r="B215" s="87" t="str">
        <f>IFERROR(__xludf.DUMMYFUNCTION("""COMPUTED_VALUE"""),"gessley")</f>
        <v>gessley</v>
      </c>
      <c r="C215">
        <f>IFERROR(__xludf.DUMMYFUNCTION("""COMPUTED_VALUE"""),57500.0)</f>
        <v>57500</v>
      </c>
      <c r="D215" s="136">
        <f>IFERROR(__xludf.DUMMYFUNCTION("""COMPUTED_VALUE"""),15.7)</f>
        <v>15.7</v>
      </c>
      <c r="E215" s="137" t="str">
        <f>IFERROR(__xludf.DUMMYFUNCTION("""COMPUTED_VALUE"""),"Non-GMO Yellow Corn")</f>
        <v>Non-GMO Yellow Corn</v>
      </c>
      <c r="F215" s="138" t="str">
        <f>IFERROR(__xludf.DUMMYFUNCTION("""COMPUTED_VALUE"""),"0549553")</f>
        <v>0549553</v>
      </c>
      <c r="G215" t="str">
        <f>IFERROR(__xludf.DUMMYFUNCTION("""COMPUTED_VALUE"""),"HBT#5897 Bob Trk #3")</f>
        <v>HBT#5897 Bob Trk #3</v>
      </c>
      <c r="H215" s="50"/>
      <c r="I215" s="139">
        <f t="shared" si="10"/>
        <v>0</v>
      </c>
      <c r="J215" s="50">
        <f t="shared" si="2"/>
        <v>1016.004464</v>
      </c>
      <c r="K215" s="140">
        <f t="shared" si="3"/>
        <v>1016.004464</v>
      </c>
      <c r="L215" s="141">
        <f>sumif(Farms!$C$68:$C$104,E215,Farms!$D$68:$D$104)</f>
        <v>1.5</v>
      </c>
      <c r="M215" s="141">
        <f>sumif(Farms!$C$68:$C$104,E215,Farms!$F$68:$F$104)</f>
        <v>56</v>
      </c>
      <c r="N215" s="141">
        <f>sumif(Farms!$C$68:$C$104,E215,Farms!$G$68:$G$104)</f>
        <v>15</v>
      </c>
    </row>
    <row r="216">
      <c r="A216" s="135">
        <f>IFERROR(__xludf.DUMMYFUNCTION("""COMPUTED_VALUE"""),45941.0)</f>
        <v>45941</v>
      </c>
      <c r="B216" s="87" t="str">
        <f>IFERROR(__xludf.DUMMYFUNCTION("""COMPUTED_VALUE"""),"gessley")</f>
        <v>gessley</v>
      </c>
      <c r="C216">
        <f>IFERROR(__xludf.DUMMYFUNCTION("""COMPUTED_VALUE"""),58160.0)</f>
        <v>58160</v>
      </c>
      <c r="D216" s="136">
        <f>IFERROR(__xludf.DUMMYFUNCTION("""COMPUTED_VALUE"""),16.0)</f>
        <v>16</v>
      </c>
      <c r="E216" s="137" t="str">
        <f>IFERROR(__xludf.DUMMYFUNCTION("""COMPUTED_VALUE"""),"Non-GMO Yellow Corn")</f>
        <v>Non-GMO Yellow Corn</v>
      </c>
      <c r="F216" s="138" t="str">
        <f>IFERROR(__xludf.DUMMYFUNCTION("""COMPUTED_VALUE"""),"0549558")</f>
        <v>0549558</v>
      </c>
      <c r="G216" t="str">
        <f>IFERROR(__xludf.DUMMYFUNCTION("""COMPUTED_VALUE"""),"HBT#5783 BK Trk #4")</f>
        <v>HBT#5783 BK Trk #4</v>
      </c>
      <c r="H216" s="50"/>
      <c r="I216" s="139">
        <f t="shared" si="10"/>
        <v>0</v>
      </c>
      <c r="J216" s="50">
        <f t="shared" si="2"/>
        <v>1022.992857</v>
      </c>
      <c r="K216" s="140">
        <f t="shared" si="3"/>
        <v>1022.992857</v>
      </c>
      <c r="L216" s="141">
        <f>sumif(Farms!$C$68:$C$104,E216,Farms!$D$68:$D$104)</f>
        <v>1.5</v>
      </c>
      <c r="M216" s="141">
        <f>sumif(Farms!$C$68:$C$104,E216,Farms!$F$68:$F$104)</f>
        <v>56</v>
      </c>
      <c r="N216" s="141">
        <f>sumif(Farms!$C$68:$C$104,E216,Farms!$G$68:$G$104)</f>
        <v>15</v>
      </c>
      <c r="O216" s="46" t="s">
        <v>152</v>
      </c>
    </row>
    <row r="217">
      <c r="A217" s="135">
        <f>IFERROR(__xludf.DUMMYFUNCTION("""COMPUTED_VALUE"""),45941.0)</f>
        <v>45941</v>
      </c>
      <c r="B217" s="87" t="str">
        <f>IFERROR(__xludf.DUMMYFUNCTION("""COMPUTED_VALUE"""),"gessley")</f>
        <v>gessley</v>
      </c>
      <c r="C217">
        <f>IFERROR(__xludf.DUMMYFUNCTION("""COMPUTED_VALUE"""),56340.0)</f>
        <v>56340</v>
      </c>
      <c r="D217" s="136">
        <f>IFERROR(__xludf.DUMMYFUNCTION("""COMPUTED_VALUE"""),15.7)</f>
        <v>15.7</v>
      </c>
      <c r="E217" s="137" t="str">
        <f>IFERROR(__xludf.DUMMYFUNCTION("""COMPUTED_VALUE"""),"Non-GMO Yellow Corn")</f>
        <v>Non-GMO Yellow Corn</v>
      </c>
      <c r="F217" s="138" t="str">
        <f>IFERROR(__xludf.DUMMYFUNCTION("""COMPUTED_VALUE"""),"0549562")</f>
        <v>0549562</v>
      </c>
      <c r="G217" t="str">
        <f>IFERROR(__xludf.DUMMYFUNCTION("""COMPUTED_VALUE"""),"HBT#5917 TL Trk # 2")</f>
        <v>HBT#5917 TL Trk # 2</v>
      </c>
      <c r="H217" s="50"/>
      <c r="I217" s="139">
        <f t="shared" si="10"/>
        <v>0</v>
      </c>
      <c r="J217" s="50">
        <f t="shared" si="2"/>
        <v>995.5076786</v>
      </c>
      <c r="K217" s="140">
        <f t="shared" si="3"/>
        <v>995.5076786</v>
      </c>
      <c r="L217" s="141">
        <f>sumif(Farms!$C$68:$C$104,E217,Farms!$D$68:$D$104)</f>
        <v>1.5</v>
      </c>
      <c r="M217" s="141">
        <f>sumif(Farms!$C$68:$C$104,E217,Farms!$F$68:$F$104)</f>
        <v>56</v>
      </c>
      <c r="N217" s="141">
        <f>sumif(Farms!$C$68:$C$104,E217,Farms!$G$68:$G$104)</f>
        <v>15</v>
      </c>
    </row>
    <row r="218">
      <c r="A218" s="135">
        <f>IFERROR(__xludf.DUMMYFUNCTION("""COMPUTED_VALUE"""),45943.0)</f>
        <v>45943</v>
      </c>
      <c r="B218" s="87" t="str">
        <f>IFERROR(__xludf.DUMMYFUNCTION("""COMPUTED_VALUE"""),"gessley")</f>
        <v>gessley</v>
      </c>
      <c r="C218">
        <f>IFERROR(__xludf.DUMMYFUNCTION("""COMPUTED_VALUE"""),59840.0)</f>
        <v>59840</v>
      </c>
      <c r="D218" s="136">
        <f>IFERROR(__xludf.DUMMYFUNCTION("""COMPUTED_VALUE"""),15.7)</f>
        <v>15.7</v>
      </c>
      <c r="E218" s="137" t="str">
        <f>IFERROR(__xludf.DUMMYFUNCTION("""COMPUTED_VALUE"""),"Non-GMO Yellow Corn")</f>
        <v>Non-GMO Yellow Corn</v>
      </c>
      <c r="F218" s="138" t="str">
        <f>IFERROR(__xludf.DUMMYFUNCTION("""COMPUTED_VALUE"""),"0549646")</f>
        <v>0549646</v>
      </c>
      <c r="G218" t="str">
        <f>IFERROR(__xludf.DUMMYFUNCTION("""COMPUTED_VALUE"""),"HBT#5898 Bob Trk # 3")</f>
        <v>HBT#5898 Bob Trk # 3</v>
      </c>
      <c r="H218" s="50"/>
      <c r="I218" s="139">
        <f t="shared" si="10"/>
        <v>0</v>
      </c>
      <c r="J218" s="50">
        <f t="shared" si="2"/>
        <v>1057.351429</v>
      </c>
      <c r="K218" s="140">
        <f t="shared" si="3"/>
        <v>1057.351429</v>
      </c>
      <c r="L218" s="141">
        <f>sumif(Farms!$C$68:$C$104,E218,Farms!$D$68:$D$104)</f>
        <v>1.5</v>
      </c>
      <c r="M218" s="141">
        <f>sumif(Farms!$C$68:$C$104,E218,Farms!$F$68:$F$104)</f>
        <v>56</v>
      </c>
      <c r="N218" s="141">
        <f>sumif(Farms!$C$68:$C$104,E218,Farms!$G$68:$G$104)</f>
        <v>15</v>
      </c>
    </row>
    <row r="219">
      <c r="A219" s="135">
        <f>IFERROR(__xludf.DUMMYFUNCTION("""COMPUTED_VALUE"""),45943.0)</f>
        <v>45943</v>
      </c>
      <c r="B219" s="87" t="str">
        <f>IFERROR(__xludf.DUMMYFUNCTION("""COMPUTED_VALUE"""),"gessley")</f>
        <v>gessley</v>
      </c>
      <c r="C219">
        <f>IFERROR(__xludf.DUMMYFUNCTION("""COMPUTED_VALUE"""),57220.0)</f>
        <v>57220</v>
      </c>
      <c r="D219" s="136">
        <f>IFERROR(__xludf.DUMMYFUNCTION("""COMPUTED_VALUE"""),15.9)</f>
        <v>15.9</v>
      </c>
      <c r="E219" s="137" t="str">
        <f>IFERROR(__xludf.DUMMYFUNCTION("""COMPUTED_VALUE"""),"Non-GMO Yellow Corn")</f>
        <v>Non-GMO Yellow Corn</v>
      </c>
      <c r="F219" s="138" t="str">
        <f>IFERROR(__xludf.DUMMYFUNCTION("""COMPUTED_VALUE"""),"0549650")</f>
        <v>0549650</v>
      </c>
      <c r="G219" t="str">
        <f>IFERROR(__xludf.DUMMYFUNCTION("""COMPUTED_VALUE"""),"HBT#5582  Jack Trk # 41")</f>
        <v>HBT#5582  Jack Trk # 41</v>
      </c>
      <c r="H219" s="50"/>
      <c r="I219" s="139">
        <f t="shared" si="10"/>
        <v>0</v>
      </c>
      <c r="J219" s="50">
        <f t="shared" si="2"/>
        <v>1007.991607</v>
      </c>
      <c r="K219" s="140">
        <f t="shared" si="3"/>
        <v>1007.991607</v>
      </c>
      <c r="L219" s="141">
        <f>sumif(Farms!$C$68:$C$104,E219,Farms!$D$68:$D$104)</f>
        <v>1.5</v>
      </c>
      <c r="M219" s="141">
        <f>sumif(Farms!$C$68:$C$104,E219,Farms!$F$68:$F$104)</f>
        <v>56</v>
      </c>
      <c r="N219" s="141">
        <f>sumif(Farms!$C$68:$C$104,E219,Farms!$G$68:$G$104)</f>
        <v>15</v>
      </c>
    </row>
    <row r="220">
      <c r="A220" s="135">
        <f>IFERROR(__xludf.DUMMYFUNCTION("""COMPUTED_VALUE"""),45943.0)</f>
        <v>45943</v>
      </c>
      <c r="B220" s="87" t="str">
        <f>IFERROR(__xludf.DUMMYFUNCTION("""COMPUTED_VALUE"""),"gessley")</f>
        <v>gessley</v>
      </c>
      <c r="C220">
        <f>IFERROR(__xludf.DUMMYFUNCTION("""COMPUTED_VALUE"""),56920.0)</f>
        <v>56920</v>
      </c>
      <c r="D220" s="136">
        <f>IFERROR(__xludf.DUMMYFUNCTION("""COMPUTED_VALUE"""),15.9)</f>
        <v>15.9</v>
      </c>
      <c r="E220" s="137" t="str">
        <f>IFERROR(__xludf.DUMMYFUNCTION("""COMPUTED_VALUE"""),"Non-GMO Yellow Corn")</f>
        <v>Non-GMO Yellow Corn</v>
      </c>
      <c r="F220" s="138" t="str">
        <f>IFERROR(__xludf.DUMMYFUNCTION("""COMPUTED_VALUE"""),"0549653")</f>
        <v>0549653</v>
      </c>
      <c r="G220" t="str">
        <f>IFERROR(__xludf.DUMMYFUNCTION("""COMPUTED_VALUE"""),"HBT#5784 BKTrk # 4")</f>
        <v>HBT#5784 BKTrk # 4</v>
      </c>
      <c r="H220" s="50"/>
      <c r="I220" s="139">
        <f t="shared" si="10"/>
        <v>0</v>
      </c>
      <c r="J220" s="50">
        <f t="shared" si="2"/>
        <v>1002.706786</v>
      </c>
      <c r="K220" s="140">
        <f t="shared" si="3"/>
        <v>1002.706786</v>
      </c>
      <c r="L220" s="141">
        <f>sumif(Farms!$C$68:$C$104,E220,Farms!$D$68:$D$104)</f>
        <v>1.5</v>
      </c>
      <c r="M220" s="141">
        <f>sumif(Farms!$C$68:$C$104,E220,Farms!$F$68:$F$104)</f>
        <v>56</v>
      </c>
      <c r="N220" s="141">
        <f>sumif(Farms!$C$68:$C$104,E220,Farms!$G$68:$G$104)</f>
        <v>15</v>
      </c>
    </row>
    <row r="221">
      <c r="A221" s="135">
        <f>IFERROR(__xludf.DUMMYFUNCTION("""COMPUTED_VALUE"""),45943.0)</f>
        <v>45943</v>
      </c>
      <c r="B221" s="87" t="str">
        <f>IFERROR(__xludf.DUMMYFUNCTION("""COMPUTED_VALUE"""),"gessley")</f>
        <v>gessley</v>
      </c>
      <c r="C221">
        <f>IFERROR(__xludf.DUMMYFUNCTION("""COMPUTED_VALUE"""),55920.0)</f>
        <v>55920</v>
      </c>
      <c r="D221" s="136">
        <f>IFERROR(__xludf.DUMMYFUNCTION("""COMPUTED_VALUE"""),15.8)</f>
        <v>15.8</v>
      </c>
      <c r="E221" s="137" t="str">
        <f>IFERROR(__xludf.DUMMYFUNCTION("""COMPUTED_VALUE"""),"Non-GMO Yellow Corn")</f>
        <v>Non-GMO Yellow Corn</v>
      </c>
      <c r="F221" s="138" t="str">
        <f>IFERROR(__xludf.DUMMYFUNCTION("""COMPUTED_VALUE"""),"0549660")</f>
        <v>0549660</v>
      </c>
      <c r="G221" t="str">
        <f>IFERROR(__xludf.DUMMYFUNCTION("""COMPUTED_VALUE"""),"HBT#5918 JB Trk # 2")</f>
        <v>HBT#5918 JB Trk # 2</v>
      </c>
      <c r="H221" s="50"/>
      <c r="I221" s="139">
        <f t="shared" si="10"/>
        <v>0</v>
      </c>
      <c r="J221" s="50">
        <f t="shared" si="2"/>
        <v>998.5714286</v>
      </c>
      <c r="K221" s="140">
        <f t="shared" si="3"/>
        <v>998.5714286</v>
      </c>
      <c r="L221" s="142">
        <v>0.0</v>
      </c>
      <c r="M221" s="141">
        <f>sumif(Farms!$C$68:$C$104,E221,Farms!$F$68:$F$104)</f>
        <v>56</v>
      </c>
      <c r="N221" s="141">
        <f>sumif(Farms!$C$68:$C$104,E221,Farms!$G$68:$G$104)</f>
        <v>15</v>
      </c>
    </row>
    <row r="222">
      <c r="A222" s="135">
        <f>IFERROR(__xludf.DUMMYFUNCTION("""COMPUTED_VALUE"""),45943.0)</f>
        <v>45943</v>
      </c>
      <c r="B222" s="87" t="str">
        <f>IFERROR(__xludf.DUMMYFUNCTION("""COMPUTED_VALUE"""),"gessley")</f>
        <v>gessley</v>
      </c>
      <c r="C222">
        <f>IFERROR(__xludf.DUMMYFUNCTION("""COMPUTED_VALUE"""),58160.0)</f>
        <v>58160</v>
      </c>
      <c r="D222" s="136">
        <f>IFERROR(__xludf.DUMMYFUNCTION("""COMPUTED_VALUE"""),15.9)</f>
        <v>15.9</v>
      </c>
      <c r="E222" s="137" t="str">
        <f>IFERROR(__xludf.DUMMYFUNCTION("""COMPUTED_VALUE"""),"Non-GMO Yellow Corn")</f>
        <v>Non-GMO Yellow Corn</v>
      </c>
      <c r="F222" s="138" t="str">
        <f>IFERROR(__xludf.DUMMYFUNCTION("""COMPUTED_VALUE"""),"0549662")</f>
        <v>0549662</v>
      </c>
      <c r="G222" t="str">
        <f>IFERROR(__xludf.DUMMYFUNCTION("""COMPUTED_VALUE"""),"HBT#5899 Bob Trk # 3")</f>
        <v>HBT#5899 Bob Trk # 3</v>
      </c>
      <c r="H222" s="50"/>
      <c r="I222" s="139">
        <f t="shared" si="10"/>
        <v>0</v>
      </c>
      <c r="J222" s="50">
        <f t="shared" si="2"/>
        <v>1038.571429</v>
      </c>
      <c r="K222" s="140">
        <f t="shared" si="3"/>
        <v>1038.571429</v>
      </c>
      <c r="L222" s="142">
        <v>0.0</v>
      </c>
      <c r="M222" s="141">
        <f>sumif(Farms!$C$68:$C$104,E222,Farms!$F$68:$F$104)</f>
        <v>56</v>
      </c>
      <c r="N222" s="141">
        <f>sumif(Farms!$C$68:$C$104,E222,Farms!$G$68:$G$104)</f>
        <v>15</v>
      </c>
    </row>
    <row r="223">
      <c r="A223" s="135">
        <f>IFERROR(__xludf.DUMMYFUNCTION("""COMPUTED_VALUE"""),45943.0)</f>
        <v>45943</v>
      </c>
      <c r="B223" s="87" t="str">
        <f>IFERROR(__xludf.DUMMYFUNCTION("""COMPUTED_VALUE"""),"gessley")</f>
        <v>gessley</v>
      </c>
      <c r="C223">
        <f>IFERROR(__xludf.DUMMYFUNCTION("""COMPUTED_VALUE"""),57400.0)</f>
        <v>57400</v>
      </c>
      <c r="D223" s="136">
        <f>IFERROR(__xludf.DUMMYFUNCTION("""COMPUTED_VALUE"""),16.0)</f>
        <v>16</v>
      </c>
      <c r="E223" s="137" t="str">
        <f>IFERROR(__xludf.DUMMYFUNCTION("""COMPUTED_VALUE"""),"Non-GMO Yellow Corn")</f>
        <v>Non-GMO Yellow Corn</v>
      </c>
      <c r="F223" s="138" t="str">
        <f>IFERROR(__xludf.DUMMYFUNCTION("""COMPUTED_VALUE"""),"0549663")</f>
        <v>0549663</v>
      </c>
      <c r="G223" t="str">
        <f>IFERROR(__xludf.DUMMYFUNCTION("""COMPUTED_VALUE"""),"HBT#5209 BK Trk # 5")</f>
        <v>HBT#5209 BK Trk # 5</v>
      </c>
      <c r="H223" s="50"/>
      <c r="I223" s="139">
        <f t="shared" si="10"/>
        <v>0</v>
      </c>
      <c r="J223" s="50">
        <f t="shared" si="2"/>
        <v>1025</v>
      </c>
      <c r="K223" s="140">
        <f t="shared" si="3"/>
        <v>1025</v>
      </c>
      <c r="L223" s="142">
        <v>0.0</v>
      </c>
      <c r="M223" s="141">
        <f>sumif(Farms!$C$68:$C$104,E223,Farms!$F$68:$F$104)</f>
        <v>56</v>
      </c>
      <c r="N223" s="141">
        <f>sumif(Farms!$C$68:$C$104,E223,Farms!$G$68:$G$104)</f>
        <v>15</v>
      </c>
    </row>
    <row r="224">
      <c r="A224" s="135">
        <f>IFERROR(__xludf.DUMMYFUNCTION("""COMPUTED_VALUE"""),45943.0)</f>
        <v>45943</v>
      </c>
      <c r="B224" s="87" t="str">
        <f>IFERROR(__xludf.DUMMYFUNCTION("""COMPUTED_VALUE"""),"gessley")</f>
        <v>gessley</v>
      </c>
      <c r="C224">
        <f>IFERROR(__xludf.DUMMYFUNCTION("""COMPUTED_VALUE"""),58100.0)</f>
        <v>58100</v>
      </c>
      <c r="D224" s="136">
        <f>IFERROR(__xludf.DUMMYFUNCTION("""COMPUTED_VALUE"""),15.6)</f>
        <v>15.6</v>
      </c>
      <c r="E224" s="137" t="str">
        <f>IFERROR(__xludf.DUMMYFUNCTION("""COMPUTED_VALUE"""),"Non-GMO Yellow Corn")</f>
        <v>Non-GMO Yellow Corn</v>
      </c>
      <c r="F224" s="138" t="str">
        <f>IFERROR(__xludf.DUMMYFUNCTION("""COMPUTED_VALUE"""),"0549664")</f>
        <v>0549664</v>
      </c>
      <c r="G224" t="str">
        <f>IFERROR(__xludf.DUMMYFUNCTION("""COMPUTED_VALUE"""),"HBT#5900  Bob Trk # 3")</f>
        <v>HBT#5900  Bob Trk # 3</v>
      </c>
      <c r="H224" s="50"/>
      <c r="I224" s="139">
        <f t="shared" si="10"/>
        <v>0</v>
      </c>
      <c r="J224" s="50">
        <f t="shared" si="2"/>
        <v>1037.5</v>
      </c>
      <c r="K224" s="140">
        <f t="shared" si="3"/>
        <v>1037.5</v>
      </c>
      <c r="L224" s="142">
        <v>0.0</v>
      </c>
      <c r="M224" s="141">
        <f>sumif(Farms!$C$68:$C$104,E224,Farms!$F$68:$F$104)</f>
        <v>56</v>
      </c>
      <c r="N224" s="141">
        <f>sumif(Farms!$C$68:$C$104,E224,Farms!$G$68:$G$104)</f>
        <v>15</v>
      </c>
    </row>
    <row r="225">
      <c r="A225" s="135">
        <f>IFERROR(__xludf.DUMMYFUNCTION("""COMPUTED_VALUE"""),45943.0)</f>
        <v>45943</v>
      </c>
      <c r="B225" s="87" t="str">
        <f>IFERROR(__xludf.DUMMYFUNCTION("""COMPUTED_VALUE"""),"gessley")</f>
        <v>gessley</v>
      </c>
      <c r="C225">
        <f>IFERROR(__xludf.DUMMYFUNCTION("""COMPUTED_VALUE"""),56640.0)</f>
        <v>56640</v>
      </c>
      <c r="D225" s="136">
        <f>IFERROR(__xludf.DUMMYFUNCTION("""COMPUTED_VALUE"""),15.9)</f>
        <v>15.9</v>
      </c>
      <c r="E225" s="137" t="str">
        <f>IFERROR(__xludf.DUMMYFUNCTION("""COMPUTED_VALUE"""),"Non-GMO Yellow Corn")</f>
        <v>Non-GMO Yellow Corn</v>
      </c>
      <c r="F225" s="138" t="str">
        <f>IFERROR(__xludf.DUMMYFUNCTION("""COMPUTED_VALUE"""),"0549671")</f>
        <v>0549671</v>
      </c>
      <c r="G225" t="str">
        <f>IFERROR(__xludf.DUMMYFUNCTION("""COMPUTED_VALUE"""),"HBT#5001  Bob Trk # 3")</f>
        <v>HBT#5001  Bob Trk # 3</v>
      </c>
      <c r="H225" s="50"/>
      <c r="I225" s="139">
        <f t="shared" si="10"/>
        <v>0</v>
      </c>
      <c r="J225" s="50">
        <f t="shared" si="2"/>
        <v>1011.428571</v>
      </c>
      <c r="K225" s="140">
        <f t="shared" si="3"/>
        <v>1011.428571</v>
      </c>
      <c r="L225" s="142">
        <v>0.0</v>
      </c>
      <c r="M225" s="141">
        <f>sumif(Farms!$C$68:$C$104,E225,Farms!$F$68:$F$104)</f>
        <v>56</v>
      </c>
      <c r="N225" s="141">
        <f>sumif(Farms!$C$68:$C$104,E225,Farms!$G$68:$G$104)</f>
        <v>15</v>
      </c>
    </row>
    <row r="226">
      <c r="A226" s="135">
        <f>IFERROR(__xludf.DUMMYFUNCTION("""COMPUTED_VALUE"""),45943.0)</f>
        <v>45943</v>
      </c>
      <c r="B226" s="87" t="str">
        <f>IFERROR(__xludf.DUMMYFUNCTION("""COMPUTED_VALUE"""),"gessley")</f>
        <v>gessley</v>
      </c>
      <c r="C226">
        <f>IFERROR(__xludf.DUMMYFUNCTION("""COMPUTED_VALUE"""),57340.0)</f>
        <v>57340</v>
      </c>
      <c r="D226" s="136">
        <f>IFERROR(__xludf.DUMMYFUNCTION("""COMPUTED_VALUE"""),15.7)</f>
        <v>15.7</v>
      </c>
      <c r="E226" s="137" t="str">
        <f>IFERROR(__xludf.DUMMYFUNCTION("""COMPUTED_VALUE"""),"Non-GMO Yellow Corn")</f>
        <v>Non-GMO Yellow Corn</v>
      </c>
      <c r="F226" s="138" t="str">
        <f>IFERROR(__xludf.DUMMYFUNCTION("""COMPUTED_VALUE"""),"A072139")</f>
        <v>A072139</v>
      </c>
      <c r="G226" t="str">
        <f>IFERROR(__xludf.DUMMYFUNCTION("""COMPUTED_VALUE"""),"HBT#5919 TL Trk # 2")</f>
        <v>HBT#5919 TL Trk # 2</v>
      </c>
      <c r="H226" s="50"/>
      <c r="I226" s="139">
        <f t="shared" si="10"/>
        <v>0</v>
      </c>
      <c r="J226" s="50">
        <f t="shared" si="2"/>
        <v>1023.928571</v>
      </c>
      <c r="K226" s="140">
        <f t="shared" si="3"/>
        <v>1023.928571</v>
      </c>
      <c r="L226" s="142">
        <v>0.0</v>
      </c>
      <c r="M226" s="141">
        <f>sumif(Farms!$C$68:$C$104,E226,Farms!$F$68:$F$104)</f>
        <v>56</v>
      </c>
      <c r="N226" s="141">
        <f>sumif(Farms!$C$68:$C$104,E226,Farms!$G$68:$G$104)</f>
        <v>15</v>
      </c>
    </row>
    <row r="227">
      <c r="A227" s="135">
        <f>IFERROR(__xludf.DUMMYFUNCTION("""COMPUTED_VALUE"""),45943.0)</f>
        <v>45943</v>
      </c>
      <c r="B227" s="87" t="str">
        <f>IFERROR(__xludf.DUMMYFUNCTION("""COMPUTED_VALUE"""),"gessley")</f>
        <v>gessley</v>
      </c>
      <c r="C227">
        <f>IFERROR(__xludf.DUMMYFUNCTION("""COMPUTED_VALUE"""),60120.0)</f>
        <v>60120</v>
      </c>
      <c r="D227" s="136">
        <f>IFERROR(__xludf.DUMMYFUNCTION("""COMPUTED_VALUE"""),15.3)</f>
        <v>15.3</v>
      </c>
      <c r="E227" s="137" t="str">
        <f>IFERROR(__xludf.DUMMYFUNCTION("""COMPUTED_VALUE"""),"Non-GMO Yellow Corn")</f>
        <v>Non-GMO Yellow Corn</v>
      </c>
      <c r="F227" s="138" t="str">
        <f>IFERROR(__xludf.DUMMYFUNCTION("""COMPUTED_VALUE"""),"A072142")</f>
        <v>A072142</v>
      </c>
      <c r="G227" t="str">
        <f>IFERROR(__xludf.DUMMYFUNCTION("""COMPUTED_VALUE"""),"HBT#5785 BK Trk # 4")</f>
        <v>HBT#5785 BK Trk # 4</v>
      </c>
      <c r="H227" s="50"/>
      <c r="I227" s="139">
        <f t="shared" si="10"/>
        <v>0</v>
      </c>
      <c r="J227" s="50">
        <f t="shared" si="2"/>
        <v>1068.740357</v>
      </c>
      <c r="K227" s="140">
        <f t="shared" si="3"/>
        <v>1068.740357</v>
      </c>
      <c r="L227" s="141">
        <f>sumif(Farms!$C$68:$C$104,E227,Farms!$D$68:$D$104)</f>
        <v>1.5</v>
      </c>
      <c r="M227" s="141">
        <f>sumif(Farms!$C$68:$C$104,E227,Farms!$F$68:$F$104)</f>
        <v>56</v>
      </c>
      <c r="N227" s="141">
        <f>sumif(Farms!$C$68:$C$104,E227,Farms!$G$68:$G$104)</f>
        <v>15</v>
      </c>
    </row>
    <row r="228">
      <c r="A228" s="135">
        <f>IFERROR(__xludf.DUMMYFUNCTION("""COMPUTED_VALUE"""),45943.0)</f>
        <v>45943</v>
      </c>
      <c r="B228" s="87" t="str">
        <f>IFERROR(__xludf.DUMMYFUNCTION("""COMPUTED_VALUE"""),"gessley")</f>
        <v>gessley</v>
      </c>
      <c r="C228">
        <f>IFERROR(__xludf.DUMMYFUNCTION("""COMPUTED_VALUE"""),58600.0)</f>
        <v>58600</v>
      </c>
      <c r="D228" s="136">
        <f>IFERROR(__xludf.DUMMYFUNCTION("""COMPUTED_VALUE"""),15.4)</f>
        <v>15.4</v>
      </c>
      <c r="E228" s="137" t="str">
        <f>IFERROR(__xludf.DUMMYFUNCTION("""COMPUTED_VALUE"""),"Non-GMO Yellow Corn")</f>
        <v>Non-GMO Yellow Corn</v>
      </c>
      <c r="F228" s="138" t="str">
        <f>IFERROR(__xludf.DUMMYFUNCTION("""COMPUTED_VALUE"""),"A072143")</f>
        <v>A072143</v>
      </c>
      <c r="G228" t="str">
        <f>IFERROR(__xludf.DUMMYFUNCTION("""COMPUTED_VALUE"""),"HBT#5360 Jack Trk # 63")</f>
        <v>HBT#5360 Jack Trk # 63</v>
      </c>
      <c r="H228" s="50"/>
      <c r="I228" s="139">
        <f t="shared" si="10"/>
        <v>0</v>
      </c>
      <c r="J228" s="50">
        <f t="shared" si="2"/>
        <v>1040.15</v>
      </c>
      <c r="K228" s="140">
        <f t="shared" si="3"/>
        <v>1040.15</v>
      </c>
      <c r="L228" s="141">
        <f>sumif(Farms!$C$68:$C$104,E228,Farms!$D$68:$D$104)</f>
        <v>1.5</v>
      </c>
      <c r="M228" s="141">
        <f>sumif(Farms!$C$68:$C$104,E228,Farms!$F$68:$F$104)</f>
        <v>56</v>
      </c>
      <c r="N228" s="141">
        <f>sumif(Farms!$C$68:$C$104,E228,Farms!$G$68:$G$104)</f>
        <v>15</v>
      </c>
    </row>
    <row r="229">
      <c r="A229" s="135">
        <f>IFERROR(__xludf.DUMMYFUNCTION("""COMPUTED_VALUE"""),45943.0)</f>
        <v>45943</v>
      </c>
      <c r="B229" s="87" t="str">
        <f>IFERROR(__xludf.DUMMYFUNCTION("""COMPUTED_VALUE"""),"gessley")</f>
        <v>gessley</v>
      </c>
      <c r="C229">
        <f>IFERROR(__xludf.DUMMYFUNCTION("""COMPUTED_VALUE"""),58000.0)</f>
        <v>58000</v>
      </c>
      <c r="D229" s="136">
        <f>IFERROR(__xludf.DUMMYFUNCTION("""COMPUTED_VALUE"""),16.0)</f>
        <v>16</v>
      </c>
      <c r="E229" s="137" t="str">
        <f>IFERROR(__xludf.DUMMYFUNCTION("""COMPUTED_VALUE"""),"Non-GMO Yellow Corn")</f>
        <v>Non-GMO Yellow Corn</v>
      </c>
      <c r="F229" s="138" t="str">
        <f>IFERROR(__xludf.DUMMYFUNCTION("""COMPUTED_VALUE"""),"A072146")</f>
        <v>A072146</v>
      </c>
      <c r="G229" t="str">
        <f>IFERROR(__xludf.DUMMYFUNCTION("""COMPUTED_VALUE"""),"HBT#5002 Bob  Trk # 3")</f>
        <v>HBT#5002 Bob  Trk # 3</v>
      </c>
      <c r="H229" s="50"/>
      <c r="I229" s="139">
        <f t="shared" si="10"/>
        <v>0</v>
      </c>
      <c r="J229" s="50">
        <f t="shared" si="2"/>
        <v>1020.178571</v>
      </c>
      <c r="K229" s="140">
        <f t="shared" si="3"/>
        <v>1020.178571</v>
      </c>
      <c r="L229" s="141">
        <f>sumif(Farms!$C$68:$C$104,E229,Farms!$D$68:$D$104)</f>
        <v>1.5</v>
      </c>
      <c r="M229" s="141">
        <f>sumif(Farms!$C$68:$C$104,E229,Farms!$F$68:$F$104)</f>
        <v>56</v>
      </c>
      <c r="N229" s="141">
        <f>sumif(Farms!$C$68:$C$104,E229,Farms!$G$68:$G$104)</f>
        <v>15</v>
      </c>
    </row>
    <row r="230">
      <c r="A230" s="135">
        <f>IFERROR(__xludf.DUMMYFUNCTION("""COMPUTED_VALUE"""),45943.0)</f>
        <v>45943</v>
      </c>
      <c r="B230" s="87" t="str">
        <f>IFERROR(__xludf.DUMMYFUNCTION("""COMPUTED_VALUE"""),"gessley")</f>
        <v>gessley</v>
      </c>
      <c r="C230">
        <f>IFERROR(__xludf.DUMMYFUNCTION("""COMPUTED_VALUE"""),56660.0)</f>
        <v>56660</v>
      </c>
      <c r="D230" s="136">
        <f>IFERROR(__xludf.DUMMYFUNCTION("""COMPUTED_VALUE"""),15.8)</f>
        <v>15.8</v>
      </c>
      <c r="E230" s="137" t="str">
        <f>IFERROR(__xludf.DUMMYFUNCTION("""COMPUTED_VALUE"""),"Non-GMO Yellow Corn")</f>
        <v>Non-GMO Yellow Corn</v>
      </c>
      <c r="F230" s="138" t="str">
        <f>IFERROR(__xludf.DUMMYFUNCTION("""COMPUTED_VALUE"""),"A072148")</f>
        <v>A072148</v>
      </c>
      <c r="G230" t="str">
        <f>IFERROR(__xludf.DUMMYFUNCTION("""COMPUTED_VALUE"""),"HBT#5920 TL  Trk #2")</f>
        <v>HBT#5920 TL  Trk #2</v>
      </c>
      <c r="H230" s="50"/>
      <c r="I230" s="139">
        <f t="shared" si="10"/>
        <v>0</v>
      </c>
      <c r="J230" s="50">
        <f t="shared" si="2"/>
        <v>999.6442857</v>
      </c>
      <c r="K230" s="140">
        <f t="shared" si="3"/>
        <v>999.6442857</v>
      </c>
      <c r="L230" s="142">
        <v>1.5</v>
      </c>
      <c r="M230" s="141">
        <f>sumif(Farms!$C$68:$C$104,E230,Farms!$F$68:$F$104)</f>
        <v>56</v>
      </c>
      <c r="N230" s="141">
        <f>sumif(Farms!$C$68:$C$104,E230,Farms!$G$68:$G$104)</f>
        <v>15</v>
      </c>
    </row>
    <row r="231">
      <c r="A231" s="135">
        <f>IFERROR(__xludf.DUMMYFUNCTION("""COMPUTED_VALUE"""),45943.0)</f>
        <v>45943</v>
      </c>
      <c r="B231" s="87" t="str">
        <f>IFERROR(__xludf.DUMMYFUNCTION("""COMPUTED_VALUE"""),"gessley")</f>
        <v>gessley</v>
      </c>
      <c r="C231">
        <f>IFERROR(__xludf.DUMMYFUNCTION("""COMPUTED_VALUE"""),57840.0)</f>
        <v>57840</v>
      </c>
      <c r="D231" s="136">
        <f>IFERROR(__xludf.DUMMYFUNCTION("""COMPUTED_VALUE"""),15.7)</f>
        <v>15.7</v>
      </c>
      <c r="E231" s="137" t="str">
        <f>IFERROR(__xludf.DUMMYFUNCTION("""COMPUTED_VALUE"""),"Non-GMO Yellow Corn")</f>
        <v>Non-GMO Yellow Corn</v>
      </c>
      <c r="F231" s="138" t="str">
        <f>IFERROR(__xludf.DUMMYFUNCTION("""COMPUTED_VALUE"""),"A072152")</f>
        <v>A072152</v>
      </c>
      <c r="G231" t="str">
        <f>IFERROR(__xludf.DUMMYFUNCTION("""COMPUTED_VALUE"""),"HBT#5786 BK  Trk # 4")</f>
        <v>HBT#5786 BK  Trk # 4</v>
      </c>
      <c r="H231" s="50"/>
      <c r="I231" s="139">
        <f t="shared" si="10"/>
        <v>0</v>
      </c>
      <c r="J231" s="50">
        <f t="shared" si="2"/>
        <v>1022.012143</v>
      </c>
      <c r="K231" s="140">
        <f t="shared" si="3"/>
        <v>1022.012143</v>
      </c>
      <c r="L231" s="141">
        <f>sumif(Farms!$C$68:$C$104,E231,Farms!$D$68:$D$104)</f>
        <v>1.5</v>
      </c>
      <c r="M231" s="141">
        <f>sumif(Farms!$C$68:$C$104,E231,Farms!$F$68:$F$104)</f>
        <v>56</v>
      </c>
      <c r="N231" s="141">
        <f>sumif(Farms!$C$68:$C$104,E231,Farms!$G$68:$G$104)</f>
        <v>15</v>
      </c>
    </row>
    <row r="232">
      <c r="A232" s="135">
        <f>IFERROR(__xludf.DUMMYFUNCTION("""COMPUTED_VALUE"""),45943.0)</f>
        <v>45943</v>
      </c>
      <c r="B232" s="87" t="str">
        <f>IFERROR(__xludf.DUMMYFUNCTION("""COMPUTED_VALUE"""),"gessley")</f>
        <v>gessley</v>
      </c>
      <c r="C232">
        <f>IFERROR(__xludf.DUMMYFUNCTION("""COMPUTED_VALUE"""),57060.0)</f>
        <v>57060</v>
      </c>
      <c r="D232" s="136">
        <f>IFERROR(__xludf.DUMMYFUNCTION("""COMPUTED_VALUE"""),15.8)</f>
        <v>15.8</v>
      </c>
      <c r="E232" s="137" t="str">
        <f>IFERROR(__xludf.DUMMYFUNCTION("""COMPUTED_VALUE"""),"Non-GMO Yellow Corn")</f>
        <v>Non-GMO Yellow Corn</v>
      </c>
      <c r="F232" s="138" t="str">
        <f>IFERROR(__xludf.DUMMYFUNCTION("""COMPUTED_VALUE"""),"A072153")</f>
        <v>A072153</v>
      </c>
      <c r="G232" t="str">
        <f>IFERROR(__xludf.DUMMYFUNCTION("""COMPUTED_VALUE"""),"HBT#5361 Jack  Trk # 63")</f>
        <v>HBT#5361 Jack  Trk # 63</v>
      </c>
      <c r="H232" s="50"/>
      <c r="I232" s="139">
        <f t="shared" si="10"/>
        <v>0</v>
      </c>
      <c r="J232" s="50">
        <f t="shared" si="2"/>
        <v>1018.928571</v>
      </c>
      <c r="K232" s="140">
        <f t="shared" si="3"/>
        <v>1018.928571</v>
      </c>
      <c r="L232" s="142">
        <v>0.0</v>
      </c>
      <c r="M232" s="141">
        <f>sumif(Farms!$C$68:$C$104,E232,Farms!$F$68:$F$104)</f>
        <v>56</v>
      </c>
      <c r="N232" s="141">
        <f>sumif(Farms!$C$68:$C$104,E232,Farms!$G$68:$G$104)</f>
        <v>15</v>
      </c>
    </row>
    <row r="233">
      <c r="A233" s="135">
        <f>IFERROR(__xludf.DUMMYFUNCTION("""COMPUTED_VALUE"""),45943.0)</f>
        <v>45943</v>
      </c>
      <c r="B233" s="87" t="str">
        <f>IFERROR(__xludf.DUMMYFUNCTION("""COMPUTED_VALUE"""),"gessley")</f>
        <v>gessley</v>
      </c>
      <c r="C233">
        <f>IFERROR(__xludf.DUMMYFUNCTION("""COMPUTED_VALUE"""),56620.0)</f>
        <v>56620</v>
      </c>
      <c r="D233" s="136">
        <f>IFERROR(__xludf.DUMMYFUNCTION("""COMPUTED_VALUE"""),15.5)</f>
        <v>15.5</v>
      </c>
      <c r="E233" s="137" t="str">
        <f>IFERROR(__xludf.DUMMYFUNCTION("""COMPUTED_VALUE"""),"Non-GMO Yellow Corn")</f>
        <v>Non-GMO Yellow Corn</v>
      </c>
      <c r="F233" s="138" t="str">
        <f>IFERROR(__xludf.DUMMYFUNCTION("""COMPUTED_VALUE"""),"A072158")</f>
        <v>A072158</v>
      </c>
      <c r="G233" t="str">
        <f>IFERROR(__xludf.DUMMYFUNCTION("""COMPUTED_VALUE"""),"HBT#5003 Bob Trk # 3")</f>
        <v>HBT#5003 Bob Trk # 3</v>
      </c>
      <c r="H233" s="50"/>
      <c r="I233" s="139">
        <f t="shared" si="10"/>
        <v>0</v>
      </c>
      <c r="J233" s="50">
        <f t="shared" si="2"/>
        <v>1003.488393</v>
      </c>
      <c r="K233" s="140">
        <f t="shared" si="3"/>
        <v>1003.488393</v>
      </c>
      <c r="L233" s="142">
        <v>1.5</v>
      </c>
      <c r="M233" s="141">
        <f>sumif(Farms!$C$68:$C$104,E233,Farms!$F$68:$F$104)</f>
        <v>56</v>
      </c>
      <c r="N233" s="141">
        <f>sumif(Farms!$C$68:$C$104,E233,Farms!$G$68:$G$104)</f>
        <v>15</v>
      </c>
    </row>
    <row r="234">
      <c r="A234" s="135">
        <f>IFERROR(__xludf.DUMMYFUNCTION("""COMPUTED_VALUE"""),45943.0)</f>
        <v>45943</v>
      </c>
      <c r="B234" s="87" t="str">
        <f>IFERROR(__xludf.DUMMYFUNCTION("""COMPUTED_VALUE"""),"gessley")</f>
        <v>gessley</v>
      </c>
      <c r="C234">
        <f>IFERROR(__xludf.DUMMYFUNCTION("""COMPUTED_VALUE"""),58140.0)</f>
        <v>58140</v>
      </c>
      <c r="D234" s="136">
        <f>IFERROR(__xludf.DUMMYFUNCTION("""COMPUTED_VALUE"""),15.6)</f>
        <v>15.6</v>
      </c>
      <c r="E234" s="137" t="str">
        <f>IFERROR(__xludf.DUMMYFUNCTION("""COMPUTED_VALUE"""),"Non-GMO Yellow Corn")</f>
        <v>Non-GMO Yellow Corn</v>
      </c>
      <c r="F234" s="138" t="str">
        <f>IFERROR(__xludf.DUMMYFUNCTION("""COMPUTED_VALUE"""),"A072161")</f>
        <v>A072161</v>
      </c>
      <c r="G234" t="str">
        <f>IFERROR(__xludf.DUMMYFUNCTION("""COMPUTED_VALUE"""),"HBT#5583 WR Trk # 41")</f>
        <v>HBT#5583 WR Trk # 41</v>
      </c>
      <c r="H234" s="50"/>
      <c r="I234" s="139">
        <f t="shared" si="10"/>
        <v>0</v>
      </c>
      <c r="J234" s="50">
        <f t="shared" si="2"/>
        <v>1028.870357</v>
      </c>
      <c r="K234" s="140">
        <f t="shared" si="3"/>
        <v>1028.870357</v>
      </c>
      <c r="L234" s="141">
        <f>sumif(Farms!$C$68:$C$104,E234,Farms!$D$68:$D$104)</f>
        <v>1.5</v>
      </c>
      <c r="M234" s="141">
        <f>sumif(Farms!$C$68:$C$104,E234,Farms!$F$68:$F$104)</f>
        <v>56</v>
      </c>
      <c r="N234" s="141">
        <f>sumif(Farms!$C$68:$C$104,E234,Farms!$G$68:$G$104)</f>
        <v>15</v>
      </c>
    </row>
    <row r="235">
      <c r="A235" s="135">
        <f>IFERROR(__xludf.DUMMYFUNCTION("""COMPUTED_VALUE"""),45943.0)</f>
        <v>45943</v>
      </c>
      <c r="B235" s="87" t="str">
        <f>IFERROR(__xludf.DUMMYFUNCTION("""COMPUTED_VALUE"""),"gessley")</f>
        <v>gessley</v>
      </c>
      <c r="C235">
        <f>IFERROR(__xludf.DUMMYFUNCTION("""COMPUTED_VALUE"""),58620.0)</f>
        <v>58620</v>
      </c>
      <c r="D235" s="136">
        <f>IFERROR(__xludf.DUMMYFUNCTION("""COMPUTED_VALUE"""),16.0)</f>
        <v>16</v>
      </c>
      <c r="E235" s="137" t="str">
        <f>IFERROR(__xludf.DUMMYFUNCTION("""COMPUTED_VALUE"""),"Non-GMO Yellow Corn")</f>
        <v>Non-GMO Yellow Corn</v>
      </c>
      <c r="F235" s="138" t="str">
        <f>IFERROR(__xludf.DUMMYFUNCTION("""COMPUTED_VALUE"""),"A072163")</f>
        <v>A072163</v>
      </c>
      <c r="G235" t="str">
        <f>IFERROR(__xludf.DUMMYFUNCTION("""COMPUTED_VALUE"""),"HBT#5921 TL Trk # 2")</f>
        <v>HBT#5921 TL Trk # 2</v>
      </c>
      <c r="H235" s="50"/>
      <c r="I235" s="139">
        <f t="shared" si="10"/>
        <v>0</v>
      </c>
      <c r="J235" s="50">
        <f t="shared" si="2"/>
        <v>1031.083929</v>
      </c>
      <c r="K235" s="140">
        <f t="shared" si="3"/>
        <v>1031.083929</v>
      </c>
      <c r="L235" s="141">
        <f>sumif(Farms!$C$68:$C$104,E235,Farms!$D$68:$D$104)</f>
        <v>1.5</v>
      </c>
      <c r="M235" s="141">
        <f>sumif(Farms!$C$68:$C$104,E235,Farms!$F$68:$F$104)</f>
        <v>56</v>
      </c>
      <c r="N235" s="141">
        <f>sumif(Farms!$C$68:$C$104,E235,Farms!$G$68:$G$104)</f>
        <v>15</v>
      </c>
    </row>
    <row r="236">
      <c r="A236" s="135">
        <f>IFERROR(__xludf.DUMMYFUNCTION("""COMPUTED_VALUE"""),45943.0)</f>
        <v>45943</v>
      </c>
      <c r="B236" s="87" t="str">
        <f>IFERROR(__xludf.DUMMYFUNCTION("""COMPUTED_VALUE"""),"gessley")</f>
        <v>gessley</v>
      </c>
      <c r="C236">
        <f>IFERROR(__xludf.DUMMYFUNCTION("""COMPUTED_VALUE"""),57500.0)</f>
        <v>57500</v>
      </c>
      <c r="D236" s="136">
        <f>IFERROR(__xludf.DUMMYFUNCTION("""COMPUTED_VALUE"""),15.0)</f>
        <v>15</v>
      </c>
      <c r="E236" s="137" t="str">
        <f>IFERROR(__xludf.DUMMYFUNCTION("""COMPUTED_VALUE"""),"Non-GMO Yellow Corn")</f>
        <v>Non-GMO Yellow Corn</v>
      </c>
      <c r="F236" s="138" t="str">
        <f>IFERROR(__xludf.DUMMYFUNCTION("""COMPUTED_VALUE"""),"A072166")</f>
        <v>A072166</v>
      </c>
      <c r="G236" t="str">
        <f>IFERROR(__xludf.DUMMYFUNCTION("""COMPUTED_VALUE"""),"HBT#5787 BK Trk # 4")</f>
        <v>HBT#5787 BK Trk # 4</v>
      </c>
      <c r="H236" s="50"/>
      <c r="I236" s="139">
        <f t="shared" si="10"/>
        <v>0</v>
      </c>
      <c r="J236" s="50">
        <f t="shared" si="2"/>
        <v>1026.785714</v>
      </c>
      <c r="K236" s="140">
        <f t="shared" si="3"/>
        <v>1026.785714</v>
      </c>
      <c r="L236" s="141">
        <f>sumif(Farms!$C$68:$C$104,E236,Farms!$D$68:$D$104)</f>
        <v>1.5</v>
      </c>
      <c r="M236" s="141">
        <f>sumif(Farms!$C$68:$C$104,E236,Farms!$F$68:$F$104)</f>
        <v>56</v>
      </c>
      <c r="N236" s="141">
        <f>sumif(Farms!$C$68:$C$104,E236,Farms!$G$68:$G$104)</f>
        <v>15</v>
      </c>
    </row>
    <row r="237">
      <c r="A237" s="135">
        <f>IFERROR(__xludf.DUMMYFUNCTION("""COMPUTED_VALUE"""),45943.0)</f>
        <v>45943</v>
      </c>
      <c r="B237" s="87" t="str">
        <f>IFERROR(__xludf.DUMMYFUNCTION("""COMPUTED_VALUE"""),"gessley")</f>
        <v>gessley</v>
      </c>
      <c r="C237">
        <f>IFERROR(__xludf.DUMMYFUNCTION("""COMPUTED_VALUE"""),57220.0)</f>
        <v>57220</v>
      </c>
      <c r="D237" s="136">
        <f>IFERROR(__xludf.DUMMYFUNCTION("""COMPUTED_VALUE"""),15.8)</f>
        <v>15.8</v>
      </c>
      <c r="E237" s="137" t="str">
        <f>IFERROR(__xludf.DUMMYFUNCTION("""COMPUTED_VALUE"""),"Non-GMO Yellow Corn")</f>
        <v>Non-GMO Yellow Corn</v>
      </c>
      <c r="F237" s="138" t="str">
        <f>IFERROR(__xludf.DUMMYFUNCTION("""COMPUTED_VALUE"""),"A072169")</f>
        <v>A072169</v>
      </c>
      <c r="G237" t="str">
        <f>IFERROR(__xludf.DUMMYFUNCTION("""COMPUTED_VALUE"""),"HBT#5362  Jack Trk #63 ")</f>
        <v>HBT#5362  Jack Trk #63 </v>
      </c>
      <c r="H237" s="50"/>
      <c r="I237" s="139">
        <f t="shared" si="10"/>
        <v>0</v>
      </c>
      <c r="J237" s="50">
        <f t="shared" si="2"/>
        <v>1009.524286</v>
      </c>
      <c r="K237" s="140">
        <f t="shared" si="3"/>
        <v>1009.524286</v>
      </c>
      <c r="L237" s="142">
        <v>1.5</v>
      </c>
      <c r="M237" s="141">
        <f>sumif(Farms!$C$68:$C$104,E237,Farms!$F$68:$F$104)</f>
        <v>56</v>
      </c>
      <c r="N237" s="141">
        <f>sumif(Farms!$C$68:$C$104,E237,Farms!$G$68:$G$104)</f>
        <v>15</v>
      </c>
    </row>
    <row r="238">
      <c r="A238" s="135">
        <f>IFERROR(__xludf.DUMMYFUNCTION("""COMPUTED_VALUE"""),45943.0)</f>
        <v>45943</v>
      </c>
      <c r="B238" s="87" t="str">
        <f>IFERROR(__xludf.DUMMYFUNCTION("""COMPUTED_VALUE"""),"gessley")</f>
        <v>gessley</v>
      </c>
      <c r="C238">
        <f>IFERROR(__xludf.DUMMYFUNCTION("""COMPUTED_VALUE"""),56920.0)</f>
        <v>56920</v>
      </c>
      <c r="D238" s="136">
        <f>IFERROR(__xludf.DUMMYFUNCTION("""COMPUTED_VALUE"""),15.5)</f>
        <v>15.5</v>
      </c>
      <c r="E238" s="137" t="str">
        <f>IFERROR(__xludf.DUMMYFUNCTION("""COMPUTED_VALUE"""),"Non-GMO Yellow Corn")</f>
        <v>Non-GMO Yellow Corn</v>
      </c>
      <c r="F238" s="138" t="str">
        <f>IFERROR(__xludf.DUMMYFUNCTION("""COMPUTED_VALUE"""),"A072171")</f>
        <v>A072171</v>
      </c>
      <c r="G238" t="str">
        <f>IFERROR(__xludf.DUMMYFUNCTION("""COMPUTED_VALUE"""),"HBT#5004 Bob  Trk #3 ")</f>
        <v>HBT#5004 Bob  Trk #3 </v>
      </c>
      <c r="H238" s="50"/>
      <c r="I238" s="139">
        <f t="shared" si="10"/>
        <v>0</v>
      </c>
      <c r="J238" s="50">
        <f t="shared" si="2"/>
        <v>1016.428571</v>
      </c>
      <c r="K238" s="140">
        <f t="shared" si="3"/>
        <v>1016.428571</v>
      </c>
      <c r="L238" s="142">
        <v>0.0</v>
      </c>
      <c r="M238" s="141">
        <f>sumif(Farms!$C$68:$C$104,E238,Farms!$F$68:$F$104)</f>
        <v>56</v>
      </c>
      <c r="N238" s="141">
        <f>sumif(Farms!$C$68:$C$104,E238,Farms!$G$68:$G$104)</f>
        <v>15</v>
      </c>
    </row>
    <row r="239">
      <c r="A239" s="135">
        <f>IFERROR(__xludf.DUMMYFUNCTION("""COMPUTED_VALUE"""),45943.0)</f>
        <v>45943</v>
      </c>
      <c r="B239" s="87" t="str">
        <f>IFERROR(__xludf.DUMMYFUNCTION("""COMPUTED_VALUE"""),"gessley")</f>
        <v>gessley</v>
      </c>
      <c r="C239">
        <f>IFERROR(__xludf.DUMMYFUNCTION("""COMPUTED_VALUE"""),58440.0)</f>
        <v>58440</v>
      </c>
      <c r="D239" s="136">
        <f>IFERROR(__xludf.DUMMYFUNCTION("""COMPUTED_VALUE"""),15.6)</f>
        <v>15.6</v>
      </c>
      <c r="E239" s="137" t="str">
        <f>IFERROR(__xludf.DUMMYFUNCTION("""COMPUTED_VALUE"""),"Non-GMO Yellow Corn")</f>
        <v>Non-GMO Yellow Corn</v>
      </c>
      <c r="F239" s="138" t="str">
        <f>IFERROR(__xludf.DUMMYFUNCTION("""COMPUTED_VALUE"""),"A072175")</f>
        <v>A072175</v>
      </c>
      <c r="G239" t="str">
        <f>IFERROR(__xludf.DUMMYFUNCTION("""COMPUTED_VALUE"""),"HBT#5210 JB  Trk # 5 ")</f>
        <v>HBT#5210 JB  Trk # 5 </v>
      </c>
      <c r="H239" s="50"/>
      <c r="I239" s="139">
        <f t="shared" si="10"/>
        <v>0</v>
      </c>
      <c r="J239" s="50">
        <f t="shared" si="2"/>
        <v>1043.571429</v>
      </c>
      <c r="K239" s="140">
        <f t="shared" si="3"/>
        <v>1043.571429</v>
      </c>
      <c r="L239" s="142">
        <v>0.0</v>
      </c>
      <c r="M239" s="141">
        <f>sumif(Farms!$C$68:$C$104,E239,Farms!$F$68:$F$104)</f>
        <v>56</v>
      </c>
      <c r="N239" s="141">
        <f>sumif(Farms!$C$68:$C$104,E239,Farms!$G$68:$G$104)</f>
        <v>15</v>
      </c>
    </row>
    <row r="240">
      <c r="A240" s="135">
        <f>IFERROR(__xludf.DUMMYFUNCTION("""COMPUTED_VALUE"""),45943.0)</f>
        <v>45943</v>
      </c>
      <c r="B240" s="87" t="str">
        <f>IFERROR(__xludf.DUMMYFUNCTION("""COMPUTED_VALUE"""),"gessley")</f>
        <v>gessley</v>
      </c>
      <c r="C240">
        <f>IFERROR(__xludf.DUMMYFUNCTION("""COMPUTED_VALUE"""),57560.0)</f>
        <v>57560</v>
      </c>
      <c r="D240" s="136">
        <f>IFERROR(__xludf.DUMMYFUNCTION("""COMPUTED_VALUE"""),15.5)</f>
        <v>15.5</v>
      </c>
      <c r="E240" s="137" t="str">
        <f>IFERROR(__xludf.DUMMYFUNCTION("""COMPUTED_VALUE"""),"Non-GMO Yellow Corn")</f>
        <v>Non-GMO Yellow Corn</v>
      </c>
      <c r="F240" s="138" t="str">
        <f>IFERROR(__xludf.DUMMYFUNCTION("""COMPUTED_VALUE"""),"A072176")</f>
        <v>A072176</v>
      </c>
      <c r="G240" t="str">
        <f>IFERROR(__xludf.DUMMYFUNCTION("""COMPUTED_VALUE"""),"HBT#5584 WR Trk # 41")</f>
        <v>HBT#5584 WR Trk # 41</v>
      </c>
      <c r="H240" s="50"/>
      <c r="I240" s="139">
        <f t="shared" si="10"/>
        <v>0</v>
      </c>
      <c r="J240" s="50">
        <f t="shared" si="2"/>
        <v>1020.148214</v>
      </c>
      <c r="K240" s="140">
        <f t="shared" si="3"/>
        <v>1020.148214</v>
      </c>
      <c r="L240" s="141">
        <f>sumif(Farms!$C$68:$C$104,E240,Farms!$D$68:$D$104)</f>
        <v>1.5</v>
      </c>
      <c r="M240" s="141">
        <f>sumif(Farms!$C$68:$C$104,E240,Farms!$F$68:$F$104)</f>
        <v>56</v>
      </c>
      <c r="N240" s="141">
        <f>sumif(Farms!$C$68:$C$104,E240,Farms!$G$68:$G$104)</f>
        <v>15</v>
      </c>
    </row>
    <row r="241">
      <c r="A241" s="135">
        <f>IFERROR(__xludf.DUMMYFUNCTION("""COMPUTED_VALUE"""),45943.0)</f>
        <v>45943</v>
      </c>
      <c r="B241" s="87" t="str">
        <f>IFERROR(__xludf.DUMMYFUNCTION("""COMPUTED_VALUE"""),"gessley")</f>
        <v>gessley</v>
      </c>
      <c r="C241">
        <f>IFERROR(__xludf.DUMMYFUNCTION("""COMPUTED_VALUE"""),56960.0)</f>
        <v>56960</v>
      </c>
      <c r="D241" s="136">
        <f>IFERROR(__xludf.DUMMYFUNCTION("""COMPUTED_VALUE"""),15.8)</f>
        <v>15.8</v>
      </c>
      <c r="E241" s="137" t="str">
        <f>IFERROR(__xludf.DUMMYFUNCTION("""COMPUTED_VALUE"""),"Non-GMO Yellow Corn")</f>
        <v>Non-GMO Yellow Corn</v>
      </c>
      <c r="F241" s="138" t="str">
        <f>IFERROR(__xludf.DUMMYFUNCTION("""COMPUTED_VALUE"""),"A072177")</f>
        <v>A072177</v>
      </c>
      <c r="G241" t="str">
        <f>IFERROR(__xludf.DUMMYFUNCTION("""COMPUTED_VALUE"""),"HBT#5788 BK Trk # 4")</f>
        <v>HBT#5788 BK Trk # 4</v>
      </c>
      <c r="H241" s="50"/>
      <c r="I241" s="139">
        <f t="shared" si="10"/>
        <v>0</v>
      </c>
      <c r="J241" s="50">
        <f t="shared" si="2"/>
        <v>1004.937143</v>
      </c>
      <c r="K241" s="140">
        <f t="shared" si="3"/>
        <v>1004.937143</v>
      </c>
      <c r="L241" s="141">
        <f>sumif(Farms!$C$68:$C$104,E241,Farms!$D$68:$D$104)</f>
        <v>1.5</v>
      </c>
      <c r="M241" s="141">
        <f>sumif(Farms!$C$68:$C$104,E241,Farms!$F$68:$F$104)</f>
        <v>56</v>
      </c>
      <c r="N241" s="141">
        <f>sumif(Farms!$C$68:$C$104,E241,Farms!$G$68:$G$104)</f>
        <v>15</v>
      </c>
    </row>
    <row r="242">
      <c r="A242" s="135">
        <f>IFERROR(__xludf.DUMMYFUNCTION("""COMPUTED_VALUE"""),45944.0)</f>
        <v>45944</v>
      </c>
      <c r="B242" s="87" t="str">
        <f>IFERROR(__xludf.DUMMYFUNCTION("""COMPUTED_VALUE"""),"gessley")</f>
        <v>gessley</v>
      </c>
      <c r="C242">
        <f>IFERROR(__xludf.DUMMYFUNCTION("""COMPUTED_VALUE"""),56240.0)</f>
        <v>56240</v>
      </c>
      <c r="D242" s="136">
        <f>IFERROR(__xludf.DUMMYFUNCTION("""COMPUTED_VALUE"""),15.4)</f>
        <v>15.4</v>
      </c>
      <c r="E242" s="137" t="str">
        <f>IFERROR(__xludf.DUMMYFUNCTION("""COMPUTED_VALUE"""),"Non-GMO Yellow Corn")</f>
        <v>Non-GMO Yellow Corn</v>
      </c>
      <c r="F242" s="138" t="str">
        <f>IFERROR(__xludf.DUMMYFUNCTION("""COMPUTED_VALUE"""),"A072179")</f>
        <v>A072179</v>
      </c>
      <c r="G242" t="str">
        <f>IFERROR(__xludf.DUMMYFUNCTION("""COMPUTED_VALUE"""),"HBT#5922 Bob Trk # 2")</f>
        <v>HBT#5922 Bob Trk # 2</v>
      </c>
      <c r="H242" s="50"/>
      <c r="I242" s="139">
        <f t="shared" si="10"/>
        <v>0</v>
      </c>
      <c r="J242" s="50">
        <f t="shared" si="2"/>
        <v>998.26</v>
      </c>
      <c r="K242" s="140">
        <f t="shared" si="3"/>
        <v>998.26</v>
      </c>
      <c r="L242" s="141">
        <f>sumif(Farms!$C$68:$C$104,E242,Farms!$D$68:$D$104)</f>
        <v>1.5</v>
      </c>
      <c r="M242" s="141">
        <f>sumif(Farms!$C$68:$C$104,E242,Farms!$F$68:$F$104)</f>
        <v>56</v>
      </c>
      <c r="N242" s="141">
        <f>sumif(Farms!$C$68:$C$104,E242,Farms!$G$68:$G$104)</f>
        <v>15</v>
      </c>
    </row>
    <row r="243">
      <c r="A243" s="135">
        <f>IFERROR(__xludf.DUMMYFUNCTION("""COMPUTED_VALUE"""),45944.0)</f>
        <v>45944</v>
      </c>
      <c r="B243" s="87" t="str">
        <f>IFERROR(__xludf.DUMMYFUNCTION("""COMPUTED_VALUE"""),"gessley")</f>
        <v>gessley</v>
      </c>
      <c r="C243">
        <f>IFERROR(__xludf.DUMMYFUNCTION("""COMPUTED_VALUE"""),58060.0)</f>
        <v>58060</v>
      </c>
      <c r="D243" s="136">
        <f>IFERROR(__xludf.DUMMYFUNCTION("""COMPUTED_VALUE"""),15.5)</f>
        <v>15.5</v>
      </c>
      <c r="E243" s="137" t="str">
        <f>IFERROR(__xludf.DUMMYFUNCTION("""COMPUTED_VALUE"""),"Non-GMO Yellow Corn")</f>
        <v>Non-GMO Yellow Corn</v>
      </c>
      <c r="F243" s="138" t="str">
        <f>IFERROR(__xludf.DUMMYFUNCTION("""COMPUTED_VALUE"""),"A072181")</f>
        <v>A072181</v>
      </c>
      <c r="G243" t="str">
        <f>IFERROR(__xludf.DUMMYFUNCTION("""COMPUTED_VALUE"""),"HBT#5363 Jack Trk # 63")</f>
        <v>HBT#5363 Jack Trk # 63</v>
      </c>
      <c r="H243" s="50"/>
      <c r="I243" s="139">
        <f t="shared" si="10"/>
        <v>0</v>
      </c>
      <c r="J243" s="50">
        <f t="shared" si="2"/>
        <v>1036.785714</v>
      </c>
      <c r="K243" s="140">
        <f t="shared" si="3"/>
        <v>1036.785714</v>
      </c>
      <c r="L243" s="142">
        <v>0.0</v>
      </c>
      <c r="M243" s="141">
        <f>sumif(Farms!$C$68:$C$104,E243,Farms!$F$68:$F$104)</f>
        <v>56</v>
      </c>
      <c r="N243" s="141">
        <f>sumif(Farms!$C$68:$C$104,E243,Farms!$G$68:$G$104)</f>
        <v>15</v>
      </c>
    </row>
    <row r="244">
      <c r="A244" s="135">
        <f>IFERROR(__xludf.DUMMYFUNCTION("""COMPUTED_VALUE"""),45944.0)</f>
        <v>45944</v>
      </c>
      <c r="B244" s="87" t="str">
        <f>IFERROR(__xludf.DUMMYFUNCTION("""COMPUTED_VALUE"""),"gessley")</f>
        <v>gessley</v>
      </c>
      <c r="C244">
        <f>IFERROR(__xludf.DUMMYFUNCTION("""COMPUTED_VALUE"""),57780.0)</f>
        <v>57780</v>
      </c>
      <c r="D244" s="136">
        <f>IFERROR(__xludf.DUMMYFUNCTION("""COMPUTED_VALUE"""),15.7)</f>
        <v>15.7</v>
      </c>
      <c r="E244" s="137" t="str">
        <f>IFERROR(__xludf.DUMMYFUNCTION("""COMPUTED_VALUE"""),"Non-GMO Yellow Corn")</f>
        <v>Non-GMO Yellow Corn</v>
      </c>
      <c r="F244" s="138" t="str">
        <f>IFERROR(__xludf.DUMMYFUNCTION("""COMPUTED_VALUE"""),"A072183")</f>
        <v>A072183</v>
      </c>
      <c r="G244" t="str">
        <f>IFERROR(__xludf.DUMMYFUNCTION("""COMPUTED_VALUE"""),"HBT#5005 Bob Trk #3")</f>
        <v>HBT#5005 Bob Trk #3</v>
      </c>
      <c r="H244" s="50"/>
      <c r="I244" s="139">
        <f t="shared" si="10"/>
        <v>0</v>
      </c>
      <c r="J244" s="50">
        <f t="shared" si="2"/>
        <v>1031.785714</v>
      </c>
      <c r="K244" s="140">
        <f t="shared" si="3"/>
        <v>1031.785714</v>
      </c>
      <c r="L244" s="142">
        <v>0.0</v>
      </c>
      <c r="M244" s="141">
        <f>sumif(Farms!$C$68:$C$104,E244,Farms!$F$68:$F$104)</f>
        <v>56</v>
      </c>
      <c r="N244" s="141">
        <f>sumif(Farms!$C$68:$C$104,E244,Farms!$G$68:$G$104)</f>
        <v>15</v>
      </c>
    </row>
    <row r="245">
      <c r="A245" s="135">
        <f>IFERROR(__xludf.DUMMYFUNCTION("""COMPUTED_VALUE"""),45944.0)</f>
        <v>45944</v>
      </c>
      <c r="B245" s="87" t="str">
        <f>IFERROR(__xludf.DUMMYFUNCTION("""COMPUTED_VALUE"""),"gessley")</f>
        <v>gessley</v>
      </c>
      <c r="C245">
        <f>IFERROR(__xludf.DUMMYFUNCTION("""COMPUTED_VALUE"""),58180.0)</f>
        <v>58180</v>
      </c>
      <c r="D245" s="136">
        <f>IFERROR(__xludf.DUMMYFUNCTION("""COMPUTED_VALUE"""),15.8)</f>
        <v>15.8</v>
      </c>
      <c r="E245" s="137" t="str">
        <f>IFERROR(__xludf.DUMMYFUNCTION("""COMPUTED_VALUE"""),"Non-GMO Yellow Corn")</f>
        <v>Non-GMO Yellow Corn</v>
      </c>
      <c r="F245" s="138" t="str">
        <f>IFERROR(__xludf.DUMMYFUNCTION("""COMPUTED_VALUE"""),"A072184")</f>
        <v>A072184</v>
      </c>
      <c r="G245" t="str">
        <f>IFERROR(__xludf.DUMMYFUNCTION("""COMPUTED_VALUE"""),"HBT#5211  Jack  Trk # 5")</f>
        <v>HBT#5211  Jack  Trk # 5</v>
      </c>
      <c r="H245" s="50"/>
      <c r="I245" s="139">
        <f t="shared" si="10"/>
        <v>0</v>
      </c>
      <c r="J245" s="50">
        <f t="shared" si="2"/>
        <v>1038.928571</v>
      </c>
      <c r="K245" s="140">
        <f t="shared" si="3"/>
        <v>1038.928571</v>
      </c>
      <c r="L245" s="142">
        <v>0.0</v>
      </c>
      <c r="M245" s="141">
        <f>sumif(Farms!$C$68:$C$104,E245,Farms!$F$68:$F$104)</f>
        <v>56</v>
      </c>
      <c r="N245" s="141">
        <f>sumif(Farms!$C$68:$C$104,E245,Farms!$G$68:$G$104)</f>
        <v>15</v>
      </c>
    </row>
    <row r="246">
      <c r="A246" s="151">
        <f>IFERROR(__xludf.DUMMYFUNCTION("""COMPUTED_VALUE"""),45944.0)</f>
        <v>45944</v>
      </c>
      <c r="B246" s="87" t="str">
        <f>IFERROR(__xludf.DUMMYFUNCTION("""COMPUTED_VALUE"""),"gessley")</f>
        <v>gessley</v>
      </c>
      <c r="C246" s="87">
        <f>IFERROR(__xludf.DUMMYFUNCTION("""COMPUTED_VALUE"""),32100.0)</f>
        <v>32100</v>
      </c>
      <c r="D246" s="128">
        <f>IFERROR(__xludf.DUMMYFUNCTION("""COMPUTED_VALUE"""),15.4)</f>
        <v>15.4</v>
      </c>
      <c r="E246" s="129" t="str">
        <f>IFERROR(__xludf.DUMMYFUNCTION("""COMPUTED_VALUE"""),"Non-GMO Yellow Corn")</f>
        <v>Non-GMO Yellow Corn</v>
      </c>
      <c r="F246" s="152" t="str">
        <f>IFERROR(__xludf.DUMMYFUNCTION("""COMPUTED_VALUE"""),"A072184")</f>
        <v>A072184</v>
      </c>
      <c r="G246" s="87" t="str">
        <f>IFERROR(__xludf.DUMMYFUNCTION("""COMPUTED_VALUE"""),"HBT#5585 Bob  Trk #41 Last Load")</f>
        <v>HBT#5585 Bob  Trk #41 Last Load</v>
      </c>
      <c r="H246" s="49"/>
      <c r="I246" s="139">
        <f t="shared" si="10"/>
        <v>0</v>
      </c>
      <c r="J246" s="50">
        <f t="shared" si="2"/>
        <v>573.2142857</v>
      </c>
      <c r="K246" s="140">
        <f t="shared" si="3"/>
        <v>573.2142857</v>
      </c>
      <c r="L246" s="142">
        <v>0.0</v>
      </c>
      <c r="M246" s="141">
        <f>sumif(Farms!$C$68:$C$104,E246,Farms!$F$68:$F$104)</f>
        <v>56</v>
      </c>
      <c r="N246" s="141">
        <f>sumif(Farms!$C$68:$C$104,E246,Farms!$G$68:$G$104)</f>
        <v>15</v>
      </c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</row>
    <row r="247">
      <c r="A247" s="135">
        <f>IFERROR(__xludf.DUMMYFUNCTION("""COMPUTED_VALUE"""),45890.0)</f>
        <v>45890</v>
      </c>
      <c r="B247" s="87" t="str">
        <f>IFERROR(__xludf.DUMMYFUNCTION("""COMPUTED_VALUE"""),"Goat Pasture")</f>
        <v>Goat Pasture</v>
      </c>
      <c r="C247">
        <f>IFERROR(__xludf.DUMMYFUNCTION("""COMPUTED_VALUE"""),275740.0)</f>
        <v>275740</v>
      </c>
      <c r="D247" s="136"/>
      <c r="E247" s="137" t="str">
        <f>IFERROR(__xludf.DUMMYFUNCTION("""COMPUTED_VALUE"""),"Organic Sweet Corn")</f>
        <v>Organic Sweet Corn</v>
      </c>
      <c r="F247" s="138" t="str">
        <f>IFERROR(__xludf.DUMMYFUNCTION("""COMPUTED_VALUE"""),"510-057075 - 88")</f>
        <v>510-057075 - 88</v>
      </c>
      <c r="G247" t="str">
        <f>IFERROR(__xludf.DUMMYFUNCTION("""COMPUTED_VALUE"""),"Seneca Picked ")</f>
        <v>Seneca Picked </v>
      </c>
      <c r="H247" s="50"/>
      <c r="I247" s="139">
        <f t="shared" si="10"/>
        <v>0</v>
      </c>
      <c r="J247" s="50">
        <f t="shared" si="2"/>
        <v>137.87</v>
      </c>
      <c r="K247" s="140">
        <f t="shared" si="3"/>
        <v>137.87</v>
      </c>
      <c r="L247" s="142">
        <v>0.0</v>
      </c>
      <c r="M247" s="141">
        <f>sumif(Farms!$C$68:$C$104,E247,Farms!$F$68:$F$104)</f>
        <v>2000</v>
      </c>
      <c r="N247" s="141">
        <f>sumif(Farms!$C$68:$C$104,E247,Farms!$G$68:$G$104)</f>
        <v>15</v>
      </c>
    </row>
    <row r="248">
      <c r="A248" s="135">
        <f>IFERROR(__xludf.DUMMYFUNCTION("""COMPUTED_VALUE"""),45944.0)</f>
        <v>45944</v>
      </c>
      <c r="B248" s="87" t="str">
        <f>IFERROR(__xludf.DUMMYFUNCTION("""COMPUTED_VALUE"""),"hoff ")</f>
        <v>hoff </v>
      </c>
      <c r="C248">
        <f>IFERROR(__xludf.DUMMYFUNCTION("""COMPUTED_VALUE"""),57420.0)</f>
        <v>57420</v>
      </c>
      <c r="D248" s="136">
        <f>IFERROR(__xludf.DUMMYFUNCTION("""COMPUTED_VALUE"""),14.5)</f>
        <v>14.5</v>
      </c>
      <c r="E248" s="137" t="str">
        <f>IFERROR(__xludf.DUMMYFUNCTION("""COMPUTED_VALUE"""),"Non-GMO Yellow Corn")</f>
        <v>Non-GMO Yellow Corn</v>
      </c>
      <c r="F248" s="138" t="str">
        <f>IFERROR(__xludf.DUMMYFUNCTION("""COMPUTED_VALUE"""),"670004263")</f>
        <v>670004263</v>
      </c>
      <c r="G248" t="str">
        <f>IFERROR(__xludf.DUMMYFUNCTION("""COMPUTED_VALUE"""),"HBT#5008 Bob Trk # 3")</f>
        <v>HBT#5008 Bob Trk # 3</v>
      </c>
      <c r="H248" s="50"/>
      <c r="I248" s="139">
        <f t="shared" si="10"/>
        <v>0</v>
      </c>
      <c r="J248" s="50">
        <f t="shared" si="2"/>
        <v>1025.357143</v>
      </c>
      <c r="K248" s="140">
        <f t="shared" si="3"/>
        <v>1025.357143</v>
      </c>
      <c r="L248" s="142">
        <v>0.0</v>
      </c>
      <c r="M248" s="141">
        <f>sumif(Farms!$C$68:$C$104,E248,Farms!$F$68:$F$104)</f>
        <v>56</v>
      </c>
      <c r="N248" s="141">
        <f>sumif(Farms!$C$68:$C$104,E248,Farms!$G$68:$G$104)</f>
        <v>15</v>
      </c>
    </row>
    <row r="249">
      <c r="A249" s="135">
        <f>IFERROR(__xludf.DUMMYFUNCTION("""COMPUTED_VALUE"""),45944.0)</f>
        <v>45944</v>
      </c>
      <c r="B249" s="87" t="str">
        <f>IFERROR(__xludf.DUMMYFUNCTION("""COMPUTED_VALUE"""),"hoff ")</f>
        <v>hoff </v>
      </c>
      <c r="C249">
        <f>IFERROR(__xludf.DUMMYFUNCTION("""COMPUTED_VALUE"""),59640.0)</f>
        <v>59640</v>
      </c>
      <c r="D249" s="136">
        <f>IFERROR(__xludf.DUMMYFUNCTION("""COMPUTED_VALUE"""),15.5)</f>
        <v>15.5</v>
      </c>
      <c r="E249" s="137" t="str">
        <f>IFERROR(__xludf.DUMMYFUNCTION("""COMPUTED_VALUE"""),"Non-GMO Yellow Corn")</f>
        <v>Non-GMO Yellow Corn</v>
      </c>
      <c r="F249" s="138" t="str">
        <f>IFERROR(__xludf.DUMMYFUNCTION("""COMPUTED_VALUE"""),"670004271")</f>
        <v>670004271</v>
      </c>
      <c r="G249" t="str">
        <f>IFERROR(__xludf.DUMMYFUNCTION("""COMPUTED_VALUE"""),"HBT#5366  Bob Trk # 3")</f>
        <v>HBT#5366  Bob Trk # 3</v>
      </c>
      <c r="H249" s="50"/>
      <c r="I249" s="139">
        <f t="shared" si="10"/>
        <v>0</v>
      </c>
      <c r="J249" s="50">
        <f t="shared" si="2"/>
        <v>1057.0125</v>
      </c>
      <c r="K249" s="140">
        <f t="shared" si="3"/>
        <v>1057.0125</v>
      </c>
      <c r="L249" s="141">
        <f>sumif(Farms!$C$68:$C$104,E249,Farms!$D$68:$D$104)</f>
        <v>1.5</v>
      </c>
      <c r="M249" s="141">
        <f>sumif(Farms!$C$68:$C$104,E249,Farms!$F$68:$F$104)</f>
        <v>56</v>
      </c>
      <c r="N249" s="141">
        <f>sumif(Farms!$C$68:$C$104,E249,Farms!$G$68:$G$104)</f>
        <v>15</v>
      </c>
    </row>
    <row r="250">
      <c r="A250" s="135">
        <f>IFERROR(__xludf.DUMMYFUNCTION("""COMPUTED_VALUE"""),45944.0)</f>
        <v>45944</v>
      </c>
      <c r="B250" s="87" t="str">
        <f>IFERROR(__xludf.DUMMYFUNCTION("""COMPUTED_VALUE"""),"hoff ")</f>
        <v>hoff </v>
      </c>
      <c r="C250">
        <f>IFERROR(__xludf.DUMMYFUNCTION("""COMPUTED_VALUE"""),57120.0)</f>
        <v>57120</v>
      </c>
      <c r="D250" s="136">
        <f>IFERROR(__xludf.DUMMYFUNCTION("""COMPUTED_VALUE"""),15.2)</f>
        <v>15.2</v>
      </c>
      <c r="E250" s="137" t="str">
        <f>IFERROR(__xludf.DUMMYFUNCTION("""COMPUTED_VALUE"""),"Non-GMO Yellow Corn")</f>
        <v>Non-GMO Yellow Corn</v>
      </c>
      <c r="F250" s="138" t="str">
        <f>IFERROR(__xludf.DUMMYFUNCTION("""COMPUTED_VALUE"""),"670004275")</f>
        <v>670004275</v>
      </c>
      <c r="G250" t="str">
        <f>IFERROR(__xludf.DUMMYFUNCTION("""COMPUTED_VALUE"""),"HBT#5791 BK Trk # 4")</f>
        <v>HBT#5791 BK Trk # 4</v>
      </c>
      <c r="H250" s="50"/>
      <c r="I250" s="139">
        <f t="shared" si="10"/>
        <v>0</v>
      </c>
      <c r="J250" s="50">
        <f t="shared" si="2"/>
        <v>1016.94</v>
      </c>
      <c r="K250" s="140">
        <f t="shared" si="3"/>
        <v>1016.94</v>
      </c>
      <c r="L250" s="141">
        <f>sumif(Farms!$C$68:$C$104,E250,Farms!$D$68:$D$104)</f>
        <v>1.5</v>
      </c>
      <c r="M250" s="141">
        <f>sumif(Farms!$C$68:$C$104,E250,Farms!$F$68:$F$104)</f>
        <v>56</v>
      </c>
      <c r="N250" s="141">
        <f>sumif(Farms!$C$68:$C$104,E250,Farms!$G$68:$G$104)</f>
        <v>15</v>
      </c>
    </row>
    <row r="251">
      <c r="A251" s="135">
        <f>IFERROR(__xludf.DUMMYFUNCTION("""COMPUTED_VALUE"""),45944.0)</f>
        <v>45944</v>
      </c>
      <c r="B251" s="87" t="str">
        <f>IFERROR(__xludf.DUMMYFUNCTION("""COMPUTED_VALUE"""),"hoff ")</f>
        <v>hoff </v>
      </c>
      <c r="C251">
        <f>IFERROR(__xludf.DUMMYFUNCTION("""COMPUTED_VALUE"""),57940.0)</f>
        <v>57940</v>
      </c>
      <c r="D251" s="136">
        <f>IFERROR(__xludf.DUMMYFUNCTION("""COMPUTED_VALUE"""),14.3)</f>
        <v>14.3</v>
      </c>
      <c r="E251" s="137" t="str">
        <f>IFERROR(__xludf.DUMMYFUNCTION("""COMPUTED_VALUE"""),"Non-GMO Yellow Corn")</f>
        <v>Non-GMO Yellow Corn</v>
      </c>
      <c r="F251" s="138" t="str">
        <f>IFERROR(__xludf.DUMMYFUNCTION("""COMPUTED_VALUE"""),"670004292")</f>
        <v>670004292</v>
      </c>
      <c r="G251" t="str">
        <f>IFERROR(__xludf.DUMMYFUNCTION("""COMPUTED_VALUE"""),"HBT#5009 Bob Trk # 3")</f>
        <v>HBT#5009 Bob Trk # 3</v>
      </c>
      <c r="H251" s="50"/>
      <c r="I251" s="139">
        <f t="shared" si="10"/>
        <v>0</v>
      </c>
      <c r="J251" s="50">
        <f t="shared" si="2"/>
        <v>1045.506607</v>
      </c>
      <c r="K251" s="140">
        <f t="shared" si="3"/>
        <v>1045.506607</v>
      </c>
      <c r="L251" s="141">
        <f>sumif(Farms!$C$68:$C$104,E251,Farms!$D$68:$D$104)</f>
        <v>1.5</v>
      </c>
      <c r="M251" s="141">
        <f>sumif(Farms!$C$68:$C$104,E251,Farms!$F$68:$F$104)</f>
        <v>56</v>
      </c>
      <c r="N251" s="141">
        <f>sumif(Farms!$C$68:$C$104,E251,Farms!$G$68:$G$104)</f>
        <v>15</v>
      </c>
    </row>
    <row r="252">
      <c r="A252" s="135">
        <f>IFERROR(__xludf.DUMMYFUNCTION("""COMPUTED_VALUE"""),45944.0)</f>
        <v>45944</v>
      </c>
      <c r="B252" s="87" t="str">
        <f>IFERROR(__xludf.DUMMYFUNCTION("""COMPUTED_VALUE"""),"hoff ")</f>
        <v>hoff </v>
      </c>
      <c r="C252">
        <f>IFERROR(__xludf.DUMMYFUNCTION("""COMPUTED_VALUE"""),59040.0)</f>
        <v>59040</v>
      </c>
      <c r="D252" s="136">
        <f>IFERROR(__xludf.DUMMYFUNCTION("""COMPUTED_VALUE"""),14.4)</f>
        <v>14.4</v>
      </c>
      <c r="E252" s="137" t="str">
        <f>IFERROR(__xludf.DUMMYFUNCTION("""COMPUTED_VALUE"""),"Non-GMO Yellow Corn")</f>
        <v>Non-GMO Yellow Corn</v>
      </c>
      <c r="F252" s="138" t="str">
        <f>IFERROR(__xludf.DUMMYFUNCTION("""COMPUTED_VALUE"""),"670004307")</f>
        <v>670004307</v>
      </c>
      <c r="G252" t="str">
        <f>IFERROR(__xludf.DUMMYFUNCTION("""COMPUTED_VALUE"""),"HBT#5792 BK Trk # 4")</f>
        <v>HBT#5792 BK Trk # 4</v>
      </c>
      <c r="H252" s="50"/>
      <c r="I252" s="139">
        <f t="shared" si="10"/>
        <v>0</v>
      </c>
      <c r="J252" s="50">
        <f t="shared" si="2"/>
        <v>1063.774286</v>
      </c>
      <c r="K252" s="140">
        <f t="shared" si="3"/>
        <v>1063.774286</v>
      </c>
      <c r="L252" s="141">
        <f>sumif(Farms!$C$68:$C$104,E252,Farms!$D$68:$D$104)</f>
        <v>1.5</v>
      </c>
      <c r="M252" s="141">
        <f>sumif(Farms!$C$68:$C$104,E252,Farms!$F$68:$F$104)</f>
        <v>56</v>
      </c>
      <c r="N252" s="141">
        <f>sumif(Farms!$C$68:$C$104,E252,Farms!$G$68:$G$104)</f>
        <v>15</v>
      </c>
    </row>
    <row r="253">
      <c r="A253" s="135">
        <f>IFERROR(__xludf.DUMMYFUNCTION("""COMPUTED_VALUE"""),45944.0)</f>
        <v>45944</v>
      </c>
      <c r="B253" s="87" t="str">
        <f>IFERROR(__xludf.DUMMYFUNCTION("""COMPUTED_VALUE"""),"hoff ")</f>
        <v>hoff </v>
      </c>
      <c r="C253">
        <f>IFERROR(__xludf.DUMMYFUNCTION("""COMPUTED_VALUE"""),57000.0)</f>
        <v>57000</v>
      </c>
      <c r="D253" s="136">
        <f>IFERROR(__xludf.DUMMYFUNCTION("""COMPUTED_VALUE"""),14.3)</f>
        <v>14.3</v>
      </c>
      <c r="E253" s="137" t="str">
        <f>IFERROR(__xludf.DUMMYFUNCTION("""COMPUTED_VALUE"""),"Non-GMO Yellow Corn")</f>
        <v>Non-GMO Yellow Corn</v>
      </c>
      <c r="F253" s="138" t="str">
        <f>IFERROR(__xludf.DUMMYFUNCTION("""COMPUTED_VALUE"""),"670004319")</f>
        <v>670004319</v>
      </c>
      <c r="G253" t="str">
        <f>IFERROR(__xludf.DUMMYFUNCTION("""COMPUTED_VALUE"""),"HBT#5589 WR Trk # 41")</f>
        <v>HBT#5589 WR Trk # 41</v>
      </c>
      <c r="H253" s="50"/>
      <c r="I253" s="139">
        <f t="shared" si="10"/>
        <v>0</v>
      </c>
      <c r="J253" s="50">
        <f t="shared" si="2"/>
        <v>1028.544643</v>
      </c>
      <c r="K253" s="140">
        <f t="shared" si="3"/>
        <v>1028.544643</v>
      </c>
      <c r="L253" s="141">
        <f>sumif(Farms!$C$68:$C$104,E253,Farms!$D$68:$D$104)</f>
        <v>1.5</v>
      </c>
      <c r="M253" s="141">
        <f>sumif(Farms!$C$68:$C$104,E253,Farms!$F$68:$F$104)</f>
        <v>56</v>
      </c>
      <c r="N253" s="141">
        <f>sumif(Farms!$C$68:$C$104,E253,Farms!$G$68:$G$104)</f>
        <v>15</v>
      </c>
    </row>
    <row r="254">
      <c r="A254" s="135">
        <f>IFERROR(__xludf.DUMMYFUNCTION("""COMPUTED_VALUE"""),45944.0)</f>
        <v>45944</v>
      </c>
      <c r="B254" s="87" t="str">
        <f>IFERROR(__xludf.DUMMYFUNCTION("""COMPUTED_VALUE"""),"hoff ")</f>
        <v>hoff </v>
      </c>
      <c r="C254">
        <f>IFERROR(__xludf.DUMMYFUNCTION("""COMPUTED_VALUE"""),58540.0)</f>
        <v>58540</v>
      </c>
      <c r="D254" s="136">
        <f>IFERROR(__xludf.DUMMYFUNCTION("""COMPUTED_VALUE"""),14.0)</f>
        <v>14</v>
      </c>
      <c r="E254" s="137" t="str">
        <f>IFERROR(__xludf.DUMMYFUNCTION("""COMPUTED_VALUE"""),"Non-GMO Yellow Corn")</f>
        <v>Non-GMO Yellow Corn</v>
      </c>
      <c r="F254" s="138" t="str">
        <f>IFERROR(__xludf.DUMMYFUNCTION("""COMPUTED_VALUE"""),"B0118861")</f>
        <v>B0118861</v>
      </c>
      <c r="G254" t="str">
        <f>IFERROR(__xludf.DUMMYFUNCTION("""COMPUTED_VALUE"""),"HBT5214 JB Trk #5")</f>
        <v>HBT5214 JB Trk #5</v>
      </c>
      <c r="H254" s="50"/>
      <c r="I254" s="139">
        <f t="shared" si="10"/>
        <v>0</v>
      </c>
      <c r="J254" s="50">
        <f t="shared" si="2"/>
        <v>1061.0375</v>
      </c>
      <c r="K254" s="140">
        <f t="shared" si="3"/>
        <v>1061.0375</v>
      </c>
      <c r="L254" s="141">
        <f>sumif(Farms!$C$68:$C$104,E254,Farms!$D$68:$D$104)</f>
        <v>1.5</v>
      </c>
      <c r="M254" s="141">
        <f>sumif(Farms!$C$68:$C$104,E254,Farms!$F$68:$F$104)</f>
        <v>56</v>
      </c>
      <c r="N254" s="141">
        <f>sumif(Farms!$C$68:$C$104,E254,Farms!$G$68:$G$104)</f>
        <v>15</v>
      </c>
    </row>
    <row r="255">
      <c r="A255" s="135">
        <f>IFERROR(__xludf.DUMMYFUNCTION("""COMPUTED_VALUE"""),45944.0)</f>
        <v>45944</v>
      </c>
      <c r="B255" s="87" t="str">
        <f>IFERROR(__xludf.DUMMYFUNCTION("""COMPUTED_VALUE"""),"hoff ")</f>
        <v>hoff </v>
      </c>
      <c r="C255">
        <f>IFERROR(__xludf.DUMMYFUNCTION("""COMPUTED_VALUE"""),57660.0)</f>
        <v>57660</v>
      </c>
      <c r="D255" s="136">
        <f>IFERROR(__xludf.DUMMYFUNCTION("""COMPUTED_VALUE"""),14.0)</f>
        <v>14</v>
      </c>
      <c r="E255" s="137" t="str">
        <f>IFERROR(__xludf.DUMMYFUNCTION("""COMPUTED_VALUE"""),"Non-GMO Yellow Corn")</f>
        <v>Non-GMO Yellow Corn</v>
      </c>
      <c r="F255" s="138" t="str">
        <f>IFERROR(__xludf.DUMMYFUNCTION("""COMPUTED_VALUE"""),"B0118862")</f>
        <v>B0118862</v>
      </c>
      <c r="G255" t="str">
        <f>IFERROR(__xludf.DUMMYFUNCTION("""COMPUTED_VALUE"""),"HBT#5587 WR Trk #41")</f>
        <v>HBT#5587 WR Trk #41</v>
      </c>
      <c r="H255" s="50"/>
      <c r="I255" s="139">
        <f t="shared" si="10"/>
        <v>0</v>
      </c>
      <c r="J255" s="50">
        <f t="shared" si="2"/>
        <v>1045.0875</v>
      </c>
      <c r="K255" s="140">
        <f t="shared" si="3"/>
        <v>1045.0875</v>
      </c>
      <c r="L255" s="141">
        <f>sumif(Farms!$C$68:$C$104,E255,Farms!$D$68:$D$104)</f>
        <v>1.5</v>
      </c>
      <c r="M255" s="141">
        <f>sumif(Farms!$C$68:$C$104,E255,Farms!$F$68:$F$104)</f>
        <v>56</v>
      </c>
      <c r="N255" s="141">
        <f>sumif(Farms!$C$68:$C$104,E255,Farms!$G$68:$G$104)</f>
        <v>15</v>
      </c>
    </row>
    <row r="256">
      <c r="A256" s="135">
        <f>IFERROR(__xludf.DUMMYFUNCTION("""COMPUTED_VALUE"""),45944.0)</f>
        <v>45944</v>
      </c>
      <c r="B256" s="87" t="str">
        <f>IFERROR(__xludf.DUMMYFUNCTION("""COMPUTED_VALUE"""),"hoff ")</f>
        <v>hoff </v>
      </c>
      <c r="C256">
        <f>IFERROR(__xludf.DUMMYFUNCTION("""COMPUTED_VALUE"""),57540.0)</f>
        <v>57540</v>
      </c>
      <c r="D256" s="136">
        <f>IFERROR(__xludf.DUMMYFUNCTION("""COMPUTED_VALUE"""),13.9)</f>
        <v>13.9</v>
      </c>
      <c r="E256" s="137" t="str">
        <f>IFERROR(__xludf.DUMMYFUNCTION("""COMPUTED_VALUE"""),"Non-GMO Yellow Corn")</f>
        <v>Non-GMO Yellow Corn</v>
      </c>
      <c r="F256" s="138" t="str">
        <f>IFERROR(__xludf.DUMMYFUNCTION("""COMPUTED_VALUE"""),"B0118869")</f>
        <v>B0118869</v>
      </c>
      <c r="G256" t="str">
        <f>IFERROR(__xludf.DUMMYFUNCTION("""COMPUTED_VALUE"""),"HBT#5215 JB Trk #5")</f>
        <v>HBT#5215 JB Trk #5</v>
      </c>
      <c r="H256" s="50"/>
      <c r="I256" s="139">
        <f t="shared" si="10"/>
        <v>0</v>
      </c>
      <c r="J256" s="50">
        <f t="shared" si="2"/>
        <v>1044.45375</v>
      </c>
      <c r="K256" s="140">
        <f t="shared" si="3"/>
        <v>1044.45375</v>
      </c>
      <c r="L256" s="141">
        <f>sumif(Farms!$C$68:$C$104,E256,Farms!$D$68:$D$104)</f>
        <v>1.5</v>
      </c>
      <c r="M256" s="141">
        <f>sumif(Farms!$C$68:$C$104,E256,Farms!$F$68:$F$104)</f>
        <v>56</v>
      </c>
      <c r="N256" s="141">
        <f>sumif(Farms!$C$68:$C$104,E256,Farms!$G$68:$G$104)</f>
        <v>15</v>
      </c>
    </row>
    <row r="257">
      <c r="A257" s="135">
        <f>IFERROR(__xludf.DUMMYFUNCTION("""COMPUTED_VALUE"""),45944.0)</f>
        <v>45944</v>
      </c>
      <c r="B257" s="87" t="str">
        <f>IFERROR(__xludf.DUMMYFUNCTION("""COMPUTED_VALUE"""),"hoff ")</f>
        <v>hoff </v>
      </c>
      <c r="C257">
        <f>IFERROR(__xludf.DUMMYFUNCTION("""COMPUTED_VALUE"""),57720.0)</f>
        <v>57720</v>
      </c>
      <c r="D257" s="136">
        <f>IFERROR(__xludf.DUMMYFUNCTION("""COMPUTED_VALUE"""),14.1)</f>
        <v>14.1</v>
      </c>
      <c r="E257" s="137" t="str">
        <f>IFERROR(__xludf.DUMMYFUNCTION("""COMPUTED_VALUE"""),"Non-GMO Yellow Corn")</f>
        <v>Non-GMO Yellow Corn</v>
      </c>
      <c r="F257" s="138" t="str">
        <f>IFERROR(__xludf.DUMMYFUNCTION("""COMPUTED_VALUE"""),"B0118873")</f>
        <v>B0118873</v>
      </c>
      <c r="G257" t="str">
        <f>IFERROR(__xludf.DUMMYFUNCTION("""COMPUTED_VALUE"""),"HBT#5588 WR Trk  #41")</f>
        <v>HBT#5588 WR Trk  #41</v>
      </c>
      <c r="H257" s="50"/>
      <c r="I257" s="139">
        <f t="shared" si="10"/>
        <v>0</v>
      </c>
      <c r="J257" s="50">
        <f t="shared" si="2"/>
        <v>1044.628929</v>
      </c>
      <c r="K257" s="140">
        <f t="shared" si="3"/>
        <v>1044.628929</v>
      </c>
      <c r="L257" s="141">
        <f>sumif(Farms!$C$68:$C$104,E257,Farms!$D$68:$D$104)</f>
        <v>1.5</v>
      </c>
      <c r="M257" s="141">
        <f>sumif(Farms!$C$68:$C$104,E257,Farms!$F$68:$F$104)</f>
        <v>56</v>
      </c>
      <c r="N257" s="141">
        <f>sumif(Farms!$C$68:$C$104,E257,Farms!$G$68:$G$104)</f>
        <v>15</v>
      </c>
    </row>
    <row r="258">
      <c r="A258" s="135">
        <f>IFERROR(__xludf.DUMMYFUNCTION("""COMPUTED_VALUE"""),45944.0)</f>
        <v>45944</v>
      </c>
      <c r="B258" s="87" t="str">
        <f>IFERROR(__xludf.DUMMYFUNCTION("""COMPUTED_VALUE"""),"hoff ")</f>
        <v>hoff </v>
      </c>
      <c r="C258">
        <f>IFERROR(__xludf.DUMMYFUNCTION("""COMPUTED_VALUE"""),57220.0)</f>
        <v>57220</v>
      </c>
      <c r="D258" s="136">
        <f>IFERROR(__xludf.DUMMYFUNCTION("""COMPUTED_VALUE"""),14.2)</f>
        <v>14.2</v>
      </c>
      <c r="E258" s="137" t="str">
        <f>IFERROR(__xludf.DUMMYFUNCTION("""COMPUTED_VALUE"""),"Non-GMO Yellow Corn")</f>
        <v>Non-GMO Yellow Corn</v>
      </c>
      <c r="F258" s="138" t="str">
        <f>IFERROR(__xludf.DUMMYFUNCTION("""COMPUTED_VALUE"""),"B0118880")</f>
        <v>B0118880</v>
      </c>
      <c r="G258" t="str">
        <f>IFERROR(__xludf.DUMMYFUNCTION("""COMPUTED_VALUE"""),"HBT#5367 Jack Trk  #63")</f>
        <v>HBT#5367 Jack Trk  #63</v>
      </c>
      <c r="H258" s="50"/>
      <c r="I258" s="139">
        <f t="shared" si="10"/>
        <v>0</v>
      </c>
      <c r="J258" s="50">
        <f t="shared" si="2"/>
        <v>1034.047143</v>
      </c>
      <c r="K258" s="140">
        <f t="shared" si="3"/>
        <v>1034.047143</v>
      </c>
      <c r="L258" s="141">
        <f>sumif(Farms!$C$68:$C$104,E258,Farms!$D$68:$D$104)</f>
        <v>1.5</v>
      </c>
      <c r="M258" s="141">
        <f>sumif(Farms!$C$68:$C$104,E258,Farms!$F$68:$F$104)</f>
        <v>56</v>
      </c>
      <c r="N258" s="141">
        <f>sumif(Farms!$C$68:$C$104,E258,Farms!$G$68:$G$104)</f>
        <v>15</v>
      </c>
    </row>
    <row r="259">
      <c r="A259" s="135">
        <f>IFERROR(__xludf.DUMMYFUNCTION("""COMPUTED_VALUE"""),45944.0)</f>
        <v>45944</v>
      </c>
      <c r="B259" s="87" t="str">
        <f>IFERROR(__xludf.DUMMYFUNCTION("""COMPUTED_VALUE"""),"hoff ")</f>
        <v>hoff </v>
      </c>
      <c r="C259">
        <f>IFERROR(__xludf.DUMMYFUNCTION("""COMPUTED_VALUE"""),57380.0)</f>
        <v>57380</v>
      </c>
      <c r="D259" s="136">
        <f>IFERROR(__xludf.DUMMYFUNCTION("""COMPUTED_VALUE"""),14.2)</f>
        <v>14.2</v>
      </c>
      <c r="E259" s="137" t="str">
        <f>IFERROR(__xludf.DUMMYFUNCTION("""COMPUTED_VALUE"""),"Non-GMO Yellow Corn")</f>
        <v>Non-GMO Yellow Corn</v>
      </c>
      <c r="F259" s="138" t="str">
        <f>IFERROR(__xludf.DUMMYFUNCTION("""COMPUTED_VALUE"""),"B0118881")</f>
        <v>B0118881</v>
      </c>
      <c r="G259" t="str">
        <f>IFERROR(__xludf.DUMMYFUNCTION("""COMPUTED_VALUE"""),"HBT#5216 JB Trk  #5")</f>
        <v>HBT#5216 JB Trk  #5</v>
      </c>
      <c r="H259" s="50"/>
      <c r="I259" s="139">
        <f t="shared" si="10"/>
        <v>0</v>
      </c>
      <c r="J259" s="50">
        <f t="shared" si="2"/>
        <v>1036.938571</v>
      </c>
      <c r="K259" s="140">
        <f t="shared" si="3"/>
        <v>1036.938571</v>
      </c>
      <c r="L259" s="141">
        <f>sumif(Farms!$C$68:$C$104,E259,Farms!$D$68:$D$104)</f>
        <v>1.5</v>
      </c>
      <c r="M259" s="141">
        <f>sumif(Farms!$C$68:$C$104,E259,Farms!$F$68:$F$104)</f>
        <v>56</v>
      </c>
      <c r="N259" s="141">
        <f>sumif(Farms!$C$68:$C$104,E259,Farms!$G$68:$G$104)</f>
        <v>15</v>
      </c>
    </row>
    <row r="260">
      <c r="A260" s="135">
        <f>IFERROR(__xludf.DUMMYFUNCTION("""COMPUTED_VALUE"""),45944.0)</f>
        <v>45944</v>
      </c>
      <c r="B260" s="87" t="str">
        <f>IFERROR(__xludf.DUMMYFUNCTION("""COMPUTED_VALUE"""),"hoff ")</f>
        <v>hoff </v>
      </c>
      <c r="C260">
        <f>IFERROR(__xludf.DUMMYFUNCTION("""COMPUTED_VALUE"""),57820.0)</f>
        <v>57820</v>
      </c>
      <c r="D260" s="136">
        <f>IFERROR(__xludf.DUMMYFUNCTION("""COMPUTED_VALUE"""),14.8)</f>
        <v>14.8</v>
      </c>
      <c r="E260" s="137" t="str">
        <f>IFERROR(__xludf.DUMMYFUNCTION("""COMPUTED_VALUE"""),"Non-GMO Yellow Corn")</f>
        <v>Non-GMO Yellow Corn</v>
      </c>
      <c r="F260" s="138" t="str">
        <f>IFERROR(__xludf.DUMMYFUNCTION("""COMPUTED_VALUE"""),"B0118892")</f>
        <v>B0118892</v>
      </c>
      <c r="G260" t="str">
        <f>IFERROR(__xludf.DUMMYFUNCTION("""COMPUTED_VALUE"""),"HBT#5368 Jack Trk  #63")</f>
        <v>HBT#5368 Jack Trk  #63</v>
      </c>
      <c r="H260" s="50"/>
      <c r="I260" s="139">
        <f t="shared" si="10"/>
        <v>0</v>
      </c>
      <c r="J260" s="50">
        <f t="shared" si="2"/>
        <v>1035.5975</v>
      </c>
      <c r="K260" s="140">
        <f t="shared" si="3"/>
        <v>1035.5975</v>
      </c>
      <c r="L260" s="141">
        <f>sumif(Farms!$C$68:$C$104,E260,Farms!$D$68:$D$104)</f>
        <v>1.5</v>
      </c>
      <c r="M260" s="141">
        <f>sumif(Farms!$C$68:$C$104,E260,Farms!$F$68:$F$104)</f>
        <v>56</v>
      </c>
      <c r="N260" s="141">
        <f>sumif(Farms!$C$68:$C$104,E260,Farms!$G$68:$G$104)</f>
        <v>15</v>
      </c>
    </row>
    <row r="261">
      <c r="A261" s="135">
        <f>IFERROR(__xludf.DUMMYFUNCTION("""COMPUTED_VALUE"""),45944.0)</f>
        <v>45944</v>
      </c>
      <c r="B261" s="87" t="str">
        <f>IFERROR(__xludf.DUMMYFUNCTION("""COMPUTED_VALUE"""),"hoff ")</f>
        <v>hoff </v>
      </c>
      <c r="C261">
        <f>IFERROR(__xludf.DUMMYFUNCTION("""COMPUTED_VALUE"""),55320.0)</f>
        <v>55320</v>
      </c>
      <c r="D261" s="136">
        <f>IFERROR(__xludf.DUMMYFUNCTION("""COMPUTED_VALUE"""),14.5)</f>
        <v>14.5</v>
      </c>
      <c r="E261" s="137" t="str">
        <f>IFERROR(__xludf.DUMMYFUNCTION("""COMPUTED_VALUE"""),"Non-GMO Yellow Corn")</f>
        <v>Non-GMO Yellow Corn</v>
      </c>
      <c r="F261" s="138" t="str">
        <f>IFERROR(__xludf.DUMMYFUNCTION("""COMPUTED_VALUE"""),"B0118895")</f>
        <v>B0118895</v>
      </c>
      <c r="G261" t="str">
        <f>IFERROR(__xludf.DUMMYFUNCTION("""COMPUTED_VALUE"""),"HBT#5217 WDH Trk  #5")</f>
        <v>HBT#5217 WDH Trk  #5</v>
      </c>
      <c r="H261" s="50"/>
      <c r="I261" s="139">
        <f t="shared" si="10"/>
        <v>0</v>
      </c>
      <c r="J261" s="50">
        <f t="shared" si="2"/>
        <v>995.2660714</v>
      </c>
      <c r="K261" s="140">
        <f t="shared" si="3"/>
        <v>995.2660714</v>
      </c>
      <c r="L261" s="141">
        <f>sumif(Farms!$C$68:$C$104,E261,Farms!$D$68:$D$104)</f>
        <v>1.5</v>
      </c>
      <c r="M261" s="141">
        <f>sumif(Farms!$C$68:$C$104,E261,Farms!$F$68:$F$104)</f>
        <v>56</v>
      </c>
      <c r="N261" s="141">
        <f>sumif(Farms!$C$68:$C$104,E261,Farms!$G$68:$G$104)</f>
        <v>15</v>
      </c>
    </row>
    <row r="262">
      <c r="A262" s="135">
        <f>IFERROR(__xludf.DUMMYFUNCTION("""COMPUTED_VALUE"""),45952.0)</f>
        <v>45952</v>
      </c>
      <c r="B262" s="87" t="str">
        <f>IFERROR(__xludf.DUMMYFUNCTION("""COMPUTED_VALUE"""),"home")</f>
        <v>home</v>
      </c>
      <c r="C262">
        <f>IFERROR(__xludf.DUMMYFUNCTION("""COMPUTED_VALUE"""),57560.0)</f>
        <v>57560</v>
      </c>
      <c r="D262" s="136">
        <f>IFERROR(__xludf.DUMMYFUNCTION("""COMPUTED_VALUE"""),18.3)</f>
        <v>18.3</v>
      </c>
      <c r="E262" s="137" t="str">
        <f>IFERROR(__xludf.DUMMYFUNCTION("""COMPUTED_VALUE"""),"Non-GMO Yellow Corn")</f>
        <v>Non-GMO Yellow Corn</v>
      </c>
      <c r="F262" s="138" t="str">
        <f>IFERROR(__xludf.DUMMYFUNCTION("""COMPUTED_VALUE"""),"A072700")</f>
        <v>A072700</v>
      </c>
      <c r="G262" t="str">
        <f>IFERROR(__xludf.DUMMYFUNCTION("""COMPUTED_VALUE"""),"HBT#5310 Jack Trk# 1 ")</f>
        <v>HBT#5310 Jack Trk# 1 </v>
      </c>
      <c r="H262" s="50"/>
      <c r="I262" s="139">
        <f t="shared" si="10"/>
        <v>0</v>
      </c>
      <c r="J262" s="50">
        <f t="shared" si="2"/>
        <v>976.9782143</v>
      </c>
      <c r="K262" s="140">
        <f t="shared" si="3"/>
        <v>976.9782143</v>
      </c>
      <c r="L262" s="141">
        <f>sumif(Farms!$C$68:$C$104,E262,Farms!$D$68:$D$104)</f>
        <v>1.5</v>
      </c>
      <c r="M262" s="141">
        <f>sumif(Farms!$C$68:$C$104,E262,Farms!$F$68:$F$104)</f>
        <v>56</v>
      </c>
      <c r="N262" s="141">
        <f>sumif(Farms!$C$68:$C$104,E262,Farms!$G$68:$G$104)</f>
        <v>15</v>
      </c>
    </row>
    <row r="263">
      <c r="A263" s="135">
        <f>IFERROR(__xludf.DUMMYFUNCTION("""COMPUTED_VALUE"""),45952.0)</f>
        <v>45952</v>
      </c>
      <c r="B263" s="87" t="str">
        <f>IFERROR(__xludf.DUMMYFUNCTION("""COMPUTED_VALUE"""),"home")</f>
        <v>home</v>
      </c>
      <c r="C263">
        <f>IFERROR(__xludf.DUMMYFUNCTION("""COMPUTED_VALUE"""),58020.0)</f>
        <v>58020</v>
      </c>
      <c r="D263" s="136">
        <f>IFERROR(__xludf.DUMMYFUNCTION("""COMPUTED_VALUE"""),17.4)</f>
        <v>17.4</v>
      </c>
      <c r="E263" s="137" t="str">
        <f>IFERROR(__xludf.DUMMYFUNCTION("""COMPUTED_VALUE"""),"Non-GMO Yellow Corn")</f>
        <v>Non-GMO Yellow Corn</v>
      </c>
      <c r="F263" s="138" t="str">
        <f>IFERROR(__xludf.DUMMYFUNCTION("""COMPUTED_VALUE"""),"A072702")</f>
        <v>A072702</v>
      </c>
      <c r="G263" t="str">
        <f>IFERROR(__xludf.DUMMYFUNCTION("""COMPUTED_VALUE"""),"HBT#5046 Bob Trk# 3")</f>
        <v>HBT#5046 Bob Trk# 3</v>
      </c>
      <c r="H263" s="50"/>
      <c r="I263" s="139">
        <f t="shared" si="10"/>
        <v>0</v>
      </c>
      <c r="J263" s="50">
        <f t="shared" si="2"/>
        <v>998.7728571</v>
      </c>
      <c r="K263" s="140">
        <f t="shared" si="3"/>
        <v>998.7728571</v>
      </c>
      <c r="L263" s="141">
        <f>sumif(Farms!$C$68:$C$104,E263,Farms!$D$68:$D$104)</f>
        <v>1.5</v>
      </c>
      <c r="M263" s="141">
        <f>sumif(Farms!$C$68:$C$104,E263,Farms!$F$68:$F$104)</f>
        <v>56</v>
      </c>
      <c r="N263" s="141">
        <f>sumif(Farms!$C$68:$C$104,E263,Farms!$G$68:$G$104)</f>
        <v>15</v>
      </c>
    </row>
    <row r="264">
      <c r="A264" s="135">
        <f>IFERROR(__xludf.DUMMYFUNCTION("""COMPUTED_VALUE"""),45952.0)</f>
        <v>45952</v>
      </c>
      <c r="B264" s="87" t="str">
        <f>IFERROR(__xludf.DUMMYFUNCTION("""COMPUTED_VALUE"""),"home")</f>
        <v>home</v>
      </c>
      <c r="C264">
        <f>IFERROR(__xludf.DUMMYFUNCTION("""COMPUTED_VALUE"""),60280.0)</f>
        <v>60280</v>
      </c>
      <c r="D264" s="136">
        <f>IFERROR(__xludf.DUMMYFUNCTION("""COMPUTED_VALUE"""),18.6)</f>
        <v>18.6</v>
      </c>
      <c r="E264" s="137" t="str">
        <f>IFERROR(__xludf.DUMMYFUNCTION("""COMPUTED_VALUE"""),"Non-GMO Yellow Corn")</f>
        <v>Non-GMO Yellow Corn</v>
      </c>
      <c r="F264" s="138" t="str">
        <f>IFERROR(__xludf.DUMMYFUNCTION("""COMPUTED_VALUE"""),"A072707")</f>
        <v>A072707</v>
      </c>
      <c r="G264" t="str">
        <f>IFERROR(__xludf.DUMMYFUNCTION("""COMPUTED_VALUE"""),"HBT#5826 BK Trk#4")</f>
        <v>HBT#5826 BK Trk#4</v>
      </c>
      <c r="H264" s="50"/>
      <c r="I264" s="139">
        <f t="shared" si="10"/>
        <v>0</v>
      </c>
      <c r="J264" s="50">
        <f t="shared" si="2"/>
        <v>1018.301429</v>
      </c>
      <c r="K264" s="140">
        <f t="shared" si="3"/>
        <v>1018.301429</v>
      </c>
      <c r="L264" s="141">
        <f>sumif(Farms!$C$68:$C$104,E264,Farms!$D$68:$D$104)</f>
        <v>1.5</v>
      </c>
      <c r="M264" s="141">
        <f>sumif(Farms!$C$68:$C$104,E264,Farms!$F$68:$F$104)</f>
        <v>56</v>
      </c>
      <c r="N264" s="141">
        <f>sumif(Farms!$C$68:$C$104,E264,Farms!$G$68:$G$104)</f>
        <v>15</v>
      </c>
    </row>
    <row r="265">
      <c r="A265" s="135">
        <f>IFERROR(__xludf.DUMMYFUNCTION("""COMPUTED_VALUE"""),45952.0)</f>
        <v>45952</v>
      </c>
      <c r="B265" s="87" t="str">
        <f>IFERROR(__xludf.DUMMYFUNCTION("""COMPUTED_VALUE"""),"home")</f>
        <v>home</v>
      </c>
      <c r="C265">
        <f>IFERROR(__xludf.DUMMYFUNCTION("""COMPUTED_VALUE"""),55380.0)</f>
        <v>55380</v>
      </c>
      <c r="D265" s="136">
        <f>IFERROR(__xludf.DUMMYFUNCTION("""COMPUTED_VALUE"""),19.5)</f>
        <v>19.5</v>
      </c>
      <c r="E265" s="137" t="str">
        <f>IFERROR(__xludf.DUMMYFUNCTION("""COMPUTED_VALUE"""),"Non-GMO Yellow Corn")</f>
        <v>Non-GMO Yellow Corn</v>
      </c>
      <c r="F265" s="138" t="str">
        <f>IFERROR(__xludf.DUMMYFUNCTION("""COMPUTED_VALUE"""),"A072710")</f>
        <v>A072710</v>
      </c>
      <c r="G265" t="str">
        <f>IFERROR(__xludf.DUMMYFUNCTION("""COMPUTED_VALUE"""),"HBT#6504 Gary Trk# 2")</f>
        <v>HBT#6504 Gary Trk# 2</v>
      </c>
      <c r="H265" s="50"/>
      <c r="I265" s="139">
        <f t="shared" si="10"/>
        <v>0</v>
      </c>
      <c r="J265" s="50">
        <f t="shared" si="2"/>
        <v>922.1758929</v>
      </c>
      <c r="K265" s="140">
        <f t="shared" si="3"/>
        <v>922.1758929</v>
      </c>
      <c r="L265" s="141">
        <f>sumif(Farms!$C$68:$C$104,E265,Farms!$D$68:$D$104)</f>
        <v>1.5</v>
      </c>
      <c r="M265" s="141">
        <f>sumif(Farms!$C$68:$C$104,E265,Farms!$F$68:$F$104)</f>
        <v>56</v>
      </c>
      <c r="N265" s="141">
        <f>sumif(Farms!$C$68:$C$104,E265,Farms!$G$68:$G$104)</f>
        <v>15</v>
      </c>
    </row>
    <row r="266">
      <c r="A266" s="135">
        <f>IFERROR(__xludf.DUMMYFUNCTION("""COMPUTED_VALUE"""),45952.0)</f>
        <v>45952</v>
      </c>
      <c r="B266" s="87" t="str">
        <f>IFERROR(__xludf.DUMMYFUNCTION("""COMPUTED_VALUE"""),"home")</f>
        <v>home</v>
      </c>
      <c r="C266">
        <f>IFERROR(__xludf.DUMMYFUNCTION("""COMPUTED_VALUE"""),56360.0)</f>
        <v>56360</v>
      </c>
      <c r="D266" s="136">
        <f>IFERROR(__xludf.DUMMYFUNCTION("""COMPUTED_VALUE"""),20.1)</f>
        <v>20.1</v>
      </c>
      <c r="E266" s="137" t="str">
        <f>IFERROR(__xludf.DUMMYFUNCTION("""COMPUTED_VALUE"""),"Non-GMO Yellow Corn")</f>
        <v>Non-GMO Yellow Corn</v>
      </c>
      <c r="F266" s="138" t="str">
        <f>IFERROR(__xludf.DUMMYFUNCTION("""COMPUTED_VALUE"""),"A072711")</f>
        <v>A072711</v>
      </c>
      <c r="G266" t="str">
        <f>IFERROR(__xludf.DUMMYFUNCTION("""COMPUTED_VALUE"""),"HBT#5236 JB Trk#  5")</f>
        <v>HBT#5236 JB Trk#  5</v>
      </c>
      <c r="H266" s="50"/>
      <c r="I266" s="139">
        <f t="shared" si="10"/>
        <v>0</v>
      </c>
      <c r="J266" s="50">
        <f t="shared" si="2"/>
        <v>929.4367857</v>
      </c>
      <c r="K266" s="140">
        <f t="shared" si="3"/>
        <v>929.4367857</v>
      </c>
      <c r="L266" s="141">
        <f>sumif(Farms!$C$68:$C$104,E266,Farms!$D$68:$D$104)</f>
        <v>1.5</v>
      </c>
      <c r="M266" s="141">
        <f>sumif(Farms!$C$68:$C$104,E266,Farms!$F$68:$F$104)</f>
        <v>56</v>
      </c>
      <c r="N266" s="141">
        <f>sumif(Farms!$C$68:$C$104,E266,Farms!$G$68:$G$104)</f>
        <v>15</v>
      </c>
    </row>
    <row r="267">
      <c r="A267" s="135">
        <f>IFERROR(__xludf.DUMMYFUNCTION("""COMPUTED_VALUE"""),45952.0)</f>
        <v>45952</v>
      </c>
      <c r="B267" s="87" t="str">
        <f>IFERROR(__xludf.DUMMYFUNCTION("""COMPUTED_VALUE"""),"home")</f>
        <v>home</v>
      </c>
      <c r="C267">
        <f>IFERROR(__xludf.DUMMYFUNCTION("""COMPUTED_VALUE"""),57360.0)</f>
        <v>57360</v>
      </c>
      <c r="D267" s="136">
        <f>IFERROR(__xludf.DUMMYFUNCTION("""COMPUTED_VALUE"""),19.5)</f>
        <v>19.5</v>
      </c>
      <c r="E267" s="137" t="str">
        <f>IFERROR(__xludf.DUMMYFUNCTION("""COMPUTED_VALUE"""),"Non-GMO Yellow Corn")</f>
        <v>Non-GMO Yellow Corn</v>
      </c>
      <c r="F267" s="138" t="str">
        <f>IFERROR(__xludf.DUMMYFUNCTION("""COMPUTED_VALUE"""),"A072714")</f>
        <v>A072714</v>
      </c>
      <c r="G267" t="str">
        <f>IFERROR(__xludf.DUMMYFUNCTION("""COMPUTED_VALUE"""),"HBT#5597 WDH Trk#  41")</f>
        <v>HBT#5597 WDH Trk#  41</v>
      </c>
      <c r="H267" s="50"/>
      <c r="I267" s="139">
        <f t="shared" si="10"/>
        <v>0</v>
      </c>
      <c r="J267" s="50">
        <f t="shared" si="2"/>
        <v>955.1464286</v>
      </c>
      <c r="K267" s="140">
        <f t="shared" si="3"/>
        <v>955.1464286</v>
      </c>
      <c r="L267" s="141">
        <f>sumif(Farms!$C$68:$C$104,E267,Farms!$D$68:$D$104)</f>
        <v>1.5</v>
      </c>
      <c r="M267" s="141">
        <f>sumif(Farms!$C$68:$C$104,E267,Farms!$F$68:$F$104)</f>
        <v>56</v>
      </c>
      <c r="N267" s="141">
        <f>sumif(Farms!$C$68:$C$104,E267,Farms!$G$68:$G$104)</f>
        <v>15</v>
      </c>
    </row>
    <row r="268">
      <c r="A268" s="135">
        <f>IFERROR(__xludf.DUMMYFUNCTION("""COMPUTED_VALUE"""),45952.0)</f>
        <v>45952</v>
      </c>
      <c r="B268" s="156" t="str">
        <f>IFERROR(__xludf.DUMMYFUNCTION("""COMPUTED_VALUE"""),"home")</f>
        <v>home</v>
      </c>
      <c r="C268">
        <f>IFERROR(__xludf.DUMMYFUNCTION("""COMPUTED_VALUE"""),57340.0)</f>
        <v>57340</v>
      </c>
      <c r="D268" s="136">
        <f>IFERROR(__xludf.DUMMYFUNCTION("""COMPUTED_VALUE"""),18.9)</f>
        <v>18.9</v>
      </c>
      <c r="E268" s="137" t="str">
        <f>IFERROR(__xludf.DUMMYFUNCTION("""COMPUTED_VALUE"""),"Non-GMO Yellow Corn")</f>
        <v>Non-GMO Yellow Corn</v>
      </c>
      <c r="F268" s="138" t="str">
        <f>IFERROR(__xludf.DUMMYFUNCTION("""COMPUTED_VALUE"""),"A072715")</f>
        <v>A072715</v>
      </c>
      <c r="G268" t="str">
        <f>IFERROR(__xludf.DUMMYFUNCTION("""COMPUTED_VALUE"""),"HBT#5311  Jack Trk#  1")</f>
        <v>HBT#5311  Jack Trk#  1</v>
      </c>
      <c r="H268" s="50"/>
      <c r="I268" s="139">
        <f t="shared" si="10"/>
        <v>0</v>
      </c>
      <c r="J268" s="50">
        <f t="shared" si="2"/>
        <v>915.010339</v>
      </c>
      <c r="K268" s="140">
        <f t="shared" si="3"/>
        <v>915.010339</v>
      </c>
      <c r="L268" s="142">
        <v>1.5</v>
      </c>
      <c r="M268" s="142">
        <v>59.0</v>
      </c>
      <c r="N268" s="141">
        <f>sumif(Farms!$C$68:$C$104,E268,Farms!$G$68:$G$104)</f>
        <v>15</v>
      </c>
    </row>
    <row r="269">
      <c r="A269" s="135">
        <f>IFERROR(__xludf.DUMMYFUNCTION("""COMPUTED_VALUE"""),45952.0)</f>
        <v>45952</v>
      </c>
      <c r="B269" s="87" t="str">
        <f>IFERROR(__xludf.DUMMYFUNCTION("""COMPUTED_VALUE"""),"home")</f>
        <v>home</v>
      </c>
      <c r="C269">
        <f>IFERROR(__xludf.DUMMYFUNCTION("""COMPUTED_VALUE"""),56460.0)</f>
        <v>56460</v>
      </c>
      <c r="D269" s="136">
        <f>IFERROR(__xludf.DUMMYFUNCTION("""COMPUTED_VALUE"""),18.5)</f>
        <v>18.5</v>
      </c>
      <c r="E269" s="137" t="str">
        <f>IFERROR(__xludf.DUMMYFUNCTION("""COMPUTED_VALUE"""),"Non-GMO Yellow Corn")</f>
        <v>Non-GMO Yellow Corn</v>
      </c>
      <c r="F269" s="138" t="str">
        <f>IFERROR(__xludf.DUMMYFUNCTION("""COMPUTED_VALUE"""),"A072719")</f>
        <v>A072719</v>
      </c>
      <c r="G269" t="str">
        <f>IFERROR(__xludf.DUMMYFUNCTION("""COMPUTED_VALUE"""),"HBT# 5047 Bob Trk# 3")</f>
        <v>HBT# 5047 Bob Trk# 3</v>
      </c>
      <c r="H269" s="50"/>
      <c r="I269" s="139">
        <f t="shared" si="10"/>
        <v>0</v>
      </c>
      <c r="J269" s="50">
        <f t="shared" si="2"/>
        <v>922.3422414</v>
      </c>
      <c r="K269" s="140">
        <f t="shared" si="3"/>
        <v>922.3422414</v>
      </c>
      <c r="L269" s="141">
        <f>sumif(Farms!$C$68:$C$104,E269,Farms!$D$68:$D$104)</f>
        <v>1.5</v>
      </c>
      <c r="M269" s="142">
        <v>58.0</v>
      </c>
      <c r="N269" s="141">
        <f>sumif(Farms!$C$68:$C$104,E269,Farms!$G$68:$G$104)</f>
        <v>15</v>
      </c>
    </row>
    <row r="270">
      <c r="A270" s="135">
        <f>IFERROR(__xludf.DUMMYFUNCTION("""COMPUTED_VALUE"""),45952.0)</f>
        <v>45952</v>
      </c>
      <c r="B270" s="87" t="str">
        <f>IFERROR(__xludf.DUMMYFUNCTION("""COMPUTED_VALUE"""),"home")</f>
        <v>home</v>
      </c>
      <c r="C270">
        <f>IFERROR(__xludf.DUMMYFUNCTION("""COMPUTED_VALUE"""),57320.0)</f>
        <v>57320</v>
      </c>
      <c r="D270" s="136">
        <f>IFERROR(__xludf.DUMMYFUNCTION("""COMPUTED_VALUE"""),18.9)</f>
        <v>18.9</v>
      </c>
      <c r="E270" s="137" t="str">
        <f>IFERROR(__xludf.DUMMYFUNCTION("""COMPUTED_VALUE"""),"Non-GMO Yellow Corn")</f>
        <v>Non-GMO Yellow Corn</v>
      </c>
      <c r="F270" s="138" t="str">
        <f>IFERROR(__xludf.DUMMYFUNCTION("""COMPUTED_VALUE"""),"A072724")</f>
        <v>A072724</v>
      </c>
      <c r="G270" t="str">
        <f>IFERROR(__xludf.DUMMYFUNCTION("""COMPUTED_VALUE"""),"HBT# 5827 BK Trk# 4")</f>
        <v>HBT# 5827 BK Trk# 4</v>
      </c>
      <c r="H270" s="50"/>
      <c r="I270" s="139">
        <f t="shared" si="10"/>
        <v>0</v>
      </c>
      <c r="J270" s="50">
        <f t="shared" si="2"/>
        <v>963.6925</v>
      </c>
      <c r="K270" s="140">
        <f t="shared" si="3"/>
        <v>963.6925</v>
      </c>
      <c r="L270" s="141">
        <f>sumif(Farms!$C$68:$C$104,E270,Farms!$D$68:$D$104)</f>
        <v>1.5</v>
      </c>
      <c r="M270" s="141">
        <f>sumif(Farms!$C$68:$C$104,E270,Farms!$F$68:$F$104)</f>
        <v>56</v>
      </c>
      <c r="N270" s="141">
        <f>sumif(Farms!$C$68:$C$104,E270,Farms!$G$68:$G$104)</f>
        <v>15</v>
      </c>
    </row>
    <row r="271">
      <c r="A271" s="135">
        <f>IFERROR(__xludf.DUMMYFUNCTION("""COMPUTED_VALUE"""),45952.0)</f>
        <v>45952</v>
      </c>
      <c r="B271" s="87" t="str">
        <f>IFERROR(__xludf.DUMMYFUNCTION("""COMPUTED_VALUE"""),"home")</f>
        <v>home</v>
      </c>
      <c r="C271">
        <f>IFERROR(__xludf.DUMMYFUNCTION("""COMPUTED_VALUE"""),32180.0)</f>
        <v>32180</v>
      </c>
      <c r="D271" s="136">
        <f>IFERROR(__xludf.DUMMYFUNCTION("""COMPUTED_VALUE"""),18.1)</f>
        <v>18.1</v>
      </c>
      <c r="E271" s="137" t="str">
        <f>IFERROR(__xludf.DUMMYFUNCTION("""COMPUTED_VALUE"""),"Non-GMO Yellow Corn")</f>
        <v>Non-GMO Yellow Corn</v>
      </c>
      <c r="F271" s="138" t="str">
        <f>IFERROR(__xludf.DUMMYFUNCTION("""COMPUTED_VALUE"""),"A072728")</f>
        <v>A072728</v>
      </c>
      <c r="G271" t="str">
        <f>IFERROR(__xludf.DUMMYFUNCTION("""COMPUTED_VALUE"""),"HBT# 6505 Gary Trk# 2")</f>
        <v>HBT# 6505 Gary Trk# 2</v>
      </c>
      <c r="H271" s="50"/>
      <c r="I271" s="139">
        <f t="shared" si="10"/>
        <v>0</v>
      </c>
      <c r="J271" s="50">
        <f t="shared" si="2"/>
        <v>547.9219643</v>
      </c>
      <c r="K271" s="140">
        <f t="shared" si="3"/>
        <v>547.9219643</v>
      </c>
      <c r="L271" s="141">
        <f>sumif(Farms!$C$68:$C$104,E271,Farms!$D$68:$D$104)</f>
        <v>1.5</v>
      </c>
      <c r="M271" s="141">
        <f>sumif(Farms!$C$68:$C$104,E271,Farms!$F$68:$F$104)</f>
        <v>56</v>
      </c>
      <c r="N271" s="141">
        <f>sumif(Farms!$C$68:$C$104,E271,Farms!$G$68:$G$104)</f>
        <v>15</v>
      </c>
    </row>
    <row r="272">
      <c r="A272" s="135">
        <f>IFERROR(__xludf.DUMMYFUNCTION("""COMPUTED_VALUE"""),45952.0)</f>
        <v>45952</v>
      </c>
      <c r="B272" s="87" t="str">
        <f>IFERROR(__xludf.DUMMYFUNCTION("""COMPUTED_VALUE"""),"home")</f>
        <v>home</v>
      </c>
      <c r="C272">
        <f>IFERROR(__xludf.DUMMYFUNCTION("""COMPUTED_VALUE"""),29920.0)</f>
        <v>29920</v>
      </c>
      <c r="D272" s="136">
        <f>IFERROR(__xludf.DUMMYFUNCTION("""COMPUTED_VALUE"""),18.8)</f>
        <v>18.8</v>
      </c>
      <c r="E272" s="137" t="str">
        <f>IFERROR(__xludf.DUMMYFUNCTION("""COMPUTED_VALUE"""),"Non-GMO Yellow Corn")</f>
        <v>Non-GMO Yellow Corn</v>
      </c>
      <c r="F272" s="138" t="str">
        <f>IFERROR(__xludf.DUMMYFUNCTION("""COMPUTED_VALUE"""),"A072729")</f>
        <v>A072729</v>
      </c>
      <c r="G272" t="str">
        <f>IFERROR(__xludf.DUMMYFUNCTION("""COMPUTED_VALUE"""),"HBT# 5237 JB Trk# 5")</f>
        <v>HBT# 5237 JB Trk# 5</v>
      </c>
      <c r="H272" s="50"/>
      <c r="I272" s="139">
        <f t="shared" si="10"/>
        <v>0</v>
      </c>
      <c r="J272" s="50">
        <f t="shared" si="2"/>
        <v>503.8314286</v>
      </c>
      <c r="K272" s="140">
        <f t="shared" si="3"/>
        <v>503.8314286</v>
      </c>
      <c r="L272" s="141">
        <f>sumif(Farms!$C$68:$C$104,E272,Farms!$D$68:$D$104)</f>
        <v>1.5</v>
      </c>
      <c r="M272" s="141">
        <f>sumif(Farms!$C$68:$C$104,E272,Farms!$F$68:$F$104)</f>
        <v>56</v>
      </c>
      <c r="N272" s="141">
        <f>sumif(Farms!$C$68:$C$104,E272,Farms!$G$68:$G$104)</f>
        <v>15</v>
      </c>
    </row>
    <row r="273">
      <c r="A273" s="135">
        <f>IFERROR(__xludf.DUMMYFUNCTION("""COMPUTED_VALUE"""),45936.0)</f>
        <v>45936</v>
      </c>
      <c r="B273" s="87" t="str">
        <f>IFERROR(__xludf.DUMMYFUNCTION("""COMPUTED_VALUE"""),"inman")</f>
        <v>inman</v>
      </c>
      <c r="C273">
        <f>IFERROR(__xludf.DUMMYFUNCTION("""COMPUTED_VALUE"""),19285.0)</f>
        <v>19285</v>
      </c>
      <c r="D273" s="136">
        <f>IFERROR(__xludf.DUMMYFUNCTION("""COMPUTED_VALUE"""),16.2)</f>
        <v>16.2</v>
      </c>
      <c r="E273" s="137" t="str">
        <f>IFERROR(__xludf.DUMMYFUNCTION("""COMPUTED_VALUE"""),"Non-GMO Yellow Corn")</f>
        <v>Non-GMO Yellow Corn</v>
      </c>
      <c r="F273" s="138" t="str">
        <f>IFERROR(__xludf.DUMMYFUNCTION("""COMPUTED_VALUE"""),"0548957")</f>
        <v>0548957</v>
      </c>
      <c r="G273" t="str">
        <f>IFERROR(__xludf.DUMMYFUNCTION("""COMPUTED_VALUE"""),"HBT#4577Jack Trk# 63 Split Load")</f>
        <v>HBT#4577Jack Trk# 63 Split Load</v>
      </c>
      <c r="H273" s="50">
        <f>IFERROR(__xludf.DUMMYFUNCTION("""COMPUTED_VALUE"""),0.0)</f>
        <v>0</v>
      </c>
      <c r="I273" s="139">
        <f t="shared" si="10"/>
        <v>0</v>
      </c>
      <c r="J273" s="50">
        <f t="shared" si="2"/>
        <v>338.17625</v>
      </c>
      <c r="K273" s="140">
        <f t="shared" si="3"/>
        <v>338.17625</v>
      </c>
      <c r="L273" s="141">
        <f>sumif(Farms!$C$68:$C$104,E273,Farms!$D$68:$D$104)</f>
        <v>1.5</v>
      </c>
      <c r="M273" s="141">
        <f>sumif(Farms!$C$68:$C$104,E273,Farms!$F$68:$F$104)</f>
        <v>56</v>
      </c>
      <c r="N273" s="141">
        <f>sumif(Farms!$C$68:$C$104,E273,Farms!$G$68:$G$104)</f>
        <v>15</v>
      </c>
    </row>
    <row r="274">
      <c r="A274" s="135">
        <f>IFERROR(__xludf.DUMMYFUNCTION("""COMPUTED_VALUE"""),45936.0)</f>
        <v>45936</v>
      </c>
      <c r="B274" s="87" t="str">
        <f>IFERROR(__xludf.DUMMYFUNCTION("""COMPUTED_VALUE"""),"inman")</f>
        <v>inman</v>
      </c>
      <c r="C274">
        <f>IFERROR(__xludf.DUMMYFUNCTION("""COMPUTED_VALUE"""),55900.0)</f>
        <v>55900</v>
      </c>
      <c r="D274" s="136">
        <f>IFERROR(__xludf.DUMMYFUNCTION("""COMPUTED_VALUE"""),15.4)</f>
        <v>15.4</v>
      </c>
      <c r="E274" s="137" t="str">
        <f>IFERROR(__xludf.DUMMYFUNCTION("""COMPUTED_VALUE"""),"Non-GMO Yellow Corn")</f>
        <v>Non-GMO Yellow Corn</v>
      </c>
      <c r="F274" s="138" t="str">
        <f>IFERROR(__xludf.DUMMYFUNCTION("""COMPUTED_VALUE"""),"0548960")</f>
        <v>0548960</v>
      </c>
      <c r="G274" t="str">
        <f>IFERROR(__xludf.DUMMYFUNCTION("""COMPUTED_VALUE"""),"HBT#5536 TannerTrk# 2")</f>
        <v>HBT#5536 TannerTrk# 2</v>
      </c>
      <c r="H274" s="50"/>
      <c r="I274" s="139">
        <f t="shared" si="10"/>
        <v>0</v>
      </c>
      <c r="J274" s="50">
        <f t="shared" si="2"/>
        <v>992.225</v>
      </c>
      <c r="K274" s="140">
        <f t="shared" si="3"/>
        <v>992.225</v>
      </c>
      <c r="L274" s="141">
        <f>sumif(Farms!$C$68:$C$104,E274,Farms!$D$68:$D$104)</f>
        <v>1.5</v>
      </c>
      <c r="M274" s="141">
        <f>sumif(Farms!$C$68:$C$104,E274,Farms!$F$68:$F$104)</f>
        <v>56</v>
      </c>
      <c r="N274" s="141">
        <f>sumif(Farms!$C$68:$C$104,E274,Farms!$G$68:$G$104)</f>
        <v>15</v>
      </c>
    </row>
    <row r="275">
      <c r="A275" s="135">
        <f>IFERROR(__xludf.DUMMYFUNCTION("""COMPUTED_VALUE"""),45936.0)</f>
        <v>45936</v>
      </c>
      <c r="B275" s="87" t="str">
        <f>IFERROR(__xludf.DUMMYFUNCTION("""COMPUTED_VALUE"""),"inman")</f>
        <v>inman</v>
      </c>
      <c r="C275">
        <f>IFERROR(__xludf.DUMMYFUNCTION("""COMPUTED_VALUE"""),54320.0)</f>
        <v>54320</v>
      </c>
      <c r="D275" s="136">
        <f>IFERROR(__xludf.DUMMYFUNCTION("""COMPUTED_VALUE"""),16.3)</f>
        <v>16.3</v>
      </c>
      <c r="E275" s="137" t="str">
        <f>IFERROR(__xludf.DUMMYFUNCTION("""COMPUTED_VALUE"""),"Non-GMO Yellow Corn")</f>
        <v>Non-GMO Yellow Corn</v>
      </c>
      <c r="F275" s="138" t="str">
        <f>IFERROR(__xludf.DUMMYFUNCTION("""COMPUTED_VALUE"""),"0548961")</f>
        <v>0548961</v>
      </c>
      <c r="G275" t="str">
        <f>IFERROR(__xludf.DUMMYFUNCTION("""COMPUTED_VALUE"""),"HBT#5756 WDHTrk# 4")</f>
        <v>HBT#5756 WDHTrk# 4</v>
      </c>
      <c r="H275" s="50"/>
      <c r="I275" s="139">
        <f t="shared" si="10"/>
        <v>0</v>
      </c>
      <c r="J275" s="50">
        <f t="shared" si="2"/>
        <v>951.085</v>
      </c>
      <c r="K275" s="140">
        <f t="shared" si="3"/>
        <v>951.085</v>
      </c>
      <c r="L275" s="141">
        <f>sumif(Farms!$C$68:$C$104,E275,Farms!$D$68:$D$104)</f>
        <v>1.5</v>
      </c>
      <c r="M275" s="141">
        <f>sumif(Farms!$C$68:$C$104,E275,Farms!$F$68:$F$104)</f>
        <v>56</v>
      </c>
      <c r="N275" s="141">
        <f>sumif(Farms!$C$68:$C$104,E275,Farms!$G$68:$G$104)</f>
        <v>15</v>
      </c>
    </row>
    <row r="276">
      <c r="A276" s="135">
        <f>IFERROR(__xludf.DUMMYFUNCTION("""COMPUTED_VALUE"""),45936.0)</f>
        <v>45936</v>
      </c>
      <c r="B276" s="87" t="str">
        <f>IFERROR(__xludf.DUMMYFUNCTION("""COMPUTED_VALUE"""),"inman")</f>
        <v>inman</v>
      </c>
      <c r="C276">
        <f>IFERROR(__xludf.DUMMYFUNCTION("""COMPUTED_VALUE"""),55580.0)</f>
        <v>55580</v>
      </c>
      <c r="D276" s="136">
        <f>IFERROR(__xludf.DUMMYFUNCTION("""COMPUTED_VALUE"""),15.9)</f>
        <v>15.9</v>
      </c>
      <c r="E276" s="137" t="str">
        <f>IFERROR(__xludf.DUMMYFUNCTION("""COMPUTED_VALUE"""),"Non-GMO Yellow Corn")</f>
        <v>Non-GMO Yellow Corn</v>
      </c>
      <c r="F276" s="138" t="str">
        <f>IFERROR(__xludf.DUMMYFUNCTION("""COMPUTED_VALUE"""),"0548966")</f>
        <v>0548966</v>
      </c>
      <c r="G276" t="str">
        <f>IFERROR(__xludf.DUMMYFUNCTION("""COMPUTED_VALUE"""),"HBT#5862 Bob Trk# 3")</f>
        <v>HBT#5862 Bob Trk# 3</v>
      </c>
      <c r="H276" s="50">
        <f>IFERROR(__xludf.DUMMYFUNCTION("""COMPUTED_VALUE"""),1.4)</f>
        <v>1.4</v>
      </c>
      <c r="I276" s="139">
        <f t="shared" si="10"/>
        <v>0.004</v>
      </c>
      <c r="J276" s="50">
        <f t="shared" si="2"/>
        <v>979.10125</v>
      </c>
      <c r="K276" s="140">
        <f t="shared" si="3"/>
        <v>975.184845</v>
      </c>
      <c r="L276" s="141">
        <f>sumif(Farms!$C$68:$C$104,E276,Farms!$D$68:$D$104)</f>
        <v>1.5</v>
      </c>
      <c r="M276" s="141">
        <f>sumif(Farms!$C$68:$C$104,E276,Farms!$F$68:$F$104)</f>
        <v>56</v>
      </c>
      <c r="N276" s="141">
        <f>sumif(Farms!$C$68:$C$104,E276,Farms!$G$68:$G$104)</f>
        <v>15</v>
      </c>
    </row>
    <row r="277">
      <c r="A277" s="135">
        <f>IFERROR(__xludf.DUMMYFUNCTION("""COMPUTED_VALUE"""),45936.0)</f>
        <v>45936</v>
      </c>
      <c r="B277" s="87" t="str">
        <f>IFERROR(__xludf.DUMMYFUNCTION("""COMPUTED_VALUE"""),"inman")</f>
        <v>inman</v>
      </c>
      <c r="C277">
        <f>IFERROR(__xludf.DUMMYFUNCTION("""COMPUTED_VALUE"""),57160.0)</f>
        <v>57160</v>
      </c>
      <c r="D277" s="136">
        <f>IFERROR(__xludf.DUMMYFUNCTION("""COMPUTED_VALUE"""),16.7)</f>
        <v>16.7</v>
      </c>
      <c r="E277" s="137" t="str">
        <f>IFERROR(__xludf.DUMMYFUNCTION("""COMPUTED_VALUE"""),"Non-GMO Yellow Corn")</f>
        <v>Non-GMO Yellow Corn</v>
      </c>
      <c r="F277" s="138" t="str">
        <f>IFERROR(__xludf.DUMMYFUNCTION("""COMPUTED_VALUE"""),"0548974")</f>
        <v>0548974</v>
      </c>
      <c r="G277" t="str">
        <f>IFERROR(__xludf.DUMMYFUNCTION("""COMPUTED_VALUE"""),"HBT#4578 Jack Trk# 63")</f>
        <v>HBT#4578 Jack Trk# 63</v>
      </c>
      <c r="H277" s="50">
        <f>IFERROR(__xludf.DUMMYFUNCTION("""COMPUTED_VALUE"""),0.0)</f>
        <v>0</v>
      </c>
      <c r="I277" s="139">
        <f t="shared" si="10"/>
        <v>0</v>
      </c>
      <c r="J277" s="50">
        <f t="shared" si="2"/>
        <v>994.6860714</v>
      </c>
      <c r="K277" s="140">
        <f t="shared" si="3"/>
        <v>994.6860714</v>
      </c>
      <c r="L277" s="141">
        <f>sumif(Farms!$C$68:$C$104,E277,Farms!$D$68:$D$104)</f>
        <v>1.5</v>
      </c>
      <c r="M277" s="141">
        <f>sumif(Farms!$C$68:$C$104,E277,Farms!$F$68:$F$104)</f>
        <v>56</v>
      </c>
      <c r="N277" s="141">
        <f>sumif(Farms!$C$68:$C$104,E277,Farms!$G$68:$G$104)</f>
        <v>15</v>
      </c>
    </row>
    <row r="278">
      <c r="A278" s="135">
        <f>IFERROR(__xludf.DUMMYFUNCTION("""COMPUTED_VALUE"""),45936.0)</f>
        <v>45936</v>
      </c>
      <c r="B278" s="87" t="str">
        <f>IFERROR(__xludf.DUMMYFUNCTION("""COMPUTED_VALUE"""),"inman")</f>
        <v>inman</v>
      </c>
      <c r="C278">
        <f>IFERROR(__xludf.DUMMYFUNCTION("""COMPUTED_VALUE"""),58180.0)</f>
        <v>58180</v>
      </c>
      <c r="D278" s="136">
        <f>IFERROR(__xludf.DUMMYFUNCTION("""COMPUTED_VALUE"""),16.7)</f>
        <v>16.7</v>
      </c>
      <c r="E278" s="137" t="str">
        <f>IFERROR(__xludf.DUMMYFUNCTION("""COMPUTED_VALUE"""),"Non-GMO Yellow Corn")</f>
        <v>Non-GMO Yellow Corn</v>
      </c>
      <c r="F278" s="138" t="str">
        <f>IFERROR(__xludf.DUMMYFUNCTION("""COMPUTED_VALUE"""),"0548979")</f>
        <v>0548979</v>
      </c>
      <c r="G278" t="str">
        <f>IFERROR(__xludf.DUMMYFUNCTION("""COMPUTED_VALUE"""),"HBT# 5757 WHD Trk# 4")</f>
        <v>HBT# 5757 WHD Trk# 4</v>
      </c>
      <c r="H278" s="50">
        <f>IFERROR(__xludf.DUMMYFUNCTION("""COMPUTED_VALUE"""),0.0)</f>
        <v>0</v>
      </c>
      <c r="I278" s="139">
        <f t="shared" si="10"/>
        <v>0</v>
      </c>
      <c r="J278" s="50">
        <f t="shared" si="2"/>
        <v>1012.435893</v>
      </c>
      <c r="K278" s="140">
        <f t="shared" si="3"/>
        <v>1012.435893</v>
      </c>
      <c r="L278" s="141">
        <f>sumif(Farms!$C$68:$C$104,E278,Farms!$D$68:$D$104)</f>
        <v>1.5</v>
      </c>
      <c r="M278" s="141">
        <f>sumif(Farms!$C$68:$C$104,E278,Farms!$F$68:$F$104)</f>
        <v>56</v>
      </c>
      <c r="N278" s="141">
        <f>sumif(Farms!$C$68:$C$104,E278,Farms!$G$68:$G$104)</f>
        <v>15</v>
      </c>
    </row>
    <row r="279">
      <c r="A279" s="135">
        <f>IFERROR(__xludf.DUMMYFUNCTION("""COMPUTED_VALUE"""),45936.0)</f>
        <v>45936</v>
      </c>
      <c r="B279" s="87" t="str">
        <f>IFERROR(__xludf.DUMMYFUNCTION("""COMPUTED_VALUE"""),"inman")</f>
        <v>inman</v>
      </c>
      <c r="C279">
        <f>IFERROR(__xludf.DUMMYFUNCTION("""COMPUTED_VALUE"""),57440.0)</f>
        <v>57440</v>
      </c>
      <c r="D279" s="136">
        <f>IFERROR(__xludf.DUMMYFUNCTION("""COMPUTED_VALUE"""),15.8)</f>
        <v>15.8</v>
      </c>
      <c r="E279" s="137" t="str">
        <f>IFERROR(__xludf.DUMMYFUNCTION("""COMPUTED_VALUE"""),"Non-GMO Yellow Corn")</f>
        <v>Non-GMO Yellow Corn</v>
      </c>
      <c r="F279" s="138" t="str">
        <f>IFERROR(__xludf.DUMMYFUNCTION("""COMPUTED_VALUE"""),"0548983")</f>
        <v>0548983</v>
      </c>
      <c r="G279" t="str">
        <f>IFERROR(__xludf.DUMMYFUNCTION("""COMPUTED_VALUE"""),"HBT# 5537 tanner Trk# 2")</f>
        <v>HBT# 5537 tanner Trk# 2</v>
      </c>
      <c r="H279" s="50">
        <f>IFERROR(__xludf.DUMMYFUNCTION("""COMPUTED_VALUE"""),0.0)</f>
        <v>0</v>
      </c>
      <c r="I279" s="139">
        <f t="shared" si="10"/>
        <v>0</v>
      </c>
      <c r="J279" s="50">
        <f t="shared" si="2"/>
        <v>1013.405714</v>
      </c>
      <c r="K279" s="140">
        <f t="shared" si="3"/>
        <v>1013.405714</v>
      </c>
      <c r="L279" s="141">
        <f>sumif(Farms!$C$68:$C$104,E279,Farms!$D$68:$D$104)</f>
        <v>1.5</v>
      </c>
      <c r="M279" s="141">
        <f>sumif(Farms!$C$68:$C$104,E279,Farms!$F$68:$F$104)</f>
        <v>56</v>
      </c>
      <c r="N279" s="141">
        <f>sumif(Farms!$C$68:$C$104,E279,Farms!$G$68:$G$104)</f>
        <v>15</v>
      </c>
    </row>
    <row r="280">
      <c r="A280" s="135">
        <f>IFERROR(__xludf.DUMMYFUNCTION("""COMPUTED_VALUE"""),45936.0)</f>
        <v>45936</v>
      </c>
      <c r="B280" s="87" t="str">
        <f>IFERROR(__xludf.DUMMYFUNCTION("""COMPUTED_VALUE"""),"inman")</f>
        <v>inman</v>
      </c>
      <c r="C280">
        <f>IFERROR(__xludf.DUMMYFUNCTION("""COMPUTED_VALUE"""),57140.0)</f>
        <v>57140</v>
      </c>
      <c r="D280" s="136">
        <f>IFERROR(__xludf.DUMMYFUNCTION("""COMPUTED_VALUE"""),15.7)</f>
        <v>15.7</v>
      </c>
      <c r="E280" s="137" t="str">
        <f>IFERROR(__xludf.DUMMYFUNCTION("""COMPUTED_VALUE"""),"Non-GMO Yellow Corn")</f>
        <v>Non-GMO Yellow Corn</v>
      </c>
      <c r="F280" s="138" t="str">
        <f>IFERROR(__xludf.DUMMYFUNCTION("""COMPUTED_VALUE"""),"0548986")</f>
        <v>0548986</v>
      </c>
      <c r="G280" t="str">
        <f>IFERROR(__xludf.DUMMYFUNCTION("""COMPUTED_VALUE"""),"HBT# 5864 Bob Trk# 3")</f>
        <v>HBT# 5864 Bob Trk# 3</v>
      </c>
      <c r="H280" s="50">
        <f>IFERROR(__xludf.DUMMYFUNCTION("""COMPUTED_VALUE"""),0.0)</f>
        <v>0</v>
      </c>
      <c r="I280" s="139">
        <f t="shared" si="10"/>
        <v>0</v>
      </c>
      <c r="J280" s="50">
        <f t="shared" si="2"/>
        <v>1009.643393</v>
      </c>
      <c r="K280" s="140">
        <f t="shared" si="3"/>
        <v>1009.643393</v>
      </c>
      <c r="L280" s="141">
        <f>sumif(Farms!$C$68:$C$104,E280,Farms!$D$68:$D$104)</f>
        <v>1.5</v>
      </c>
      <c r="M280" s="141">
        <f>sumif(Farms!$C$68:$C$104,E280,Farms!$F$68:$F$104)</f>
        <v>56</v>
      </c>
      <c r="N280" s="141">
        <f>sumif(Farms!$C$68:$C$104,E280,Farms!$G$68:$G$104)</f>
        <v>15</v>
      </c>
    </row>
    <row r="281">
      <c r="A281" s="135">
        <f>IFERROR(__xludf.DUMMYFUNCTION("""COMPUTED_VALUE"""),45936.0)</f>
        <v>45936</v>
      </c>
      <c r="B281" s="87" t="str">
        <f>IFERROR(__xludf.DUMMYFUNCTION("""COMPUTED_VALUE"""),"inman")</f>
        <v>inman</v>
      </c>
      <c r="C281">
        <f>IFERROR(__xludf.DUMMYFUNCTION("""COMPUTED_VALUE"""),54740.0)</f>
        <v>54740</v>
      </c>
      <c r="D281" s="136">
        <f>IFERROR(__xludf.DUMMYFUNCTION("""COMPUTED_VALUE"""),14.5)</f>
        <v>14.5</v>
      </c>
      <c r="E281" s="137" t="str">
        <f>IFERROR(__xludf.DUMMYFUNCTION("""COMPUTED_VALUE"""),"Non-GMO Yellow Corn")</f>
        <v>Non-GMO Yellow Corn</v>
      </c>
      <c r="F281" s="138" t="str">
        <f>IFERROR(__xludf.DUMMYFUNCTION("""COMPUTED_VALUE"""),"0548991")</f>
        <v>0548991</v>
      </c>
      <c r="G281" t="str">
        <f>IFERROR(__xludf.DUMMYFUNCTION("""COMPUTED_VALUE"""),"HBT# 5560 WR Trk# 41")</f>
        <v>HBT# 5560 WR Trk# 41</v>
      </c>
      <c r="H281" s="50">
        <f>IFERROR(__xludf.DUMMYFUNCTION("""COMPUTED_VALUE"""),0.0)</f>
        <v>0</v>
      </c>
      <c r="I281" s="139">
        <f t="shared" si="10"/>
        <v>0</v>
      </c>
      <c r="J281" s="50">
        <f t="shared" si="2"/>
        <v>984.83125</v>
      </c>
      <c r="K281" s="140">
        <f t="shared" si="3"/>
        <v>984.83125</v>
      </c>
      <c r="L281" s="141">
        <f>sumif(Farms!$C$68:$C$104,E281,Farms!$D$68:$D$104)</f>
        <v>1.5</v>
      </c>
      <c r="M281" s="141">
        <f>sumif(Farms!$C$68:$C$104,E281,Farms!$F$68:$F$104)</f>
        <v>56</v>
      </c>
      <c r="N281" s="141">
        <f>sumif(Farms!$C$68:$C$104,E281,Farms!$G$68:$G$104)</f>
        <v>15</v>
      </c>
    </row>
    <row r="282">
      <c r="A282" s="135">
        <f>IFERROR(__xludf.DUMMYFUNCTION("""COMPUTED_VALUE"""),45936.0)</f>
        <v>45936</v>
      </c>
      <c r="B282" s="87" t="str">
        <f>IFERROR(__xludf.DUMMYFUNCTION("""COMPUTED_VALUE"""),"inman")</f>
        <v>inman</v>
      </c>
      <c r="C282">
        <f>IFERROR(__xludf.DUMMYFUNCTION("""COMPUTED_VALUE"""),57180.0)</f>
        <v>57180</v>
      </c>
      <c r="D282" s="136">
        <f>IFERROR(__xludf.DUMMYFUNCTION("""COMPUTED_VALUE"""),15.1)</f>
        <v>15.1</v>
      </c>
      <c r="E282" s="137" t="str">
        <f>IFERROR(__xludf.DUMMYFUNCTION("""COMPUTED_VALUE"""),"Non-GMO Yellow Corn")</f>
        <v>Non-GMO Yellow Corn</v>
      </c>
      <c r="F282" s="138" t="str">
        <f>IFERROR(__xludf.DUMMYFUNCTION("""COMPUTED_VALUE"""),"0548993")</f>
        <v>0548993</v>
      </c>
      <c r="G282" t="str">
        <f>IFERROR(__xludf.DUMMYFUNCTION("""COMPUTED_VALUE"""),"HBT#4579 Jack Trk# 63")</f>
        <v>HBT#4579 Jack Trk# 63</v>
      </c>
      <c r="H282" s="50"/>
      <c r="I282" s="139">
        <f t="shared" si="10"/>
        <v>0</v>
      </c>
      <c r="J282" s="50">
        <f t="shared" si="2"/>
        <v>1019.539821</v>
      </c>
      <c r="K282" s="140">
        <f t="shared" si="3"/>
        <v>1019.539821</v>
      </c>
      <c r="L282" s="141">
        <f>sumif(Farms!$C$68:$C$104,E282,Farms!$D$68:$D$104)</f>
        <v>1.5</v>
      </c>
      <c r="M282" s="141">
        <f>sumif(Farms!$C$68:$C$104,E282,Farms!$F$68:$F$104)</f>
        <v>56</v>
      </c>
      <c r="N282" s="141">
        <f>sumif(Farms!$C$68:$C$104,E282,Farms!$G$68:$G$104)</f>
        <v>15</v>
      </c>
    </row>
    <row r="283">
      <c r="A283" s="135">
        <f>IFERROR(__xludf.DUMMYFUNCTION("""COMPUTED_VALUE"""),45936.0)</f>
        <v>45936</v>
      </c>
      <c r="B283" s="87" t="str">
        <f>IFERROR(__xludf.DUMMYFUNCTION("""COMPUTED_VALUE"""),"inman")</f>
        <v>inman</v>
      </c>
      <c r="C283">
        <f>IFERROR(__xludf.DUMMYFUNCTION("""COMPUTED_VALUE"""),57480.0)</f>
        <v>57480</v>
      </c>
      <c r="D283" s="136">
        <f>IFERROR(__xludf.DUMMYFUNCTION("""COMPUTED_VALUE"""),14.6)</f>
        <v>14.6</v>
      </c>
      <c r="E283" s="137" t="str">
        <f>IFERROR(__xludf.DUMMYFUNCTION("""COMPUTED_VALUE"""),"Non-GMO Yellow Corn")</f>
        <v>Non-GMO Yellow Corn</v>
      </c>
      <c r="F283" s="138" t="str">
        <f>IFERROR(__xludf.DUMMYFUNCTION("""COMPUTED_VALUE"""),"0548997")</f>
        <v>0548997</v>
      </c>
      <c r="G283" t="str">
        <f>IFERROR(__xludf.DUMMYFUNCTION("""COMPUTED_VALUE"""),"HBT# 5758 WDH Trk# 4")</f>
        <v>HBT# 5758 WDH Trk# 4</v>
      </c>
      <c r="H283" s="50">
        <f>IFERROR(__xludf.DUMMYFUNCTION("""COMPUTED_VALUE"""),0.0)</f>
        <v>0</v>
      </c>
      <c r="I283" s="139">
        <f t="shared" si="10"/>
        <v>0</v>
      </c>
      <c r="J283" s="50">
        <f t="shared" si="2"/>
        <v>1032.587143</v>
      </c>
      <c r="K283" s="140">
        <f t="shared" si="3"/>
        <v>1032.587143</v>
      </c>
      <c r="L283" s="141">
        <f>sumif(Farms!$C$68:$C$104,E283,Farms!$D$68:$D$104)</f>
        <v>1.5</v>
      </c>
      <c r="M283" s="141">
        <f>sumif(Farms!$C$68:$C$104,E283,Farms!$F$68:$F$104)</f>
        <v>56</v>
      </c>
      <c r="N283" s="141">
        <f>sumif(Farms!$C$68:$C$104,E283,Farms!$G$68:$G$104)</f>
        <v>15</v>
      </c>
    </row>
    <row r="284">
      <c r="A284" s="135">
        <f>IFERROR(__xludf.DUMMYFUNCTION("""COMPUTED_VALUE"""),45936.0)</f>
        <v>45936</v>
      </c>
      <c r="B284" s="87" t="str">
        <f>IFERROR(__xludf.DUMMYFUNCTION("""COMPUTED_VALUE"""),"inman")</f>
        <v>inman</v>
      </c>
      <c r="C284">
        <f>IFERROR(__xludf.DUMMYFUNCTION("""COMPUTED_VALUE"""),57240.0)</f>
        <v>57240</v>
      </c>
      <c r="D284" s="136">
        <f>IFERROR(__xludf.DUMMYFUNCTION("""COMPUTED_VALUE"""),14.7)</f>
        <v>14.7</v>
      </c>
      <c r="E284" s="137" t="str">
        <f>IFERROR(__xludf.DUMMYFUNCTION("""COMPUTED_VALUE"""),"Non-GMO Yellow Corn")</f>
        <v>Non-GMO Yellow Corn</v>
      </c>
      <c r="F284" s="138" t="str">
        <f>IFERROR(__xludf.DUMMYFUNCTION("""COMPUTED_VALUE"""),"0549002")</f>
        <v>0549002</v>
      </c>
      <c r="G284" t="str">
        <f>IFERROR(__xludf.DUMMYFUNCTION("""COMPUTED_VALUE"""),"HBT# 5538 Tanner Trk# 2")</f>
        <v>HBT# 5538 Tanner Trk# 2</v>
      </c>
      <c r="H284" s="50">
        <f>IFERROR(__xludf.DUMMYFUNCTION("""COMPUTED_VALUE"""),0.0)</f>
        <v>0</v>
      </c>
      <c r="I284" s="139">
        <f t="shared" si="10"/>
        <v>0</v>
      </c>
      <c r="J284" s="50">
        <f t="shared" si="2"/>
        <v>1026.7425</v>
      </c>
      <c r="K284" s="140">
        <f t="shared" si="3"/>
        <v>1026.7425</v>
      </c>
      <c r="L284" s="141">
        <f>sumif(Farms!$C$68:$C$104,E284,Farms!$D$68:$D$104)</f>
        <v>1.5</v>
      </c>
      <c r="M284" s="141">
        <f>sumif(Farms!$C$68:$C$104,E284,Farms!$F$68:$F$104)</f>
        <v>56</v>
      </c>
      <c r="N284" s="141">
        <f>sumif(Farms!$C$68:$C$104,E284,Farms!$G$68:$G$104)</f>
        <v>15</v>
      </c>
    </row>
    <row r="285">
      <c r="A285" s="135">
        <f>IFERROR(__xludf.DUMMYFUNCTION("""COMPUTED_VALUE"""),45936.0)</f>
        <v>45936</v>
      </c>
      <c r="B285" s="87" t="str">
        <f>IFERROR(__xludf.DUMMYFUNCTION("""COMPUTED_VALUE"""),"inman")</f>
        <v>inman</v>
      </c>
      <c r="C285">
        <f>IFERROR(__xludf.DUMMYFUNCTION("""COMPUTED_VALUE"""),57940.0)</f>
        <v>57940</v>
      </c>
      <c r="D285" s="136">
        <f>IFERROR(__xludf.DUMMYFUNCTION("""COMPUTED_VALUE"""),14.7)</f>
        <v>14.7</v>
      </c>
      <c r="E285" s="137" t="str">
        <f>IFERROR(__xludf.DUMMYFUNCTION("""COMPUTED_VALUE"""),"Non-GMO Yellow Corn")</f>
        <v>Non-GMO Yellow Corn</v>
      </c>
      <c r="F285" s="138" t="str">
        <f>IFERROR(__xludf.DUMMYFUNCTION("""COMPUTED_VALUE"""),"0549003")</f>
        <v>0549003</v>
      </c>
      <c r="G285" t="str">
        <f>IFERROR(__xludf.DUMMYFUNCTION("""COMPUTED_VALUE"""),"HBT# 5864 Bob Trk# 3")</f>
        <v>HBT# 5864 Bob Trk# 3</v>
      </c>
      <c r="H285" s="50">
        <f>IFERROR(__xludf.DUMMYFUNCTION("""COMPUTED_VALUE"""),0.0)</f>
        <v>0</v>
      </c>
      <c r="I285" s="148">
        <v>0.0</v>
      </c>
      <c r="J285" s="50">
        <f t="shared" si="2"/>
        <v>965.6666667</v>
      </c>
      <c r="K285" s="140">
        <f t="shared" si="3"/>
        <v>965.6666667</v>
      </c>
      <c r="L285" s="142">
        <v>0.0</v>
      </c>
      <c r="M285" s="142">
        <v>60.0</v>
      </c>
      <c r="N285" s="141">
        <f>sumif(Farms!$C$68:$C$104,E285,Farms!$G$68:$G$104)</f>
        <v>15</v>
      </c>
    </row>
    <row r="286">
      <c r="A286" s="135">
        <f>IFERROR(__xludf.DUMMYFUNCTION("""COMPUTED_VALUE"""),45937.0)</f>
        <v>45937</v>
      </c>
      <c r="B286" s="87" t="str">
        <f>IFERROR(__xludf.DUMMYFUNCTION("""COMPUTED_VALUE"""),"inman")</f>
        <v>inman</v>
      </c>
      <c r="C286">
        <f>IFERROR(__xludf.DUMMYFUNCTION("""COMPUTED_VALUE"""),57080.0)</f>
        <v>57080</v>
      </c>
      <c r="D286" s="136">
        <f>IFERROR(__xludf.DUMMYFUNCTION("""COMPUTED_VALUE"""),15.4)</f>
        <v>15.4</v>
      </c>
      <c r="E286" s="137" t="str">
        <f>IFERROR(__xludf.DUMMYFUNCTION("""COMPUTED_VALUE"""),"Non-GMO Yellow Corn")</f>
        <v>Non-GMO Yellow Corn</v>
      </c>
      <c r="F286" s="138" t="str">
        <f>IFERROR(__xludf.DUMMYFUNCTION("""COMPUTED_VALUE"""),"0549007")</f>
        <v>0549007</v>
      </c>
      <c r="G286" t="str">
        <f>IFERROR(__xludf.DUMMYFUNCTION("""COMPUTED_VALUE"""),"HBT# 5865 Bob Trk# 3 ")</f>
        <v>HBT# 5865 Bob Trk# 3 </v>
      </c>
      <c r="H286" s="50">
        <f>IFERROR(__xludf.DUMMYFUNCTION("""COMPUTED_VALUE"""),0.0)</f>
        <v>0</v>
      </c>
      <c r="I286" s="139">
        <f t="shared" ref="I286:I404" si="11">if(H286&gt;=1,H286-1,"0")/100</f>
        <v>0</v>
      </c>
      <c r="J286" s="50">
        <f t="shared" si="2"/>
        <v>951.3333333</v>
      </c>
      <c r="K286" s="140">
        <f t="shared" si="3"/>
        <v>951.3333333</v>
      </c>
      <c r="L286" s="142">
        <v>0.0</v>
      </c>
      <c r="M286" s="142">
        <v>60.0</v>
      </c>
      <c r="N286" s="141">
        <f>sumif(Farms!$C$68:$C$104,E286,Farms!$G$68:$G$104)</f>
        <v>15</v>
      </c>
    </row>
    <row r="287">
      <c r="A287" s="135">
        <f>IFERROR(__xludf.DUMMYFUNCTION("""COMPUTED_VALUE"""),45937.0)</f>
        <v>45937</v>
      </c>
      <c r="B287" s="87" t="str">
        <f>IFERROR(__xludf.DUMMYFUNCTION("""COMPUTED_VALUE"""),"inman")</f>
        <v>inman</v>
      </c>
      <c r="C287">
        <f>IFERROR(__xludf.DUMMYFUNCTION("""COMPUTED_VALUE"""),57560.0)</f>
        <v>57560</v>
      </c>
      <c r="D287" s="136">
        <f>IFERROR(__xludf.DUMMYFUNCTION("""COMPUTED_VALUE"""),15.3)</f>
        <v>15.3</v>
      </c>
      <c r="E287" s="137" t="str">
        <f>IFERROR(__xludf.DUMMYFUNCTION("""COMPUTED_VALUE"""),"Non-GMO Yellow Corn")</f>
        <v>Non-GMO Yellow Corn</v>
      </c>
      <c r="F287" s="138" t="str">
        <f>IFERROR(__xludf.DUMMYFUNCTION("""COMPUTED_VALUE"""),"0549011")</f>
        <v>0549011</v>
      </c>
      <c r="G287" t="str">
        <f>IFERROR(__xludf.DUMMYFUNCTION("""COMPUTED_VALUE"""),"HBT#4580 Jack Trk# 63")</f>
        <v>HBT#4580 Jack Trk# 63</v>
      </c>
      <c r="H287" s="50">
        <f>IFERROR(__xludf.DUMMYFUNCTION("""COMPUTED_VALUE"""),0.0)</f>
        <v>0</v>
      </c>
      <c r="I287" s="139">
        <f t="shared" si="11"/>
        <v>0</v>
      </c>
      <c r="J287" s="50">
        <f t="shared" si="2"/>
        <v>1027.857143</v>
      </c>
      <c r="K287" s="140">
        <f t="shared" si="3"/>
        <v>1027.857143</v>
      </c>
      <c r="L287" s="142">
        <v>0.0</v>
      </c>
      <c r="M287" s="141">
        <f>sumif(Farms!$C$68:$C$104,E287,Farms!$F$68:$F$104)</f>
        <v>56</v>
      </c>
      <c r="N287" s="141">
        <f>sumif(Farms!$C$68:$C$104,E287,Farms!$G$68:$G$104)</f>
        <v>15</v>
      </c>
    </row>
    <row r="288">
      <c r="A288" s="135">
        <f>IFERROR(__xludf.DUMMYFUNCTION("""COMPUTED_VALUE"""),45937.0)</f>
        <v>45937</v>
      </c>
      <c r="B288" s="87" t="str">
        <f>IFERROR(__xludf.DUMMYFUNCTION("""COMPUTED_VALUE"""),"inman")</f>
        <v>inman</v>
      </c>
      <c r="C288">
        <f>IFERROR(__xludf.DUMMYFUNCTION("""COMPUTED_VALUE"""),57140.0)</f>
        <v>57140</v>
      </c>
      <c r="D288" s="136">
        <f>IFERROR(__xludf.DUMMYFUNCTION("""COMPUTED_VALUE"""),15.2)</f>
        <v>15.2</v>
      </c>
      <c r="E288" s="137" t="str">
        <f>IFERROR(__xludf.DUMMYFUNCTION("""COMPUTED_VALUE"""),"Non-GMO Yellow Corn")</f>
        <v>Non-GMO Yellow Corn</v>
      </c>
      <c r="F288" s="138" t="str">
        <f>IFERROR(__xludf.DUMMYFUNCTION("""COMPUTED_VALUE"""),"0549016")</f>
        <v>0549016</v>
      </c>
      <c r="G288" t="str">
        <f>IFERROR(__xludf.DUMMYFUNCTION("""COMPUTED_VALUE"""),"HBT# 5866 Bob Trk# 3 ")</f>
        <v>HBT# 5866 Bob Trk# 3 </v>
      </c>
      <c r="H288" s="50">
        <f>IFERROR(__xludf.DUMMYFUNCTION("""COMPUTED_VALUE"""),0.0)</f>
        <v>0</v>
      </c>
      <c r="I288" s="139">
        <f t="shared" si="11"/>
        <v>0</v>
      </c>
      <c r="J288" s="50">
        <f t="shared" si="2"/>
        <v>1020.357143</v>
      </c>
      <c r="K288" s="140">
        <f t="shared" si="3"/>
        <v>1020.357143</v>
      </c>
      <c r="L288" s="142">
        <v>0.0</v>
      </c>
      <c r="M288" s="141">
        <f>sumif(Farms!$C$68:$C$104,E288,Farms!$F$68:$F$104)</f>
        <v>56</v>
      </c>
      <c r="N288" s="141">
        <f>sumif(Farms!$C$68:$C$104,E288,Farms!$G$68:$G$104)</f>
        <v>15</v>
      </c>
    </row>
    <row r="289">
      <c r="A289" s="135">
        <f>IFERROR(__xludf.DUMMYFUNCTION("""COMPUTED_VALUE"""),45937.0)</f>
        <v>45937</v>
      </c>
      <c r="B289" s="87" t="str">
        <f>IFERROR(__xludf.DUMMYFUNCTION("""COMPUTED_VALUE"""),"inman")</f>
        <v>inman</v>
      </c>
      <c r="C289">
        <f>IFERROR(__xludf.DUMMYFUNCTION("""COMPUTED_VALUE"""),58080.0)</f>
        <v>58080</v>
      </c>
      <c r="D289" s="136">
        <f>IFERROR(__xludf.DUMMYFUNCTION("""COMPUTED_VALUE"""),15.3)</f>
        <v>15.3</v>
      </c>
      <c r="E289" s="137" t="str">
        <f>IFERROR(__xludf.DUMMYFUNCTION("""COMPUTED_VALUE"""),"Non-GMO Yellow Corn")</f>
        <v>Non-GMO Yellow Corn</v>
      </c>
      <c r="F289" s="138" t="str">
        <f>IFERROR(__xludf.DUMMYFUNCTION("""COMPUTED_VALUE"""),"0549019")</f>
        <v>0549019</v>
      </c>
      <c r="G289" t="str">
        <f>IFERROR(__xludf.DUMMYFUNCTION("""COMPUTED_VALUE"""),"HBT#4581 Jack Trk# 63")</f>
        <v>HBT#4581 Jack Trk# 63</v>
      </c>
      <c r="H289" s="50">
        <f>IFERROR(__xludf.DUMMYFUNCTION("""COMPUTED_VALUE"""),0.0)</f>
        <v>0</v>
      </c>
      <c r="I289" s="139">
        <f t="shared" si="11"/>
        <v>0</v>
      </c>
      <c r="J289" s="50">
        <f t="shared" si="2"/>
        <v>1037.142857</v>
      </c>
      <c r="K289" s="140">
        <f t="shared" si="3"/>
        <v>1037.142857</v>
      </c>
      <c r="L289" s="142">
        <v>0.0</v>
      </c>
      <c r="M289" s="141">
        <f>sumif(Farms!$C$68:$C$104,E289,Farms!$F$68:$F$104)</f>
        <v>56</v>
      </c>
      <c r="N289" s="141">
        <f>sumif(Farms!$C$68:$C$104,E289,Farms!$G$68:$G$104)</f>
        <v>15</v>
      </c>
    </row>
    <row r="290">
      <c r="A290" s="135">
        <f>IFERROR(__xludf.DUMMYFUNCTION("""COMPUTED_VALUE"""),45937.0)</f>
        <v>45937</v>
      </c>
      <c r="B290" s="87" t="str">
        <f>IFERROR(__xludf.DUMMYFUNCTION("""COMPUTED_VALUE"""),"inman")</f>
        <v>inman</v>
      </c>
      <c r="C290">
        <f>IFERROR(__xludf.DUMMYFUNCTION("""COMPUTED_VALUE"""),56660.0)</f>
        <v>56660</v>
      </c>
      <c r="D290" s="136">
        <f>IFERROR(__xludf.DUMMYFUNCTION("""COMPUTED_VALUE"""),14.7)</f>
        <v>14.7</v>
      </c>
      <c r="E290" s="137" t="str">
        <f>IFERROR(__xludf.DUMMYFUNCTION("""COMPUTED_VALUE"""),"Non-GMO Yellow Corn")</f>
        <v>Non-GMO Yellow Corn</v>
      </c>
      <c r="F290" s="138" t="str">
        <f>IFERROR(__xludf.DUMMYFUNCTION("""COMPUTED_VALUE"""),"0549023")</f>
        <v>0549023</v>
      </c>
      <c r="G290" t="str">
        <f>IFERROR(__xludf.DUMMYFUNCTION("""COMPUTED_VALUE"""),"HBT#3137 Bob Trk# 3 ")</f>
        <v>HBT#3137 Bob Trk# 3 </v>
      </c>
      <c r="H290" s="50">
        <f>IFERROR(__xludf.DUMMYFUNCTION("""COMPUTED_VALUE"""),0.0)</f>
        <v>0</v>
      </c>
      <c r="I290" s="139">
        <f t="shared" si="11"/>
        <v>0</v>
      </c>
      <c r="J290" s="50">
        <f t="shared" si="2"/>
        <v>1011.785714</v>
      </c>
      <c r="K290" s="140">
        <f t="shared" si="3"/>
        <v>1011.785714</v>
      </c>
      <c r="L290" s="142">
        <v>0.0</v>
      </c>
      <c r="M290" s="141">
        <f>sumif(Farms!$C$68:$C$104,E290,Farms!$F$68:$F$104)</f>
        <v>56</v>
      </c>
      <c r="N290" s="141">
        <f>sumif(Farms!$C$68:$C$104,E290,Farms!$G$68:$G$104)</f>
        <v>15</v>
      </c>
    </row>
    <row r="291">
      <c r="A291" s="135">
        <f>IFERROR(__xludf.DUMMYFUNCTION("""COMPUTED_VALUE"""),45937.0)</f>
        <v>45937</v>
      </c>
      <c r="B291" s="87" t="str">
        <f>IFERROR(__xludf.DUMMYFUNCTION("""COMPUTED_VALUE"""),"inman")</f>
        <v>inman</v>
      </c>
      <c r="C291">
        <f>IFERROR(__xludf.DUMMYFUNCTION("""COMPUTED_VALUE"""),58160.0)</f>
        <v>58160</v>
      </c>
      <c r="D291" s="136">
        <f>IFERROR(__xludf.DUMMYFUNCTION("""COMPUTED_VALUE"""),15.0)</f>
        <v>15</v>
      </c>
      <c r="E291" s="137" t="str">
        <f>IFERROR(__xludf.DUMMYFUNCTION("""COMPUTED_VALUE"""),"Non-GMO Yellow Corn")</f>
        <v>Non-GMO Yellow Corn</v>
      </c>
      <c r="F291" s="138" t="str">
        <f>IFERROR(__xludf.DUMMYFUNCTION("""COMPUTED_VALUE"""),"0549024")</f>
        <v>0549024</v>
      </c>
      <c r="G291" t="str">
        <f>IFERROR(__xludf.DUMMYFUNCTION("""COMPUTED_VALUE"""),"HBT# 5539 Tanner Trk# 2")</f>
        <v>HBT# 5539 Tanner Trk# 2</v>
      </c>
      <c r="H291" s="50">
        <f>IFERROR(__xludf.DUMMYFUNCTION("""COMPUTED_VALUE"""),0.0)</f>
        <v>0</v>
      </c>
      <c r="I291" s="139">
        <f t="shared" si="11"/>
        <v>0</v>
      </c>
      <c r="J291" s="50">
        <f t="shared" si="2"/>
        <v>1038.571429</v>
      </c>
      <c r="K291" s="140">
        <f t="shared" si="3"/>
        <v>1038.571429</v>
      </c>
      <c r="L291" s="142">
        <v>0.0</v>
      </c>
      <c r="M291" s="141">
        <f>sumif(Farms!$C$68:$C$104,E291,Farms!$F$68:$F$104)</f>
        <v>56</v>
      </c>
      <c r="N291" s="141">
        <f>sumif(Farms!$C$68:$C$104,E291,Farms!$G$68:$G$104)</f>
        <v>15</v>
      </c>
    </row>
    <row r="292">
      <c r="A292" s="135">
        <f>IFERROR(__xludf.DUMMYFUNCTION("""COMPUTED_VALUE"""),45937.0)</f>
        <v>45937</v>
      </c>
      <c r="B292" s="87" t="str">
        <f>IFERROR(__xludf.DUMMYFUNCTION("""COMPUTED_VALUE"""),"inman")</f>
        <v>inman</v>
      </c>
      <c r="C292">
        <f>IFERROR(__xludf.DUMMYFUNCTION("""COMPUTED_VALUE"""),57400.0)</f>
        <v>57400</v>
      </c>
      <c r="D292" s="136">
        <f>IFERROR(__xludf.DUMMYFUNCTION("""COMPUTED_VALUE"""),15.1)</f>
        <v>15.1</v>
      </c>
      <c r="E292" s="137" t="str">
        <f>IFERROR(__xludf.DUMMYFUNCTION("""COMPUTED_VALUE"""),"Non-GMO Yellow Corn")</f>
        <v>Non-GMO Yellow Corn</v>
      </c>
      <c r="F292" s="138" t="str">
        <f>IFERROR(__xludf.DUMMYFUNCTION("""COMPUTED_VALUE"""),"0549025")</f>
        <v>0549025</v>
      </c>
      <c r="G292" t="str">
        <f>IFERROR(__xludf.DUMMYFUNCTION("""COMPUTED_VALUE"""),"HBT# 5759 WR Trk# 41")</f>
        <v>HBT# 5759 WR Trk# 41</v>
      </c>
      <c r="H292" s="50">
        <f>IFERROR(__xludf.DUMMYFUNCTION("""COMPUTED_VALUE"""),0.0)</f>
        <v>0</v>
      </c>
      <c r="I292" s="139">
        <f t="shared" si="11"/>
        <v>0</v>
      </c>
      <c r="J292" s="50">
        <f t="shared" si="2"/>
        <v>1025</v>
      </c>
      <c r="K292" s="140">
        <f t="shared" si="3"/>
        <v>1025</v>
      </c>
      <c r="L292" s="142">
        <v>0.0</v>
      </c>
      <c r="M292" s="141">
        <f>sumif(Farms!$C$68:$C$104,E292,Farms!$F$68:$F$104)</f>
        <v>56</v>
      </c>
      <c r="N292" s="141">
        <f>sumif(Farms!$C$68:$C$104,E292,Farms!$G$68:$G$104)</f>
        <v>15</v>
      </c>
    </row>
    <row r="293">
      <c r="A293" s="135">
        <f>IFERROR(__xludf.DUMMYFUNCTION("""COMPUTED_VALUE"""),45937.0)</f>
        <v>45937</v>
      </c>
      <c r="B293" s="87" t="str">
        <f>IFERROR(__xludf.DUMMYFUNCTION("""COMPUTED_VALUE"""),"inman")</f>
        <v>inman</v>
      </c>
      <c r="C293">
        <f>IFERROR(__xludf.DUMMYFUNCTION("""COMPUTED_VALUE"""),56680.0)</f>
        <v>56680</v>
      </c>
      <c r="D293" s="136">
        <f>IFERROR(__xludf.DUMMYFUNCTION("""COMPUTED_VALUE"""),15.9)</f>
        <v>15.9</v>
      </c>
      <c r="E293" s="137" t="str">
        <f>IFERROR(__xludf.DUMMYFUNCTION("""COMPUTED_VALUE"""),"Non-GMO Yellow Corn")</f>
        <v>Non-GMO Yellow Corn</v>
      </c>
      <c r="F293" s="138" t="str">
        <f>IFERROR(__xludf.DUMMYFUNCTION("""COMPUTED_VALUE"""),"0549027")</f>
        <v>0549027</v>
      </c>
      <c r="G293" t="str">
        <f>IFERROR(__xludf.DUMMYFUNCTION("""COMPUTED_VALUE"""),"HBT#4582 Jack Trk# 63")</f>
        <v>HBT#4582 Jack Trk# 63</v>
      </c>
      <c r="H293" s="50">
        <f>IFERROR(__xludf.DUMMYFUNCTION("""COMPUTED_VALUE"""),0.0)</f>
        <v>0</v>
      </c>
      <c r="I293" s="139">
        <f t="shared" si="11"/>
        <v>0</v>
      </c>
      <c r="J293" s="50">
        <f t="shared" si="2"/>
        <v>998.4789286</v>
      </c>
      <c r="K293" s="140">
        <f t="shared" si="3"/>
        <v>998.4789286</v>
      </c>
      <c r="L293" s="142">
        <v>1.5</v>
      </c>
      <c r="M293" s="141">
        <f>sumif(Farms!$C$68:$C$104,E293,Farms!$F$68:$F$104)</f>
        <v>56</v>
      </c>
      <c r="N293" s="141">
        <f>sumif(Farms!$C$68:$C$104,E293,Farms!$G$68:$G$104)</f>
        <v>15</v>
      </c>
    </row>
    <row r="294">
      <c r="A294" s="135">
        <f>IFERROR(__xludf.DUMMYFUNCTION("""COMPUTED_VALUE"""),45937.0)</f>
        <v>45937</v>
      </c>
      <c r="B294" s="87" t="str">
        <f>IFERROR(__xludf.DUMMYFUNCTION("""COMPUTED_VALUE"""),"inman")</f>
        <v>inman</v>
      </c>
      <c r="C294">
        <f>IFERROR(__xludf.DUMMYFUNCTION("""COMPUTED_VALUE"""),57240.0)</f>
        <v>57240</v>
      </c>
      <c r="D294" s="136">
        <f>IFERROR(__xludf.DUMMYFUNCTION("""COMPUTED_VALUE"""),15.0)</f>
        <v>15</v>
      </c>
      <c r="E294" s="137" t="str">
        <f>IFERROR(__xludf.DUMMYFUNCTION("""COMPUTED_VALUE"""),"Non-GMO Yellow Corn")</f>
        <v>Non-GMO Yellow Corn</v>
      </c>
      <c r="F294" s="138" t="str">
        <f>IFERROR(__xludf.DUMMYFUNCTION("""COMPUTED_VALUE"""),"0549029")</f>
        <v>0549029</v>
      </c>
      <c r="G294" t="str">
        <f>IFERROR(__xludf.DUMMYFUNCTION("""COMPUTED_VALUE"""),"HBT# 5561 WR Trk#41 ")</f>
        <v>HBT# 5561 WR Trk#41 </v>
      </c>
      <c r="H294" s="50">
        <f>IFERROR(__xludf.DUMMYFUNCTION("""COMPUTED_VALUE"""),0.0)</f>
        <v>0</v>
      </c>
      <c r="I294" s="139">
        <f t="shared" si="11"/>
        <v>0</v>
      </c>
      <c r="J294" s="50">
        <f t="shared" si="2"/>
        <v>1022.142857</v>
      </c>
      <c r="K294" s="140">
        <f t="shared" si="3"/>
        <v>1022.142857</v>
      </c>
      <c r="L294" s="142">
        <v>0.0</v>
      </c>
      <c r="M294" s="141">
        <f>sumif(Farms!$C$68:$C$104,E294,Farms!$F$68:$F$104)</f>
        <v>56</v>
      </c>
      <c r="N294" s="141">
        <f>sumif(Farms!$C$68:$C$104,E294,Farms!$G$68:$G$104)</f>
        <v>15</v>
      </c>
    </row>
    <row r="295">
      <c r="A295" s="135">
        <f>IFERROR(__xludf.DUMMYFUNCTION("""COMPUTED_VALUE"""),45937.0)</f>
        <v>45937</v>
      </c>
      <c r="B295" s="87" t="str">
        <f>IFERROR(__xludf.DUMMYFUNCTION("""COMPUTED_VALUE"""),"inman")</f>
        <v>inman</v>
      </c>
      <c r="C295">
        <f>IFERROR(__xludf.DUMMYFUNCTION("""COMPUTED_VALUE"""),57340.0)</f>
        <v>57340</v>
      </c>
      <c r="D295" s="136">
        <f>IFERROR(__xludf.DUMMYFUNCTION("""COMPUTED_VALUE"""),15.9)</f>
        <v>15.9</v>
      </c>
      <c r="E295" s="137" t="str">
        <f>IFERROR(__xludf.DUMMYFUNCTION("""COMPUTED_VALUE"""),"Non-GMO Yellow Corn")</f>
        <v>Non-GMO Yellow Corn</v>
      </c>
      <c r="F295" s="138" t="str">
        <f>IFERROR(__xludf.DUMMYFUNCTION("""COMPUTED_VALUE"""),"0549035")</f>
        <v>0549035</v>
      </c>
      <c r="G295" t="str">
        <f>IFERROR(__xludf.DUMMYFUNCTION("""COMPUTED_VALUE"""),"HBT# 5867 Bob Trk# 3 ")</f>
        <v>HBT# 5867 Bob Trk# 3 </v>
      </c>
      <c r="H295" s="50">
        <f>IFERROR(__xludf.DUMMYFUNCTION("""COMPUTED_VALUE"""),0.0)</f>
        <v>0</v>
      </c>
      <c r="I295" s="139">
        <f t="shared" si="11"/>
        <v>0</v>
      </c>
      <c r="J295" s="50">
        <f t="shared" si="2"/>
        <v>1023.928571</v>
      </c>
      <c r="K295" s="140">
        <f t="shared" si="3"/>
        <v>1023.928571</v>
      </c>
      <c r="L295" s="142">
        <v>0.0</v>
      </c>
      <c r="M295" s="141">
        <f>sumif(Farms!$C$68:$C$104,E295,Farms!$F$68:$F$104)</f>
        <v>56</v>
      </c>
      <c r="N295" s="141">
        <f>sumif(Farms!$C$68:$C$104,E295,Farms!$G$68:$G$104)</f>
        <v>15</v>
      </c>
    </row>
    <row r="296">
      <c r="A296" s="135">
        <f>IFERROR(__xludf.DUMMYFUNCTION("""COMPUTED_VALUE"""),45937.0)</f>
        <v>45937</v>
      </c>
      <c r="B296" s="87" t="str">
        <f>IFERROR(__xludf.DUMMYFUNCTION("""COMPUTED_VALUE"""),"inman")</f>
        <v>inman</v>
      </c>
      <c r="C296">
        <f>IFERROR(__xludf.DUMMYFUNCTION("""COMPUTED_VALUE"""),57700.0)</f>
        <v>57700</v>
      </c>
      <c r="D296" s="136">
        <f>IFERROR(__xludf.DUMMYFUNCTION("""COMPUTED_VALUE"""),15.9)</f>
        <v>15.9</v>
      </c>
      <c r="E296" s="137" t="str">
        <f>IFERROR(__xludf.DUMMYFUNCTION("""COMPUTED_VALUE"""),"Non-GMO Yellow Corn")</f>
        <v>Non-GMO Yellow Corn</v>
      </c>
      <c r="F296" s="138" t="str">
        <f>IFERROR(__xludf.DUMMYFUNCTION("""COMPUTED_VALUE"""),"0549036")</f>
        <v>0549036</v>
      </c>
      <c r="G296" t="str">
        <f>IFERROR(__xludf.DUMMYFUNCTION("""COMPUTED_VALUE"""),"HBT# 5540 Tanner Trk# 2")</f>
        <v>HBT# 5540 Tanner Trk# 2</v>
      </c>
      <c r="H296" s="50">
        <f>IFERROR(__xludf.DUMMYFUNCTION("""COMPUTED_VALUE"""),0.0)</f>
        <v>0</v>
      </c>
      <c r="I296" s="139">
        <f t="shared" si="11"/>
        <v>0</v>
      </c>
      <c r="J296" s="50">
        <f t="shared" si="2"/>
        <v>1016.447321</v>
      </c>
      <c r="K296" s="140">
        <f t="shared" si="3"/>
        <v>1016.447321</v>
      </c>
      <c r="L296" s="141">
        <f>sumif(Farms!$C$68:$C$104,E296,Farms!$D$68:$D$104)</f>
        <v>1.5</v>
      </c>
      <c r="M296" s="141">
        <f>sumif(Farms!$C$68:$C$104,E296,Farms!$F$68:$F$104)</f>
        <v>56</v>
      </c>
      <c r="N296" s="141">
        <f>sumif(Farms!$C$68:$C$104,E296,Farms!$G$68:$G$104)</f>
        <v>15</v>
      </c>
      <c r="O296" s="46" t="s">
        <v>152</v>
      </c>
    </row>
    <row r="297">
      <c r="A297" s="135">
        <f>IFERROR(__xludf.DUMMYFUNCTION("""COMPUTED_VALUE"""),45937.0)</f>
        <v>45937</v>
      </c>
      <c r="B297" s="87" t="str">
        <f>IFERROR(__xludf.DUMMYFUNCTION("""COMPUTED_VALUE"""),"inman")</f>
        <v>inman</v>
      </c>
      <c r="C297">
        <f>IFERROR(__xludf.DUMMYFUNCTION("""COMPUTED_VALUE"""),55880.0)</f>
        <v>55880</v>
      </c>
      <c r="D297" s="136">
        <f>IFERROR(__xludf.DUMMYFUNCTION("""COMPUTED_VALUE"""),16.0)</f>
        <v>16</v>
      </c>
      <c r="E297" s="137" t="str">
        <f>IFERROR(__xludf.DUMMYFUNCTION("""COMPUTED_VALUE"""),"Non-GMO Yellow Corn")</f>
        <v>Non-GMO Yellow Corn</v>
      </c>
      <c r="F297" s="138" t="str">
        <f>IFERROR(__xludf.DUMMYFUNCTION("""COMPUTED_VALUE"""),"0549038")</f>
        <v>0549038</v>
      </c>
      <c r="G297" t="str">
        <f>IFERROR(__xludf.DUMMYFUNCTION("""COMPUTED_VALUE"""),"HBT# 5760 WDH  Trk# 4 ")</f>
        <v>HBT# 5760 WDH  Trk# 4 </v>
      </c>
      <c r="H297" s="50">
        <f>IFERROR(__xludf.DUMMYFUNCTION("""COMPUTED_VALUE"""),0.0)</f>
        <v>0</v>
      </c>
      <c r="I297" s="139">
        <f t="shared" si="11"/>
        <v>0</v>
      </c>
      <c r="J297" s="50">
        <f t="shared" si="2"/>
        <v>982.8892857</v>
      </c>
      <c r="K297" s="140">
        <f t="shared" si="3"/>
        <v>982.8892857</v>
      </c>
      <c r="L297" s="141">
        <f>sumif(Farms!$C$68:$C$104,E297,Farms!$D$68:$D$104)</f>
        <v>1.5</v>
      </c>
      <c r="M297" s="141">
        <f>sumif(Farms!$C$68:$C$104,E297,Farms!$F$68:$F$104)</f>
        <v>56</v>
      </c>
      <c r="N297" s="141">
        <f>sumif(Farms!$C$68:$C$104,E297,Farms!$G$68:$G$104)</f>
        <v>15</v>
      </c>
    </row>
    <row r="298">
      <c r="A298" s="135">
        <f>IFERROR(__xludf.DUMMYFUNCTION("""COMPUTED_VALUE"""),45937.0)</f>
        <v>45937</v>
      </c>
      <c r="B298" s="87" t="str">
        <f>IFERROR(__xludf.DUMMYFUNCTION("""COMPUTED_VALUE"""),"inman")</f>
        <v>inman</v>
      </c>
      <c r="C298">
        <f>IFERROR(__xludf.DUMMYFUNCTION("""COMPUTED_VALUE"""),57120.0)</f>
        <v>57120</v>
      </c>
      <c r="D298" s="136">
        <f>IFERROR(__xludf.DUMMYFUNCTION("""COMPUTED_VALUE"""),15.7)</f>
        <v>15.7</v>
      </c>
      <c r="E298" s="137" t="str">
        <f>IFERROR(__xludf.DUMMYFUNCTION("""COMPUTED_VALUE"""),"Non-GMO Yellow Corn")</f>
        <v>Non-GMO Yellow Corn</v>
      </c>
      <c r="F298" s="138" t="str">
        <f>IFERROR(__xludf.DUMMYFUNCTION("""COMPUTED_VALUE"""),"0549040")</f>
        <v>0549040</v>
      </c>
      <c r="G298" t="str">
        <f>IFERROR(__xludf.DUMMYFUNCTION("""COMPUTED_VALUE"""),"HBT#4583 Jack Trk# 63")</f>
        <v>HBT#4583 Jack Trk# 63</v>
      </c>
      <c r="H298" s="50">
        <f>IFERROR(__xludf.DUMMYFUNCTION("""COMPUTED_VALUE"""),0.0)</f>
        <v>0</v>
      </c>
      <c r="I298" s="139">
        <f t="shared" si="11"/>
        <v>0</v>
      </c>
      <c r="J298" s="50">
        <f t="shared" si="2"/>
        <v>1009.29</v>
      </c>
      <c r="K298" s="140">
        <f t="shared" si="3"/>
        <v>1009.29</v>
      </c>
      <c r="L298" s="141">
        <f>sumif(Farms!$C$68:$C$104,E298,Farms!$D$68:$D$104)</f>
        <v>1.5</v>
      </c>
      <c r="M298" s="141">
        <f>sumif(Farms!$C$68:$C$104,E298,Farms!$F$68:$F$104)</f>
        <v>56</v>
      </c>
      <c r="N298" s="141">
        <f>sumif(Farms!$C$68:$C$104,E298,Farms!$G$68:$G$104)</f>
        <v>15</v>
      </c>
    </row>
    <row r="299">
      <c r="A299" s="135">
        <f>IFERROR(__xludf.DUMMYFUNCTION("""COMPUTED_VALUE"""),45937.0)</f>
        <v>45937</v>
      </c>
      <c r="B299" s="87" t="str">
        <f>IFERROR(__xludf.DUMMYFUNCTION("""COMPUTED_VALUE"""),"inman")</f>
        <v>inman</v>
      </c>
      <c r="C299">
        <f>IFERROR(__xludf.DUMMYFUNCTION("""COMPUTED_VALUE"""),57940.0)</f>
        <v>57940</v>
      </c>
      <c r="D299" s="136">
        <f>IFERROR(__xludf.DUMMYFUNCTION("""COMPUTED_VALUE"""),15.7)</f>
        <v>15.7</v>
      </c>
      <c r="E299" s="137" t="str">
        <f>IFERROR(__xludf.DUMMYFUNCTION("""COMPUTED_VALUE"""),"Non-GMO Yellow Corn")</f>
        <v>Non-GMO Yellow Corn</v>
      </c>
      <c r="F299" s="138" t="str">
        <f>IFERROR(__xludf.DUMMYFUNCTION("""COMPUTED_VALUE"""),"0549043")</f>
        <v>0549043</v>
      </c>
      <c r="G299" t="str">
        <f>IFERROR(__xludf.DUMMYFUNCTION("""COMPUTED_VALUE"""),"HBT# 3138 JB  Trk# 5")</f>
        <v>HBT# 3138 JB  Trk# 5</v>
      </c>
      <c r="H299" s="50">
        <f>IFERROR(__xludf.DUMMYFUNCTION("""COMPUTED_VALUE"""),0.0)</f>
        <v>0</v>
      </c>
      <c r="I299" s="139">
        <f t="shared" si="11"/>
        <v>0</v>
      </c>
      <c r="J299" s="50">
        <f t="shared" si="2"/>
        <v>1023.779107</v>
      </c>
      <c r="K299" s="140">
        <f t="shared" si="3"/>
        <v>1023.779107</v>
      </c>
      <c r="L299" s="141">
        <f>sumif(Farms!$C$68:$C$104,E299,Farms!$D$68:$D$104)</f>
        <v>1.5</v>
      </c>
      <c r="M299" s="141">
        <f>sumif(Farms!$C$68:$C$104,E299,Farms!$F$68:$F$104)</f>
        <v>56</v>
      </c>
      <c r="N299" s="141">
        <f>sumif(Farms!$C$68:$C$104,E299,Farms!$G$68:$G$104)</f>
        <v>15</v>
      </c>
    </row>
    <row r="300">
      <c r="A300" s="135">
        <f>IFERROR(__xludf.DUMMYFUNCTION("""COMPUTED_VALUE"""),45937.0)</f>
        <v>45937</v>
      </c>
      <c r="B300" s="87" t="str">
        <f>IFERROR(__xludf.DUMMYFUNCTION("""COMPUTED_VALUE"""),"inman")</f>
        <v>inman</v>
      </c>
      <c r="C300">
        <f>IFERROR(__xludf.DUMMYFUNCTION("""COMPUTED_VALUE"""),57120.0)</f>
        <v>57120</v>
      </c>
      <c r="D300" s="136">
        <f>IFERROR(__xludf.DUMMYFUNCTION("""COMPUTED_VALUE"""),16.0)</f>
        <v>16</v>
      </c>
      <c r="E300" s="137" t="str">
        <f>IFERROR(__xludf.DUMMYFUNCTION("""COMPUTED_VALUE"""),"Non-GMO Yellow Corn")</f>
        <v>Non-GMO Yellow Corn</v>
      </c>
      <c r="F300" s="138" t="str">
        <f>IFERROR(__xludf.DUMMYFUNCTION("""COMPUTED_VALUE"""),"0549046")</f>
        <v>0549046</v>
      </c>
      <c r="G300" t="str">
        <f>IFERROR(__xludf.DUMMYFUNCTION("""COMPUTED_VALUE"""),"HBT#5562 WR Trk# 41")</f>
        <v>HBT#5562 WR Trk# 41</v>
      </c>
      <c r="H300" s="50">
        <f>IFERROR(__xludf.DUMMYFUNCTION("""COMPUTED_VALUE"""),0.0)</f>
        <v>0</v>
      </c>
      <c r="I300" s="139">
        <f t="shared" si="11"/>
        <v>0</v>
      </c>
      <c r="J300" s="50">
        <f t="shared" si="2"/>
        <v>1004.7</v>
      </c>
      <c r="K300" s="140">
        <f t="shared" si="3"/>
        <v>1004.7</v>
      </c>
      <c r="L300" s="141">
        <f>sumif(Farms!$C$68:$C$104,E300,Farms!$D$68:$D$104)</f>
        <v>1.5</v>
      </c>
      <c r="M300" s="141">
        <f>sumif(Farms!$C$68:$C$104,E300,Farms!$F$68:$F$104)</f>
        <v>56</v>
      </c>
      <c r="N300" s="141">
        <f>sumif(Farms!$C$68:$C$104,E300,Farms!$G$68:$G$104)</f>
        <v>15</v>
      </c>
    </row>
    <row r="301">
      <c r="A301" s="135">
        <f>IFERROR(__xludf.DUMMYFUNCTION("""COMPUTED_VALUE"""),45937.0)</f>
        <v>45937</v>
      </c>
      <c r="B301" s="87" t="str">
        <f>IFERROR(__xludf.DUMMYFUNCTION("""COMPUTED_VALUE"""),"inman")</f>
        <v>inman</v>
      </c>
      <c r="C301">
        <f>IFERROR(__xludf.DUMMYFUNCTION("""COMPUTED_VALUE"""),57100.0)</f>
        <v>57100</v>
      </c>
      <c r="D301" s="136">
        <f>IFERROR(__xludf.DUMMYFUNCTION("""COMPUTED_VALUE"""),16.0)</f>
        <v>16</v>
      </c>
      <c r="E301" s="137" t="str">
        <f>IFERROR(__xludf.DUMMYFUNCTION("""COMPUTED_VALUE"""),"Non-GMO Yellow Corn")</f>
        <v>Non-GMO Yellow Corn</v>
      </c>
      <c r="F301" s="138" t="str">
        <f>IFERROR(__xludf.DUMMYFUNCTION("""COMPUTED_VALUE"""),"0549050")</f>
        <v>0549050</v>
      </c>
      <c r="G301" t="str">
        <f>IFERROR(__xludf.DUMMYFUNCTION("""COMPUTED_VALUE"""),"HBT#5868 WR Trk# 3")</f>
        <v>HBT#5868 WR Trk# 3</v>
      </c>
      <c r="H301" s="50">
        <f>IFERROR(__xludf.DUMMYFUNCTION("""COMPUTED_VALUE"""),0.0)</f>
        <v>0</v>
      </c>
      <c r="I301" s="139">
        <f t="shared" si="11"/>
        <v>0</v>
      </c>
      <c r="J301" s="50">
        <f t="shared" si="2"/>
        <v>1004.348214</v>
      </c>
      <c r="K301" s="140">
        <f t="shared" si="3"/>
        <v>1004.348214</v>
      </c>
      <c r="L301" s="141">
        <f>sumif(Farms!$C$68:$C$104,E301,Farms!$D$68:$D$104)</f>
        <v>1.5</v>
      </c>
      <c r="M301" s="141">
        <f>sumif(Farms!$C$68:$C$104,E301,Farms!$F$68:$F$104)</f>
        <v>56</v>
      </c>
      <c r="N301" s="141">
        <f>sumif(Farms!$C$68:$C$104,E301,Farms!$G$68:$G$104)</f>
        <v>15</v>
      </c>
    </row>
    <row r="302">
      <c r="A302" s="135">
        <f>IFERROR(__xludf.DUMMYFUNCTION("""COMPUTED_VALUE"""),45937.0)</f>
        <v>45937</v>
      </c>
      <c r="B302" s="87" t="str">
        <f>IFERROR(__xludf.DUMMYFUNCTION("""COMPUTED_VALUE"""),"inman")</f>
        <v>inman</v>
      </c>
      <c r="C302">
        <f>IFERROR(__xludf.DUMMYFUNCTION("""COMPUTED_VALUE"""),58320.0)</f>
        <v>58320</v>
      </c>
      <c r="D302" s="136">
        <f>IFERROR(__xludf.DUMMYFUNCTION("""COMPUTED_VALUE"""),15.9)</f>
        <v>15.9</v>
      </c>
      <c r="E302" s="137" t="str">
        <f>IFERROR(__xludf.DUMMYFUNCTION("""COMPUTED_VALUE"""),"Non-GMO Yellow Corn")</f>
        <v>Non-GMO Yellow Corn</v>
      </c>
      <c r="F302" s="138" t="str">
        <f>IFERROR(__xludf.DUMMYFUNCTION("""COMPUTED_VALUE"""),"0549052")</f>
        <v>0549052</v>
      </c>
      <c r="G302" t="str">
        <f>IFERROR(__xludf.DUMMYFUNCTION("""COMPUTED_VALUE"""),"HBT#5541 TL Trk# 2")</f>
        <v>HBT#5541 TL Trk# 2</v>
      </c>
      <c r="H302" s="50">
        <f>IFERROR(__xludf.DUMMYFUNCTION("""COMPUTED_VALUE"""),0.0)</f>
        <v>0</v>
      </c>
      <c r="I302" s="139">
        <f t="shared" si="11"/>
        <v>0</v>
      </c>
      <c r="J302" s="50">
        <f t="shared" si="2"/>
        <v>1027.369286</v>
      </c>
      <c r="K302" s="140">
        <f t="shared" si="3"/>
        <v>1027.369286</v>
      </c>
      <c r="L302" s="141">
        <f>sumif(Farms!$C$68:$C$104,E302,Farms!$D$68:$D$104)</f>
        <v>1.5</v>
      </c>
      <c r="M302" s="141">
        <f>sumif(Farms!$C$68:$C$104,E302,Farms!$F$68:$F$104)</f>
        <v>56</v>
      </c>
      <c r="N302" s="141">
        <f>sumif(Farms!$C$68:$C$104,E302,Farms!$G$68:$G$104)</f>
        <v>15</v>
      </c>
    </row>
    <row r="303">
      <c r="A303" s="135">
        <f>IFERROR(__xludf.DUMMYFUNCTION("""COMPUTED_VALUE"""),45937.0)</f>
        <v>45937</v>
      </c>
      <c r="B303" s="87" t="str">
        <f>IFERROR(__xludf.DUMMYFUNCTION("""COMPUTED_VALUE"""),"inman")</f>
        <v>inman</v>
      </c>
      <c r="C303">
        <f>IFERROR(__xludf.DUMMYFUNCTION("""COMPUTED_VALUE"""),57180.0)</f>
        <v>57180</v>
      </c>
      <c r="D303" s="136">
        <f>IFERROR(__xludf.DUMMYFUNCTION("""COMPUTED_VALUE"""),16.0)</f>
        <v>16</v>
      </c>
      <c r="E303" s="137" t="str">
        <f>IFERROR(__xludf.DUMMYFUNCTION("""COMPUTED_VALUE"""),"Non-GMO Yellow Corn")</f>
        <v>Non-GMO Yellow Corn</v>
      </c>
      <c r="F303" s="138" t="str">
        <f>IFERROR(__xludf.DUMMYFUNCTION("""COMPUTED_VALUE"""),"0549055")</f>
        <v>0549055</v>
      </c>
      <c r="G303" t="str">
        <f>IFERROR(__xludf.DUMMYFUNCTION("""COMPUTED_VALUE"""),"HBT#5761 WDH Trk# 4")</f>
        <v>HBT#5761 WDH Trk# 4</v>
      </c>
      <c r="H303" s="50">
        <f>IFERROR(__xludf.DUMMYFUNCTION("""COMPUTED_VALUE"""),0.0)</f>
        <v>0</v>
      </c>
      <c r="I303" s="139">
        <f t="shared" si="11"/>
        <v>0</v>
      </c>
      <c r="J303" s="50">
        <f t="shared" si="2"/>
        <v>1005.755357</v>
      </c>
      <c r="K303" s="140">
        <f t="shared" si="3"/>
        <v>1005.755357</v>
      </c>
      <c r="L303" s="141">
        <f>sumif(Farms!$C$68:$C$104,E303,Farms!$D$68:$D$104)</f>
        <v>1.5</v>
      </c>
      <c r="M303" s="141">
        <f>sumif(Farms!$C$68:$C$104,E303,Farms!$F$68:$F$104)</f>
        <v>56</v>
      </c>
      <c r="N303" s="141">
        <f>sumif(Farms!$C$68:$C$104,E303,Farms!$G$68:$G$104)</f>
        <v>15</v>
      </c>
    </row>
    <row r="304">
      <c r="A304" s="135">
        <f>IFERROR(__xludf.DUMMYFUNCTION("""COMPUTED_VALUE"""),45937.0)</f>
        <v>45937</v>
      </c>
      <c r="B304" s="87" t="str">
        <f>IFERROR(__xludf.DUMMYFUNCTION("""COMPUTED_VALUE"""),"inman")</f>
        <v>inman</v>
      </c>
      <c r="C304">
        <f>IFERROR(__xludf.DUMMYFUNCTION("""COMPUTED_VALUE"""),48470.0)</f>
        <v>48470</v>
      </c>
      <c r="D304" s="136">
        <f>IFERROR(__xludf.DUMMYFUNCTION("""COMPUTED_VALUE"""),16.4)</f>
        <v>16.4</v>
      </c>
      <c r="E304" s="137" t="str">
        <f>IFERROR(__xludf.DUMMYFUNCTION("""COMPUTED_VALUE"""),"Non-GMO Yellow Corn")</f>
        <v>Non-GMO Yellow Corn</v>
      </c>
      <c r="F304" s="138" t="str">
        <f>IFERROR(__xludf.DUMMYFUNCTION("""COMPUTED_VALUE"""),"0549059")</f>
        <v>0549059</v>
      </c>
      <c r="G304" t="str">
        <f>IFERROR(__xludf.DUMMYFUNCTION("""COMPUTED_VALUE"""),"HBT#4585 Jack Trk# 63 Split &amp; Last Load")</f>
        <v>HBT#4585 Jack Trk# 63 Split &amp; Last Load</v>
      </c>
      <c r="H304" s="50">
        <f>IFERROR(__xludf.DUMMYFUNCTION("""COMPUTED_VALUE"""),0.0)</f>
        <v>0</v>
      </c>
      <c r="I304" s="139">
        <f t="shared" si="11"/>
        <v>0</v>
      </c>
      <c r="J304" s="50">
        <f t="shared" si="2"/>
        <v>847.3594643</v>
      </c>
      <c r="K304" s="140">
        <f t="shared" si="3"/>
        <v>847.3594643</v>
      </c>
      <c r="L304" s="141">
        <f>sumif(Farms!$C$68:$C$104,E304,Farms!$D$68:$D$104)</f>
        <v>1.5</v>
      </c>
      <c r="M304" s="141">
        <f>sumif(Farms!$C$68:$C$104,E304,Farms!$F$68:$F$104)</f>
        <v>56</v>
      </c>
      <c r="N304" s="141">
        <f>sumif(Farms!$C$68:$C$104,E304,Farms!$G$68:$G$104)</f>
        <v>15</v>
      </c>
    </row>
    <row r="305">
      <c r="A305" s="135">
        <f>IFERROR(__xludf.DUMMYFUNCTION("""COMPUTED_VALUE"""),45938.0)</f>
        <v>45938</v>
      </c>
      <c r="B305" s="87" t="str">
        <f>IFERROR(__xludf.DUMMYFUNCTION("""COMPUTED_VALUE"""),"inman")</f>
        <v>inman</v>
      </c>
      <c r="C305">
        <f>IFERROR(__xludf.DUMMYFUNCTION("""COMPUTED_VALUE"""),57600.0)</f>
        <v>57600</v>
      </c>
      <c r="D305" s="136">
        <f>IFERROR(__xludf.DUMMYFUNCTION("""COMPUTED_VALUE"""),15.8)</f>
        <v>15.8</v>
      </c>
      <c r="E305" s="137" t="str">
        <f>IFERROR(__xludf.DUMMYFUNCTION("""COMPUTED_VALUE"""),"Non-GMO Yellow Corn")</f>
        <v>Non-GMO Yellow Corn</v>
      </c>
      <c r="F305" s="138" t="str">
        <f>IFERROR(__xludf.DUMMYFUNCTION("""COMPUTED_VALUE"""),"0549127")</f>
        <v>0549127</v>
      </c>
      <c r="G305" t="str">
        <f>IFERROR(__xludf.DUMMYFUNCTION("""COMPUTED_VALUE"""),"HBT#3140 JB Trk# 5")</f>
        <v>HBT#3140 JB Trk# 5</v>
      </c>
      <c r="H305" s="50">
        <f>IFERROR(__xludf.DUMMYFUNCTION("""COMPUTED_VALUE"""),0.0)</f>
        <v>0</v>
      </c>
      <c r="I305" s="139">
        <f t="shared" si="11"/>
        <v>0</v>
      </c>
      <c r="J305" s="50">
        <f t="shared" si="2"/>
        <v>1016.228571</v>
      </c>
      <c r="K305" s="140">
        <f t="shared" si="3"/>
        <v>1016.228571</v>
      </c>
      <c r="L305" s="141">
        <f>sumif(Farms!$C$68:$C$104,E305,Farms!$D$68:$D$104)</f>
        <v>1.5</v>
      </c>
      <c r="M305" s="141">
        <f>sumif(Farms!$C$68:$C$104,E305,Farms!$F$68:$F$104)</f>
        <v>56</v>
      </c>
      <c r="N305" s="141">
        <f>sumif(Farms!$C$68:$C$104,E305,Farms!$G$68:$G$104)</f>
        <v>15</v>
      </c>
    </row>
    <row r="306">
      <c r="A306" s="135">
        <f>IFERROR(__xludf.DUMMYFUNCTION("""COMPUTED_VALUE"""),45937.0)</f>
        <v>45937</v>
      </c>
      <c r="B306" s="87" t="str">
        <f>IFERROR(__xludf.DUMMYFUNCTION("""COMPUTED_VALUE"""),"Inman, Brads ")</f>
        <v>Inman, Brads </v>
      </c>
      <c r="C306">
        <f>IFERROR(__xludf.DUMMYFUNCTION("""COMPUTED_VALUE"""),7890.0)</f>
        <v>7890</v>
      </c>
      <c r="D306" s="136">
        <f>IFERROR(__xludf.DUMMYFUNCTION("""COMPUTED_VALUE"""),16.4)</f>
        <v>16.4</v>
      </c>
      <c r="E306" s="137" t="str">
        <f>IFERROR(__xludf.DUMMYFUNCTION("""COMPUTED_VALUE"""),"Non-GMO Yellow Corn")</f>
        <v>Non-GMO Yellow Corn</v>
      </c>
      <c r="F306" s="138" t="str">
        <f>IFERROR(__xludf.DUMMYFUNCTION("""COMPUTED_VALUE"""),"0549059")</f>
        <v>0549059</v>
      </c>
      <c r="G306" t="str">
        <f>IFERROR(__xludf.DUMMYFUNCTION("""COMPUTED_VALUE"""),"HBT# 4586 Jack Trk# 63  Split Load")</f>
        <v>HBT# 4586 Jack Trk# 63  Split Load</v>
      </c>
      <c r="H306" s="50">
        <f>IFERROR(__xludf.DUMMYFUNCTION("""COMPUTED_VALUE"""),0.0)</f>
        <v>0</v>
      </c>
      <c r="I306" s="139">
        <f t="shared" si="11"/>
        <v>0</v>
      </c>
      <c r="J306" s="50">
        <f t="shared" si="2"/>
        <v>137.9341071</v>
      </c>
      <c r="K306" s="140">
        <f t="shared" si="3"/>
        <v>137.9341071</v>
      </c>
      <c r="L306" s="141">
        <f>sumif(Farms!$C$68:$C$104,E306,Farms!$D$68:$D$104)</f>
        <v>1.5</v>
      </c>
      <c r="M306" s="141">
        <f>sumif(Farms!$C$68:$C$104,E306,Farms!$F$68:$F$104)</f>
        <v>56</v>
      </c>
      <c r="N306" s="141">
        <f>sumif(Farms!$C$68:$C$104,E306,Farms!$G$68:$G$104)</f>
        <v>15</v>
      </c>
    </row>
    <row r="307">
      <c r="A307" s="135">
        <f>IFERROR(__xludf.DUMMYFUNCTION("""COMPUTED_VALUE"""),45937.0)</f>
        <v>45937</v>
      </c>
      <c r="B307" s="87" t="str">
        <f>IFERROR(__xludf.DUMMYFUNCTION("""COMPUTED_VALUE"""),"Inman, Brads ")</f>
        <v>Inman, Brads </v>
      </c>
      <c r="C307">
        <f>IFERROR(__xludf.DUMMYFUNCTION("""COMPUTED_VALUE"""),56780.0)</f>
        <v>56780</v>
      </c>
      <c r="D307" s="136">
        <f>IFERROR(__xludf.DUMMYFUNCTION("""COMPUTED_VALUE"""),16.8)</f>
        <v>16.8</v>
      </c>
      <c r="E307" s="137" t="str">
        <f>IFERROR(__xludf.DUMMYFUNCTION("""COMPUTED_VALUE"""),"Non-GMO Yellow Corn")</f>
        <v>Non-GMO Yellow Corn</v>
      </c>
      <c r="F307" s="138" t="str">
        <f>IFERROR(__xludf.DUMMYFUNCTION("""COMPUTED_VALUE"""),"0549063")</f>
        <v>0549063</v>
      </c>
      <c r="G307" t="str">
        <f>IFERROR(__xludf.DUMMYFUNCTION("""COMPUTED_VALUE"""),"HBT#3139JB Trk# 5")</f>
        <v>HBT#3139JB Trk# 5</v>
      </c>
      <c r="H307" s="50">
        <f>IFERROR(__xludf.DUMMYFUNCTION("""COMPUTED_VALUE"""),0.0)</f>
        <v>0</v>
      </c>
      <c r="I307" s="139">
        <f t="shared" si="11"/>
        <v>0</v>
      </c>
      <c r="J307" s="50">
        <f t="shared" si="2"/>
        <v>986.5525</v>
      </c>
      <c r="K307" s="140">
        <f t="shared" si="3"/>
        <v>986.5525</v>
      </c>
      <c r="L307" s="141">
        <f>sumif(Farms!$C$68:$C$104,E307,Farms!$D$68:$D$104)</f>
        <v>1.5</v>
      </c>
      <c r="M307" s="141">
        <f>sumif(Farms!$C$68:$C$104,E307,Farms!$F$68:$F$104)</f>
        <v>56</v>
      </c>
      <c r="N307" s="141">
        <f>sumif(Farms!$C$68:$C$104,E307,Farms!$G$68:$G$104)</f>
        <v>15</v>
      </c>
    </row>
    <row r="308">
      <c r="A308" s="135">
        <f>IFERROR(__xludf.DUMMYFUNCTION("""COMPUTED_VALUE"""),45937.0)</f>
        <v>45937</v>
      </c>
      <c r="B308" s="87" t="str">
        <f>IFERROR(__xludf.DUMMYFUNCTION("""COMPUTED_VALUE"""),"Inman, Brads ")</f>
        <v>Inman, Brads </v>
      </c>
      <c r="C308">
        <f>IFERROR(__xludf.DUMMYFUNCTION("""COMPUTED_VALUE"""),57080.0)</f>
        <v>57080</v>
      </c>
      <c r="D308" s="136">
        <f>IFERROR(__xludf.DUMMYFUNCTION("""COMPUTED_VALUE"""),17.8)</f>
        <v>17.8</v>
      </c>
      <c r="E308" s="137" t="str">
        <f>IFERROR(__xludf.DUMMYFUNCTION("""COMPUTED_VALUE"""),"Non-GMO Yellow Corn")</f>
        <v>Non-GMO Yellow Corn</v>
      </c>
      <c r="F308" s="138" t="str">
        <f>IFERROR(__xludf.DUMMYFUNCTION("""COMPUTED_VALUE"""),"0549064")</f>
        <v>0549064</v>
      </c>
      <c r="G308" t="str">
        <f>IFERROR(__xludf.DUMMYFUNCTION("""COMPUTED_VALUE"""),"HBT#5563 WR Trk# 41")</f>
        <v>HBT#5563 WR Trk# 41</v>
      </c>
      <c r="H308" s="50">
        <f>IFERROR(__xludf.DUMMYFUNCTION("""COMPUTED_VALUE"""),0.0)</f>
        <v>0</v>
      </c>
      <c r="I308" s="139">
        <f t="shared" si="11"/>
        <v>0</v>
      </c>
      <c r="J308" s="50">
        <f t="shared" si="2"/>
        <v>976.4757143</v>
      </c>
      <c r="K308" s="140">
        <f t="shared" si="3"/>
        <v>976.4757143</v>
      </c>
      <c r="L308" s="141">
        <f>sumif(Farms!$C$68:$C$104,E308,Farms!$D$68:$D$104)</f>
        <v>1.5</v>
      </c>
      <c r="M308" s="141">
        <f>sumif(Farms!$C$68:$C$104,E308,Farms!$F$68:$F$104)</f>
        <v>56</v>
      </c>
      <c r="N308" s="141">
        <f>sumif(Farms!$C$68:$C$104,E308,Farms!$G$68:$G$104)</f>
        <v>15</v>
      </c>
    </row>
    <row r="309">
      <c r="A309" s="135">
        <f>IFERROR(__xludf.DUMMYFUNCTION("""COMPUTED_VALUE"""),45937.0)</f>
        <v>45937</v>
      </c>
      <c r="B309" s="87" t="str">
        <f>IFERROR(__xludf.DUMMYFUNCTION("""COMPUTED_VALUE"""),"Inman, Brads ")</f>
        <v>Inman, Brads </v>
      </c>
      <c r="C309">
        <f>IFERROR(__xludf.DUMMYFUNCTION("""COMPUTED_VALUE"""),58680.0)</f>
        <v>58680</v>
      </c>
      <c r="D309" s="136">
        <f>IFERROR(__xludf.DUMMYFUNCTION("""COMPUTED_VALUE"""),17.4)</f>
        <v>17.4</v>
      </c>
      <c r="E309" s="137" t="str">
        <f>IFERROR(__xludf.DUMMYFUNCTION("""COMPUTED_VALUE"""),"Non-GMO Yellow Corn")</f>
        <v>Non-GMO Yellow Corn</v>
      </c>
      <c r="F309" s="138" t="str">
        <f>IFERROR(__xludf.DUMMYFUNCTION("""COMPUTED_VALUE"""),"0549068")</f>
        <v>0549068</v>
      </c>
      <c r="G309" t="str">
        <f>IFERROR(__xludf.DUMMYFUNCTION("""COMPUTED_VALUE"""),"HBT#5869 Bob Trk# 3")</f>
        <v>HBT#5869 Bob Trk# 3</v>
      </c>
      <c r="H309" s="50">
        <f>IFERROR(__xludf.DUMMYFUNCTION("""COMPUTED_VALUE"""),0.0)</f>
        <v>0</v>
      </c>
      <c r="I309" s="139">
        <f t="shared" si="11"/>
        <v>0</v>
      </c>
      <c r="J309" s="50">
        <f t="shared" si="2"/>
        <v>1010.134286</v>
      </c>
      <c r="K309" s="140">
        <f t="shared" si="3"/>
        <v>1010.134286</v>
      </c>
      <c r="L309" s="141">
        <f>sumif(Farms!$C$68:$C$104,E309,Farms!$D$68:$D$104)</f>
        <v>1.5</v>
      </c>
      <c r="M309" s="141">
        <f>sumif(Farms!$C$68:$C$104,E309,Farms!$F$68:$F$104)</f>
        <v>56</v>
      </c>
      <c r="N309" s="141">
        <f>sumif(Farms!$C$68:$C$104,E309,Farms!$G$68:$G$104)</f>
        <v>15</v>
      </c>
    </row>
    <row r="310">
      <c r="A310" s="135">
        <f>IFERROR(__xludf.DUMMYFUNCTION("""COMPUTED_VALUE"""),45937.0)</f>
        <v>45937</v>
      </c>
      <c r="B310" s="87" t="str">
        <f>IFERROR(__xludf.DUMMYFUNCTION("""COMPUTED_VALUE"""),"Inman, Brads ")</f>
        <v>Inman, Brads </v>
      </c>
      <c r="C310">
        <f>IFERROR(__xludf.DUMMYFUNCTION("""COMPUTED_VALUE"""),57780.0)</f>
        <v>57780</v>
      </c>
      <c r="D310" s="136">
        <f>IFERROR(__xludf.DUMMYFUNCTION("""COMPUTED_VALUE"""),16.6)</f>
        <v>16.6</v>
      </c>
      <c r="E310" s="137" t="str">
        <f>IFERROR(__xludf.DUMMYFUNCTION("""COMPUTED_VALUE"""),"Non-GMO Yellow Corn")</f>
        <v>Non-GMO Yellow Corn</v>
      </c>
      <c r="F310" s="138" t="str">
        <f>IFERROR(__xludf.DUMMYFUNCTION("""COMPUTED_VALUE"""),"0549073")</f>
        <v>0549073</v>
      </c>
      <c r="G310" t="str">
        <f>IFERROR(__xludf.DUMMYFUNCTION("""COMPUTED_VALUE"""),"HBT#5542 TL Trk# 2")</f>
        <v>HBT#5542 TL Trk# 2</v>
      </c>
      <c r="H310" s="50">
        <f>IFERROR(__xludf.DUMMYFUNCTION("""COMPUTED_VALUE"""),0.0)</f>
        <v>0</v>
      </c>
      <c r="I310" s="139">
        <f t="shared" si="11"/>
        <v>0</v>
      </c>
      <c r="J310" s="50">
        <f t="shared" si="2"/>
        <v>1007.022857</v>
      </c>
      <c r="K310" s="140">
        <f t="shared" si="3"/>
        <v>1007.022857</v>
      </c>
      <c r="L310" s="141">
        <f>sumif(Farms!$C$68:$C$104,E310,Farms!$D$68:$D$104)</f>
        <v>1.5</v>
      </c>
      <c r="M310" s="141">
        <f>sumif(Farms!$C$68:$C$104,E310,Farms!$F$68:$F$104)</f>
        <v>56</v>
      </c>
      <c r="N310" s="141">
        <f>sumif(Farms!$C$68:$C$104,E310,Farms!$G$68:$G$104)</f>
        <v>15</v>
      </c>
    </row>
    <row r="311">
      <c r="A311" s="135">
        <f>IFERROR(__xludf.DUMMYFUNCTION("""COMPUTED_VALUE"""),45937.0)</f>
        <v>45937</v>
      </c>
      <c r="B311" s="87" t="str">
        <f>IFERROR(__xludf.DUMMYFUNCTION("""COMPUTED_VALUE"""),"Inman, Brads ")</f>
        <v>Inman, Brads </v>
      </c>
      <c r="C311">
        <f>IFERROR(__xludf.DUMMYFUNCTION("""COMPUTED_VALUE"""),56900.0)</f>
        <v>56900</v>
      </c>
      <c r="D311" s="136">
        <f>IFERROR(__xludf.DUMMYFUNCTION("""COMPUTED_VALUE"""),17.0)</f>
        <v>17</v>
      </c>
      <c r="E311" s="137" t="str">
        <f>IFERROR(__xludf.DUMMYFUNCTION("""COMPUTED_VALUE"""),"Non-GMO Yellow Corn")</f>
        <v>Non-GMO Yellow Corn</v>
      </c>
      <c r="F311" s="138" t="str">
        <f>IFERROR(__xludf.DUMMYFUNCTION("""COMPUTED_VALUE"""),"0549078")</f>
        <v>0549078</v>
      </c>
      <c r="G311" t="str">
        <f>IFERROR(__xludf.DUMMYFUNCTION("""COMPUTED_VALUE"""),"HBT#5762 WDH Trk# 4")</f>
        <v>HBT#5762 WDH Trk# 4</v>
      </c>
      <c r="H311" s="50">
        <f>IFERROR(__xludf.DUMMYFUNCTION("""COMPUTED_VALUE"""),0.0)</f>
        <v>0</v>
      </c>
      <c r="I311" s="139">
        <f t="shared" si="11"/>
        <v>0</v>
      </c>
      <c r="J311" s="50">
        <f t="shared" si="2"/>
        <v>985.5892857</v>
      </c>
      <c r="K311" s="140">
        <f t="shared" si="3"/>
        <v>985.5892857</v>
      </c>
      <c r="L311" s="141">
        <f>sumif(Farms!$C$68:$C$104,E311,Farms!$D$68:$D$104)</f>
        <v>1.5</v>
      </c>
      <c r="M311" s="141">
        <f>sumif(Farms!$C$68:$C$104,E311,Farms!$F$68:$F$104)</f>
        <v>56</v>
      </c>
      <c r="N311" s="141">
        <f>sumif(Farms!$C$68:$C$104,E311,Farms!$G$68:$G$104)</f>
        <v>15</v>
      </c>
    </row>
    <row r="312">
      <c r="A312" s="135">
        <f>IFERROR(__xludf.DUMMYFUNCTION("""COMPUTED_VALUE"""),45937.0)</f>
        <v>45937</v>
      </c>
      <c r="B312" s="87" t="str">
        <f>IFERROR(__xludf.DUMMYFUNCTION("""COMPUTED_VALUE"""),"Inman, Brads ")</f>
        <v>Inman, Brads </v>
      </c>
      <c r="C312">
        <f>IFERROR(__xludf.DUMMYFUNCTION("""COMPUTED_VALUE"""),55460.0)</f>
        <v>55460</v>
      </c>
      <c r="D312" s="136">
        <f>IFERROR(__xludf.DUMMYFUNCTION("""COMPUTED_VALUE"""),16.0)</f>
        <v>16</v>
      </c>
      <c r="E312" s="137" t="str">
        <f>IFERROR(__xludf.DUMMYFUNCTION("""COMPUTED_VALUE"""),"Non-GMO Yellow Corn")</f>
        <v>Non-GMO Yellow Corn</v>
      </c>
      <c r="F312" s="138" t="str">
        <f>IFERROR(__xludf.DUMMYFUNCTION("""COMPUTED_VALUE"""),"0549086")</f>
        <v>0549086</v>
      </c>
      <c r="G312" t="str">
        <f>IFERROR(__xludf.DUMMYFUNCTION("""COMPUTED_VALUE"""),"HBT#5564 WR Trk# 41")</f>
        <v>HBT#5564 WR Trk# 41</v>
      </c>
      <c r="H312" s="50">
        <f>IFERROR(__xludf.DUMMYFUNCTION("""COMPUTED_VALUE"""),0.0)</f>
        <v>0</v>
      </c>
      <c r="I312" s="139">
        <f t="shared" si="11"/>
        <v>0</v>
      </c>
      <c r="J312" s="50">
        <f t="shared" si="2"/>
        <v>975.5017857</v>
      </c>
      <c r="K312" s="140">
        <f t="shared" si="3"/>
        <v>975.5017857</v>
      </c>
      <c r="L312" s="141">
        <f>sumif(Farms!$C$68:$C$104,E312,Farms!$D$68:$D$104)</f>
        <v>1.5</v>
      </c>
      <c r="M312" s="141">
        <f>sumif(Farms!$C$68:$C$104,E312,Farms!$F$68:$F$104)</f>
        <v>56</v>
      </c>
      <c r="N312" s="141">
        <f>sumif(Farms!$C$68:$C$104,E312,Farms!$G$68:$G$104)</f>
        <v>15</v>
      </c>
    </row>
    <row r="313">
      <c r="A313" s="135">
        <f>IFERROR(__xludf.DUMMYFUNCTION("""COMPUTED_VALUE"""),45937.0)</f>
        <v>45937</v>
      </c>
      <c r="B313" s="87" t="str">
        <f>IFERROR(__xludf.DUMMYFUNCTION("""COMPUTED_VALUE"""),"Inman, Brads ")</f>
        <v>Inman, Brads </v>
      </c>
      <c r="C313">
        <f>IFERROR(__xludf.DUMMYFUNCTION("""COMPUTED_VALUE"""),45780.0)</f>
        <v>45780</v>
      </c>
      <c r="D313" s="136">
        <f>IFERROR(__xludf.DUMMYFUNCTION("""COMPUTED_VALUE"""),16.4)</f>
        <v>16.4</v>
      </c>
      <c r="E313" s="137" t="str">
        <f>IFERROR(__xludf.DUMMYFUNCTION("""COMPUTED_VALUE"""),"Non-GMO Yellow Corn")</f>
        <v>Non-GMO Yellow Corn</v>
      </c>
      <c r="F313" s="138" t="str">
        <f>IFERROR(__xludf.DUMMYFUNCTION("""COMPUTED_VALUE"""),"0549088")</f>
        <v>0549088</v>
      </c>
      <c r="G313" t="str">
        <f>IFERROR(__xludf.DUMMYFUNCTION("""COMPUTED_VALUE"""),"HBT#5870 Bob Trk# 3 Last Load")</f>
        <v>HBT#5870 Bob Trk# 3 Last Load</v>
      </c>
      <c r="H313" s="50">
        <f>IFERROR(__xludf.DUMMYFUNCTION("""COMPUTED_VALUE"""),0.0)</f>
        <v>0</v>
      </c>
      <c r="I313" s="139">
        <f t="shared" si="11"/>
        <v>0</v>
      </c>
      <c r="J313" s="50">
        <f t="shared" si="2"/>
        <v>800.3325</v>
      </c>
      <c r="K313" s="140">
        <f t="shared" si="3"/>
        <v>800.3325</v>
      </c>
      <c r="L313" s="141">
        <f>sumif(Farms!$C$68:$C$104,E313,Farms!$D$68:$D$104)</f>
        <v>1.5</v>
      </c>
      <c r="M313" s="141">
        <f>sumif(Farms!$C$68:$C$104,E313,Farms!$F$68:$F$104)</f>
        <v>56</v>
      </c>
      <c r="N313" s="141">
        <f>sumif(Farms!$C$68:$C$104,E313,Farms!$G$68:$G$104)</f>
        <v>15</v>
      </c>
    </row>
    <row r="314">
      <c r="A314" s="135">
        <f>IFERROR(__xludf.DUMMYFUNCTION("""COMPUTED_VALUE"""),45937.0)</f>
        <v>45937</v>
      </c>
      <c r="B314" s="87" t="str">
        <f>IFERROR(__xludf.DUMMYFUNCTION("""COMPUTED_VALUE"""),"Inman, Brads ")</f>
        <v>Inman, Brads </v>
      </c>
      <c r="C314">
        <f>IFERROR(__xludf.DUMMYFUNCTION("""COMPUTED_VALUE"""),57320.0)</f>
        <v>57320</v>
      </c>
      <c r="D314" s="136">
        <f>IFERROR(__xludf.DUMMYFUNCTION("""COMPUTED_VALUE"""),16.7)</f>
        <v>16.7</v>
      </c>
      <c r="E314" s="137" t="str">
        <f>IFERROR(__xludf.DUMMYFUNCTION("""COMPUTED_VALUE"""),"Non-GMO Yellow Corn")</f>
        <v>Non-GMO Yellow Corn</v>
      </c>
      <c r="F314" s="138" t="str">
        <f>IFERROR(__xludf.DUMMYFUNCTION("""COMPUTED_VALUE"""),"0579082")</f>
        <v>0579082</v>
      </c>
      <c r="G314" t="str">
        <f>IFERROR(__xludf.DUMMYFUNCTION("""COMPUTED_VALUE"""),"HBT#4587 Jack Trk# 63")</f>
        <v>HBT#4587 Jack Trk# 63</v>
      </c>
      <c r="H314" s="50">
        <f>IFERROR(__xludf.DUMMYFUNCTION("""COMPUTED_VALUE"""),0.0)</f>
        <v>0</v>
      </c>
      <c r="I314" s="139">
        <f t="shared" si="11"/>
        <v>0</v>
      </c>
      <c r="J314" s="50">
        <f t="shared" si="2"/>
        <v>997.4703571</v>
      </c>
      <c r="K314" s="140">
        <f t="shared" si="3"/>
        <v>997.4703571</v>
      </c>
      <c r="L314" s="141">
        <f>sumif(Farms!$C$68:$C$104,E314,Farms!$D$68:$D$104)</f>
        <v>1.5</v>
      </c>
      <c r="M314" s="141">
        <f>sumif(Farms!$C$68:$C$104,E314,Farms!$F$68:$F$104)</f>
        <v>56</v>
      </c>
      <c r="N314" s="141">
        <f>sumif(Farms!$C$68:$C$104,E314,Farms!$G$68:$G$104)</f>
        <v>15</v>
      </c>
    </row>
    <row r="315">
      <c r="A315" s="135">
        <f>IFERROR(__xludf.DUMMYFUNCTION("""COMPUTED_VALUE"""),45930.0)</f>
        <v>45930</v>
      </c>
      <c r="B315" s="87" t="str">
        <f>IFERROR(__xludf.DUMMYFUNCTION("""COMPUTED_VALUE"""),"jehovah crop ")</f>
        <v>jehovah crop </v>
      </c>
      <c r="C315">
        <f>IFERROR(__xludf.DUMMYFUNCTION("""COMPUTED_VALUE"""),52280.0)</f>
        <v>52280</v>
      </c>
      <c r="D315" s="136">
        <f>IFERROR(__xludf.DUMMYFUNCTION("""COMPUTED_VALUE"""),12.0)</f>
        <v>12</v>
      </c>
      <c r="E315" s="137" t="str">
        <f>IFERROR(__xludf.DUMMYFUNCTION("""COMPUTED_VALUE"""),"Enlist Soybeans")</f>
        <v>Enlist Soybeans</v>
      </c>
      <c r="F315" s="138" t="str">
        <f>IFERROR(__xludf.DUMMYFUNCTION("""COMPUTED_VALUE"""),"M038446")</f>
        <v>M038446</v>
      </c>
      <c r="G315" t="str">
        <f>IFERROR(__xludf.DUMMYFUNCTION("""COMPUTED_VALUE"""),"HBT#5093 Bob Trk#3 First Load")</f>
        <v>HBT#5093 Bob Trk#3 First Load</v>
      </c>
      <c r="H315" s="50">
        <f>IFERROR(__xludf.DUMMYFUNCTION("""COMPUTED_VALUE"""),0.15)</f>
        <v>0.15</v>
      </c>
      <c r="I315" s="139">
        <f t="shared" si="11"/>
        <v>0</v>
      </c>
      <c r="J315" s="50">
        <f t="shared" si="2"/>
        <v>946.6414286</v>
      </c>
      <c r="K315" s="140">
        <f t="shared" si="3"/>
        <v>946.6414286</v>
      </c>
      <c r="L315" s="141">
        <f>sumif(Farms!$C$68:$C$104,E315,Farms!$D$68:$D$104)</f>
        <v>1.4</v>
      </c>
      <c r="M315" s="141">
        <f>sumif(Farms!$C$68:$C$104,E315,Farms!$F$68:$F$104)</f>
        <v>56</v>
      </c>
      <c r="N315" s="141">
        <f>sumif(Farms!$C$68:$C$104,E315,Farms!$G$68:$G$104)</f>
        <v>13</v>
      </c>
    </row>
    <row r="316">
      <c r="A316" s="135">
        <f>IFERROR(__xludf.DUMMYFUNCTION("""COMPUTED_VALUE"""),45930.0)</f>
        <v>45930</v>
      </c>
      <c r="B316" s="87" t="str">
        <f>IFERROR(__xludf.DUMMYFUNCTION("""COMPUTED_VALUE"""),"jehovah crop ")</f>
        <v>jehovah crop </v>
      </c>
      <c r="C316">
        <f>IFERROR(__xludf.DUMMYFUNCTION("""COMPUTED_VALUE"""),37120.0)</f>
        <v>37120</v>
      </c>
      <c r="D316" s="136">
        <f>IFERROR(__xludf.DUMMYFUNCTION("""COMPUTED_VALUE"""),11.0)</f>
        <v>11</v>
      </c>
      <c r="E316" s="137" t="str">
        <f>IFERROR(__xludf.DUMMYFUNCTION("""COMPUTED_VALUE"""),"Enlist Soybeans")</f>
        <v>Enlist Soybeans</v>
      </c>
      <c r="F316" s="138" t="str">
        <f>IFERROR(__xludf.DUMMYFUNCTION("""COMPUTED_VALUE"""),"M038458")</f>
        <v>M038458</v>
      </c>
      <c r="G316" t="str">
        <f>IFERROR(__xludf.DUMMYFUNCTION("""COMPUTED_VALUE"""),"HBT#5094 Bob Trk#3 Last Load")</f>
        <v>HBT#5094 Bob Trk#3 Last Load</v>
      </c>
      <c r="H316" s="50">
        <f>IFERROR(__xludf.DUMMYFUNCTION("""COMPUTED_VALUE"""),0.15)</f>
        <v>0.15</v>
      </c>
      <c r="I316" s="139">
        <f t="shared" si="11"/>
        <v>0</v>
      </c>
      <c r="J316" s="50">
        <f t="shared" si="2"/>
        <v>681.4171429</v>
      </c>
      <c r="K316" s="140">
        <f t="shared" si="3"/>
        <v>681.4171429</v>
      </c>
      <c r="L316" s="141">
        <f>sumif(Farms!$C$68:$C$104,E316,Farms!$D$68:$D$104)</f>
        <v>1.4</v>
      </c>
      <c r="M316" s="141">
        <f>sumif(Farms!$C$68:$C$104,E316,Farms!$F$68:$F$104)</f>
        <v>56</v>
      </c>
      <c r="N316" s="141">
        <f>sumif(Farms!$C$68:$C$104,E316,Farms!$G$68:$G$104)</f>
        <v>13</v>
      </c>
    </row>
    <row r="317">
      <c r="A317" s="135">
        <f>IFERROR(__xludf.DUMMYFUNCTION("""COMPUTED_VALUE"""),45939.0)</f>
        <v>45939</v>
      </c>
      <c r="B317" s="87" t="str">
        <f>IFERROR(__xludf.DUMMYFUNCTION("""COMPUTED_VALUE"""),"Klug North")</f>
        <v>Klug North</v>
      </c>
      <c r="C317">
        <f>IFERROR(__xludf.DUMMYFUNCTION("""COMPUTED_VALUE"""),54960.0)</f>
        <v>54960</v>
      </c>
      <c r="D317" s="136">
        <f>IFERROR(__xludf.DUMMYFUNCTION("""COMPUTED_VALUE"""),14.0)</f>
        <v>14</v>
      </c>
      <c r="E317" s="137" t="str">
        <f>IFERROR(__xludf.DUMMYFUNCTION("""COMPUTED_VALUE"""),"Non-GMO Yellow Corn")</f>
        <v>Non-GMO Yellow Corn</v>
      </c>
      <c r="F317" s="138" t="str">
        <f>IFERROR(__xludf.DUMMYFUNCTION("""COMPUTED_VALUE"""),"0549342")</f>
        <v>0549342</v>
      </c>
      <c r="G317" t="str">
        <f>IFERROR(__xludf.DUMMYFUNCTION("""COMPUTED_VALUE"""),"HBT#5906 TL  Trk# 2")</f>
        <v>HBT#5906 TL  Trk# 2</v>
      </c>
      <c r="H317" s="50"/>
      <c r="I317" s="139">
        <f t="shared" si="11"/>
        <v>0</v>
      </c>
      <c r="J317" s="50">
        <f t="shared" si="2"/>
        <v>996.15</v>
      </c>
      <c r="K317" s="140">
        <f t="shared" si="3"/>
        <v>996.15</v>
      </c>
      <c r="L317" s="141">
        <f>sumif(Farms!$C$68:$C$104,E317,Farms!$D$68:$D$104)</f>
        <v>1.5</v>
      </c>
      <c r="M317" s="141">
        <f>sumif(Farms!$C$68:$C$104,E317,Farms!$F$68:$F$104)</f>
        <v>56</v>
      </c>
      <c r="N317" s="141">
        <f>sumif(Farms!$C$68:$C$104,E317,Farms!$G$68:$G$104)</f>
        <v>15</v>
      </c>
    </row>
    <row r="318">
      <c r="A318" s="135">
        <f>IFERROR(__xludf.DUMMYFUNCTION("""COMPUTED_VALUE"""),45939.0)</f>
        <v>45939</v>
      </c>
      <c r="B318" s="87" t="str">
        <f>IFERROR(__xludf.DUMMYFUNCTION("""COMPUTED_VALUE"""),"Klug North")</f>
        <v>Klug North</v>
      </c>
      <c r="C318">
        <f>IFERROR(__xludf.DUMMYFUNCTION("""COMPUTED_VALUE"""),57880.0)</f>
        <v>57880</v>
      </c>
      <c r="D318" s="136">
        <f>IFERROR(__xludf.DUMMYFUNCTION("""COMPUTED_VALUE"""),14.3)</f>
        <v>14.3</v>
      </c>
      <c r="E318" s="137" t="str">
        <f>IFERROR(__xludf.DUMMYFUNCTION("""COMPUTED_VALUE"""),"Non-GMO Yellow Corn")</f>
        <v>Non-GMO Yellow Corn</v>
      </c>
      <c r="F318" s="138" t="str">
        <f>IFERROR(__xludf.DUMMYFUNCTION("""COMPUTED_VALUE"""),"0549348")</f>
        <v>0549348</v>
      </c>
      <c r="G318" t="str">
        <f>IFERROR(__xludf.DUMMYFUNCTION("""COMPUTED_VALUE"""),"HBT#5884 Bob Trk# 2")</f>
        <v>HBT#5884 Bob Trk# 2</v>
      </c>
      <c r="H318" s="50"/>
      <c r="I318" s="139">
        <f t="shared" si="11"/>
        <v>0</v>
      </c>
      <c r="J318" s="50">
        <f t="shared" si="2"/>
        <v>1044.423929</v>
      </c>
      <c r="K318" s="140">
        <f t="shared" si="3"/>
        <v>1044.423929</v>
      </c>
      <c r="L318" s="141">
        <f>sumif(Farms!$C$68:$C$104,E318,Farms!$D$68:$D$104)</f>
        <v>1.5</v>
      </c>
      <c r="M318" s="141">
        <f>sumif(Farms!$C$68:$C$104,E318,Farms!$F$68:$F$104)</f>
        <v>56</v>
      </c>
      <c r="N318" s="141">
        <f>sumif(Farms!$C$68:$C$104,E318,Farms!$G$68:$G$104)</f>
        <v>15</v>
      </c>
    </row>
    <row r="319">
      <c r="A319" s="135">
        <f>IFERROR(__xludf.DUMMYFUNCTION("""COMPUTED_VALUE"""),45939.0)</f>
        <v>45939</v>
      </c>
      <c r="B319" s="87" t="str">
        <f>IFERROR(__xludf.DUMMYFUNCTION("""COMPUTED_VALUE"""),"Klug North")</f>
        <v>Klug North</v>
      </c>
      <c r="C319">
        <f>IFERROR(__xludf.DUMMYFUNCTION("""COMPUTED_VALUE"""),57200.0)</f>
        <v>57200</v>
      </c>
      <c r="D319" s="136">
        <f>IFERROR(__xludf.DUMMYFUNCTION("""COMPUTED_VALUE"""),14.6)</f>
        <v>14.6</v>
      </c>
      <c r="E319" s="137" t="str">
        <f>IFERROR(__xludf.DUMMYFUNCTION("""COMPUTED_VALUE"""),"Non-GMO Yellow Corn")</f>
        <v>Non-GMO Yellow Corn</v>
      </c>
      <c r="F319" s="138" t="str">
        <f>IFERROR(__xludf.DUMMYFUNCTION("""COMPUTED_VALUE"""),"0549350")</f>
        <v>0549350</v>
      </c>
      <c r="G319" t="str">
        <f>IFERROR(__xludf.DUMMYFUNCTION("""COMPUTED_VALUE"""),"HBT#5775 Gary Trk# 4")</f>
        <v>HBT#5775 Gary Trk# 4</v>
      </c>
      <c r="H319" s="50"/>
      <c r="I319" s="139">
        <f t="shared" si="11"/>
        <v>0</v>
      </c>
      <c r="J319" s="50">
        <f t="shared" si="2"/>
        <v>1027.557143</v>
      </c>
      <c r="K319" s="140">
        <f t="shared" si="3"/>
        <v>1027.557143</v>
      </c>
      <c r="L319" s="141">
        <f>sumif(Farms!$C$68:$C$104,E319,Farms!$D$68:$D$104)</f>
        <v>1.5</v>
      </c>
      <c r="M319" s="141">
        <f>sumif(Farms!$C$68:$C$104,E319,Farms!$F$68:$F$104)</f>
        <v>56</v>
      </c>
      <c r="N319" s="141">
        <f>sumif(Farms!$C$68:$C$104,E319,Farms!$G$68:$G$104)</f>
        <v>15</v>
      </c>
    </row>
    <row r="320">
      <c r="A320" s="135">
        <f>IFERROR(__xludf.DUMMYFUNCTION("""COMPUTED_VALUE"""),45939.0)</f>
        <v>45939</v>
      </c>
      <c r="B320" s="87" t="str">
        <f>IFERROR(__xludf.DUMMYFUNCTION("""COMPUTED_VALUE"""),"Klug North")</f>
        <v>Klug North</v>
      </c>
      <c r="C320">
        <f>IFERROR(__xludf.DUMMYFUNCTION("""COMPUTED_VALUE"""),56820.0)</f>
        <v>56820</v>
      </c>
      <c r="D320" s="136">
        <f>IFERROR(__xludf.DUMMYFUNCTION("""COMPUTED_VALUE"""),14.7)</f>
        <v>14.7</v>
      </c>
      <c r="E320" s="137" t="str">
        <f>IFERROR(__xludf.DUMMYFUNCTION("""COMPUTED_VALUE"""),"Non-GMO Yellow Corn")</f>
        <v>Non-GMO Yellow Corn</v>
      </c>
      <c r="F320" s="138" t="str">
        <f>IFERROR(__xludf.DUMMYFUNCTION("""COMPUTED_VALUE"""),"0549354")</f>
        <v>0549354</v>
      </c>
      <c r="G320" t="str">
        <f>IFERROR(__xludf.DUMMYFUNCTION("""COMPUTED_VALUE"""),"HBT#5574 WDH  Trk# 41")</f>
        <v>HBT#5574 WDH  Trk# 41</v>
      </c>
      <c r="H320" s="50"/>
      <c r="I320" s="139">
        <f t="shared" si="11"/>
        <v>0</v>
      </c>
      <c r="J320" s="50">
        <f t="shared" si="2"/>
        <v>1019.20875</v>
      </c>
      <c r="K320" s="140">
        <f t="shared" si="3"/>
        <v>1019.20875</v>
      </c>
      <c r="L320" s="141">
        <f>sumif(Farms!$C$68:$C$104,E320,Farms!$D$68:$D$104)</f>
        <v>1.5</v>
      </c>
      <c r="M320" s="141">
        <f>sumif(Farms!$C$68:$C$104,E320,Farms!$F$68:$F$104)</f>
        <v>56</v>
      </c>
      <c r="N320" s="141">
        <f>sumif(Farms!$C$68:$C$104,E320,Farms!$G$68:$G$104)</f>
        <v>15</v>
      </c>
    </row>
    <row r="321">
      <c r="A321" s="135">
        <f>IFERROR(__xludf.DUMMYFUNCTION("""COMPUTED_VALUE"""),45939.0)</f>
        <v>45939</v>
      </c>
      <c r="B321" s="87" t="str">
        <f>IFERROR(__xludf.DUMMYFUNCTION("""COMPUTED_VALUE"""),"Klug North")</f>
        <v>Klug North</v>
      </c>
      <c r="C321">
        <f>IFERROR(__xludf.DUMMYFUNCTION("""COMPUTED_VALUE"""),57740.0)</f>
        <v>57740</v>
      </c>
      <c r="D321" s="136">
        <f>IFERROR(__xludf.DUMMYFUNCTION("""COMPUTED_VALUE"""),14.1)</f>
        <v>14.1</v>
      </c>
      <c r="E321" s="137" t="str">
        <f>IFERROR(__xludf.DUMMYFUNCTION("""COMPUTED_VALUE"""),"Non-GMO Yellow Corn")</f>
        <v>Non-GMO Yellow Corn</v>
      </c>
      <c r="F321" s="138" t="str">
        <f>IFERROR(__xludf.DUMMYFUNCTION("""COMPUTED_VALUE"""),"0549359")</f>
        <v>0549359</v>
      </c>
      <c r="G321" t="str">
        <f>IFERROR(__xludf.DUMMYFUNCTION("""COMPUTED_VALUE"""),"HBT#5350 Jack  Trk# 63")</f>
        <v>HBT#5350 Jack  Trk# 63</v>
      </c>
      <c r="H321" s="50"/>
      <c r="I321" s="139">
        <f t="shared" si="11"/>
        <v>0</v>
      </c>
      <c r="J321" s="50">
        <f t="shared" si="2"/>
        <v>1044.990893</v>
      </c>
      <c r="K321" s="140">
        <f t="shared" si="3"/>
        <v>1044.990893</v>
      </c>
      <c r="L321" s="141">
        <f>sumif(Farms!$C$68:$C$104,E321,Farms!$D$68:$D$104)</f>
        <v>1.5</v>
      </c>
      <c r="M321" s="141">
        <f>sumif(Farms!$C$68:$C$104,E321,Farms!$F$68:$F$104)</f>
        <v>56</v>
      </c>
      <c r="N321" s="141">
        <f>sumif(Farms!$C$68:$C$104,E321,Farms!$G$68:$G$104)</f>
        <v>15</v>
      </c>
    </row>
    <row r="322">
      <c r="A322" s="135">
        <f>IFERROR(__xludf.DUMMYFUNCTION("""COMPUTED_VALUE"""),45940.0)</f>
        <v>45940</v>
      </c>
      <c r="B322" s="87" t="str">
        <f>IFERROR(__xludf.DUMMYFUNCTION("""COMPUTED_VALUE"""),"Klug North")</f>
        <v>Klug North</v>
      </c>
      <c r="C322">
        <f>IFERROR(__xludf.DUMMYFUNCTION("""COMPUTED_VALUE"""),57080.0)</f>
        <v>57080</v>
      </c>
      <c r="D322" s="136">
        <f>IFERROR(__xludf.DUMMYFUNCTION("""COMPUTED_VALUE"""),16.4)</f>
        <v>16.4</v>
      </c>
      <c r="E322" s="137" t="str">
        <f>IFERROR(__xludf.DUMMYFUNCTION("""COMPUTED_VALUE"""),"Non-GMO Yellow Corn")</f>
        <v>Non-GMO Yellow Corn</v>
      </c>
      <c r="F322" s="138" t="str">
        <f>IFERROR(__xludf.DUMMYFUNCTION("""COMPUTED_VALUE"""),"0549366")</f>
        <v>0549366</v>
      </c>
      <c r="G322" t="str">
        <f>IFERROR(__xludf.DUMMYFUNCTION("""COMPUTED_VALUE"""),"HBT#5886 Bob Trk # 3")</f>
        <v>HBT#5886 Bob Trk # 3</v>
      </c>
      <c r="H322" s="50"/>
      <c r="I322" s="139">
        <f t="shared" si="11"/>
        <v>0</v>
      </c>
      <c r="J322" s="50">
        <f t="shared" si="2"/>
        <v>997.8807143</v>
      </c>
      <c r="K322" s="140">
        <f t="shared" si="3"/>
        <v>997.8807143</v>
      </c>
      <c r="L322" s="141">
        <f>sumif(Farms!$C$68:$C$104,E322,Farms!$D$68:$D$104)</f>
        <v>1.5</v>
      </c>
      <c r="M322" s="141">
        <f>sumif(Farms!$C$68:$C$104,E322,Farms!$F$68:$F$104)</f>
        <v>56</v>
      </c>
      <c r="N322" s="141">
        <f>sumif(Farms!$C$68:$C$104,E322,Farms!$G$68:$G$104)</f>
        <v>15</v>
      </c>
    </row>
    <row r="323">
      <c r="A323" s="157">
        <f>IFERROR(__xludf.DUMMYFUNCTION("""COMPUTED_VALUE"""),45940.0)</f>
        <v>45940</v>
      </c>
      <c r="B323" s="87" t="str">
        <f>IFERROR(__xludf.DUMMYFUNCTION("""COMPUTED_VALUE"""),"Klug North")</f>
        <v>Klug North</v>
      </c>
      <c r="C323">
        <f>IFERROR(__xludf.DUMMYFUNCTION("""COMPUTED_VALUE"""),57840.0)</f>
        <v>57840</v>
      </c>
      <c r="D323" s="136">
        <f>IFERROR(__xludf.DUMMYFUNCTION("""COMPUTED_VALUE"""),15.5)</f>
        <v>15.5</v>
      </c>
      <c r="E323" s="137" t="str">
        <f>IFERROR(__xludf.DUMMYFUNCTION("""COMPUTED_VALUE"""),"Non-GMO Yellow Corn")</f>
        <v>Non-GMO Yellow Corn</v>
      </c>
      <c r="F323" s="138" t="str">
        <f>IFERROR(__xludf.DUMMYFUNCTION("""COMPUTED_VALUE"""),"0549377")</f>
        <v>0549377</v>
      </c>
      <c r="G323" t="str">
        <f>IFERROR(__xludf.DUMMYFUNCTION("""COMPUTED_VALUE"""),"HBT#5586 Bob Trk # 3")</f>
        <v>HBT#5586 Bob Trk # 3</v>
      </c>
      <c r="H323" s="50"/>
      <c r="I323" s="139">
        <f t="shared" si="11"/>
        <v>0</v>
      </c>
      <c r="J323" s="50">
        <f t="shared" si="2"/>
        <v>1025.110714</v>
      </c>
      <c r="K323" s="140">
        <f t="shared" si="3"/>
        <v>1025.110714</v>
      </c>
      <c r="L323" s="141">
        <f>sumif(Farms!$C$68:$C$104,E323,Farms!$D$68:$D$104)</f>
        <v>1.5</v>
      </c>
      <c r="M323" s="141">
        <f>sumif(Farms!$C$68:$C$104,E323,Farms!$F$68:$F$104)</f>
        <v>56</v>
      </c>
      <c r="N323" s="141">
        <f>sumif(Farms!$C$68:$C$104,E323,Farms!$G$68:$G$104)</f>
        <v>15</v>
      </c>
    </row>
    <row r="324">
      <c r="A324" s="157">
        <f>IFERROR(__xludf.DUMMYFUNCTION("""COMPUTED_VALUE"""),45940.0)</f>
        <v>45940</v>
      </c>
      <c r="B324" s="87" t="str">
        <f>IFERROR(__xludf.DUMMYFUNCTION("""COMPUTED_VALUE"""),"Klug North")</f>
        <v>Klug North</v>
      </c>
      <c r="C324">
        <f>IFERROR(__xludf.DUMMYFUNCTION("""COMPUTED_VALUE"""),58260.0)</f>
        <v>58260</v>
      </c>
      <c r="D324" s="136">
        <f>IFERROR(__xludf.DUMMYFUNCTION("""COMPUTED_VALUE"""),16.1)</f>
        <v>16.1</v>
      </c>
      <c r="E324" s="137" t="str">
        <f>IFERROR(__xludf.DUMMYFUNCTION("""COMPUTED_VALUE"""),"Non-GMO Yellow Corn")</f>
        <v>Non-GMO Yellow Corn</v>
      </c>
      <c r="F324" s="138" t="str">
        <f>IFERROR(__xludf.DUMMYFUNCTION("""COMPUTED_VALUE"""),"0549379")</f>
        <v>0549379</v>
      </c>
      <c r="G324" t="str">
        <f>IFERROR(__xludf.DUMMYFUNCTION("""COMPUTED_VALUE"""),"HBT#5776586 Bob Trk # 4")</f>
        <v>HBT#5776586 Bob Trk # 4</v>
      </c>
      <c r="H324" s="50"/>
      <c r="I324" s="139">
        <f t="shared" si="11"/>
        <v>0</v>
      </c>
      <c r="J324" s="50">
        <f t="shared" si="2"/>
        <v>1023.19125</v>
      </c>
      <c r="K324" s="140">
        <f t="shared" si="3"/>
        <v>1023.19125</v>
      </c>
      <c r="L324" s="141">
        <f>sumif(Farms!$C$68:$C$104,E324,Farms!$D$68:$D$104)</f>
        <v>1.5</v>
      </c>
      <c r="M324" s="141">
        <f>sumif(Farms!$C$68:$C$104,E324,Farms!$F$68:$F$104)</f>
        <v>56</v>
      </c>
      <c r="N324" s="141">
        <f>sumif(Farms!$C$68:$C$104,E324,Farms!$G$68:$G$104)</f>
        <v>15</v>
      </c>
    </row>
    <row r="325">
      <c r="A325" s="157">
        <f>IFERROR(__xludf.DUMMYFUNCTION("""COMPUTED_VALUE"""),45940.0)</f>
        <v>45940</v>
      </c>
      <c r="B325" s="87" t="str">
        <f>IFERROR(__xludf.DUMMYFUNCTION("""COMPUTED_VALUE"""),"Klug North")</f>
        <v>Klug North</v>
      </c>
      <c r="C325">
        <f>IFERROR(__xludf.DUMMYFUNCTION("""COMPUTED_VALUE"""),57580.0)</f>
        <v>57580</v>
      </c>
      <c r="D325" s="136">
        <f>IFERROR(__xludf.DUMMYFUNCTION("""COMPUTED_VALUE"""),16.0)</f>
        <v>16</v>
      </c>
      <c r="E325" s="137" t="str">
        <f>IFERROR(__xludf.DUMMYFUNCTION("""COMPUTED_VALUE"""),"Non-GMO Yellow Corn")</f>
        <v>Non-GMO Yellow Corn</v>
      </c>
      <c r="F325" s="138" t="str">
        <f>IFERROR(__xludf.DUMMYFUNCTION("""COMPUTED_VALUE"""),"0549381")</f>
        <v>0549381</v>
      </c>
      <c r="G325" t="str">
        <f>IFERROR(__xludf.DUMMYFUNCTION("""COMPUTED_VALUE"""),"HBT#5887 Bob Trk # 3")</f>
        <v>HBT#5887 Bob Trk # 3</v>
      </c>
      <c r="H325" s="50"/>
      <c r="I325" s="139">
        <f t="shared" si="11"/>
        <v>0</v>
      </c>
      <c r="J325" s="50">
        <f t="shared" si="2"/>
        <v>1012.791071</v>
      </c>
      <c r="K325" s="158">
        <v>971.0</v>
      </c>
      <c r="L325" s="141">
        <f>sumif(Farms!$C$68:$C$104,E325,Farms!$D$68:$D$104)</f>
        <v>1.5</v>
      </c>
      <c r="M325" s="141">
        <f>sumif(Farms!$C$68:$C$104,E325,Farms!$F$68:$F$104)</f>
        <v>56</v>
      </c>
      <c r="N325" s="141">
        <f>sumif(Farms!$C$68:$C$104,E325,Farms!$G$68:$G$104)</f>
        <v>15</v>
      </c>
    </row>
    <row r="326">
      <c r="A326" s="157">
        <f>IFERROR(__xludf.DUMMYFUNCTION("""COMPUTED_VALUE"""),45940.0)</f>
        <v>45940</v>
      </c>
      <c r="B326" s="87" t="str">
        <f>IFERROR(__xludf.DUMMYFUNCTION("""COMPUTED_VALUE"""),"Klug North")</f>
        <v>Klug North</v>
      </c>
      <c r="C326">
        <f>IFERROR(__xludf.DUMMYFUNCTION("""COMPUTED_VALUE"""),57320.0)</f>
        <v>57320</v>
      </c>
      <c r="D326" s="136">
        <f>IFERROR(__xludf.DUMMYFUNCTION("""COMPUTED_VALUE"""),14.8)</f>
        <v>14.8</v>
      </c>
      <c r="E326" s="137" t="str">
        <f>IFERROR(__xludf.DUMMYFUNCTION("""COMPUTED_VALUE"""),"Non-GMO Yellow Corn")</f>
        <v>Non-GMO Yellow Corn</v>
      </c>
      <c r="F326" s="138" t="str">
        <f>IFERROR(__xludf.DUMMYFUNCTION("""COMPUTED_VALUE"""),"0549384")</f>
        <v>0549384</v>
      </c>
      <c r="G326" t="str">
        <f>IFERROR(__xludf.DUMMYFUNCTION("""COMPUTED_VALUE"""),"HBT#5907 TL Trk # 2")</f>
        <v>HBT#5907 TL Trk # 2</v>
      </c>
      <c r="H326" s="50"/>
      <c r="I326" s="139">
        <f t="shared" si="11"/>
        <v>0</v>
      </c>
      <c r="J326">
        <f t="shared" si="2"/>
        <v>1026.642143</v>
      </c>
      <c r="K326" s="140">
        <f t="shared" ref="K326:K528" si="12">J326*(1-I326)</f>
        <v>1026.642143</v>
      </c>
      <c r="L326" s="141">
        <f>sumif(Farms!$C$68:$C$104,E326,Farms!$D$68:$D$104)</f>
        <v>1.5</v>
      </c>
      <c r="M326" s="141">
        <f>sumif(Farms!$C$68:$C$104,E326,Farms!$F$68:$F$104)</f>
        <v>56</v>
      </c>
      <c r="N326" s="141">
        <f>sumif(Farms!$C$68:$C$104,E326,Farms!$G$68:$G$104)</f>
        <v>15</v>
      </c>
    </row>
    <row r="327">
      <c r="A327" s="157">
        <f>IFERROR(__xludf.DUMMYFUNCTION("""COMPUTED_VALUE"""),45940.0)</f>
        <v>45940</v>
      </c>
      <c r="B327" s="87" t="str">
        <f>IFERROR(__xludf.DUMMYFUNCTION("""COMPUTED_VALUE"""),"Klug North")</f>
        <v>Klug North</v>
      </c>
      <c r="C327">
        <f>IFERROR(__xludf.DUMMYFUNCTION("""COMPUTED_VALUE"""),58060.0)</f>
        <v>58060</v>
      </c>
      <c r="D327" s="136">
        <f>IFERROR(__xludf.DUMMYFUNCTION("""COMPUTED_VALUE"""),15.0)</f>
        <v>15</v>
      </c>
      <c r="E327" s="137" t="str">
        <f>IFERROR(__xludf.DUMMYFUNCTION("""COMPUTED_VALUE"""),"Non-GMO Yellow Corn")</f>
        <v>Non-GMO Yellow Corn</v>
      </c>
      <c r="F327" s="138" t="str">
        <f>IFERROR(__xludf.DUMMYFUNCTION("""COMPUTED_VALUE"""),"0549385")</f>
        <v>0549385</v>
      </c>
      <c r="G327" t="str">
        <f>IFERROR(__xludf.DUMMYFUNCTION("""COMPUTED_VALUE"""),"HBT#5888 Bob Trk # 3")</f>
        <v>HBT#5888 Bob Trk # 3</v>
      </c>
      <c r="H327" s="50"/>
      <c r="I327" s="139">
        <f t="shared" si="11"/>
        <v>0</v>
      </c>
      <c r="J327">
        <f t="shared" si="2"/>
        <v>1036.785714</v>
      </c>
      <c r="K327" s="140">
        <f t="shared" si="12"/>
        <v>1036.785714</v>
      </c>
      <c r="L327" s="141">
        <f>sumif(Farms!$C$68:$C$104,E327,Farms!$D$68:$D$104)</f>
        <v>1.5</v>
      </c>
      <c r="M327" s="141">
        <f>sumif(Farms!$C$68:$C$104,E327,Farms!$F$68:$F$104)</f>
        <v>56</v>
      </c>
      <c r="N327" s="141">
        <f>sumif(Farms!$C$68:$C$104,E327,Farms!$G$68:$G$104)</f>
        <v>15</v>
      </c>
    </row>
    <row r="328">
      <c r="A328" s="157">
        <f>IFERROR(__xludf.DUMMYFUNCTION("""COMPUTED_VALUE"""),45940.0)</f>
        <v>45940</v>
      </c>
      <c r="B328" s="87" t="str">
        <f>IFERROR(__xludf.DUMMYFUNCTION("""COMPUTED_VALUE"""),"Klug North")</f>
        <v>Klug North</v>
      </c>
      <c r="C328">
        <f>IFERROR(__xludf.DUMMYFUNCTION("""COMPUTED_VALUE"""),56900.0)</f>
        <v>56900</v>
      </c>
      <c r="D328" s="136">
        <f>IFERROR(__xludf.DUMMYFUNCTION("""COMPUTED_VALUE"""),14.9)</f>
        <v>14.9</v>
      </c>
      <c r="E328" s="137" t="str">
        <f>IFERROR(__xludf.DUMMYFUNCTION("""COMPUTED_VALUE"""),"Non-GMO Yellow Corn")</f>
        <v>Non-GMO Yellow Corn</v>
      </c>
      <c r="F328" s="138" t="str">
        <f>IFERROR(__xludf.DUMMYFUNCTION("""COMPUTED_VALUE"""),"0549389")</f>
        <v>0549389</v>
      </c>
      <c r="G328" t="str">
        <f>IFERROR(__xludf.DUMMYFUNCTION("""COMPUTED_VALUE"""),"HBT#5351 MJ Trk #63")</f>
        <v>HBT#5351 MJ Trk #63</v>
      </c>
      <c r="H328" s="50"/>
      <c r="I328" s="139">
        <f t="shared" si="11"/>
        <v>0</v>
      </c>
      <c r="J328">
        <f t="shared" si="2"/>
        <v>1017.595536</v>
      </c>
      <c r="K328" s="140">
        <f t="shared" si="12"/>
        <v>1017.595536</v>
      </c>
      <c r="L328" s="141">
        <f>sumif(Farms!$C$68:$C$104,E328,Farms!$D$68:$D$104)</f>
        <v>1.5</v>
      </c>
      <c r="M328" s="141">
        <f>sumif(Farms!$C$68:$C$104,E328,Farms!$F$68:$F$104)</f>
        <v>56</v>
      </c>
      <c r="N328" s="141">
        <f>sumif(Farms!$C$68:$C$104,E328,Farms!$G$68:$G$104)</f>
        <v>15</v>
      </c>
    </row>
    <row r="329">
      <c r="A329" s="157">
        <f>IFERROR(__xludf.DUMMYFUNCTION("""COMPUTED_VALUE"""),45940.0)</f>
        <v>45940</v>
      </c>
      <c r="B329" s="87" t="str">
        <f>IFERROR(__xludf.DUMMYFUNCTION("""COMPUTED_VALUE"""),"Klug North")</f>
        <v>Klug North</v>
      </c>
      <c r="C329">
        <f>IFERROR(__xludf.DUMMYFUNCTION("""COMPUTED_VALUE"""),58240.0)</f>
        <v>58240</v>
      </c>
      <c r="D329" s="136">
        <f>IFERROR(__xludf.DUMMYFUNCTION("""COMPUTED_VALUE"""),14.8)</f>
        <v>14.8</v>
      </c>
      <c r="E329" s="137" t="str">
        <f>IFERROR(__xludf.DUMMYFUNCTION("""COMPUTED_VALUE"""),"Non-GMO Yellow Corn")</f>
        <v>Non-GMO Yellow Corn</v>
      </c>
      <c r="F329" s="138" t="str">
        <f>IFERROR(__xludf.DUMMYFUNCTION("""COMPUTED_VALUE"""),"0549392")</f>
        <v>0549392</v>
      </c>
      <c r="G329" t="str">
        <f>IFERROR(__xludf.DUMMYFUNCTION("""COMPUTED_VALUE"""),"HBT#5908 TL Trk #2")</f>
        <v>HBT#5908 TL Trk #2</v>
      </c>
      <c r="H329" s="50"/>
      <c r="I329" s="139">
        <f t="shared" si="11"/>
        <v>0</v>
      </c>
      <c r="J329">
        <f t="shared" si="2"/>
        <v>1043.12</v>
      </c>
      <c r="K329" s="140">
        <f t="shared" si="12"/>
        <v>1043.12</v>
      </c>
      <c r="L329" s="141">
        <f>sumif(Farms!$C$68:$C$104,E329,Farms!$D$68:$D$104)</f>
        <v>1.5</v>
      </c>
      <c r="M329" s="141">
        <f>sumif(Farms!$C$68:$C$104,E329,Farms!$F$68:$F$104)</f>
        <v>56</v>
      </c>
      <c r="N329" s="141">
        <f>sumif(Farms!$C$68:$C$104,E329,Farms!$G$68:$G$104)</f>
        <v>15</v>
      </c>
    </row>
    <row r="330">
      <c r="A330" s="157">
        <f>IFERROR(__xludf.DUMMYFUNCTION("""COMPUTED_VALUE"""),45940.0)</f>
        <v>45940</v>
      </c>
      <c r="B330" s="87" t="str">
        <f>IFERROR(__xludf.DUMMYFUNCTION("""COMPUTED_VALUE"""),"Klug North")</f>
        <v>Klug North</v>
      </c>
      <c r="C330">
        <f>IFERROR(__xludf.DUMMYFUNCTION("""COMPUTED_VALUE"""),57060.0)</f>
        <v>57060</v>
      </c>
      <c r="D330" s="136">
        <f>IFERROR(__xludf.DUMMYFUNCTION("""COMPUTED_VALUE"""),15.0)</f>
        <v>15</v>
      </c>
      <c r="E330" s="137" t="str">
        <f>IFERROR(__xludf.DUMMYFUNCTION("""COMPUTED_VALUE"""),"Non-GMO Yellow Corn")</f>
        <v>Non-GMO Yellow Corn</v>
      </c>
      <c r="F330" s="138" t="str">
        <f>IFERROR(__xludf.DUMMYFUNCTION("""COMPUTED_VALUE"""),"0549394")</f>
        <v>0549394</v>
      </c>
      <c r="G330" t="str">
        <f>IFERROR(__xludf.DUMMYFUNCTION("""COMPUTED_VALUE"""),"HBT#3148 JB  Trk # 5")</f>
        <v>HBT#3148 JB  Trk # 5</v>
      </c>
      <c r="H330" s="50"/>
      <c r="I330" s="139">
        <f t="shared" si="11"/>
        <v>0</v>
      </c>
      <c r="J330">
        <f t="shared" si="2"/>
        <v>1018.928571</v>
      </c>
      <c r="K330" s="140">
        <f t="shared" si="12"/>
        <v>1018.928571</v>
      </c>
      <c r="L330" s="141">
        <f>sumif(Farms!$C$68:$C$104,E330,Farms!$D$68:$D$104)</f>
        <v>1.5</v>
      </c>
      <c r="M330" s="141">
        <f>sumif(Farms!$C$68:$C$104,E330,Farms!$F$68:$F$104)</f>
        <v>56</v>
      </c>
      <c r="N330" s="141">
        <f>sumif(Farms!$C$68:$C$104,E330,Farms!$G$68:$G$104)</f>
        <v>15</v>
      </c>
    </row>
    <row r="331">
      <c r="A331" s="157">
        <f>IFERROR(__xludf.DUMMYFUNCTION("""COMPUTED_VALUE"""),45940.0)</f>
        <v>45940</v>
      </c>
      <c r="B331" s="87" t="str">
        <f>IFERROR(__xludf.DUMMYFUNCTION("""COMPUTED_VALUE"""),"Klug North")</f>
        <v>Klug North</v>
      </c>
      <c r="C331">
        <f>IFERROR(__xludf.DUMMYFUNCTION("""COMPUTED_VALUE"""),56940.0)</f>
        <v>56940</v>
      </c>
      <c r="D331" s="136">
        <f>IFERROR(__xludf.DUMMYFUNCTION("""COMPUTED_VALUE"""),15.5)</f>
        <v>15.5</v>
      </c>
      <c r="E331" s="137" t="str">
        <f>IFERROR(__xludf.DUMMYFUNCTION("""COMPUTED_VALUE"""),"Non-GMO Yellow Corn")</f>
        <v>Non-GMO Yellow Corn</v>
      </c>
      <c r="F331" s="138" t="str">
        <f>IFERROR(__xludf.DUMMYFUNCTION("""COMPUTED_VALUE"""),"0549396")</f>
        <v>0549396</v>
      </c>
      <c r="G331" t="str">
        <f>IFERROR(__xludf.DUMMYFUNCTION("""COMPUTED_VALUE"""),"HBT#5777 BK  Trk # 4")</f>
        <v>HBT#5777 BK  Trk # 4</v>
      </c>
      <c r="H331" s="50"/>
      <c r="I331" s="139">
        <f t="shared" si="11"/>
        <v>0</v>
      </c>
      <c r="J331">
        <f t="shared" si="2"/>
        <v>1009.159821</v>
      </c>
      <c r="K331" s="140">
        <f t="shared" si="12"/>
        <v>1009.159821</v>
      </c>
      <c r="L331" s="142">
        <v>1.5</v>
      </c>
      <c r="M331" s="142">
        <v>56.0</v>
      </c>
      <c r="N331" s="141">
        <f>sumif(Farms!$C$68:$C$104,E331,Farms!$G$68:$G$104)</f>
        <v>15</v>
      </c>
    </row>
    <row r="332">
      <c r="A332" s="157">
        <f>IFERROR(__xludf.DUMMYFUNCTION("""COMPUTED_VALUE"""),45940.0)</f>
        <v>45940</v>
      </c>
      <c r="B332" s="87" t="str">
        <f>IFERROR(__xludf.DUMMYFUNCTION("""COMPUTED_VALUE"""),"Klug North")</f>
        <v>Klug North</v>
      </c>
      <c r="C332">
        <f>IFERROR(__xludf.DUMMYFUNCTION("""COMPUTED_VALUE"""),57840.0)</f>
        <v>57840</v>
      </c>
      <c r="D332" s="136">
        <f>IFERROR(__xludf.DUMMYFUNCTION("""COMPUTED_VALUE"""),16.2)</f>
        <v>16.2</v>
      </c>
      <c r="E332" s="137" t="str">
        <f>IFERROR(__xludf.DUMMYFUNCTION("""COMPUTED_VALUE"""),"Non-GMO Yellow Corn")</f>
        <v>Non-GMO Yellow Corn</v>
      </c>
      <c r="F332" s="138" t="str">
        <f>IFERROR(__xludf.DUMMYFUNCTION("""COMPUTED_VALUE"""),"0549399")</f>
        <v>0549399</v>
      </c>
      <c r="G332" t="str">
        <f>IFERROR(__xludf.DUMMYFUNCTION("""COMPUTED_VALUE"""),"HBT#5889 Bob  Trk # 3")</f>
        <v>HBT#5889 Bob  Trk # 3</v>
      </c>
      <c r="H332" s="50"/>
      <c r="I332" s="139">
        <f t="shared" si="11"/>
        <v>0</v>
      </c>
      <c r="J332">
        <f t="shared" si="2"/>
        <v>1014.265714</v>
      </c>
      <c r="K332" s="140">
        <f t="shared" si="12"/>
        <v>1014.265714</v>
      </c>
      <c r="L332" s="141">
        <f>sumif(Farms!$C$68:$C$104,E332,Farms!$D$68:$D$104)</f>
        <v>1.5</v>
      </c>
      <c r="M332" s="141">
        <f>sumif(Farms!$C$68:$C$104,E332,Farms!$F$68:$F$104)</f>
        <v>56</v>
      </c>
      <c r="N332" s="141">
        <f>sumif(Farms!$C$68:$C$104,E332,Farms!$G$68:$G$104)</f>
        <v>15</v>
      </c>
    </row>
    <row r="333">
      <c r="A333" s="135">
        <f>IFERROR(__xludf.DUMMYFUNCTION("""COMPUTED_VALUE"""),45940.0)</f>
        <v>45940</v>
      </c>
      <c r="B333" s="87" t="str">
        <f>IFERROR(__xludf.DUMMYFUNCTION("""COMPUTED_VALUE"""),"Klug North")</f>
        <v>Klug North</v>
      </c>
      <c r="C333">
        <f>IFERROR(__xludf.DUMMYFUNCTION("""COMPUTED_VALUE"""),58240.0)</f>
        <v>58240</v>
      </c>
      <c r="D333" s="136">
        <f>IFERROR(__xludf.DUMMYFUNCTION("""COMPUTED_VALUE"""),14.6)</f>
        <v>14.6</v>
      </c>
      <c r="E333" s="137" t="str">
        <f>IFERROR(__xludf.DUMMYFUNCTION("""COMPUTED_VALUE"""),"Non-GMO Yellow Corn")</f>
        <v>Non-GMO Yellow Corn</v>
      </c>
      <c r="F333" s="138" t="str">
        <f>IFERROR(__xludf.DUMMYFUNCTION("""COMPUTED_VALUE"""),"0549401")</f>
        <v>0549401</v>
      </c>
      <c r="G333" t="str">
        <f>IFERROR(__xludf.DUMMYFUNCTION("""COMPUTED_VALUE"""),"HBT#5575 WR  Trk # 41")</f>
        <v>HBT#5575 WR  Trk # 41</v>
      </c>
      <c r="H333" s="50"/>
      <c r="I333" s="139">
        <f t="shared" si="11"/>
        <v>0</v>
      </c>
      <c r="J333">
        <f t="shared" si="2"/>
        <v>1046.24</v>
      </c>
      <c r="K333" s="140">
        <f t="shared" si="12"/>
        <v>1046.24</v>
      </c>
      <c r="L333" s="141">
        <f>sumif(Farms!$C$68:$C$104,E333,Farms!$D$68:$D$104)</f>
        <v>1.5</v>
      </c>
      <c r="M333" s="141">
        <f>sumif(Farms!$C$68:$C$104,E333,Farms!$F$68:$F$104)</f>
        <v>56</v>
      </c>
      <c r="N333" s="141">
        <f>sumif(Farms!$C$68:$C$104,E333,Farms!$G$68:$G$104)</f>
        <v>15</v>
      </c>
    </row>
    <row r="334">
      <c r="A334" s="135">
        <f>IFERROR(__xludf.DUMMYFUNCTION("""COMPUTED_VALUE"""),45940.0)</f>
        <v>45940</v>
      </c>
      <c r="B334" s="87" t="str">
        <f>IFERROR(__xludf.DUMMYFUNCTION("""COMPUTED_VALUE"""),"Klug North")</f>
        <v>Klug North</v>
      </c>
      <c r="C334">
        <f>IFERROR(__xludf.DUMMYFUNCTION("""COMPUTED_VALUE"""),57600.0)</f>
        <v>57600</v>
      </c>
      <c r="D334" s="136">
        <f>IFERROR(__xludf.DUMMYFUNCTION("""COMPUTED_VALUE"""),14.9)</f>
        <v>14.9</v>
      </c>
      <c r="E334" s="137" t="str">
        <f>IFERROR(__xludf.DUMMYFUNCTION("""COMPUTED_VALUE"""),"Non-GMO Yellow Corn")</f>
        <v>Non-GMO Yellow Corn</v>
      </c>
      <c r="F334" s="138" t="str">
        <f>IFERROR(__xludf.DUMMYFUNCTION("""COMPUTED_VALUE"""),"0549406")</f>
        <v>0549406</v>
      </c>
      <c r="G334" t="str">
        <f>IFERROR(__xludf.DUMMYFUNCTION("""COMPUTED_VALUE"""),"HBT#5352 MJ  Trk # 63")</f>
        <v>HBT#5352 MJ  Trk # 63</v>
      </c>
      <c r="H334" s="50"/>
      <c r="I334" s="139">
        <f t="shared" si="11"/>
        <v>0</v>
      </c>
      <c r="J334">
        <f t="shared" si="2"/>
        <v>1030.114286</v>
      </c>
      <c r="K334" s="140">
        <f t="shared" si="12"/>
        <v>1030.114286</v>
      </c>
      <c r="L334" s="141">
        <f>sumif(Farms!$C$68:$C$104,E334,Farms!$D$68:$D$104)</f>
        <v>1.5</v>
      </c>
      <c r="M334" s="141">
        <f>sumif(Farms!$C$68:$C$104,E334,Farms!$F$68:$F$104)</f>
        <v>56</v>
      </c>
      <c r="N334" s="141">
        <f>sumif(Farms!$C$68:$C$104,E334,Farms!$G$68:$G$104)</f>
        <v>15</v>
      </c>
    </row>
    <row r="335">
      <c r="A335" s="135">
        <f>IFERROR(__xludf.DUMMYFUNCTION("""COMPUTED_VALUE"""),45940.0)</f>
        <v>45940</v>
      </c>
      <c r="B335" s="87" t="str">
        <f>IFERROR(__xludf.DUMMYFUNCTION("""COMPUTED_VALUE"""),"Klug North")</f>
        <v>Klug North</v>
      </c>
      <c r="C335">
        <f>IFERROR(__xludf.DUMMYFUNCTION("""COMPUTED_VALUE"""),58040.0)</f>
        <v>58040</v>
      </c>
      <c r="D335" s="136">
        <f>IFERROR(__xludf.DUMMYFUNCTION("""COMPUTED_VALUE"""),14.0)</f>
        <v>14</v>
      </c>
      <c r="E335" s="137" t="str">
        <f>IFERROR(__xludf.DUMMYFUNCTION("""COMPUTED_VALUE"""),"Non-GMO Yellow Corn")</f>
        <v>Non-GMO Yellow Corn</v>
      </c>
      <c r="F335" s="138" t="str">
        <f>IFERROR(__xludf.DUMMYFUNCTION("""COMPUTED_VALUE"""),"0549410")</f>
        <v>0549410</v>
      </c>
      <c r="G335" t="str">
        <f>IFERROR(__xludf.DUMMYFUNCTION("""COMPUTED_VALUE"""),"HBT#5909 TL Trk # 2")</f>
        <v>HBT#5909 TL Trk # 2</v>
      </c>
      <c r="H335" s="50"/>
      <c r="I335" s="139">
        <f t="shared" si="11"/>
        <v>0</v>
      </c>
      <c r="J335">
        <f t="shared" si="2"/>
        <v>1051.975</v>
      </c>
      <c r="K335" s="140">
        <f t="shared" si="12"/>
        <v>1051.975</v>
      </c>
      <c r="L335" s="141">
        <f>sumif(Farms!$C$68:$C$104,E335,Farms!$D$68:$D$104)</f>
        <v>1.5</v>
      </c>
      <c r="M335" s="141">
        <f>sumif(Farms!$C$68:$C$104,E335,Farms!$F$68:$F$104)</f>
        <v>56</v>
      </c>
      <c r="N335" s="141">
        <f>sumif(Farms!$C$68:$C$104,E335,Farms!$G$68:$G$104)</f>
        <v>15</v>
      </c>
    </row>
    <row r="336">
      <c r="A336" s="135">
        <f>IFERROR(__xludf.DUMMYFUNCTION("""COMPUTED_VALUE"""),45940.0)</f>
        <v>45940</v>
      </c>
      <c r="B336" s="87" t="str">
        <f>IFERROR(__xludf.DUMMYFUNCTION("""COMPUTED_VALUE"""),"Klug North")</f>
        <v>Klug North</v>
      </c>
      <c r="C336">
        <f>IFERROR(__xludf.DUMMYFUNCTION("""COMPUTED_VALUE"""),57280.0)</f>
        <v>57280</v>
      </c>
      <c r="D336" s="136">
        <f>IFERROR(__xludf.DUMMYFUNCTION("""COMPUTED_VALUE"""),15.1)</f>
        <v>15.1</v>
      </c>
      <c r="E336" s="137" t="str">
        <f>IFERROR(__xludf.DUMMYFUNCTION("""COMPUTED_VALUE"""),"Non-GMO Yellow Corn")</f>
        <v>Non-GMO Yellow Corn</v>
      </c>
      <c r="F336" s="138" t="str">
        <f>IFERROR(__xludf.DUMMYFUNCTION("""COMPUTED_VALUE"""),"0549413")</f>
        <v>0549413</v>
      </c>
      <c r="G336" t="str">
        <f>IFERROR(__xludf.DUMMYFUNCTION("""COMPUTED_VALUE"""),"HBT#5778 BK Trk # 4")</f>
        <v>HBT#5778 BK Trk # 4</v>
      </c>
      <c r="H336" s="50"/>
      <c r="I336" s="139">
        <f t="shared" si="11"/>
        <v>0</v>
      </c>
      <c r="J336">
        <f t="shared" si="2"/>
        <v>1021.322857</v>
      </c>
      <c r="K336" s="140">
        <f t="shared" si="12"/>
        <v>1021.322857</v>
      </c>
      <c r="L336" s="141">
        <f>sumif(Farms!$C$68:$C$104,E336,Farms!$D$68:$D$104)</f>
        <v>1.5</v>
      </c>
      <c r="M336" s="141">
        <f>sumif(Farms!$C$68:$C$104,E336,Farms!$F$68:$F$104)</f>
        <v>56</v>
      </c>
      <c r="N336" s="141">
        <f>sumif(Farms!$C$68:$C$104,E336,Farms!$G$68:$G$104)</f>
        <v>15</v>
      </c>
    </row>
    <row r="337">
      <c r="A337" s="135">
        <f>IFERROR(__xludf.DUMMYFUNCTION("""COMPUTED_VALUE"""),45940.0)</f>
        <v>45940</v>
      </c>
      <c r="B337" s="87" t="str">
        <f>IFERROR(__xludf.DUMMYFUNCTION("""COMPUTED_VALUE"""),"Klug North")</f>
        <v>Klug North</v>
      </c>
      <c r="C337">
        <f>IFERROR(__xludf.DUMMYFUNCTION("""COMPUTED_VALUE"""),57640.0)</f>
        <v>57640</v>
      </c>
      <c r="D337" s="136">
        <f>IFERROR(__xludf.DUMMYFUNCTION("""COMPUTED_VALUE"""),15.1)</f>
        <v>15.1</v>
      </c>
      <c r="E337" s="137" t="str">
        <f>IFERROR(__xludf.DUMMYFUNCTION("""COMPUTED_VALUE"""),"Non-GMO Yellow Corn")</f>
        <v>Non-GMO Yellow Corn</v>
      </c>
      <c r="F337" s="138" t="str">
        <f>IFERROR(__xludf.DUMMYFUNCTION("""COMPUTED_VALUE"""),"0549416")</f>
        <v>0549416</v>
      </c>
      <c r="G337" t="str">
        <f>IFERROR(__xludf.DUMMYFUNCTION("""COMPUTED_VALUE"""),"HBT#3149 JB  Trk # 5")</f>
        <v>HBT#3149 JB  Trk # 5</v>
      </c>
      <c r="H337" s="50"/>
      <c r="I337" s="139">
        <f t="shared" si="11"/>
        <v>0</v>
      </c>
      <c r="J337">
        <f t="shared" si="2"/>
        <v>1027.741786</v>
      </c>
      <c r="K337" s="140">
        <f t="shared" si="12"/>
        <v>1027.741786</v>
      </c>
      <c r="L337" s="141">
        <f>sumif(Farms!$C$68:$C$104,E337,Farms!$D$68:$D$104)</f>
        <v>1.5</v>
      </c>
      <c r="M337" s="141">
        <f>sumif(Farms!$C$68:$C$104,E337,Farms!$F$68:$F$104)</f>
        <v>56</v>
      </c>
      <c r="N337" s="141">
        <f>sumif(Farms!$C$68:$C$104,E337,Farms!$G$68:$G$104)</f>
        <v>15</v>
      </c>
    </row>
    <row r="338">
      <c r="A338" s="135">
        <f>IFERROR(__xludf.DUMMYFUNCTION("""COMPUTED_VALUE"""),45940.0)</f>
        <v>45940</v>
      </c>
      <c r="B338" s="87" t="str">
        <f>IFERROR(__xludf.DUMMYFUNCTION("""COMPUTED_VALUE"""),"Klug North")</f>
        <v>Klug North</v>
      </c>
      <c r="C338">
        <f>IFERROR(__xludf.DUMMYFUNCTION("""COMPUTED_VALUE"""),57520.0)</f>
        <v>57520</v>
      </c>
      <c r="D338" s="136">
        <f>IFERROR(__xludf.DUMMYFUNCTION("""COMPUTED_VALUE"""),15.0)</f>
        <v>15</v>
      </c>
      <c r="E338" s="137" t="str">
        <f>IFERROR(__xludf.DUMMYFUNCTION("""COMPUTED_VALUE"""),"Non-GMO Yellow Corn")</f>
        <v>Non-GMO Yellow Corn</v>
      </c>
      <c r="F338" s="138" t="str">
        <f>IFERROR(__xludf.DUMMYFUNCTION("""COMPUTED_VALUE"""),"0549419")</f>
        <v>0549419</v>
      </c>
      <c r="G338" t="str">
        <f>IFERROR(__xludf.DUMMYFUNCTION("""COMPUTED_VALUE"""),"HBT#5890 Bob  Trk # 3")</f>
        <v>HBT#5890 Bob  Trk # 3</v>
      </c>
      <c r="H338" s="50"/>
      <c r="I338" s="139">
        <f t="shared" si="11"/>
        <v>0</v>
      </c>
      <c r="J338">
        <f t="shared" si="2"/>
        <v>1027.142857</v>
      </c>
      <c r="K338" s="140">
        <f t="shared" si="12"/>
        <v>1027.142857</v>
      </c>
      <c r="L338" s="142">
        <v>0.0</v>
      </c>
      <c r="M338" s="141">
        <f>sumif(Farms!$C$68:$C$104,E338,Farms!$F$68:$F$104)</f>
        <v>56</v>
      </c>
      <c r="N338" s="141">
        <f>sumif(Farms!$C$68:$C$104,E338,Farms!$G$68:$G$104)</f>
        <v>15</v>
      </c>
    </row>
    <row r="339">
      <c r="A339" s="135">
        <f>IFERROR(__xludf.DUMMYFUNCTION("""COMPUTED_VALUE"""),45940.0)</f>
        <v>45940</v>
      </c>
      <c r="B339" s="87" t="str">
        <f>IFERROR(__xludf.DUMMYFUNCTION("""COMPUTED_VALUE"""),"Klug North")</f>
        <v>Klug North</v>
      </c>
      <c r="C339">
        <f>IFERROR(__xludf.DUMMYFUNCTION("""COMPUTED_VALUE"""),57700.0)</f>
        <v>57700</v>
      </c>
      <c r="D339" s="136">
        <f>IFERROR(__xludf.DUMMYFUNCTION("""COMPUTED_VALUE"""),14.8)</f>
        <v>14.8</v>
      </c>
      <c r="E339" s="137" t="str">
        <f>IFERROR(__xludf.DUMMYFUNCTION("""COMPUTED_VALUE"""),"Non-GMO Yellow Corn")</f>
        <v>Non-GMO Yellow Corn</v>
      </c>
      <c r="F339" s="138" t="str">
        <f>IFERROR(__xludf.DUMMYFUNCTION("""COMPUTED_VALUE"""),"0549424")</f>
        <v>0549424</v>
      </c>
      <c r="G339" t="str">
        <f>IFERROR(__xludf.DUMMYFUNCTION("""COMPUTED_VALUE"""),"HBT#5576 WR  Trk # 41")</f>
        <v>HBT#5576 WR  Trk # 41</v>
      </c>
      <c r="H339" s="50"/>
      <c r="I339" s="139">
        <f t="shared" si="11"/>
        <v>0</v>
      </c>
      <c r="J339">
        <f t="shared" si="2"/>
        <v>1030.357143</v>
      </c>
      <c r="K339" s="140">
        <f t="shared" si="12"/>
        <v>1030.357143</v>
      </c>
      <c r="L339" s="142">
        <v>0.0</v>
      </c>
      <c r="M339" s="141">
        <f>sumif(Farms!$C$68:$C$104,E339,Farms!$F$68:$F$104)</f>
        <v>56</v>
      </c>
      <c r="N339" s="141">
        <f>sumif(Farms!$C$68:$C$104,E339,Farms!$G$68:$G$104)</f>
        <v>15</v>
      </c>
    </row>
    <row r="340">
      <c r="A340" s="135">
        <f>IFERROR(__xludf.DUMMYFUNCTION("""COMPUTED_VALUE"""),45940.0)</f>
        <v>45940</v>
      </c>
      <c r="B340" s="87" t="str">
        <f>IFERROR(__xludf.DUMMYFUNCTION("""COMPUTED_VALUE"""),"Klug North")</f>
        <v>Klug North</v>
      </c>
      <c r="C340">
        <f>IFERROR(__xludf.DUMMYFUNCTION("""COMPUTED_VALUE"""),57900.0)</f>
        <v>57900</v>
      </c>
      <c r="D340" s="136">
        <f>IFERROR(__xludf.DUMMYFUNCTION("""COMPUTED_VALUE"""),14.7)</f>
        <v>14.7</v>
      </c>
      <c r="E340" s="137" t="str">
        <f>IFERROR(__xludf.DUMMYFUNCTION("""COMPUTED_VALUE"""),"Non-GMO Yellow Corn")</f>
        <v>Non-GMO Yellow Corn</v>
      </c>
      <c r="F340" s="138" t="str">
        <f>IFERROR(__xludf.DUMMYFUNCTION("""COMPUTED_VALUE"""),"0549429")</f>
        <v>0549429</v>
      </c>
      <c r="G340" t="str">
        <f>IFERROR(__xludf.DUMMYFUNCTION("""COMPUTED_VALUE"""),"HBT#5353 MJ  Trk # 63")</f>
        <v>HBT#5353 MJ  Trk # 63</v>
      </c>
      <c r="H340" s="50"/>
      <c r="I340" s="139">
        <f t="shared" si="11"/>
        <v>0</v>
      </c>
      <c r="J340">
        <f t="shared" si="2"/>
        <v>1033.928571</v>
      </c>
      <c r="K340" s="140">
        <f t="shared" si="12"/>
        <v>1033.928571</v>
      </c>
      <c r="L340" s="142">
        <v>0.0</v>
      </c>
      <c r="M340" s="141">
        <f>sumif(Farms!$C$68:$C$104,E340,Farms!$F$68:$F$104)</f>
        <v>56</v>
      </c>
      <c r="N340" s="141">
        <f>sumif(Farms!$C$68:$C$104,E340,Farms!$G$68:$G$104)</f>
        <v>15</v>
      </c>
    </row>
    <row r="341">
      <c r="A341" s="135">
        <f>IFERROR(__xludf.DUMMYFUNCTION("""COMPUTED_VALUE"""),45940.0)</f>
        <v>45940</v>
      </c>
      <c r="B341" s="87" t="str">
        <f>IFERROR(__xludf.DUMMYFUNCTION("""COMPUTED_VALUE"""),"Klug North")</f>
        <v>Klug North</v>
      </c>
      <c r="C341">
        <f>IFERROR(__xludf.DUMMYFUNCTION("""COMPUTED_VALUE"""),58220.0)</f>
        <v>58220</v>
      </c>
      <c r="D341" s="136">
        <f>IFERROR(__xludf.DUMMYFUNCTION("""COMPUTED_VALUE"""),14.5)</f>
        <v>14.5</v>
      </c>
      <c r="E341" s="137" t="str">
        <f>IFERROR(__xludf.DUMMYFUNCTION("""COMPUTED_VALUE"""),"Non-GMO Yellow Corn")</f>
        <v>Non-GMO Yellow Corn</v>
      </c>
      <c r="F341" s="138" t="str">
        <f>IFERROR(__xludf.DUMMYFUNCTION("""COMPUTED_VALUE"""),"0549433")</f>
        <v>0549433</v>
      </c>
      <c r="G341" t="str">
        <f>IFERROR(__xludf.DUMMYFUNCTION("""COMPUTED_VALUE"""),"HBT#5910 TL  Trk # 2")</f>
        <v>HBT#5910 TL  Trk # 2</v>
      </c>
      <c r="H341" s="50"/>
      <c r="I341" s="139">
        <f t="shared" si="11"/>
        <v>0</v>
      </c>
      <c r="J341">
        <f t="shared" si="2"/>
        <v>1039.642857</v>
      </c>
      <c r="K341" s="140">
        <f t="shared" si="12"/>
        <v>1039.642857</v>
      </c>
      <c r="L341" s="142">
        <v>0.0</v>
      </c>
      <c r="M341" s="141">
        <f>sumif(Farms!$C$68:$C$104,E341,Farms!$F$68:$F$104)</f>
        <v>56</v>
      </c>
      <c r="N341" s="141">
        <f>sumif(Farms!$C$68:$C$104,E341,Farms!$G$68:$G$104)</f>
        <v>15</v>
      </c>
    </row>
    <row r="342">
      <c r="A342" s="135">
        <f>IFERROR(__xludf.DUMMYFUNCTION("""COMPUTED_VALUE"""),45940.0)</f>
        <v>45940</v>
      </c>
      <c r="B342" s="87" t="str">
        <f>IFERROR(__xludf.DUMMYFUNCTION("""COMPUTED_VALUE"""),"Klug North")</f>
        <v>Klug North</v>
      </c>
      <c r="C342">
        <f>IFERROR(__xludf.DUMMYFUNCTION("""COMPUTED_VALUE"""),58080.0)</f>
        <v>58080</v>
      </c>
      <c r="D342" s="136">
        <f>IFERROR(__xludf.DUMMYFUNCTION("""COMPUTED_VALUE"""),14.0)</f>
        <v>14</v>
      </c>
      <c r="E342" s="137" t="str">
        <f>IFERROR(__xludf.DUMMYFUNCTION("""COMPUTED_VALUE"""),"Non-GMO Yellow Corn")</f>
        <v>Non-GMO Yellow Corn</v>
      </c>
      <c r="F342" s="138" t="str">
        <f>IFERROR(__xludf.DUMMYFUNCTION("""COMPUTED_VALUE"""),"0549435")</f>
        <v>0549435</v>
      </c>
      <c r="G342" t="str">
        <f>IFERROR(__xludf.DUMMYFUNCTION("""COMPUTED_VALUE"""),"HBT#5779 BK Trk # 4")</f>
        <v>HBT#5779 BK Trk # 4</v>
      </c>
      <c r="H342" s="50"/>
      <c r="I342" s="139">
        <f t="shared" si="11"/>
        <v>0</v>
      </c>
      <c r="J342">
        <f t="shared" si="2"/>
        <v>1037.142857</v>
      </c>
      <c r="K342" s="140">
        <f t="shared" si="12"/>
        <v>1037.142857</v>
      </c>
      <c r="L342" s="142">
        <v>0.0</v>
      </c>
      <c r="M342" s="141">
        <f>sumif(Farms!$C$68:$C$104,E342,Farms!$F$68:$F$104)</f>
        <v>56</v>
      </c>
      <c r="N342" s="141">
        <f>sumif(Farms!$C$68:$C$104,E342,Farms!$G$68:$G$104)</f>
        <v>15</v>
      </c>
    </row>
    <row r="343">
      <c r="A343" s="135">
        <f>IFERROR(__xludf.DUMMYFUNCTION("""COMPUTED_VALUE"""),45940.0)</f>
        <v>45940</v>
      </c>
      <c r="B343" s="87" t="str">
        <f>IFERROR(__xludf.DUMMYFUNCTION("""COMPUTED_VALUE"""),"Klug North")</f>
        <v>Klug North</v>
      </c>
      <c r="C343">
        <f>IFERROR(__xludf.DUMMYFUNCTION("""COMPUTED_VALUE"""),56940.0)</f>
        <v>56940</v>
      </c>
      <c r="D343" s="136">
        <f>IFERROR(__xludf.DUMMYFUNCTION("""COMPUTED_VALUE"""),14.8)</f>
        <v>14.8</v>
      </c>
      <c r="E343" s="137" t="str">
        <f>IFERROR(__xludf.DUMMYFUNCTION("""COMPUTED_VALUE"""),"Non-GMO Yellow Corn")</f>
        <v>Non-GMO Yellow Corn</v>
      </c>
      <c r="F343" s="138" t="str">
        <f>IFERROR(__xludf.DUMMYFUNCTION("""COMPUTED_VALUE"""),"0549437")</f>
        <v>0549437</v>
      </c>
      <c r="G343" t="str">
        <f>IFERROR(__xludf.DUMMYFUNCTION("""COMPUTED_VALUE"""),"HBT#5203 JB Trk # 5")</f>
        <v>HBT#5203 JB Trk # 5</v>
      </c>
      <c r="H343" s="50"/>
      <c r="I343" s="139">
        <f t="shared" si="11"/>
        <v>0</v>
      </c>
      <c r="J343">
        <f t="shared" si="2"/>
        <v>1016.785714</v>
      </c>
      <c r="K343" s="140">
        <f t="shared" si="12"/>
        <v>1016.785714</v>
      </c>
      <c r="L343" s="142">
        <v>0.0</v>
      </c>
      <c r="M343" s="141">
        <f>sumif(Farms!$C$68:$C$104,E343,Farms!$F$68:$F$104)</f>
        <v>56</v>
      </c>
      <c r="N343" s="141">
        <f>sumif(Farms!$C$68:$C$104,E343,Farms!$G$68:$G$104)</f>
        <v>15</v>
      </c>
    </row>
    <row r="344">
      <c r="A344" s="135">
        <f>IFERROR(__xludf.DUMMYFUNCTION("""COMPUTED_VALUE"""),45940.0)</f>
        <v>45940</v>
      </c>
      <c r="B344" s="87" t="str">
        <f>IFERROR(__xludf.DUMMYFUNCTION("""COMPUTED_VALUE"""),"Klug North")</f>
        <v>Klug North</v>
      </c>
      <c r="C344">
        <f>IFERROR(__xludf.DUMMYFUNCTION("""COMPUTED_VALUE"""),58120.0)</f>
        <v>58120</v>
      </c>
      <c r="D344" s="136">
        <f>IFERROR(__xludf.DUMMYFUNCTION("""COMPUTED_VALUE"""),14.0)</f>
        <v>14</v>
      </c>
      <c r="E344" s="137" t="str">
        <f>IFERROR(__xludf.DUMMYFUNCTION("""COMPUTED_VALUE"""),"Non-GMO Yellow Corn")</f>
        <v>Non-GMO Yellow Corn</v>
      </c>
      <c r="F344" s="138" t="str">
        <f>IFERROR(__xludf.DUMMYFUNCTION("""COMPUTED_VALUE"""),"0549440")</f>
        <v>0549440</v>
      </c>
      <c r="G344" t="str">
        <f>IFERROR(__xludf.DUMMYFUNCTION("""COMPUTED_VALUE"""),"HBT#5891 Bob Trk # 3")</f>
        <v>HBT#5891 Bob Trk # 3</v>
      </c>
      <c r="H344" s="50"/>
      <c r="I344" s="139">
        <f t="shared" si="11"/>
        <v>0</v>
      </c>
      <c r="J344">
        <f t="shared" si="2"/>
        <v>1037.857143</v>
      </c>
      <c r="K344" s="140">
        <f t="shared" si="12"/>
        <v>1037.857143</v>
      </c>
      <c r="L344" s="142">
        <v>0.0</v>
      </c>
      <c r="M344" s="141">
        <f>sumif(Farms!$C$68:$C$104,E344,Farms!$F$68:$F$104)</f>
        <v>56</v>
      </c>
      <c r="N344" s="141">
        <f>sumif(Farms!$C$68:$C$104,E344,Farms!$G$68:$G$104)</f>
        <v>15</v>
      </c>
    </row>
    <row r="345">
      <c r="A345" s="135">
        <f>IFERROR(__xludf.DUMMYFUNCTION("""COMPUTED_VALUE"""),45940.0)</f>
        <v>45940</v>
      </c>
      <c r="B345" s="87" t="str">
        <f>IFERROR(__xludf.DUMMYFUNCTION("""COMPUTED_VALUE"""),"Klug North")</f>
        <v>Klug North</v>
      </c>
      <c r="C345">
        <f>IFERROR(__xludf.DUMMYFUNCTION("""COMPUTED_VALUE"""),56480.0)</f>
        <v>56480</v>
      </c>
      <c r="D345" s="136">
        <f>IFERROR(__xludf.DUMMYFUNCTION("""COMPUTED_VALUE"""),15.1)</f>
        <v>15.1</v>
      </c>
      <c r="E345" s="137" t="str">
        <f>IFERROR(__xludf.DUMMYFUNCTION("""COMPUTED_VALUE"""),"Non-GMO Yellow Corn")</f>
        <v>Non-GMO Yellow Corn</v>
      </c>
      <c r="F345" s="138" t="str">
        <f>IFERROR(__xludf.DUMMYFUNCTION("""COMPUTED_VALUE"""),"0549450")</f>
        <v>0549450</v>
      </c>
      <c r="G345" t="str">
        <f>IFERROR(__xludf.DUMMYFUNCTION("""COMPUTED_VALUE"""),"HBT#5577 WRTrk # 41")</f>
        <v>HBT#5577 WRTrk # 41</v>
      </c>
      <c r="H345" s="50"/>
      <c r="I345" s="139">
        <f t="shared" si="11"/>
        <v>0</v>
      </c>
      <c r="J345">
        <f t="shared" si="2"/>
        <v>1008.571429</v>
      </c>
      <c r="K345" s="140">
        <f t="shared" si="12"/>
        <v>1008.571429</v>
      </c>
      <c r="L345" s="142">
        <v>0.0</v>
      </c>
      <c r="M345" s="141">
        <f>sumif(Farms!$C$68:$C$104,E345,Farms!$F$68:$F$104)</f>
        <v>56</v>
      </c>
      <c r="N345" s="141">
        <f>sumif(Farms!$C$68:$C$104,E345,Farms!$G$68:$G$104)</f>
        <v>15</v>
      </c>
    </row>
    <row r="346">
      <c r="A346" s="135">
        <f>IFERROR(__xludf.DUMMYFUNCTION("""COMPUTED_VALUE"""),45940.0)</f>
        <v>45940</v>
      </c>
      <c r="B346" s="87" t="str">
        <f>IFERROR(__xludf.DUMMYFUNCTION("""COMPUTED_VALUE"""),"Klug North")</f>
        <v>Klug North</v>
      </c>
      <c r="C346">
        <f>IFERROR(__xludf.DUMMYFUNCTION("""COMPUTED_VALUE"""),58060.0)</f>
        <v>58060</v>
      </c>
      <c r="D346" s="136">
        <f>IFERROR(__xludf.DUMMYFUNCTION("""COMPUTED_VALUE"""),16.0)</f>
        <v>16</v>
      </c>
      <c r="E346" s="137" t="str">
        <f>IFERROR(__xludf.DUMMYFUNCTION("""COMPUTED_VALUE"""),"Non-GMO Yellow Corn")</f>
        <v>Non-GMO Yellow Corn</v>
      </c>
      <c r="F346" s="138" t="str">
        <f>IFERROR(__xludf.DUMMYFUNCTION("""COMPUTED_VALUE"""),"0549451")</f>
        <v>0549451</v>
      </c>
      <c r="G346" t="str">
        <f>IFERROR(__xludf.DUMMYFUNCTION("""COMPUTED_VALUE"""),"HBT#5911 TL Trk # 2")</f>
        <v>HBT#5911 TL Trk # 2</v>
      </c>
      <c r="H346" s="50"/>
      <c r="I346" s="139">
        <f t="shared" si="11"/>
        <v>0</v>
      </c>
      <c r="J346">
        <f t="shared" si="2"/>
        <v>1036.785714</v>
      </c>
      <c r="K346" s="140">
        <f t="shared" si="12"/>
        <v>1036.785714</v>
      </c>
      <c r="L346" s="142">
        <v>0.0</v>
      </c>
      <c r="M346" s="141">
        <f>sumif(Farms!$C$68:$C$104,E346,Farms!$F$68:$F$104)</f>
        <v>56</v>
      </c>
      <c r="N346" s="141">
        <f>sumif(Farms!$C$68:$C$104,E346,Farms!$G$68:$G$104)</f>
        <v>15</v>
      </c>
    </row>
    <row r="347">
      <c r="A347" s="135">
        <f>IFERROR(__xludf.DUMMYFUNCTION("""COMPUTED_VALUE"""),45940.0)</f>
        <v>45940</v>
      </c>
      <c r="B347" s="87" t="str">
        <f>IFERROR(__xludf.DUMMYFUNCTION("""COMPUTED_VALUE"""),"Klug North")</f>
        <v>Klug North</v>
      </c>
      <c r="C347">
        <f>IFERROR(__xludf.DUMMYFUNCTION("""COMPUTED_VALUE"""),57480.0)</f>
        <v>57480</v>
      </c>
      <c r="D347" s="136">
        <f>IFERROR(__xludf.DUMMYFUNCTION("""COMPUTED_VALUE"""),17.6)</f>
        <v>17.6</v>
      </c>
      <c r="E347" s="137" t="str">
        <f>IFERROR(__xludf.DUMMYFUNCTION("""COMPUTED_VALUE"""),"Non-GMO Yellow Corn")</f>
        <v>Non-GMO Yellow Corn</v>
      </c>
      <c r="F347" s="138" t="str">
        <f>IFERROR(__xludf.DUMMYFUNCTION("""COMPUTED_VALUE"""),"0549454")</f>
        <v>0549454</v>
      </c>
      <c r="G347" t="str">
        <f>IFERROR(__xludf.DUMMYFUNCTION("""COMPUTED_VALUE"""),"HBT#5354 MJ Trk # 63")</f>
        <v>HBT#5354 MJ Trk # 63</v>
      </c>
      <c r="H347" s="50"/>
      <c r="I347" s="139">
        <f t="shared" si="11"/>
        <v>0</v>
      </c>
      <c r="J347">
        <f t="shared" si="2"/>
        <v>1026.428571</v>
      </c>
      <c r="K347" s="140">
        <f t="shared" si="12"/>
        <v>1026.428571</v>
      </c>
      <c r="L347" s="142">
        <v>0.0</v>
      </c>
      <c r="M347" s="141">
        <f>sumif(Farms!$C$68:$C$104,E347,Farms!$F$68:$F$104)</f>
        <v>56</v>
      </c>
      <c r="N347" s="141">
        <f>sumif(Farms!$C$68:$C$104,E347,Farms!$G$68:$G$104)</f>
        <v>15</v>
      </c>
    </row>
    <row r="348">
      <c r="A348" s="135">
        <f>IFERROR(__xludf.DUMMYFUNCTION("""COMPUTED_VALUE"""),45940.0)</f>
        <v>45940</v>
      </c>
      <c r="B348" s="87" t="str">
        <f>IFERROR(__xludf.DUMMYFUNCTION("""COMPUTED_VALUE"""),"Klug North")</f>
        <v>Klug North</v>
      </c>
      <c r="C348">
        <f>IFERROR(__xludf.DUMMYFUNCTION("""COMPUTED_VALUE"""),57920.0)</f>
        <v>57920</v>
      </c>
      <c r="D348" s="136">
        <f>IFERROR(__xludf.DUMMYFUNCTION("""COMPUTED_VALUE"""),15.8)</f>
        <v>15.8</v>
      </c>
      <c r="E348" s="137" t="str">
        <f>IFERROR(__xludf.DUMMYFUNCTION("""COMPUTED_VALUE"""),"Non-GMO Yellow Corn")</f>
        <v>Non-GMO Yellow Corn</v>
      </c>
      <c r="F348" s="138" t="str">
        <f>IFERROR(__xludf.DUMMYFUNCTION("""COMPUTED_VALUE"""),"0549460")</f>
        <v>0549460</v>
      </c>
      <c r="G348" t="str">
        <f>IFERROR(__xludf.DUMMYFUNCTION("""COMPUTED_VALUE"""),"HBT#5780 BK Trk # 4")</f>
        <v>HBT#5780 BK Trk # 4</v>
      </c>
      <c r="H348" s="50"/>
      <c r="I348" s="139">
        <f t="shared" si="11"/>
        <v>0</v>
      </c>
      <c r="J348">
        <f t="shared" si="2"/>
        <v>1034.285714</v>
      </c>
      <c r="K348" s="140">
        <f t="shared" si="12"/>
        <v>1034.285714</v>
      </c>
      <c r="L348" s="142">
        <v>0.0</v>
      </c>
      <c r="M348" s="141">
        <f>sumif(Farms!$C$68:$C$104,E348,Farms!$F$68:$F$104)</f>
        <v>56</v>
      </c>
      <c r="N348" s="141">
        <f>sumif(Farms!$C$68:$C$104,E348,Farms!$G$68:$G$104)</f>
        <v>15</v>
      </c>
    </row>
    <row r="349">
      <c r="A349" s="135">
        <f>IFERROR(__xludf.DUMMYFUNCTION("""COMPUTED_VALUE"""),45940.0)</f>
        <v>45940</v>
      </c>
      <c r="B349" s="87" t="str">
        <f>IFERROR(__xludf.DUMMYFUNCTION("""COMPUTED_VALUE"""),"Klug North")</f>
        <v>Klug North</v>
      </c>
      <c r="C349">
        <f>IFERROR(__xludf.DUMMYFUNCTION("""COMPUTED_VALUE"""),57000.0)</f>
        <v>57000</v>
      </c>
      <c r="D349" s="136">
        <f>IFERROR(__xludf.DUMMYFUNCTION("""COMPUTED_VALUE"""),15.5)</f>
        <v>15.5</v>
      </c>
      <c r="E349" s="137" t="str">
        <f>IFERROR(__xludf.DUMMYFUNCTION("""COMPUTED_VALUE"""),"Non-GMO Yellow Corn")</f>
        <v>Non-GMO Yellow Corn</v>
      </c>
      <c r="F349" s="138" t="str">
        <f>IFERROR(__xludf.DUMMYFUNCTION("""COMPUTED_VALUE"""),"0549464")</f>
        <v>0549464</v>
      </c>
      <c r="G349" t="str">
        <f>IFERROR(__xludf.DUMMYFUNCTION("""COMPUTED_VALUE"""),"HBT#5892 Bob Trk # 3")</f>
        <v>HBT#5892 Bob Trk # 3</v>
      </c>
      <c r="H349" s="50"/>
      <c r="I349" s="139">
        <f t="shared" si="11"/>
        <v>0</v>
      </c>
      <c r="J349">
        <f t="shared" si="2"/>
        <v>1010.223214</v>
      </c>
      <c r="K349" s="140">
        <f t="shared" si="12"/>
        <v>1010.223214</v>
      </c>
      <c r="L349" s="141">
        <f>sumif(Farms!$C$68:$C$104,E349,Farms!$D$68:$D$104)</f>
        <v>1.5</v>
      </c>
      <c r="M349" s="141">
        <f>sumif(Farms!$C$68:$C$104,E349,Farms!$F$68:$F$104)</f>
        <v>56</v>
      </c>
      <c r="N349" s="141">
        <f>sumif(Farms!$C$68:$C$104,E349,Farms!$G$68:$G$104)</f>
        <v>15</v>
      </c>
    </row>
    <row r="350">
      <c r="A350" s="135">
        <f>IFERROR(__xludf.DUMMYFUNCTION("""COMPUTED_VALUE"""),45940.0)</f>
        <v>45940</v>
      </c>
      <c r="B350" s="87" t="str">
        <f>IFERROR(__xludf.DUMMYFUNCTION("""COMPUTED_VALUE"""),"Klug North")</f>
        <v>Klug North</v>
      </c>
      <c r="C350">
        <f>IFERROR(__xludf.DUMMYFUNCTION("""COMPUTED_VALUE"""),57820.0)</f>
        <v>57820</v>
      </c>
      <c r="D350">
        <f>IFERROR(__xludf.DUMMYFUNCTION("""COMPUTED_VALUE"""),16.9)</f>
        <v>16.9</v>
      </c>
      <c r="E350" s="137" t="str">
        <f>IFERROR(__xludf.DUMMYFUNCTION("""COMPUTED_VALUE"""),"Non-GMO Yellow Corn")</f>
        <v>Non-GMO Yellow Corn</v>
      </c>
      <c r="F350" s="138" t="str">
        <f>IFERROR(__xludf.DUMMYFUNCTION("""COMPUTED_VALUE"""),"0549468")</f>
        <v>0549468</v>
      </c>
      <c r="G350" t="str">
        <f>IFERROR(__xludf.DUMMYFUNCTION("""COMPUTED_VALUE"""),"HBT#5912 TL Trk # 2")</f>
        <v>HBT#5912 TL Trk # 2</v>
      </c>
      <c r="H350" s="50"/>
      <c r="I350" s="139">
        <f t="shared" si="11"/>
        <v>0</v>
      </c>
      <c r="J350">
        <f t="shared" si="2"/>
        <v>1032.5</v>
      </c>
      <c r="K350" s="140">
        <f t="shared" si="12"/>
        <v>1032.5</v>
      </c>
      <c r="L350" s="142">
        <v>0.0</v>
      </c>
      <c r="M350" s="141">
        <f>sumif(Farms!$C$68:$C$104,E350,Farms!$F$68:$F$104)</f>
        <v>56</v>
      </c>
      <c r="N350" s="141">
        <f>sumif(Farms!$C$68:$C$104,E350,Farms!$G$68:$G$104)</f>
        <v>15</v>
      </c>
    </row>
    <row r="351">
      <c r="A351" s="135">
        <f>IFERROR(__xludf.DUMMYFUNCTION("""COMPUTED_VALUE"""),45941.0)</f>
        <v>45941</v>
      </c>
      <c r="B351" s="87" t="str">
        <f>IFERROR(__xludf.DUMMYFUNCTION("""COMPUTED_VALUE"""),"Klug North")</f>
        <v>Klug North</v>
      </c>
      <c r="C351">
        <f>IFERROR(__xludf.DUMMYFUNCTION("""COMPUTED_VALUE"""),56840.0)</f>
        <v>56840</v>
      </c>
      <c r="D351" s="136">
        <f>IFERROR(__xludf.DUMMYFUNCTION("""COMPUTED_VALUE"""),15.9)</f>
        <v>15.9</v>
      </c>
      <c r="E351" s="137" t="str">
        <f>IFERROR(__xludf.DUMMYFUNCTION("""COMPUTED_VALUE"""),"Non-GMO Yellow Corn")</f>
        <v>Non-GMO Yellow Corn</v>
      </c>
      <c r="F351" s="138" t="str">
        <f>IFERROR(__xludf.DUMMYFUNCTION("""COMPUTED_VALUE"""),"0549472")</f>
        <v>0549472</v>
      </c>
      <c r="G351" t="str">
        <f>IFERROR(__xludf.DUMMYFUNCTION("""COMPUTED_VALUE"""),"HBT#5204 B Trk # 5")</f>
        <v>HBT#5204 B Trk # 5</v>
      </c>
      <c r="H351" s="50"/>
      <c r="I351" s="139">
        <f t="shared" si="11"/>
        <v>0</v>
      </c>
      <c r="J351">
        <f t="shared" si="2"/>
        <v>1015</v>
      </c>
      <c r="K351" s="140">
        <f t="shared" si="12"/>
        <v>1015</v>
      </c>
      <c r="L351" s="142">
        <v>0.0</v>
      </c>
      <c r="M351" s="141">
        <f>sumif(Farms!$C$68:$C$104,E351,Farms!$F$68:$F$104)</f>
        <v>56</v>
      </c>
      <c r="N351" s="141">
        <f>sumif(Farms!$C$68:$C$104,E351,Farms!$G$68:$G$104)</f>
        <v>15</v>
      </c>
    </row>
    <row r="352">
      <c r="A352" s="135">
        <f>IFERROR(__xludf.DUMMYFUNCTION("""COMPUTED_VALUE"""),45940.0)</f>
        <v>45940</v>
      </c>
      <c r="B352" s="87" t="str">
        <f>IFERROR(__xludf.DUMMYFUNCTION("""COMPUTED_VALUE"""),"Klug North")</f>
        <v>Klug North</v>
      </c>
      <c r="C352">
        <f>IFERROR(__xludf.DUMMYFUNCTION("""COMPUTED_VALUE"""),58020.0)</f>
        <v>58020</v>
      </c>
      <c r="D352" s="136">
        <f>IFERROR(__xludf.DUMMYFUNCTION("""COMPUTED_VALUE"""),15.7)</f>
        <v>15.7</v>
      </c>
      <c r="E352" s="137" t="str">
        <f>IFERROR(__xludf.DUMMYFUNCTION("""COMPUTED_VALUE"""),"Non-GMO Yellow Corn")</f>
        <v>Non-GMO Yellow Corn</v>
      </c>
      <c r="F352" s="138" t="str">
        <f>IFERROR(__xludf.DUMMYFUNCTION("""COMPUTED_VALUE"""),"0549474")</f>
        <v>0549474</v>
      </c>
      <c r="G352" t="str">
        <f>IFERROR(__xludf.DUMMYFUNCTION("""COMPUTED_VALUE"""),"HBT#5355 WDH Trk # 63")</f>
        <v>HBT#5355 WDH Trk # 63</v>
      </c>
      <c r="H352" s="50"/>
      <c r="I352" s="139">
        <f t="shared" si="11"/>
        <v>0</v>
      </c>
      <c r="J352">
        <f t="shared" si="2"/>
        <v>1036.071429</v>
      </c>
      <c r="K352" s="140">
        <f t="shared" si="12"/>
        <v>1036.071429</v>
      </c>
      <c r="L352" s="142">
        <v>0.0</v>
      </c>
      <c r="M352" s="141">
        <f>sumif(Farms!$C$68:$C$104,E352,Farms!$F$68:$F$104)</f>
        <v>56</v>
      </c>
      <c r="N352" s="141">
        <f>sumif(Farms!$C$68:$C$104,E352,Farms!$G$68:$G$104)</f>
        <v>15</v>
      </c>
    </row>
    <row r="353">
      <c r="A353" s="135">
        <f>IFERROR(__xludf.DUMMYFUNCTION("""COMPUTED_VALUE"""),45941.0)</f>
        <v>45941</v>
      </c>
      <c r="B353" s="87" t="str">
        <f>IFERROR(__xludf.DUMMYFUNCTION("""COMPUTED_VALUE"""),"Klug North")</f>
        <v>Klug North</v>
      </c>
      <c r="C353">
        <f>IFERROR(__xludf.DUMMYFUNCTION("""COMPUTED_VALUE"""),57480.0)</f>
        <v>57480</v>
      </c>
      <c r="D353" s="136">
        <f>IFERROR(__xludf.DUMMYFUNCTION("""COMPUTED_VALUE"""),15.5)</f>
        <v>15.5</v>
      </c>
      <c r="E353" s="137" t="str">
        <f>IFERROR(__xludf.DUMMYFUNCTION("""COMPUTED_VALUE"""),"Non-GMO Yellow Corn")</f>
        <v>Non-GMO Yellow Corn</v>
      </c>
      <c r="F353" s="138" t="str">
        <f>IFERROR(__xludf.DUMMYFUNCTION("""COMPUTED_VALUE"""),"0549476")</f>
        <v>0549476</v>
      </c>
      <c r="G353" t="str">
        <f>IFERROR(__xludf.DUMMYFUNCTION("""COMPUTED_VALUE"""),"HBT#5578 WR Trk # 41")</f>
        <v>HBT#5578 WR Trk # 41</v>
      </c>
      <c r="H353" s="50"/>
      <c r="I353" s="139">
        <f t="shared" si="11"/>
        <v>0</v>
      </c>
      <c r="J353">
        <f t="shared" si="2"/>
        <v>1026.428571</v>
      </c>
      <c r="K353" s="140">
        <f t="shared" si="12"/>
        <v>1026.428571</v>
      </c>
      <c r="L353" s="142">
        <v>0.0</v>
      </c>
      <c r="M353" s="141">
        <f>sumif(Farms!$C$68:$C$104,E353,Farms!$F$68:$F$104)</f>
        <v>56</v>
      </c>
      <c r="N353" s="141">
        <f>sumif(Farms!$C$68:$C$104,E353,Farms!$G$68:$G$104)</f>
        <v>15</v>
      </c>
    </row>
    <row r="354">
      <c r="A354" s="135">
        <f>IFERROR(__xludf.DUMMYFUNCTION("""COMPUTED_VALUE"""),45940.0)</f>
        <v>45940</v>
      </c>
      <c r="B354" s="87" t="str">
        <f>IFERROR(__xludf.DUMMYFUNCTION("""COMPUTED_VALUE"""),"Klug North")</f>
        <v>Klug North</v>
      </c>
      <c r="C354">
        <f>IFERROR(__xludf.DUMMYFUNCTION("""COMPUTED_VALUE"""),58060.0)</f>
        <v>58060</v>
      </c>
      <c r="D354" s="136">
        <f>IFERROR(__xludf.DUMMYFUNCTION("""COMPUTED_VALUE"""),15.6)</f>
        <v>15.6</v>
      </c>
      <c r="E354" s="137" t="str">
        <f>IFERROR(__xludf.DUMMYFUNCTION("""COMPUTED_VALUE"""),"Non-GMO Yellow Corn")</f>
        <v>Non-GMO Yellow Corn</v>
      </c>
      <c r="F354" s="138" t="str">
        <f>IFERROR(__xludf.DUMMYFUNCTION("""COMPUTED_VALUE"""),"0549479")</f>
        <v>0549479</v>
      </c>
      <c r="G354" t="str">
        <f>IFERROR(__xludf.DUMMYFUNCTION("""COMPUTED_VALUE"""),"HBT#5893 Bob Trk # 3")</f>
        <v>HBT#5893 Bob Trk # 3</v>
      </c>
      <c r="H354" s="50"/>
      <c r="I354" s="139">
        <f t="shared" si="11"/>
        <v>0</v>
      </c>
      <c r="J354">
        <f t="shared" si="2"/>
        <v>1027.454643</v>
      </c>
      <c r="K354" s="140">
        <f t="shared" si="12"/>
        <v>1027.454643</v>
      </c>
      <c r="L354" s="141">
        <f>sumif(Farms!$C$68:$C$104,E354,Farms!$D$68:$D$104)</f>
        <v>1.5</v>
      </c>
      <c r="M354" s="141">
        <f>sumif(Farms!$C$68:$C$104,E354,Farms!$F$68:$F$104)</f>
        <v>56</v>
      </c>
      <c r="N354" s="141">
        <f>sumif(Farms!$C$68:$C$104,E354,Farms!$G$68:$G$104)</f>
        <v>15</v>
      </c>
    </row>
    <row r="355">
      <c r="A355" s="135">
        <f>IFERROR(__xludf.DUMMYFUNCTION("""COMPUTED_VALUE"""),45940.0)</f>
        <v>45940</v>
      </c>
      <c r="B355" s="87" t="str">
        <f>IFERROR(__xludf.DUMMYFUNCTION("""COMPUTED_VALUE"""),"Klug North")</f>
        <v>Klug North</v>
      </c>
      <c r="C355">
        <f>IFERROR(__xludf.DUMMYFUNCTION("""COMPUTED_VALUE"""),57620.0)</f>
        <v>57620</v>
      </c>
      <c r="D355" s="136">
        <f>IFERROR(__xludf.DUMMYFUNCTION("""COMPUTED_VALUE"""),15.7)</f>
        <v>15.7</v>
      </c>
      <c r="E355" s="137" t="str">
        <f>IFERROR(__xludf.DUMMYFUNCTION("""COMPUTED_VALUE"""),"Non-GMO Yellow Corn")</f>
        <v>Non-GMO Yellow Corn</v>
      </c>
      <c r="F355" s="138" t="str">
        <f>IFERROR(__xludf.DUMMYFUNCTION("""COMPUTED_VALUE"""),"0549483")</f>
        <v>0549483</v>
      </c>
      <c r="G355" t="str">
        <f>IFERROR(__xludf.DUMMYFUNCTION("""COMPUTED_VALUE"""),"HBT#5913 TL Trk # 2")</f>
        <v>HBT#5913 TL Trk # 2</v>
      </c>
      <c r="H355" s="50"/>
      <c r="I355" s="139">
        <f t="shared" si="11"/>
        <v>0</v>
      </c>
      <c r="J355">
        <f t="shared" si="2"/>
        <v>1018.124821</v>
      </c>
      <c r="K355" s="140">
        <f t="shared" si="12"/>
        <v>1018.124821</v>
      </c>
      <c r="L355" s="141">
        <f>sumif(Farms!$C$68:$C$104,E355,Farms!$D$68:$D$104)</f>
        <v>1.5</v>
      </c>
      <c r="M355" s="141">
        <f>sumif(Farms!$C$68:$C$104,E355,Farms!$F$68:$F$104)</f>
        <v>56</v>
      </c>
      <c r="N355" s="141">
        <f>sumif(Farms!$C$68:$C$104,E355,Farms!$G$68:$G$104)</f>
        <v>15</v>
      </c>
    </row>
    <row r="356">
      <c r="A356" s="135">
        <f>IFERROR(__xludf.DUMMYFUNCTION("""COMPUTED_VALUE"""),45941.0)</f>
        <v>45941</v>
      </c>
      <c r="B356" s="87" t="str">
        <f>IFERROR(__xludf.DUMMYFUNCTION("""COMPUTED_VALUE"""),"Klug North")</f>
        <v>Klug North</v>
      </c>
      <c r="C356">
        <f>IFERROR(__xludf.DUMMYFUNCTION("""COMPUTED_VALUE"""),57560.0)</f>
        <v>57560</v>
      </c>
      <c r="D356" s="136">
        <f>IFERROR(__xludf.DUMMYFUNCTION("""COMPUTED_VALUE"""),15.2)</f>
        <v>15.2</v>
      </c>
      <c r="E356" s="137" t="str">
        <f>IFERROR(__xludf.DUMMYFUNCTION("""COMPUTED_VALUE"""),"Non-GMO Yellow Corn")</f>
        <v>Non-GMO Yellow Corn</v>
      </c>
      <c r="F356" s="138" t="str">
        <f>IFERROR(__xludf.DUMMYFUNCTION("""COMPUTED_VALUE"""),"0549487")</f>
        <v>0549487</v>
      </c>
      <c r="G356" t="str">
        <f>IFERROR(__xludf.DUMMYFUNCTION("""COMPUTED_VALUE"""),"HBT#5205 JB Trk # 5")</f>
        <v>HBT#5205 JB Trk # 5</v>
      </c>
      <c r="H356" s="50"/>
      <c r="I356" s="139">
        <f t="shared" si="11"/>
        <v>0</v>
      </c>
      <c r="J356">
        <f t="shared" si="2"/>
        <v>1027.857143</v>
      </c>
      <c r="K356" s="140">
        <f t="shared" si="12"/>
        <v>1027.857143</v>
      </c>
      <c r="L356" s="142">
        <v>0.0</v>
      </c>
      <c r="M356" s="141">
        <f>sumif(Farms!$C$68:$C$104,E356,Farms!$F$68:$F$104)</f>
        <v>56</v>
      </c>
      <c r="N356" s="141">
        <f>sumif(Farms!$C$68:$C$104,E356,Farms!$G$68:$G$104)</f>
        <v>15</v>
      </c>
    </row>
    <row r="357">
      <c r="A357" s="135">
        <f>IFERROR(__xludf.DUMMYFUNCTION("""COMPUTED_VALUE"""),45940.0)</f>
        <v>45940</v>
      </c>
      <c r="B357" s="87" t="str">
        <f>IFERROR(__xludf.DUMMYFUNCTION("""COMPUTED_VALUE"""),"Klug North")</f>
        <v>Klug North</v>
      </c>
      <c r="C357">
        <f>IFERROR(__xludf.DUMMYFUNCTION("""COMPUTED_VALUE"""),58100.0)</f>
        <v>58100</v>
      </c>
      <c r="D357" s="136">
        <f>IFERROR(__xludf.DUMMYFUNCTION("""COMPUTED_VALUE"""),15.0)</f>
        <v>15</v>
      </c>
      <c r="E357" s="137" t="str">
        <f>IFERROR(__xludf.DUMMYFUNCTION("""COMPUTED_VALUE"""),"Non-GMO Yellow Corn")</f>
        <v>Non-GMO Yellow Corn</v>
      </c>
      <c r="F357" s="138" t="str">
        <f>IFERROR(__xludf.DUMMYFUNCTION("""COMPUTED_VALUE"""),"0549489")</f>
        <v>0549489</v>
      </c>
      <c r="G357" t="str">
        <f>IFERROR(__xludf.DUMMYFUNCTION("""COMPUTED_VALUE"""),"HBT#5356 WDH Trk # 63")</f>
        <v>HBT#5356 WDH Trk # 63</v>
      </c>
      <c r="H357" s="50"/>
      <c r="I357" s="139">
        <f t="shared" si="11"/>
        <v>0</v>
      </c>
      <c r="J357">
        <f t="shared" si="2"/>
        <v>1037.5</v>
      </c>
      <c r="K357" s="140">
        <f t="shared" si="12"/>
        <v>1037.5</v>
      </c>
      <c r="L357" s="141">
        <f>sumif(Farms!$C$68:$C$104,E357,Farms!$D$68:$D$104)</f>
        <v>1.5</v>
      </c>
      <c r="M357" s="141">
        <f>sumif(Farms!$C$68:$C$104,E357,Farms!$F$68:$F$104)</f>
        <v>56</v>
      </c>
      <c r="N357" s="141">
        <f>sumif(Farms!$C$68:$C$104,E357,Farms!$G$68:$G$104)</f>
        <v>15</v>
      </c>
    </row>
    <row r="358">
      <c r="A358" s="135">
        <f>IFERROR(__xludf.DUMMYFUNCTION("""COMPUTED_VALUE"""),45941.0)</f>
        <v>45941</v>
      </c>
      <c r="B358" s="87" t="str">
        <f>IFERROR(__xludf.DUMMYFUNCTION("""COMPUTED_VALUE"""),"Klug North")</f>
        <v>Klug North</v>
      </c>
      <c r="C358">
        <f>IFERROR(__xludf.DUMMYFUNCTION("""COMPUTED_VALUE"""),57220.0)</f>
        <v>57220</v>
      </c>
      <c r="D358" s="136">
        <f>IFERROR(__xludf.DUMMYFUNCTION("""COMPUTED_VALUE"""),15.4)</f>
        <v>15.4</v>
      </c>
      <c r="E358" s="137" t="str">
        <f>IFERROR(__xludf.DUMMYFUNCTION("""COMPUTED_VALUE"""),"Non-GMO Yellow Corn")</f>
        <v>Non-GMO Yellow Corn</v>
      </c>
      <c r="F358" s="138" t="str">
        <f>IFERROR(__xludf.DUMMYFUNCTION("""COMPUTED_VALUE"""),"0549495")</f>
        <v>0549495</v>
      </c>
      <c r="G358" t="str">
        <f>IFERROR(__xludf.DUMMYFUNCTION("""COMPUTED_VALUE"""),"HBT#5579 WR Trk # 41")</f>
        <v>HBT#5579 WR Trk # 41</v>
      </c>
      <c r="H358" s="50"/>
      <c r="I358" s="139">
        <f t="shared" si="11"/>
        <v>0</v>
      </c>
      <c r="J358">
        <f t="shared" si="2"/>
        <v>1015.655</v>
      </c>
      <c r="K358" s="140">
        <f t="shared" si="12"/>
        <v>1015.655</v>
      </c>
      <c r="L358" s="141">
        <f>sumif(Farms!$C$68:$C$104,E358,Farms!$D$68:$D$104)</f>
        <v>1.5</v>
      </c>
      <c r="M358" s="141">
        <f>sumif(Farms!$C$68:$C$104,E358,Farms!$F$68:$F$104)</f>
        <v>56</v>
      </c>
      <c r="N358" s="141">
        <f>sumif(Farms!$C$68:$C$104,E358,Farms!$G$68:$G$104)</f>
        <v>15</v>
      </c>
    </row>
    <row r="359">
      <c r="A359" s="135">
        <f>IFERROR(__xludf.DUMMYFUNCTION("""COMPUTED_VALUE"""),45940.0)</f>
        <v>45940</v>
      </c>
      <c r="B359" s="87" t="str">
        <f>IFERROR(__xludf.DUMMYFUNCTION("""COMPUTED_VALUE"""),"Klug North")</f>
        <v>Klug North</v>
      </c>
      <c r="C359">
        <f>IFERROR(__xludf.DUMMYFUNCTION("""COMPUTED_VALUE"""),57880.0)</f>
        <v>57880</v>
      </c>
      <c r="D359" s="136">
        <f>IFERROR(__xludf.DUMMYFUNCTION("""COMPUTED_VALUE"""),15.4)</f>
        <v>15.4</v>
      </c>
      <c r="E359" s="137" t="str">
        <f>IFERROR(__xludf.DUMMYFUNCTION("""COMPUTED_VALUE"""),"Non-GMO Yellow Corn")</f>
        <v>Non-GMO Yellow Corn</v>
      </c>
      <c r="F359" s="138" t="str">
        <f>IFERROR(__xludf.DUMMYFUNCTION("""COMPUTED_VALUE"""),"0549500")</f>
        <v>0549500</v>
      </c>
      <c r="G359" t="str">
        <f>IFERROR(__xludf.DUMMYFUNCTION("""COMPUTED_VALUE"""),"HBT#5894 Bob Trk # 3")</f>
        <v>HBT#5894 Bob Trk # 3</v>
      </c>
      <c r="H359" s="50"/>
      <c r="I359" s="139">
        <f t="shared" si="11"/>
        <v>0</v>
      </c>
      <c r="J359">
        <f t="shared" si="2"/>
        <v>1027.37</v>
      </c>
      <c r="K359" s="140">
        <f t="shared" si="12"/>
        <v>1027.37</v>
      </c>
      <c r="L359" s="141">
        <f>sumif(Farms!$C$68:$C$104,E359,Farms!$D$68:$D$104)</f>
        <v>1.5</v>
      </c>
      <c r="M359" s="141">
        <f>sumif(Farms!$C$68:$C$104,E359,Farms!$F$68:$F$104)</f>
        <v>56</v>
      </c>
      <c r="N359" s="141">
        <f>sumif(Farms!$C$68:$C$104,E359,Farms!$G$68:$G$104)</f>
        <v>15</v>
      </c>
    </row>
    <row r="360">
      <c r="A360" s="135">
        <f>IFERROR(__xludf.DUMMYFUNCTION("""COMPUTED_VALUE"""),45940.0)</f>
        <v>45940</v>
      </c>
      <c r="B360" s="87" t="str">
        <f>IFERROR(__xludf.DUMMYFUNCTION("""COMPUTED_VALUE"""),"Klug North")</f>
        <v>Klug North</v>
      </c>
      <c r="C360">
        <f>IFERROR(__xludf.DUMMYFUNCTION("""COMPUTED_VALUE"""),42100.0)</f>
        <v>42100</v>
      </c>
      <c r="D360" s="136">
        <f>IFERROR(__xludf.DUMMYFUNCTION("""COMPUTED_VALUE"""),15.4)</f>
        <v>15.4</v>
      </c>
      <c r="E360" s="137" t="str">
        <f>IFERROR(__xludf.DUMMYFUNCTION("""COMPUTED_VALUE"""),"Non-GMO Yellow Corn")</f>
        <v>Non-GMO Yellow Corn</v>
      </c>
      <c r="F360" s="138" t="str">
        <f>IFERROR(__xludf.DUMMYFUNCTION("""COMPUTED_VALUE"""),"0549505")</f>
        <v>0549505</v>
      </c>
      <c r="G360" t="str">
        <f>IFERROR(__xludf.DUMMYFUNCTION("""COMPUTED_VALUE"""),"HBT#5914 TL Trk # 2 Last Load")</f>
        <v>HBT#5914 TL Trk # 2 Last Load</v>
      </c>
      <c r="H360" s="50"/>
      <c r="I360" s="139">
        <f t="shared" si="11"/>
        <v>0</v>
      </c>
      <c r="J360">
        <f t="shared" si="2"/>
        <v>747.275</v>
      </c>
      <c r="K360" s="140">
        <f t="shared" si="12"/>
        <v>747.275</v>
      </c>
      <c r="L360" s="141">
        <f>sumif(Farms!$C$68:$C$104,E360,Farms!$D$68:$D$104)</f>
        <v>1.5</v>
      </c>
      <c r="M360" s="141">
        <f>sumif(Farms!$C$68:$C$104,E360,Farms!$F$68:$F$104)</f>
        <v>56</v>
      </c>
      <c r="N360" s="141">
        <f>sumif(Farms!$C$68:$C$104,E360,Farms!$G$68:$G$104)</f>
        <v>15</v>
      </c>
    </row>
    <row r="361">
      <c r="A361" s="135">
        <f>IFERROR(__xludf.DUMMYFUNCTION("""COMPUTED_VALUE"""),45940.0)</f>
        <v>45940</v>
      </c>
      <c r="B361" s="87" t="str">
        <f>IFERROR(__xludf.DUMMYFUNCTION("""COMPUTED_VALUE"""),"Klug North")</f>
        <v>Klug North</v>
      </c>
      <c r="C361">
        <f>IFERROR(__xludf.DUMMYFUNCTION("""COMPUTED_VALUE"""),57860.0)</f>
        <v>57860</v>
      </c>
      <c r="D361" s="136">
        <f>IFERROR(__xludf.DUMMYFUNCTION("""COMPUTED_VALUE"""),15.6)</f>
        <v>15.6</v>
      </c>
      <c r="E361" s="137" t="str">
        <f>IFERROR(__xludf.DUMMYFUNCTION("""COMPUTED_VALUE"""),"Non-GMO Yellow Corn")</f>
        <v>Non-GMO Yellow Corn</v>
      </c>
      <c r="F361" s="138" t="str">
        <f>IFERROR(__xludf.DUMMYFUNCTION("""COMPUTED_VALUE"""),"0549522")</f>
        <v>0549522</v>
      </c>
      <c r="G361" t="str">
        <f>IFERROR(__xludf.DUMMYFUNCTION("""COMPUTED_VALUE"""),"HBT#5781 BK Trk # 4")</f>
        <v>HBT#5781 BK Trk # 4</v>
      </c>
      <c r="H361" s="50"/>
      <c r="I361" s="139">
        <f t="shared" si="11"/>
        <v>0</v>
      </c>
      <c r="J361">
        <f t="shared" si="2"/>
        <v>1023.915357</v>
      </c>
      <c r="K361" s="140">
        <f t="shared" si="12"/>
        <v>1023.915357</v>
      </c>
      <c r="L361" s="141">
        <f>sumif(Farms!$C$68:$C$104,E361,Farms!$D$68:$D$104)</f>
        <v>1.5</v>
      </c>
      <c r="M361" s="141">
        <f>sumif(Farms!$C$68:$C$104,E361,Farms!$F$68:$F$104)</f>
        <v>56</v>
      </c>
      <c r="N361" s="141">
        <f>sumif(Farms!$C$68:$C$104,E361,Farms!$G$68:$G$104)</f>
        <v>15</v>
      </c>
    </row>
    <row r="362">
      <c r="A362" s="135">
        <f>IFERROR(__xludf.DUMMYFUNCTION("""COMPUTED_VALUE"""),45839.0)</f>
        <v>45839</v>
      </c>
      <c r="B362" s="87" t="str">
        <f>IFERROR(__xludf.DUMMYFUNCTION("""COMPUTED_VALUE"""),"Kopp East Crop #1")</f>
        <v>Kopp East Crop #1</v>
      </c>
      <c r="C362">
        <f>IFERROR(__xludf.DUMMYFUNCTION("""COMPUTED_VALUE"""),112940.0)</f>
        <v>112940</v>
      </c>
      <c r="D362" s="136"/>
      <c r="E362" s="137" t="str">
        <f>IFERROR(__xludf.DUMMYFUNCTION("""COMPUTED_VALUE"""),"Organic Peas")</f>
        <v>Organic Peas</v>
      </c>
      <c r="F362" s="138" t="str">
        <f>IFERROR(__xludf.DUMMYFUNCTION("""COMPUTED_VALUE"""),"510-055188- 190")</f>
        <v>510-055188- 190</v>
      </c>
      <c r="G362" t="str">
        <f>IFERROR(__xludf.DUMMYFUNCTION("""COMPUTED_VALUE"""),"Seneca - By Passed")</f>
        <v>Seneca - By Passed</v>
      </c>
      <c r="H362" s="50"/>
      <c r="I362" s="139">
        <f t="shared" si="11"/>
        <v>0</v>
      </c>
      <c r="J362">
        <f t="shared" si="2"/>
        <v>4323.484375</v>
      </c>
      <c r="K362" s="140">
        <f t="shared" si="12"/>
        <v>4323.484375</v>
      </c>
      <c r="L362" s="141">
        <f>sumif(Farms!$C$68:$C$104,E362,Farms!$D$68:$D$104)</f>
        <v>1.5</v>
      </c>
      <c r="M362" s="141">
        <f>sumif(Farms!$C$68:$C$104,E362,Farms!$F$68:$F$104)</f>
        <v>32</v>
      </c>
      <c r="N362" s="141">
        <f>sumif(Farms!$C$68:$C$104,E362,Farms!$G$68:$G$104)</f>
        <v>15</v>
      </c>
    </row>
    <row r="363">
      <c r="A363" s="135">
        <f>IFERROR(__xludf.DUMMYFUNCTION("""COMPUTED_VALUE"""),45861.0)</f>
        <v>45861</v>
      </c>
      <c r="B363" s="87" t="str">
        <f>IFERROR(__xludf.DUMMYFUNCTION("""COMPUTED_VALUE"""),"Kopp East Crop #2-1")</f>
        <v>Kopp East Crop #2-1</v>
      </c>
      <c r="C363">
        <f>IFERROR(__xludf.DUMMYFUNCTION("""COMPUTED_VALUE"""),116260.0)</f>
        <v>116260</v>
      </c>
      <c r="D363" s="136"/>
      <c r="E363" s="137" t="str">
        <f>IFERROR(__xludf.DUMMYFUNCTION("""COMPUTED_VALUE"""),"Organic Snap Beans")</f>
        <v>Organic Snap Beans</v>
      </c>
      <c r="F363" s="138" t="str">
        <f>IFERROR(__xludf.DUMMYFUNCTION("""COMPUTED_VALUE"""),"537-022073 - 75")</f>
        <v>537-022073 - 75</v>
      </c>
      <c r="G363" t="str">
        <f>IFERROR(__xludf.DUMMYFUNCTION("""COMPUTED_VALUE"""),"Seneca")</f>
        <v>Seneca</v>
      </c>
      <c r="H363" s="50"/>
      <c r="I363" s="139">
        <f t="shared" si="11"/>
        <v>0</v>
      </c>
      <c r="J363">
        <f t="shared" si="2"/>
        <v>4450.578125</v>
      </c>
      <c r="K363" s="140">
        <f t="shared" si="12"/>
        <v>4450.578125</v>
      </c>
      <c r="L363" s="141">
        <f>sumif(Farms!$C$68:$C$104,E363,Farms!$D$68:$D$104)</f>
        <v>1.5</v>
      </c>
      <c r="M363" s="141">
        <f>sumif(Farms!$C$68:$C$104,E363,Farms!$F$68:$F$104)</f>
        <v>32</v>
      </c>
      <c r="N363" s="141">
        <f>sumif(Farms!$C$68:$C$104,E363,Farms!$G$68:$G$104)</f>
        <v>15</v>
      </c>
    </row>
    <row r="364">
      <c r="A364" s="135">
        <f>IFERROR(__xludf.DUMMYFUNCTION("""COMPUTED_VALUE"""),45862.0)</f>
        <v>45862</v>
      </c>
      <c r="B364" s="87" t="str">
        <f>IFERROR(__xludf.DUMMYFUNCTION("""COMPUTED_VALUE"""),"Kopp East Crop #2-2")</f>
        <v>Kopp East Crop #2-2</v>
      </c>
      <c r="C364">
        <f>IFERROR(__xludf.DUMMYFUNCTION("""COMPUTED_VALUE"""),373020.0)</f>
        <v>373020</v>
      </c>
      <c r="D364" s="136"/>
      <c r="E364" s="137" t="str">
        <f>IFERROR(__xludf.DUMMYFUNCTION("""COMPUTED_VALUE"""),"Organic Snap Beans")</f>
        <v>Organic Snap Beans</v>
      </c>
      <c r="F364" s="138" t="str">
        <f>IFERROR(__xludf.DUMMYFUNCTION("""COMPUTED_VALUE"""),"537-02265 - 72")</f>
        <v>537-02265 - 72</v>
      </c>
      <c r="G364" t="str">
        <f>IFERROR(__xludf.DUMMYFUNCTION("""COMPUTED_VALUE"""),"Seneca")</f>
        <v>Seneca</v>
      </c>
      <c r="H364" s="50"/>
      <c r="I364" s="139">
        <f t="shared" si="11"/>
        <v>0</v>
      </c>
      <c r="J364">
        <f t="shared" si="2"/>
        <v>14279.67188</v>
      </c>
      <c r="K364" s="140">
        <f t="shared" si="12"/>
        <v>14279.67188</v>
      </c>
      <c r="L364" s="141">
        <f>sumif(Farms!$C$68:$C$104,E364,Farms!$D$68:$D$104)</f>
        <v>1.5</v>
      </c>
      <c r="M364" s="141">
        <f>sumif(Farms!$C$68:$C$104,E364,Farms!$F$68:$F$104)</f>
        <v>32</v>
      </c>
      <c r="N364" s="141">
        <f>sumif(Farms!$C$68:$C$104,E364,Farms!$G$68:$G$104)</f>
        <v>15</v>
      </c>
    </row>
    <row r="365">
      <c r="A365" s="135">
        <f>IFERROR(__xludf.DUMMYFUNCTION("""COMPUTED_VALUE"""),45839.0)</f>
        <v>45839</v>
      </c>
      <c r="B365" s="87" t="str">
        <f>IFERROR(__xludf.DUMMYFUNCTION("""COMPUTED_VALUE"""),"Kopp West Crop #1")</f>
        <v>Kopp West Crop #1</v>
      </c>
      <c r="C365">
        <f>IFERROR(__xludf.DUMMYFUNCTION("""COMPUTED_VALUE"""),349720.0)</f>
        <v>349720</v>
      </c>
      <c r="D365" s="136"/>
      <c r="E365" s="137" t="str">
        <f>IFERROR(__xludf.DUMMYFUNCTION("""COMPUTED_VALUE"""),"Organic Peas")</f>
        <v>Organic Peas</v>
      </c>
      <c r="F365" s="138" t="str">
        <f>IFERROR(__xludf.DUMMYFUNCTION("""COMPUTED_VALUE"""),"510-055191- 199")</f>
        <v>510-055191- 199</v>
      </c>
      <c r="G365" t="str">
        <f>IFERROR(__xludf.DUMMYFUNCTION("""COMPUTED_VALUE"""),"Seneca")</f>
        <v>Seneca</v>
      </c>
      <c r="H365" s="50"/>
      <c r="I365" s="139">
        <f t="shared" si="11"/>
        <v>0</v>
      </c>
      <c r="J365">
        <f t="shared" si="2"/>
        <v>13387.71875</v>
      </c>
      <c r="K365" s="140">
        <f t="shared" si="12"/>
        <v>13387.71875</v>
      </c>
      <c r="L365" s="141">
        <f>sumif(Farms!$C$68:$C$104,E365,Farms!$D$68:$D$104)</f>
        <v>1.5</v>
      </c>
      <c r="M365" s="141">
        <f>sumif(Farms!$C$68:$C$104,E365,Farms!$F$68:$F$104)</f>
        <v>32</v>
      </c>
      <c r="N365" s="141">
        <f>sumif(Farms!$C$68:$C$104,E365,Farms!$G$68:$G$104)</f>
        <v>15</v>
      </c>
    </row>
    <row r="366">
      <c r="A366" s="135">
        <f>IFERROR(__xludf.DUMMYFUNCTION("""COMPUTED_VALUE"""),45862.0)</f>
        <v>45862</v>
      </c>
      <c r="B366" s="87" t="str">
        <f>IFERROR(__xludf.DUMMYFUNCTION("""COMPUTED_VALUE"""),"Kopp West Crop #2")</f>
        <v>Kopp West Crop #2</v>
      </c>
      <c r="C366">
        <f>IFERROR(__xludf.DUMMYFUNCTION("""COMPUTED_VALUE"""),709800.0)</f>
        <v>709800</v>
      </c>
      <c r="D366" s="136"/>
      <c r="E366" s="137" t="str">
        <f>IFERROR(__xludf.DUMMYFUNCTION("""COMPUTED_VALUE"""),"Organic Snap Beans")</f>
        <v>Organic Snap Beans</v>
      </c>
      <c r="F366" s="138" t="str">
        <f>IFERROR(__xludf.DUMMYFUNCTION("""COMPUTED_VALUE"""),"537-02253 - 66")</f>
        <v>537-02253 - 66</v>
      </c>
      <c r="G366" t="str">
        <f>IFERROR(__xludf.DUMMYFUNCTION("""COMPUTED_VALUE"""),"Seneca")</f>
        <v>Seneca</v>
      </c>
      <c r="H366" s="50"/>
      <c r="I366" s="139">
        <f t="shared" si="11"/>
        <v>0</v>
      </c>
      <c r="J366">
        <f t="shared" si="2"/>
        <v>27172.03125</v>
      </c>
      <c r="K366" s="140">
        <f t="shared" si="12"/>
        <v>27172.03125</v>
      </c>
      <c r="L366" s="141">
        <f>sumif(Farms!$C$68:$C$104,E366,Farms!$D$68:$D$104)</f>
        <v>1.5</v>
      </c>
      <c r="M366" s="141">
        <f>sumif(Farms!$C$68:$C$104,E366,Farms!$F$68:$F$104)</f>
        <v>32</v>
      </c>
      <c r="N366" s="141">
        <f>sumif(Farms!$C$68:$C$104,E366,Farms!$G$68:$G$104)</f>
        <v>15</v>
      </c>
    </row>
    <row r="367">
      <c r="A367" s="135">
        <f>IFERROR(__xludf.DUMMYFUNCTION("""COMPUTED_VALUE"""),45936.0)</f>
        <v>45936</v>
      </c>
      <c r="B367" s="87" t="str">
        <f>IFERROR(__xludf.DUMMYFUNCTION("""COMPUTED_VALUE"""),"lake")</f>
        <v>lake</v>
      </c>
      <c r="C367">
        <f>IFERROR(__xludf.DUMMYFUNCTION("""COMPUTED_VALUE"""),56420.0)</f>
        <v>56420</v>
      </c>
      <c r="D367" s="136">
        <f>IFERROR(__xludf.DUMMYFUNCTION("""COMPUTED_VALUE"""),14.9)</f>
        <v>14.9</v>
      </c>
      <c r="E367" s="137" t="str">
        <f>IFERROR(__xludf.DUMMYFUNCTION("""COMPUTED_VALUE"""),"Non-GMO Yellow Corn")</f>
        <v>Non-GMO Yellow Corn</v>
      </c>
      <c r="F367" s="138" t="str">
        <f>IFERROR(__xludf.DUMMYFUNCTION("""COMPUTED_VALUE"""),"0548936")</f>
        <v>0548936</v>
      </c>
      <c r="G367" t="str">
        <f>IFERROR(__xludf.DUMMYFUNCTION("""COMPUTED_VALUE"""),"HBT#4576 Jack Trk# 63 1st Load")</f>
        <v>HBT#4576 Jack Trk# 63 1st Load</v>
      </c>
      <c r="H367" s="50">
        <f>IFERROR(__xludf.DUMMYFUNCTION("""COMPUTED_VALUE"""),0.0)</f>
        <v>0</v>
      </c>
      <c r="I367" s="139">
        <f t="shared" si="11"/>
        <v>0</v>
      </c>
      <c r="J367">
        <f t="shared" si="2"/>
        <v>1009.01125</v>
      </c>
      <c r="K367" s="140">
        <f t="shared" si="12"/>
        <v>1009.01125</v>
      </c>
      <c r="L367" s="141">
        <f>sumif(Farms!$C$68:$C$104,E367,Farms!$D$68:$D$104)</f>
        <v>1.5</v>
      </c>
      <c r="M367" s="141">
        <f>sumif(Farms!$C$68:$C$104,E367,Farms!$F$68:$F$104)</f>
        <v>56</v>
      </c>
      <c r="N367" s="141">
        <f>sumif(Farms!$C$68:$C$104,E367,Farms!$G$68:$G$104)</f>
        <v>15</v>
      </c>
    </row>
    <row r="368">
      <c r="A368" s="135">
        <f>IFERROR(__xludf.DUMMYFUNCTION("""COMPUTED_VALUE"""),45936.0)</f>
        <v>45936</v>
      </c>
      <c r="B368" s="87" t="str">
        <f>IFERROR(__xludf.DUMMYFUNCTION("""COMPUTED_VALUE"""),"lake")</f>
        <v>lake</v>
      </c>
      <c r="C368">
        <f>IFERROR(__xludf.DUMMYFUNCTION("""COMPUTED_VALUE"""),53720.0)</f>
        <v>53720</v>
      </c>
      <c r="D368" s="136">
        <f>IFERROR(__xludf.DUMMYFUNCTION("""COMPUTED_VALUE"""),15.4)</f>
        <v>15.4</v>
      </c>
      <c r="E368" s="137" t="str">
        <f>IFERROR(__xludf.DUMMYFUNCTION("""COMPUTED_VALUE"""),"Non-GMO Yellow Corn")</f>
        <v>Non-GMO Yellow Corn</v>
      </c>
      <c r="F368" s="138" t="str">
        <f>IFERROR(__xludf.DUMMYFUNCTION("""COMPUTED_VALUE"""),"0548939")</f>
        <v>0548939</v>
      </c>
      <c r="G368" t="str">
        <f>IFERROR(__xludf.DUMMYFUNCTION("""COMPUTED_VALUE"""),"HBT# 5535 Tanner Trk# 2")</f>
        <v>HBT# 5535 Tanner Trk# 2</v>
      </c>
      <c r="H368" s="50">
        <f>IFERROR(__xludf.DUMMYFUNCTION("""COMPUTED_VALUE"""),0.0)</f>
        <v>0</v>
      </c>
      <c r="I368" s="139">
        <f t="shared" si="11"/>
        <v>0</v>
      </c>
      <c r="J368">
        <f t="shared" si="2"/>
        <v>953.53</v>
      </c>
      <c r="K368" s="140">
        <f t="shared" si="12"/>
        <v>953.53</v>
      </c>
      <c r="L368" s="141">
        <f>sumif(Farms!$C$68:$C$104,E368,Farms!$D$68:$D$104)</f>
        <v>1.5</v>
      </c>
      <c r="M368" s="141">
        <f>sumif(Farms!$C$68:$C$104,E368,Farms!$F$68:$F$104)</f>
        <v>56</v>
      </c>
      <c r="N368" s="141">
        <f>sumif(Farms!$C$68:$C$104,E368,Farms!$G$68:$G$104)</f>
        <v>15</v>
      </c>
    </row>
    <row r="369">
      <c r="A369" s="135">
        <f>IFERROR(__xludf.DUMMYFUNCTION("""COMPUTED_VALUE"""),45936.0)</f>
        <v>45936</v>
      </c>
      <c r="B369" s="87" t="str">
        <f>IFERROR(__xludf.DUMMYFUNCTION("""COMPUTED_VALUE"""),"lake")</f>
        <v>lake</v>
      </c>
      <c r="C369">
        <f>IFERROR(__xludf.DUMMYFUNCTION("""COMPUTED_VALUE"""),57080.0)</f>
        <v>57080</v>
      </c>
      <c r="D369" s="136">
        <f>IFERROR(__xludf.DUMMYFUNCTION("""COMPUTED_VALUE"""),16.2)</f>
        <v>16.2</v>
      </c>
      <c r="E369" s="137" t="str">
        <f>IFERROR(__xludf.DUMMYFUNCTION("""COMPUTED_VALUE"""),"Non-GMO Yellow Corn")</f>
        <v>Non-GMO Yellow Corn</v>
      </c>
      <c r="F369" s="138" t="str">
        <f>IFERROR(__xludf.DUMMYFUNCTION("""COMPUTED_VALUE"""),"0548943")</f>
        <v>0548943</v>
      </c>
      <c r="G369" t="str">
        <f>IFERROR(__xludf.DUMMYFUNCTION("""COMPUTED_VALUE"""),"HBT# 5755 WDH Trk# 4")</f>
        <v>HBT# 5755 WDH Trk# 4</v>
      </c>
      <c r="H369" s="50">
        <f>IFERROR(__xludf.DUMMYFUNCTION("""COMPUTED_VALUE"""),0.0)</f>
        <v>0</v>
      </c>
      <c r="I369" s="139">
        <f t="shared" si="11"/>
        <v>0</v>
      </c>
      <c r="J369">
        <f t="shared" si="2"/>
        <v>1000.938571</v>
      </c>
      <c r="K369" s="140">
        <f t="shared" si="12"/>
        <v>1000.938571</v>
      </c>
      <c r="L369" s="141">
        <f>sumif(Farms!$C$68:$C$104,E369,Farms!$D$68:$D$104)</f>
        <v>1.5</v>
      </c>
      <c r="M369" s="141">
        <f>sumif(Farms!$C$68:$C$104,E369,Farms!$F$68:$F$104)</f>
        <v>56</v>
      </c>
      <c r="N369" s="141">
        <f>sumif(Farms!$C$68:$C$104,E369,Farms!$G$68:$G$104)</f>
        <v>15</v>
      </c>
    </row>
    <row r="370">
      <c r="A370" s="135">
        <f>IFERROR(__xludf.DUMMYFUNCTION("""COMPUTED_VALUE"""),45936.0)</f>
        <v>45936</v>
      </c>
      <c r="B370" s="87" t="str">
        <f>IFERROR(__xludf.DUMMYFUNCTION("""COMPUTED_VALUE"""),"lake")</f>
        <v>lake</v>
      </c>
      <c r="C370">
        <f>IFERROR(__xludf.DUMMYFUNCTION("""COMPUTED_VALUE"""),45506.0)</f>
        <v>45506</v>
      </c>
      <c r="D370" s="136">
        <f>IFERROR(__xludf.DUMMYFUNCTION("""COMPUTED_VALUE"""),15.5)</f>
        <v>15.5</v>
      </c>
      <c r="E370" s="137" t="str">
        <f>IFERROR(__xludf.DUMMYFUNCTION("""COMPUTED_VALUE"""),"Non-GMO Yellow Corn")</f>
        <v>Non-GMO Yellow Corn</v>
      </c>
      <c r="F370" s="138" t="str">
        <f>IFERROR(__xludf.DUMMYFUNCTION("""COMPUTED_VALUE"""),"0548953")</f>
        <v>0548953</v>
      </c>
      <c r="G370" t="str">
        <f>IFERROR(__xludf.DUMMYFUNCTION("""COMPUTED_VALUE"""),"HBT# 2502 Julianne Trk# 5 Split Load")</f>
        <v>HBT# 2502 Julianne Trk# 5 Split Load</v>
      </c>
      <c r="H370" s="50">
        <f>IFERROR(__xludf.DUMMYFUNCTION("""COMPUTED_VALUE"""),0.0)</f>
        <v>0</v>
      </c>
      <c r="I370" s="139">
        <f t="shared" si="11"/>
        <v>0</v>
      </c>
      <c r="J370">
        <f t="shared" si="2"/>
        <v>806.5125893</v>
      </c>
      <c r="K370" s="140">
        <f t="shared" si="12"/>
        <v>806.5125893</v>
      </c>
      <c r="L370" s="141">
        <f>sumif(Farms!$C$68:$C$104,E370,Farms!$D$68:$D$104)</f>
        <v>1.5</v>
      </c>
      <c r="M370" s="141">
        <f>sumif(Farms!$C$68:$C$104,E370,Farms!$F$68:$F$104)</f>
        <v>56</v>
      </c>
      <c r="N370" s="141">
        <f>sumif(Farms!$C$68:$C$104,E370,Farms!$G$68:$G$104)</f>
        <v>15</v>
      </c>
    </row>
    <row r="371">
      <c r="A371" s="135">
        <f>IFERROR(__xludf.DUMMYFUNCTION("""COMPUTED_VALUE"""),45931.0)</f>
        <v>45931</v>
      </c>
      <c r="B371" s="87" t="str">
        <f>IFERROR(__xludf.DUMMYFUNCTION("""COMPUTED_VALUE"""),"larson")</f>
        <v>larson</v>
      </c>
      <c r="C371">
        <f>IFERROR(__xludf.DUMMYFUNCTION("""COMPUTED_VALUE"""),55140.0)</f>
        <v>55140</v>
      </c>
      <c r="D371" s="136"/>
      <c r="E371" s="137" t="str">
        <f>IFERROR(__xludf.DUMMYFUNCTION("""COMPUTED_VALUE"""),"DF EX25C2.5 Soybeans")</f>
        <v>DF EX25C2.5 Soybeans</v>
      </c>
      <c r="F371" s="138" t="str">
        <f>IFERROR(__xludf.DUMMYFUNCTION("""COMPUTED_VALUE"""),"424")</f>
        <v>424</v>
      </c>
      <c r="G371" t="str">
        <f>IFERROR(__xludf.DUMMYFUNCTION("""COMPUTED_VALUE"""),"HBt# 5753 BobTrk# 4")</f>
        <v>HBt# 5753 BobTrk# 4</v>
      </c>
      <c r="H371" s="50">
        <f>IFERROR(__xludf.DUMMYFUNCTION("""COMPUTED_VALUE"""),0.0)</f>
        <v>0</v>
      </c>
      <c r="I371" s="139">
        <f t="shared" si="11"/>
        <v>0</v>
      </c>
      <c r="J371">
        <f t="shared" si="2"/>
        <v>903.9344262</v>
      </c>
      <c r="K371" s="140">
        <f t="shared" si="12"/>
        <v>903.9344262</v>
      </c>
      <c r="L371" s="142">
        <v>0.0</v>
      </c>
      <c r="M371" s="141">
        <f>sumif(Farms!$C$68:$C$104,E371,Farms!$F$68:$F$104)</f>
        <v>61</v>
      </c>
      <c r="N371" s="142">
        <v>1.0</v>
      </c>
    </row>
    <row r="372">
      <c r="A372" s="135">
        <f>IFERROR(__xludf.DUMMYFUNCTION("""COMPUTED_VALUE"""),45931.0)</f>
        <v>45931</v>
      </c>
      <c r="B372" s="87" t="str">
        <f>IFERROR(__xludf.DUMMYFUNCTION("""COMPUTED_VALUE"""),"larson")</f>
        <v>larson</v>
      </c>
      <c r="C372">
        <f>IFERROR(__xludf.DUMMYFUNCTION("""COMPUTED_VALUE"""),55260.0)</f>
        <v>55260</v>
      </c>
      <c r="D372" s="136">
        <f>IFERROR(__xludf.DUMMYFUNCTION("""COMPUTED_VALUE"""),11.0)</f>
        <v>11</v>
      </c>
      <c r="E372" s="137" t="str">
        <f>IFERROR(__xludf.DUMMYFUNCTION("""COMPUTED_VALUE"""),"DF EX25C2.5 Soybeans")</f>
        <v>DF EX25C2.5 Soybeans</v>
      </c>
      <c r="F372" s="138" t="str">
        <f>IFERROR(__xludf.DUMMYFUNCTION("""COMPUTED_VALUE"""),"428")</f>
        <v>428</v>
      </c>
      <c r="G372" t="str">
        <f>IFERROR(__xludf.DUMMYFUNCTION("""COMPUTED_VALUE"""),"HBt# 5858 Jack Trk# 3")</f>
        <v>HBt# 5858 Jack Trk# 3</v>
      </c>
      <c r="H372" s="50">
        <f>IFERROR(__xludf.DUMMYFUNCTION("""COMPUTED_VALUE"""),0.0)</f>
        <v>0</v>
      </c>
      <c r="I372" s="139">
        <f t="shared" si="11"/>
        <v>0</v>
      </c>
      <c r="J372">
        <f t="shared" si="2"/>
        <v>905.9016393</v>
      </c>
      <c r="K372" s="140">
        <f t="shared" si="12"/>
        <v>905.9016393</v>
      </c>
      <c r="L372" s="142">
        <v>0.0</v>
      </c>
      <c r="M372" s="141">
        <f>sumif(Farms!$C$68:$C$104,E372,Farms!$F$68:$F$104)</f>
        <v>61</v>
      </c>
      <c r="N372" s="141">
        <f>sumif(Farms!$C$68:$C$104,E372,Farms!$G$68:$G$104)</f>
        <v>13</v>
      </c>
    </row>
    <row r="373">
      <c r="A373" s="135">
        <f>IFERROR(__xludf.DUMMYFUNCTION("""COMPUTED_VALUE"""),45931.0)</f>
        <v>45931</v>
      </c>
      <c r="B373" s="87" t="str">
        <f>IFERROR(__xludf.DUMMYFUNCTION("""COMPUTED_VALUE"""),"larson")</f>
        <v>larson</v>
      </c>
      <c r="C373">
        <f>IFERROR(__xludf.DUMMYFUNCTION("""COMPUTED_VALUE"""),44400.0)</f>
        <v>44400</v>
      </c>
      <c r="D373" s="136">
        <f>IFERROR(__xludf.DUMMYFUNCTION("""COMPUTED_VALUE"""),0.0)</f>
        <v>0</v>
      </c>
      <c r="E373" s="137" t="str">
        <f>IFERROR(__xludf.DUMMYFUNCTION("""COMPUTED_VALUE"""),"DF EX25C2.5 Soybeans")</f>
        <v>DF EX25C2.5 Soybeans</v>
      </c>
      <c r="F373" s="138" t="str">
        <f>IFERROR(__xludf.DUMMYFUNCTION("""COMPUTED_VALUE"""),"Gro1")</f>
        <v>Gro1</v>
      </c>
      <c r="G373" t="str">
        <f>IFERROR(__xludf.DUMMYFUNCTION("""COMPUTED_VALUE"""),"GRO1 Ken")</f>
        <v>GRO1 Ken</v>
      </c>
      <c r="H373" s="50"/>
      <c r="I373" s="139">
        <f t="shared" si="11"/>
        <v>0</v>
      </c>
      <c r="J373">
        <f t="shared" si="2"/>
        <v>727.8688525</v>
      </c>
      <c r="K373" s="140">
        <f t="shared" si="12"/>
        <v>727.8688525</v>
      </c>
      <c r="L373" s="142">
        <v>0.0</v>
      </c>
      <c r="M373" s="141">
        <f>sumif(Farms!$C$68:$C$104,E373,Farms!$F$68:$F$104)</f>
        <v>61</v>
      </c>
      <c r="N373" s="141">
        <f>sumif(Farms!$C$68:$C$104,E373,Farms!$G$68:$G$104)</f>
        <v>13</v>
      </c>
    </row>
    <row r="374">
      <c r="A374" s="135">
        <f>IFERROR(__xludf.DUMMYFUNCTION("""COMPUTED_VALUE"""),45938.0)</f>
        <v>45938</v>
      </c>
      <c r="B374" s="87" t="str">
        <f>IFERROR(__xludf.DUMMYFUNCTION("""COMPUTED_VALUE"""),"murray")</f>
        <v>murray</v>
      </c>
      <c r="C374">
        <f>IFERROR(__xludf.DUMMYFUNCTION("""COMPUTED_VALUE"""),56980.0)</f>
        <v>56980</v>
      </c>
      <c r="D374" s="136">
        <f>IFERROR(__xludf.DUMMYFUNCTION("""COMPUTED_VALUE"""),15.6)</f>
        <v>15.6</v>
      </c>
      <c r="E374" s="137" t="str">
        <f>IFERROR(__xludf.DUMMYFUNCTION("""COMPUTED_VALUE"""),"Non-GMO Yellow Corn")</f>
        <v>Non-GMO Yellow Corn</v>
      </c>
      <c r="F374" s="138" t="str">
        <f>IFERROR(__xludf.DUMMYFUNCTION("""COMPUTED_VALUE"""),"0549109")</f>
        <v>0549109</v>
      </c>
      <c r="G374" t="str">
        <f>IFERROR(__xludf.DUMMYFUNCTION("""COMPUTED_VALUE"""),"HBT#5871 Bob Trk# 3 ")</f>
        <v>HBT#5871 Bob Trk# 3 </v>
      </c>
      <c r="H374" s="50">
        <f>IFERROR(__xludf.DUMMYFUNCTION("""COMPUTED_VALUE"""),0.0)</f>
        <v>0</v>
      </c>
      <c r="I374" s="139">
        <f t="shared" si="11"/>
        <v>0</v>
      </c>
      <c r="J374">
        <f t="shared" si="2"/>
        <v>1017.5</v>
      </c>
      <c r="K374" s="140">
        <f t="shared" si="12"/>
        <v>1017.5</v>
      </c>
      <c r="L374" s="142">
        <v>0.0</v>
      </c>
      <c r="M374" s="141">
        <f>sumif(Farms!$C$68:$C$104,E374,Farms!$F$68:$F$104)</f>
        <v>56</v>
      </c>
      <c r="N374" s="141">
        <f>sumif(Farms!$C$68:$C$104,E374,Farms!$G$68:$G$104)</f>
        <v>15</v>
      </c>
    </row>
    <row r="375">
      <c r="A375" s="135">
        <f>IFERROR(__xludf.DUMMYFUNCTION("""COMPUTED_VALUE"""),45938.0)</f>
        <v>45938</v>
      </c>
      <c r="B375" s="87" t="str">
        <f>IFERROR(__xludf.DUMMYFUNCTION("""COMPUTED_VALUE"""),"murray")</f>
        <v>murray</v>
      </c>
      <c r="C375">
        <f>IFERROR(__xludf.DUMMYFUNCTION("""COMPUTED_VALUE"""),57760.0)</f>
        <v>57760</v>
      </c>
      <c r="D375" s="136">
        <f>IFERROR(__xludf.DUMMYFUNCTION("""COMPUTED_VALUE"""),15.5)</f>
        <v>15.5</v>
      </c>
      <c r="E375" s="137" t="str">
        <f>IFERROR(__xludf.DUMMYFUNCTION("""COMPUTED_VALUE"""),"Non-GMO Yellow Corn")</f>
        <v>Non-GMO Yellow Corn</v>
      </c>
      <c r="F375" s="138" t="str">
        <f>IFERROR(__xludf.DUMMYFUNCTION("""COMPUTED_VALUE"""),"0549111")</f>
        <v>0549111</v>
      </c>
      <c r="G375" t="str">
        <f>IFERROR(__xludf.DUMMYFUNCTION("""COMPUTED_VALUE"""),"HBT#4588 Jack Trk# 63 ")</f>
        <v>HBT#4588 Jack Trk# 63 </v>
      </c>
      <c r="H375" s="50">
        <f>IFERROR(__xludf.DUMMYFUNCTION("""COMPUTED_VALUE"""),0.0)</f>
        <v>0</v>
      </c>
      <c r="I375" s="139">
        <f t="shared" si="11"/>
        <v>0</v>
      </c>
      <c r="J375">
        <f t="shared" si="2"/>
        <v>1023.692857</v>
      </c>
      <c r="K375" s="140">
        <f t="shared" si="12"/>
        <v>1023.692857</v>
      </c>
      <c r="L375" s="141">
        <f>sumif(Farms!$C$68:$C$104,E375,Farms!$D$68:$D$104)</f>
        <v>1.5</v>
      </c>
      <c r="M375" s="141">
        <f>sumif(Farms!$C$68:$C$104,E375,Farms!$F$68:$F$104)</f>
        <v>56</v>
      </c>
      <c r="N375" s="141">
        <f>sumif(Farms!$C$68:$C$104,E375,Farms!$G$68:$G$104)</f>
        <v>15</v>
      </c>
    </row>
    <row r="376">
      <c r="A376" s="135">
        <f>IFERROR(__xludf.DUMMYFUNCTION("""COMPUTED_VALUE"""),45938.0)</f>
        <v>45938</v>
      </c>
      <c r="B376" s="87" t="str">
        <f>IFERROR(__xludf.DUMMYFUNCTION("""COMPUTED_VALUE"""),"murray")</f>
        <v>murray</v>
      </c>
      <c r="C376">
        <f>IFERROR(__xludf.DUMMYFUNCTION("""COMPUTED_VALUE"""),57120.0)</f>
        <v>57120</v>
      </c>
      <c r="D376" s="136">
        <f>IFERROR(__xludf.DUMMYFUNCTION("""COMPUTED_VALUE"""),15.2)</f>
        <v>15.2</v>
      </c>
      <c r="E376" s="137" t="str">
        <f>IFERROR(__xludf.DUMMYFUNCTION("""COMPUTED_VALUE"""),"Non-GMO Yellow Corn")</f>
        <v>Non-GMO Yellow Corn</v>
      </c>
      <c r="F376" s="138" t="str">
        <f>IFERROR(__xludf.DUMMYFUNCTION("""COMPUTED_VALUE"""),"0549113")</f>
        <v>0549113</v>
      </c>
      <c r="G376" t="str">
        <f>IFERROR(__xludf.DUMMYFUNCTION("""COMPUTED_VALUE"""),"HBT#5764 Gary Trk# 4 ")</f>
        <v>HBT#5764 Gary Trk# 4 </v>
      </c>
      <c r="H376" s="50">
        <f>IFERROR(__xludf.DUMMYFUNCTION("""COMPUTED_VALUE"""),0.0)</f>
        <v>0</v>
      </c>
      <c r="I376" s="139">
        <f t="shared" si="11"/>
        <v>0</v>
      </c>
      <c r="J376">
        <f t="shared" si="2"/>
        <v>1016.94</v>
      </c>
      <c r="K376" s="140">
        <f t="shared" si="12"/>
        <v>1016.94</v>
      </c>
      <c r="L376" s="141">
        <f>sumif(Farms!$C$68:$C$104,E376,Farms!$D$68:$D$104)</f>
        <v>1.5</v>
      </c>
      <c r="M376" s="141">
        <f>sumif(Farms!$C$68:$C$104,E376,Farms!$F$68:$F$104)</f>
        <v>56</v>
      </c>
      <c r="N376" s="141">
        <f>sumif(Farms!$C$68:$C$104,E376,Farms!$G$68:$G$104)</f>
        <v>15</v>
      </c>
    </row>
    <row r="377">
      <c r="A377" s="135">
        <f>IFERROR(__xludf.DUMMYFUNCTION("""COMPUTED_VALUE"""),45938.0)</f>
        <v>45938</v>
      </c>
      <c r="B377" s="87" t="str">
        <f>IFERROR(__xludf.DUMMYFUNCTION("""COMPUTED_VALUE"""),"murray")</f>
        <v>murray</v>
      </c>
      <c r="C377">
        <f>IFERROR(__xludf.DUMMYFUNCTION("""COMPUTED_VALUE"""),57520.0)</f>
        <v>57520</v>
      </c>
      <c r="D377" s="136">
        <f>IFERROR(__xludf.DUMMYFUNCTION("""COMPUTED_VALUE"""),15.1)</f>
        <v>15.1</v>
      </c>
      <c r="E377" s="137" t="str">
        <f>IFERROR(__xludf.DUMMYFUNCTION("""COMPUTED_VALUE"""),"Non-GMO Yellow Corn")</f>
        <v>Non-GMO Yellow Corn</v>
      </c>
      <c r="F377" s="138" t="str">
        <f>IFERROR(__xludf.DUMMYFUNCTION("""COMPUTED_VALUE"""),"0549119")</f>
        <v>0549119</v>
      </c>
      <c r="G377" t="str">
        <f>IFERROR(__xludf.DUMMYFUNCTION("""COMPUTED_VALUE"""),"HBT#5544 TL Trk# 2 ")</f>
        <v>HBT#5544 TL Trk# 2 </v>
      </c>
      <c r="H377" s="50">
        <f>IFERROR(__xludf.DUMMYFUNCTION("""COMPUTED_VALUE"""),0.0)</f>
        <v>0</v>
      </c>
      <c r="I377" s="139">
        <f t="shared" si="11"/>
        <v>0</v>
      </c>
      <c r="J377">
        <f t="shared" si="2"/>
        <v>1025.602143</v>
      </c>
      <c r="K377" s="140">
        <f t="shared" si="12"/>
        <v>1025.602143</v>
      </c>
      <c r="L377" s="141">
        <f>sumif(Farms!$C$68:$C$104,E377,Farms!$D$68:$D$104)</f>
        <v>1.5</v>
      </c>
      <c r="M377" s="141">
        <f>sumif(Farms!$C$68:$C$104,E377,Farms!$F$68:$F$104)</f>
        <v>56</v>
      </c>
      <c r="N377" s="141">
        <f>sumif(Farms!$C$68:$C$104,E377,Farms!$G$68:$G$104)</f>
        <v>15</v>
      </c>
    </row>
    <row r="378">
      <c r="A378" s="135">
        <f>IFERROR(__xludf.DUMMYFUNCTION("""COMPUTED_VALUE"""),45938.0)</f>
        <v>45938</v>
      </c>
      <c r="B378" s="87" t="str">
        <f>IFERROR(__xludf.DUMMYFUNCTION("""COMPUTED_VALUE"""),"murray")</f>
        <v>murray</v>
      </c>
      <c r="C378">
        <f>IFERROR(__xludf.DUMMYFUNCTION("""COMPUTED_VALUE"""),58480.0)</f>
        <v>58480</v>
      </c>
      <c r="D378" s="136">
        <f>IFERROR(__xludf.DUMMYFUNCTION("""COMPUTED_VALUE"""),15.7)</f>
        <v>15.7</v>
      </c>
      <c r="E378" s="137" t="str">
        <f>IFERROR(__xludf.DUMMYFUNCTION("""COMPUTED_VALUE"""),"Non-GMO Yellow Corn")</f>
        <v>Non-GMO Yellow Corn</v>
      </c>
      <c r="F378" s="138" t="str">
        <f>IFERROR(__xludf.DUMMYFUNCTION("""COMPUTED_VALUE"""),"0549121")</f>
        <v>0549121</v>
      </c>
      <c r="G378" t="str">
        <f>IFERROR(__xludf.DUMMYFUNCTION("""COMPUTED_VALUE"""),"HBT#5872 Bob Trk# 3")</f>
        <v>HBT#5872 Bob Trk# 3</v>
      </c>
      <c r="H378" s="50">
        <f>IFERROR(__xludf.DUMMYFUNCTION("""COMPUTED_VALUE"""),0.0)</f>
        <v>0</v>
      </c>
      <c r="I378" s="139">
        <f t="shared" si="11"/>
        <v>0</v>
      </c>
      <c r="J378">
        <f t="shared" si="2"/>
        <v>1033.320714</v>
      </c>
      <c r="K378" s="140">
        <f t="shared" si="12"/>
        <v>1033.320714</v>
      </c>
      <c r="L378" s="141">
        <f>sumif(Farms!$C$68:$C$104,E378,Farms!$D$68:$D$104)</f>
        <v>1.5</v>
      </c>
      <c r="M378" s="141">
        <f>sumif(Farms!$C$68:$C$104,E378,Farms!$F$68:$F$104)</f>
        <v>56</v>
      </c>
      <c r="N378" s="141">
        <f>sumif(Farms!$C$68:$C$104,E378,Farms!$G$68:$G$104)</f>
        <v>15</v>
      </c>
    </row>
    <row r="379">
      <c r="A379" s="135">
        <f>IFERROR(__xludf.DUMMYFUNCTION("""COMPUTED_VALUE"""),45938.0)</f>
        <v>45938</v>
      </c>
      <c r="B379" s="87" t="str">
        <f>IFERROR(__xludf.DUMMYFUNCTION("""COMPUTED_VALUE"""),"murray")</f>
        <v>murray</v>
      </c>
      <c r="C379">
        <f>IFERROR(__xludf.DUMMYFUNCTION("""COMPUTED_VALUE"""),56480.0)</f>
        <v>56480</v>
      </c>
      <c r="D379" s="136">
        <f>IFERROR(__xludf.DUMMYFUNCTION("""COMPUTED_VALUE"""),15.6)</f>
        <v>15.6</v>
      </c>
      <c r="E379" s="137" t="str">
        <f>IFERROR(__xludf.DUMMYFUNCTION("""COMPUTED_VALUE"""),"Non-GMO Yellow Corn")</f>
        <v>Non-GMO Yellow Corn</v>
      </c>
      <c r="F379" s="138" t="str">
        <f>IFERROR(__xludf.DUMMYFUNCTION("""COMPUTED_VALUE"""),"0549128")</f>
        <v>0549128</v>
      </c>
      <c r="G379" t="str">
        <f>IFERROR(__xludf.DUMMYFUNCTION("""COMPUTED_VALUE"""),"HBT# 4589 Jack Trk# 63")</f>
        <v>HBT# 4589 Jack Trk# 63</v>
      </c>
      <c r="H379" s="50">
        <f>IFERROR(__xludf.DUMMYFUNCTION("""COMPUTED_VALUE"""),0.0)</f>
        <v>0</v>
      </c>
      <c r="I379" s="139">
        <f t="shared" si="11"/>
        <v>0</v>
      </c>
      <c r="J379">
        <f t="shared" si="2"/>
        <v>999.4942857</v>
      </c>
      <c r="K379" s="140">
        <f t="shared" si="12"/>
        <v>999.4942857</v>
      </c>
      <c r="L379" s="141">
        <f>sumif(Farms!$C$68:$C$104,E379,Farms!$D$68:$D$104)</f>
        <v>1.5</v>
      </c>
      <c r="M379" s="141">
        <f>sumif(Farms!$C$68:$C$104,E379,Farms!$F$68:$F$104)</f>
        <v>56</v>
      </c>
      <c r="N379" s="141">
        <f>sumif(Farms!$C$68:$C$104,E379,Farms!$G$68:$G$104)</f>
        <v>15</v>
      </c>
    </row>
    <row r="380">
      <c r="A380" s="135">
        <f>IFERROR(__xludf.DUMMYFUNCTION("""COMPUTED_VALUE"""),45938.0)</f>
        <v>45938</v>
      </c>
      <c r="B380" s="87" t="str">
        <f>IFERROR(__xludf.DUMMYFUNCTION("""COMPUTED_VALUE"""),"murray")</f>
        <v>murray</v>
      </c>
      <c r="C380">
        <f>IFERROR(__xludf.DUMMYFUNCTION("""COMPUTED_VALUE"""),56740.0)</f>
        <v>56740</v>
      </c>
      <c r="D380" s="136">
        <f>IFERROR(__xludf.DUMMYFUNCTION("""COMPUTED_VALUE"""),15.8)</f>
        <v>15.8</v>
      </c>
      <c r="E380" s="137" t="str">
        <f>IFERROR(__xludf.DUMMYFUNCTION("""COMPUTED_VALUE"""),"Non-GMO Yellow Corn")</f>
        <v>Non-GMO Yellow Corn</v>
      </c>
      <c r="F380" s="138" t="str">
        <f>IFERROR(__xludf.DUMMYFUNCTION("""COMPUTED_VALUE"""),"0549129")</f>
        <v>0549129</v>
      </c>
      <c r="G380" t="str">
        <f>IFERROR(__xludf.DUMMYFUNCTION("""COMPUTED_VALUE"""),"HBT#5565 WR Trk# 41")</f>
        <v>HBT#5565 WR Trk# 41</v>
      </c>
      <c r="H380" s="50">
        <f>IFERROR(__xludf.DUMMYFUNCTION("""COMPUTED_VALUE"""),0.0)</f>
        <v>0</v>
      </c>
      <c r="I380" s="139">
        <f t="shared" si="11"/>
        <v>0</v>
      </c>
      <c r="J380">
        <f t="shared" si="2"/>
        <v>1001.055714</v>
      </c>
      <c r="K380" s="140">
        <f t="shared" si="12"/>
        <v>1001.055714</v>
      </c>
      <c r="L380" s="141">
        <f>sumif(Farms!$C$68:$C$104,E380,Farms!$D$68:$D$104)</f>
        <v>1.5</v>
      </c>
      <c r="M380" s="141">
        <f>sumif(Farms!$C$68:$C$104,E380,Farms!$F$68:$F$104)</f>
        <v>56</v>
      </c>
      <c r="N380" s="141">
        <f>sumif(Farms!$C$68:$C$104,E380,Farms!$G$68:$G$104)</f>
        <v>15</v>
      </c>
    </row>
    <row r="381">
      <c r="A381" s="135">
        <f>IFERROR(__xludf.DUMMYFUNCTION("""COMPUTED_VALUE"""),45938.0)</f>
        <v>45938</v>
      </c>
      <c r="B381" s="87" t="str">
        <f>IFERROR(__xludf.DUMMYFUNCTION("""COMPUTED_VALUE"""),"murray")</f>
        <v>murray</v>
      </c>
      <c r="C381">
        <f>IFERROR(__xludf.DUMMYFUNCTION("""COMPUTED_VALUE"""),57760.0)</f>
        <v>57760</v>
      </c>
      <c r="D381" s="136">
        <f>IFERROR(__xludf.DUMMYFUNCTION("""COMPUTED_VALUE"""),16.1)</f>
        <v>16.1</v>
      </c>
      <c r="E381" s="137" t="str">
        <f>IFERROR(__xludf.DUMMYFUNCTION("""COMPUTED_VALUE"""),"Non-GMO Yellow Corn")</f>
        <v>Non-GMO Yellow Corn</v>
      </c>
      <c r="F381" s="138" t="str">
        <f>IFERROR(__xludf.DUMMYFUNCTION("""COMPUTED_VALUE"""),"0549136")</f>
        <v>0549136</v>
      </c>
      <c r="G381" t="str">
        <f>IFERROR(__xludf.DUMMYFUNCTION("""COMPUTED_VALUE"""),"HBT#5765 Gary Trk# 4")</f>
        <v>HBT#5765 Gary Trk# 4</v>
      </c>
      <c r="H381" s="50">
        <f>IFERROR(__xludf.DUMMYFUNCTION("""COMPUTED_VALUE"""),0.0)</f>
        <v>0</v>
      </c>
      <c r="I381" s="139">
        <f t="shared" si="11"/>
        <v>0</v>
      </c>
      <c r="J381">
        <f t="shared" si="2"/>
        <v>1014.41</v>
      </c>
      <c r="K381" s="140">
        <f t="shared" si="12"/>
        <v>1014.41</v>
      </c>
      <c r="L381" s="141">
        <f>sumif(Farms!$C$68:$C$104,E381,Farms!$D$68:$D$104)</f>
        <v>1.5</v>
      </c>
      <c r="M381" s="141">
        <f>sumif(Farms!$C$68:$C$104,E381,Farms!$F$68:$F$104)</f>
        <v>56</v>
      </c>
      <c r="N381" s="141">
        <f>sumif(Farms!$C$68:$C$104,E381,Farms!$G$68:$G$104)</f>
        <v>15</v>
      </c>
    </row>
    <row r="382">
      <c r="A382" s="135">
        <f>IFERROR(__xludf.DUMMYFUNCTION("""COMPUTED_VALUE"""),45938.0)</f>
        <v>45938</v>
      </c>
      <c r="B382" s="87" t="str">
        <f>IFERROR(__xludf.DUMMYFUNCTION("""COMPUTED_VALUE"""),"murray")</f>
        <v>murray</v>
      </c>
      <c r="C382">
        <f>IFERROR(__xludf.DUMMYFUNCTION("""COMPUTED_VALUE"""),57620.0)</f>
        <v>57620</v>
      </c>
      <c r="D382" s="136">
        <f>IFERROR(__xludf.DUMMYFUNCTION("""COMPUTED_VALUE"""),15.8)</f>
        <v>15.8</v>
      </c>
      <c r="E382" s="137" t="str">
        <f>IFERROR(__xludf.DUMMYFUNCTION("""COMPUTED_VALUE"""),"Non-GMO Yellow Corn")</f>
        <v>Non-GMO Yellow Corn</v>
      </c>
      <c r="F382" s="138" t="str">
        <f>IFERROR(__xludf.DUMMYFUNCTION("""COMPUTED_VALUE"""),"0549139")</f>
        <v>0549139</v>
      </c>
      <c r="G382" t="str">
        <f>IFERROR(__xludf.DUMMYFUNCTION("""COMPUTED_VALUE"""),"HBT#5545 TL Trk# 2")</f>
        <v>HBT#5545 TL Trk# 2</v>
      </c>
      <c r="H382" s="50">
        <f>IFERROR(__xludf.DUMMYFUNCTION("""COMPUTED_VALUE"""),0.0)</f>
        <v>0</v>
      </c>
      <c r="I382" s="139">
        <f t="shared" si="11"/>
        <v>0</v>
      </c>
      <c r="J382">
        <f t="shared" si="2"/>
        <v>1016.581429</v>
      </c>
      <c r="K382" s="140">
        <f t="shared" si="12"/>
        <v>1016.581429</v>
      </c>
      <c r="L382" s="141">
        <f>sumif(Farms!$C$68:$C$104,E382,Farms!$D$68:$D$104)</f>
        <v>1.5</v>
      </c>
      <c r="M382" s="141">
        <f>sumif(Farms!$C$68:$C$104,E382,Farms!$F$68:$F$104)</f>
        <v>56</v>
      </c>
      <c r="N382" s="141">
        <f>sumif(Farms!$C$68:$C$104,E382,Farms!$G$68:$G$104)</f>
        <v>15</v>
      </c>
    </row>
    <row r="383">
      <c r="A383" s="135">
        <f>IFERROR(__xludf.DUMMYFUNCTION("""COMPUTED_VALUE"""),45938.0)</f>
        <v>45938</v>
      </c>
      <c r="B383" s="87" t="str">
        <f>IFERROR(__xludf.DUMMYFUNCTION("""COMPUTED_VALUE"""),"murray")</f>
        <v>murray</v>
      </c>
      <c r="C383">
        <f>IFERROR(__xludf.DUMMYFUNCTION("""COMPUTED_VALUE"""),58280.0)</f>
        <v>58280</v>
      </c>
      <c r="D383" s="136">
        <f>IFERROR(__xludf.DUMMYFUNCTION("""COMPUTED_VALUE"""),16.1)</f>
        <v>16.1</v>
      </c>
      <c r="E383" s="137" t="str">
        <f>IFERROR(__xludf.DUMMYFUNCTION("""COMPUTED_VALUE"""),"Non-GMO Yellow Corn")</f>
        <v>Non-GMO Yellow Corn</v>
      </c>
      <c r="F383" s="138" t="str">
        <f>IFERROR(__xludf.DUMMYFUNCTION("""COMPUTED_VALUE"""),"0549142")</f>
        <v>0549142</v>
      </c>
      <c r="G383" t="str">
        <f>IFERROR(__xludf.DUMMYFUNCTION("""COMPUTED_VALUE"""),"HBT#5873 Bob Trk# 3")</f>
        <v>HBT#5873 Bob Trk# 3</v>
      </c>
      <c r="H383" s="50">
        <f>IFERROR(__xludf.DUMMYFUNCTION("""COMPUTED_VALUE"""),0.0)</f>
        <v>0</v>
      </c>
      <c r="I383" s="139">
        <f t="shared" si="11"/>
        <v>0</v>
      </c>
      <c r="J383">
        <f t="shared" si="2"/>
        <v>1023.5425</v>
      </c>
      <c r="K383" s="140">
        <f t="shared" si="12"/>
        <v>1023.5425</v>
      </c>
      <c r="L383" s="141">
        <f>sumif(Farms!$C$68:$C$104,E383,Farms!$D$68:$D$104)</f>
        <v>1.5</v>
      </c>
      <c r="M383" s="141">
        <f>sumif(Farms!$C$68:$C$104,E383,Farms!$F$68:$F$104)</f>
        <v>56</v>
      </c>
      <c r="N383" s="141">
        <f>sumif(Farms!$C$68:$C$104,E383,Farms!$G$68:$G$104)</f>
        <v>15</v>
      </c>
    </row>
    <row r="384">
      <c r="A384" s="135">
        <f>IFERROR(__xludf.DUMMYFUNCTION("""COMPUTED_VALUE"""),45938.0)</f>
        <v>45938</v>
      </c>
      <c r="B384" s="87" t="str">
        <f>IFERROR(__xludf.DUMMYFUNCTION("""COMPUTED_VALUE"""),"murray")</f>
        <v>murray</v>
      </c>
      <c r="C384">
        <f>IFERROR(__xludf.DUMMYFUNCTION("""COMPUTED_VALUE"""),57960.0)</f>
        <v>57960</v>
      </c>
      <c r="D384" s="136">
        <f>IFERROR(__xludf.DUMMYFUNCTION("""COMPUTED_VALUE"""),15.9)</f>
        <v>15.9</v>
      </c>
      <c r="E384" s="137" t="str">
        <f>IFERROR(__xludf.DUMMYFUNCTION("""COMPUTED_VALUE"""),"Non-GMO Yellow Corn")</f>
        <v>Non-GMO Yellow Corn</v>
      </c>
      <c r="F384" s="138" t="str">
        <f>IFERROR(__xludf.DUMMYFUNCTION("""COMPUTED_VALUE"""),"0549147")</f>
        <v>0549147</v>
      </c>
      <c r="G384" t="str">
        <f>IFERROR(__xludf.DUMMYFUNCTION("""COMPUTED_VALUE"""),"HBT#4590 Jack Trk# 3")</f>
        <v>HBT#4590 Jack Trk# 3</v>
      </c>
      <c r="H384" s="50">
        <f>IFERROR(__xludf.DUMMYFUNCTION("""COMPUTED_VALUE"""),0.0)</f>
        <v>0</v>
      </c>
      <c r="I384" s="139">
        <f t="shared" si="11"/>
        <v>0</v>
      </c>
      <c r="J384">
        <f t="shared" si="2"/>
        <v>1021.0275</v>
      </c>
      <c r="K384" s="140">
        <f t="shared" si="12"/>
        <v>1021.0275</v>
      </c>
      <c r="L384" s="141">
        <f>sumif(Farms!$C$68:$C$104,E384,Farms!$D$68:$D$104)</f>
        <v>1.5</v>
      </c>
      <c r="M384" s="141">
        <f>sumif(Farms!$C$68:$C$104,E384,Farms!$F$68:$F$104)</f>
        <v>56</v>
      </c>
      <c r="N384" s="141">
        <f>sumif(Farms!$C$68:$C$104,E384,Farms!$G$68:$G$104)</f>
        <v>15</v>
      </c>
    </row>
    <row r="385">
      <c r="A385" s="135">
        <f>IFERROR(__xludf.DUMMYFUNCTION("""COMPUTED_VALUE"""),45938.0)</f>
        <v>45938</v>
      </c>
      <c r="B385" s="87" t="str">
        <f>IFERROR(__xludf.DUMMYFUNCTION("""COMPUTED_VALUE"""),"murray")</f>
        <v>murray</v>
      </c>
      <c r="C385">
        <f>IFERROR(__xludf.DUMMYFUNCTION("""COMPUTED_VALUE"""),59020.0)</f>
        <v>59020</v>
      </c>
      <c r="D385" s="136">
        <f>IFERROR(__xludf.DUMMYFUNCTION("""COMPUTED_VALUE"""),15.5)</f>
        <v>15.5</v>
      </c>
      <c r="E385" s="137" t="str">
        <f>IFERROR(__xludf.DUMMYFUNCTION("""COMPUTED_VALUE"""),"Non-GMO Yellow Corn")</f>
        <v>Non-GMO Yellow Corn</v>
      </c>
      <c r="F385" s="138" t="str">
        <f>IFERROR(__xludf.DUMMYFUNCTION("""COMPUTED_VALUE"""),"0549150")</f>
        <v>0549150</v>
      </c>
      <c r="G385" t="str">
        <f>IFERROR(__xludf.DUMMYFUNCTION("""COMPUTED_VALUE"""),"HBT#3141 JB Trk# 3")</f>
        <v>HBT#3141 JB Trk# 3</v>
      </c>
      <c r="H385" s="50">
        <f>IFERROR(__xludf.DUMMYFUNCTION("""COMPUTED_VALUE"""),0.0)</f>
        <v>0</v>
      </c>
      <c r="I385" s="139">
        <f t="shared" si="11"/>
        <v>0</v>
      </c>
      <c r="J385">
        <f t="shared" si="2"/>
        <v>1046.024107</v>
      </c>
      <c r="K385" s="140">
        <f t="shared" si="12"/>
        <v>1046.024107</v>
      </c>
      <c r="L385" s="141">
        <f>sumif(Farms!$C$68:$C$104,E385,Farms!$D$68:$D$104)</f>
        <v>1.5</v>
      </c>
      <c r="M385" s="141">
        <f>sumif(Farms!$C$68:$C$104,E385,Farms!$F$68:$F$104)</f>
        <v>56</v>
      </c>
      <c r="N385" s="141">
        <f>sumif(Farms!$C$68:$C$104,E385,Farms!$G$68:$G$104)</f>
        <v>15</v>
      </c>
    </row>
    <row r="386">
      <c r="A386" s="135">
        <f>IFERROR(__xludf.DUMMYFUNCTION("""COMPUTED_VALUE"""),45938.0)</f>
        <v>45938</v>
      </c>
      <c r="B386" s="87" t="str">
        <f>IFERROR(__xludf.DUMMYFUNCTION("""COMPUTED_VALUE"""),"murray")</f>
        <v>murray</v>
      </c>
      <c r="C386">
        <f>IFERROR(__xludf.DUMMYFUNCTION("""COMPUTED_VALUE"""),56980.0)</f>
        <v>56980</v>
      </c>
      <c r="D386" s="136">
        <f>IFERROR(__xludf.DUMMYFUNCTION("""COMPUTED_VALUE"""),15.7)</f>
        <v>15.7</v>
      </c>
      <c r="E386" s="137" t="str">
        <f>IFERROR(__xludf.DUMMYFUNCTION("""COMPUTED_VALUE"""),"Non-GMO Yellow Corn")</f>
        <v>Non-GMO Yellow Corn</v>
      </c>
      <c r="F386" s="138" t="str">
        <f>IFERROR(__xludf.DUMMYFUNCTION("""COMPUTED_VALUE"""),"0549152")</f>
        <v>0549152</v>
      </c>
      <c r="G386" t="str">
        <f>IFERROR(__xludf.DUMMYFUNCTION("""COMPUTED_VALUE"""),"HBT#5566 WR Trk# 41")</f>
        <v>HBT#5566 WR Trk# 41</v>
      </c>
      <c r="H386" s="50">
        <f>IFERROR(__xludf.DUMMYFUNCTION("""COMPUTED_VALUE"""),0.0)</f>
        <v>0</v>
      </c>
      <c r="I386" s="139">
        <f t="shared" si="11"/>
        <v>0</v>
      </c>
      <c r="J386">
        <f t="shared" si="2"/>
        <v>1006.81625</v>
      </c>
      <c r="K386" s="140">
        <f t="shared" si="12"/>
        <v>1006.81625</v>
      </c>
      <c r="L386" s="141">
        <f>sumif(Farms!$C$68:$C$104,E386,Farms!$D$68:$D$104)</f>
        <v>1.5</v>
      </c>
      <c r="M386" s="141">
        <f>sumif(Farms!$C$68:$C$104,E386,Farms!$F$68:$F$104)</f>
        <v>56</v>
      </c>
      <c r="N386" s="141">
        <f>sumif(Farms!$C$68:$C$104,E386,Farms!$G$68:$G$104)</f>
        <v>15</v>
      </c>
    </row>
    <row r="387">
      <c r="A387" s="135">
        <f>IFERROR(__xludf.DUMMYFUNCTION("""COMPUTED_VALUE"""),45938.0)</f>
        <v>45938</v>
      </c>
      <c r="B387" s="87" t="str">
        <f>IFERROR(__xludf.DUMMYFUNCTION("""COMPUTED_VALUE"""),"murray")</f>
        <v>murray</v>
      </c>
      <c r="C387">
        <f>IFERROR(__xludf.DUMMYFUNCTION("""COMPUTED_VALUE"""),58100.0)</f>
        <v>58100</v>
      </c>
      <c r="D387" s="136">
        <f>IFERROR(__xludf.DUMMYFUNCTION("""COMPUTED_VALUE"""),14.9)</f>
        <v>14.9</v>
      </c>
      <c r="E387" s="137" t="str">
        <f>IFERROR(__xludf.DUMMYFUNCTION("""COMPUTED_VALUE"""),"Non-GMO Yellow Corn")</f>
        <v>Non-GMO Yellow Corn</v>
      </c>
      <c r="F387" s="138" t="str">
        <f>IFERROR(__xludf.DUMMYFUNCTION("""COMPUTED_VALUE"""),"0549158")</f>
        <v>0549158</v>
      </c>
      <c r="G387" t="str">
        <f>IFERROR(__xludf.DUMMYFUNCTION("""COMPUTED_VALUE"""),"HBT#5766 gary Trk# 4")</f>
        <v>HBT#5766 gary Trk# 4</v>
      </c>
      <c r="H387" s="50">
        <f>IFERROR(__xludf.DUMMYFUNCTION("""COMPUTED_VALUE"""),0.0)</f>
        <v>0</v>
      </c>
      <c r="I387" s="139">
        <f t="shared" si="11"/>
        <v>0</v>
      </c>
      <c r="J387">
        <f t="shared" si="2"/>
        <v>1039.05625</v>
      </c>
      <c r="K387" s="140">
        <f t="shared" si="12"/>
        <v>1039.05625</v>
      </c>
      <c r="L387" s="141">
        <f>sumif(Farms!$C$68:$C$104,E387,Farms!$D$68:$D$104)</f>
        <v>1.5</v>
      </c>
      <c r="M387" s="141">
        <f>sumif(Farms!$C$68:$C$104,E387,Farms!$F$68:$F$104)</f>
        <v>56</v>
      </c>
      <c r="N387" s="141">
        <f>sumif(Farms!$C$68:$C$104,E387,Farms!$G$68:$G$104)</f>
        <v>15</v>
      </c>
    </row>
    <row r="388">
      <c r="A388" s="135">
        <f>IFERROR(__xludf.DUMMYFUNCTION("""COMPUTED_VALUE"""),45938.0)</f>
        <v>45938</v>
      </c>
      <c r="B388" s="87" t="str">
        <f>IFERROR(__xludf.DUMMYFUNCTION("""COMPUTED_VALUE"""),"murray")</f>
        <v>murray</v>
      </c>
      <c r="C388">
        <f>IFERROR(__xludf.DUMMYFUNCTION("""COMPUTED_VALUE"""),56800.0)</f>
        <v>56800</v>
      </c>
      <c r="D388" s="136">
        <f>IFERROR(__xludf.DUMMYFUNCTION("""COMPUTED_VALUE"""),15.1)</f>
        <v>15.1</v>
      </c>
      <c r="E388" s="137" t="str">
        <f>IFERROR(__xludf.DUMMYFUNCTION("""COMPUTED_VALUE"""),"Non-GMO Yellow Corn")</f>
        <v>Non-GMO Yellow Corn</v>
      </c>
      <c r="F388" s="138" t="str">
        <f>IFERROR(__xludf.DUMMYFUNCTION("""COMPUTED_VALUE"""),"0549162")</f>
        <v>0549162</v>
      </c>
      <c r="G388" t="str">
        <f>IFERROR(__xludf.DUMMYFUNCTION("""COMPUTED_VALUE"""),"HBT#5546 TL Trk# 2")</f>
        <v>HBT#5546 TL Trk# 2</v>
      </c>
      <c r="H388" s="50">
        <f>IFERROR(__xludf.DUMMYFUNCTION("""COMPUTED_VALUE"""),0.0)</f>
        <v>0</v>
      </c>
      <c r="I388" s="139">
        <f t="shared" si="11"/>
        <v>0</v>
      </c>
      <c r="J388">
        <f t="shared" si="2"/>
        <v>1012.764286</v>
      </c>
      <c r="K388" s="140">
        <f t="shared" si="12"/>
        <v>1012.764286</v>
      </c>
      <c r="L388" s="141">
        <f>sumif(Farms!$C$68:$C$104,E388,Farms!$D$68:$D$104)</f>
        <v>1.5</v>
      </c>
      <c r="M388" s="141">
        <f>sumif(Farms!$C$68:$C$104,E388,Farms!$F$68:$F$104)</f>
        <v>56</v>
      </c>
      <c r="N388" s="141">
        <f>sumif(Farms!$C$68:$C$104,E388,Farms!$G$68:$G$104)</f>
        <v>15</v>
      </c>
    </row>
    <row r="389">
      <c r="A389" s="135">
        <f>IFERROR(__xludf.DUMMYFUNCTION("""COMPUTED_VALUE"""),45938.0)</f>
        <v>45938</v>
      </c>
      <c r="B389" s="87" t="str">
        <f>IFERROR(__xludf.DUMMYFUNCTION("""COMPUTED_VALUE"""),"murray")</f>
        <v>murray</v>
      </c>
      <c r="C389">
        <f>IFERROR(__xludf.DUMMYFUNCTION("""COMPUTED_VALUE"""),58880.0)</f>
        <v>58880</v>
      </c>
      <c r="D389" s="136">
        <f>IFERROR(__xludf.DUMMYFUNCTION("""COMPUTED_VALUE"""),14.6)</f>
        <v>14.6</v>
      </c>
      <c r="E389" s="137" t="str">
        <f>IFERROR(__xludf.DUMMYFUNCTION("""COMPUTED_VALUE"""),"Non-GMO Yellow Corn")</f>
        <v>Non-GMO Yellow Corn</v>
      </c>
      <c r="F389" s="138" t="str">
        <f>IFERROR(__xludf.DUMMYFUNCTION("""COMPUTED_VALUE"""),"0549164")</f>
        <v>0549164</v>
      </c>
      <c r="G389" t="str">
        <f>IFERROR(__xludf.DUMMYFUNCTION("""COMPUTED_VALUE"""),"HBT#5874 Bob Trk# 3")</f>
        <v>HBT#5874 Bob Trk# 3</v>
      </c>
      <c r="H389" s="50">
        <f>IFERROR(__xludf.DUMMYFUNCTION("""COMPUTED_VALUE"""),0.0)</f>
        <v>0</v>
      </c>
      <c r="I389" s="139">
        <f t="shared" si="11"/>
        <v>0</v>
      </c>
      <c r="J389">
        <f t="shared" si="2"/>
        <v>1057.737143</v>
      </c>
      <c r="K389" s="140">
        <f t="shared" si="12"/>
        <v>1057.737143</v>
      </c>
      <c r="L389" s="141">
        <f>sumif(Farms!$C$68:$C$104,E389,Farms!$D$68:$D$104)</f>
        <v>1.5</v>
      </c>
      <c r="M389" s="141">
        <f>sumif(Farms!$C$68:$C$104,E389,Farms!$F$68:$F$104)</f>
        <v>56</v>
      </c>
      <c r="N389" s="141">
        <f>sumif(Farms!$C$68:$C$104,E389,Farms!$G$68:$G$104)</f>
        <v>15</v>
      </c>
    </row>
    <row r="390">
      <c r="A390" s="135">
        <f>IFERROR(__xludf.DUMMYFUNCTION("""COMPUTED_VALUE"""),45938.0)</f>
        <v>45938</v>
      </c>
      <c r="B390" s="87" t="str">
        <f>IFERROR(__xludf.DUMMYFUNCTION("""COMPUTED_VALUE"""),"murray")</f>
        <v>murray</v>
      </c>
      <c r="C390">
        <f>IFERROR(__xludf.DUMMYFUNCTION("""COMPUTED_VALUE"""),58320.0)</f>
        <v>58320</v>
      </c>
      <c r="D390" s="136">
        <f>IFERROR(__xludf.DUMMYFUNCTION("""COMPUTED_VALUE"""),15.4)</f>
        <v>15.4</v>
      </c>
      <c r="E390" s="137" t="str">
        <f>IFERROR(__xludf.DUMMYFUNCTION("""COMPUTED_VALUE"""),"Non-GMO Yellow Corn")</f>
        <v>Non-GMO Yellow Corn</v>
      </c>
      <c r="F390" s="138" t="str">
        <f>IFERROR(__xludf.DUMMYFUNCTION("""COMPUTED_VALUE"""),"0549169")</f>
        <v>0549169</v>
      </c>
      <c r="G390" t="str">
        <f>IFERROR(__xludf.DUMMYFUNCTION("""COMPUTED_VALUE"""),"HBT#4591 Jack Trk# 63")</f>
        <v>HBT#4591 Jack Trk# 63</v>
      </c>
      <c r="H390" s="50">
        <f>IFERROR(__xludf.DUMMYFUNCTION("""COMPUTED_VALUE"""),0.0)</f>
        <v>0</v>
      </c>
      <c r="I390" s="139">
        <f t="shared" si="11"/>
        <v>0</v>
      </c>
      <c r="J390">
        <f t="shared" si="2"/>
        <v>1035.18</v>
      </c>
      <c r="K390" s="140">
        <f t="shared" si="12"/>
        <v>1035.18</v>
      </c>
      <c r="L390" s="141">
        <f>sumif(Farms!$C$68:$C$104,E390,Farms!$D$68:$D$104)</f>
        <v>1.5</v>
      </c>
      <c r="M390" s="141">
        <f>sumif(Farms!$C$68:$C$104,E390,Farms!$F$68:$F$104)</f>
        <v>56</v>
      </c>
      <c r="N390" s="141">
        <f>sumif(Farms!$C$68:$C$104,E390,Farms!$G$68:$G$104)</f>
        <v>15</v>
      </c>
    </row>
    <row r="391">
      <c r="A391" s="135">
        <f>IFERROR(__xludf.DUMMYFUNCTION("""COMPUTED_VALUE"""),45938.0)</f>
        <v>45938</v>
      </c>
      <c r="B391" s="87" t="str">
        <f>IFERROR(__xludf.DUMMYFUNCTION("""COMPUTED_VALUE"""),"murray")</f>
        <v>murray</v>
      </c>
      <c r="C391">
        <f>IFERROR(__xludf.DUMMYFUNCTION("""COMPUTED_VALUE"""),58260.0)</f>
        <v>58260</v>
      </c>
      <c r="D391" s="136">
        <f>IFERROR(__xludf.DUMMYFUNCTION("""COMPUTED_VALUE"""),15.0)</f>
        <v>15</v>
      </c>
      <c r="E391" s="137" t="str">
        <f>IFERROR(__xludf.DUMMYFUNCTION("""COMPUTED_VALUE"""),"Non-GMO Yellow Corn")</f>
        <v>Non-GMO Yellow Corn</v>
      </c>
      <c r="F391" s="138" t="str">
        <f>IFERROR(__xludf.DUMMYFUNCTION("""COMPUTED_VALUE"""),"0549174")</f>
        <v>0549174</v>
      </c>
      <c r="G391" t="str">
        <f>IFERROR(__xludf.DUMMYFUNCTION("""COMPUTED_VALUE"""),"HBT#3145 JB Trk# 5")</f>
        <v>HBT#3145 JB Trk# 5</v>
      </c>
      <c r="H391" s="50">
        <f>IFERROR(__xludf.DUMMYFUNCTION("""COMPUTED_VALUE"""),0.0)</f>
        <v>0</v>
      </c>
      <c r="I391" s="139">
        <f t="shared" si="11"/>
        <v>0</v>
      </c>
      <c r="J391">
        <f t="shared" si="2"/>
        <v>1040.357143</v>
      </c>
      <c r="K391" s="140">
        <f t="shared" si="12"/>
        <v>1040.357143</v>
      </c>
      <c r="L391" s="141">
        <f>sumif(Farms!$C$68:$C$104,E391,Farms!$D$68:$D$104)</f>
        <v>1.5</v>
      </c>
      <c r="M391" s="141">
        <f>sumif(Farms!$C$68:$C$104,E391,Farms!$F$68:$F$104)</f>
        <v>56</v>
      </c>
      <c r="N391" s="141">
        <f>sumif(Farms!$C$68:$C$104,E391,Farms!$G$68:$G$104)</f>
        <v>15</v>
      </c>
    </row>
    <row r="392">
      <c r="A392" s="135">
        <f>IFERROR(__xludf.DUMMYFUNCTION("""COMPUTED_VALUE"""),45938.0)</f>
        <v>45938</v>
      </c>
      <c r="B392" s="87" t="str">
        <f>IFERROR(__xludf.DUMMYFUNCTION("""COMPUTED_VALUE"""),"murray")</f>
        <v>murray</v>
      </c>
      <c r="C392">
        <f>IFERROR(__xludf.DUMMYFUNCTION("""COMPUTED_VALUE"""),57080.0)</f>
        <v>57080</v>
      </c>
      <c r="D392" s="136">
        <f>IFERROR(__xludf.DUMMYFUNCTION("""COMPUTED_VALUE"""),15.2)</f>
        <v>15.2</v>
      </c>
      <c r="E392" s="137" t="str">
        <f>IFERROR(__xludf.DUMMYFUNCTION("""COMPUTED_VALUE"""),"Non-GMO Yellow Corn")</f>
        <v>Non-GMO Yellow Corn</v>
      </c>
      <c r="F392" s="138" t="str">
        <f>IFERROR(__xludf.DUMMYFUNCTION("""COMPUTED_VALUE"""),"0549175")</f>
        <v>0549175</v>
      </c>
      <c r="G392" t="str">
        <f>IFERROR(__xludf.DUMMYFUNCTION("""COMPUTED_VALUE"""),"HBT#5567 WR Trk# 41")</f>
        <v>HBT#5567 WR Trk# 41</v>
      </c>
      <c r="H392" s="50">
        <f>IFERROR(__xludf.DUMMYFUNCTION("""COMPUTED_VALUE"""),0.0)</f>
        <v>0</v>
      </c>
      <c r="I392" s="139">
        <f t="shared" si="11"/>
        <v>0</v>
      </c>
      <c r="J392">
        <f t="shared" si="2"/>
        <v>1016.227857</v>
      </c>
      <c r="K392" s="140">
        <f t="shared" si="12"/>
        <v>1016.227857</v>
      </c>
      <c r="L392" s="141">
        <f>sumif(Farms!$C$68:$C$104,E392,Farms!$D$68:$D$104)</f>
        <v>1.5</v>
      </c>
      <c r="M392" s="141">
        <f>sumif(Farms!$C$68:$C$104,E392,Farms!$F$68:$F$104)</f>
        <v>56</v>
      </c>
      <c r="N392" s="141">
        <f>sumif(Farms!$C$68:$C$104,E392,Farms!$G$68:$G$104)</f>
        <v>15</v>
      </c>
    </row>
    <row r="393">
      <c r="A393" s="135">
        <f>IFERROR(__xludf.DUMMYFUNCTION("""COMPUTED_VALUE"""),45938.0)</f>
        <v>45938</v>
      </c>
      <c r="B393" s="87" t="str">
        <f>IFERROR(__xludf.DUMMYFUNCTION("""COMPUTED_VALUE"""),"murray")</f>
        <v>murray</v>
      </c>
      <c r="C393">
        <f>IFERROR(__xludf.DUMMYFUNCTION("""COMPUTED_VALUE"""),58600.0)</f>
        <v>58600</v>
      </c>
      <c r="D393" s="136">
        <f>IFERROR(__xludf.DUMMYFUNCTION("""COMPUTED_VALUE"""),15.1)</f>
        <v>15.1</v>
      </c>
      <c r="E393" s="137" t="str">
        <f>IFERROR(__xludf.DUMMYFUNCTION("""COMPUTED_VALUE"""),"Non-GMO Yellow Corn")</f>
        <v>Non-GMO Yellow Corn</v>
      </c>
      <c r="F393" s="138" t="str">
        <f>IFERROR(__xludf.DUMMYFUNCTION("""COMPUTED_VALUE"""),"0549177")</f>
        <v>0549177</v>
      </c>
      <c r="G393" t="str">
        <f>IFERROR(__xludf.DUMMYFUNCTION("""COMPUTED_VALUE"""),"HBT#5767 Trk# 4")</f>
        <v>HBT#5767 Trk# 4</v>
      </c>
      <c r="H393" s="50">
        <f>IFERROR(__xludf.DUMMYFUNCTION("""COMPUTED_VALUE"""),0.0)</f>
        <v>0</v>
      </c>
      <c r="I393" s="139">
        <f t="shared" si="11"/>
        <v>0</v>
      </c>
      <c r="J393">
        <f t="shared" si="2"/>
        <v>1044.858929</v>
      </c>
      <c r="K393" s="140">
        <f t="shared" si="12"/>
        <v>1044.858929</v>
      </c>
      <c r="L393" s="141">
        <f>sumif(Farms!$C$68:$C$104,E393,Farms!$D$68:$D$104)</f>
        <v>1.5</v>
      </c>
      <c r="M393" s="141">
        <f>sumif(Farms!$C$68:$C$104,E393,Farms!$F$68:$F$104)</f>
        <v>56</v>
      </c>
      <c r="N393" s="141">
        <f>sumif(Farms!$C$68:$C$104,E393,Farms!$G$68:$G$104)</f>
        <v>15</v>
      </c>
    </row>
    <row r="394">
      <c r="A394" s="135">
        <f>IFERROR(__xludf.DUMMYFUNCTION("""COMPUTED_VALUE"""),45938.0)</f>
        <v>45938</v>
      </c>
      <c r="B394" s="87" t="str">
        <f>IFERROR(__xludf.DUMMYFUNCTION("""COMPUTED_VALUE"""),"murray")</f>
        <v>murray</v>
      </c>
      <c r="C394">
        <f>IFERROR(__xludf.DUMMYFUNCTION("""COMPUTED_VALUE"""),58360.0)</f>
        <v>58360</v>
      </c>
      <c r="D394" s="136">
        <f>IFERROR(__xludf.DUMMYFUNCTION("""COMPUTED_VALUE"""),15.0)</f>
        <v>15</v>
      </c>
      <c r="E394" s="137" t="str">
        <f>IFERROR(__xludf.DUMMYFUNCTION("""COMPUTED_VALUE"""),"Non-GMO Yellow Corn")</f>
        <v>Non-GMO Yellow Corn</v>
      </c>
      <c r="F394" s="138" t="str">
        <f>IFERROR(__xludf.DUMMYFUNCTION("""COMPUTED_VALUE"""),"0549185")</f>
        <v>0549185</v>
      </c>
      <c r="G394" t="str">
        <f>IFERROR(__xludf.DUMMYFUNCTION("""COMPUTED_VALUE"""),"HBT#5875 Bob Trk# 3")</f>
        <v>HBT#5875 Bob Trk# 3</v>
      </c>
      <c r="H394" s="50">
        <f>IFERROR(__xludf.DUMMYFUNCTION("""COMPUTED_VALUE"""),0.0)</f>
        <v>0</v>
      </c>
      <c r="I394" s="139">
        <f t="shared" si="11"/>
        <v>0</v>
      </c>
      <c r="J394">
        <f t="shared" si="2"/>
        <v>1042.142857</v>
      </c>
      <c r="K394" s="140">
        <f t="shared" si="12"/>
        <v>1042.142857</v>
      </c>
      <c r="L394" s="141">
        <f>sumif(Farms!$C$68:$C$104,E394,Farms!$D$68:$D$104)</f>
        <v>1.5</v>
      </c>
      <c r="M394" s="141">
        <f>sumif(Farms!$C$68:$C$104,E394,Farms!$F$68:$F$104)</f>
        <v>56</v>
      </c>
      <c r="N394" s="141">
        <f>sumif(Farms!$C$68:$C$104,E394,Farms!$G$68:$G$104)</f>
        <v>15</v>
      </c>
    </row>
    <row r="395">
      <c r="A395" s="135">
        <f>IFERROR(__xludf.DUMMYFUNCTION("""COMPUTED_VALUE"""),45938.0)</f>
        <v>45938</v>
      </c>
      <c r="B395" s="87" t="str">
        <f>IFERROR(__xludf.DUMMYFUNCTION("""COMPUTED_VALUE"""),"murray")</f>
        <v>murray</v>
      </c>
      <c r="C395">
        <f>IFERROR(__xludf.DUMMYFUNCTION("""COMPUTED_VALUE"""),56900.0)</f>
        <v>56900</v>
      </c>
      <c r="D395" s="136">
        <f>IFERROR(__xludf.DUMMYFUNCTION("""COMPUTED_VALUE"""),15.2)</f>
        <v>15.2</v>
      </c>
      <c r="E395" s="137" t="str">
        <f>IFERROR(__xludf.DUMMYFUNCTION("""COMPUTED_VALUE"""),"Non-GMO Yellow Corn")</f>
        <v>Non-GMO Yellow Corn</v>
      </c>
      <c r="F395" s="138" t="str">
        <f>IFERROR(__xludf.DUMMYFUNCTION("""COMPUTED_VALUE"""),"0549187")</f>
        <v>0549187</v>
      </c>
      <c r="G395" t="str">
        <f>IFERROR(__xludf.DUMMYFUNCTION("""COMPUTED_VALUE"""),"HBT#5547 TL Trk# 2")</f>
        <v>HBT#5547 TL Trk# 2</v>
      </c>
      <c r="H395" s="50">
        <f>IFERROR(__xludf.DUMMYFUNCTION("""COMPUTED_VALUE"""),0.0)</f>
        <v>0</v>
      </c>
      <c r="I395" s="139">
        <f t="shared" si="11"/>
        <v>0</v>
      </c>
      <c r="J395">
        <f t="shared" si="2"/>
        <v>1013.023214</v>
      </c>
      <c r="K395" s="140">
        <f t="shared" si="12"/>
        <v>1013.023214</v>
      </c>
      <c r="L395" s="141">
        <f>sumif(Farms!$C$68:$C$104,E395,Farms!$D$68:$D$104)</f>
        <v>1.5</v>
      </c>
      <c r="M395" s="141">
        <f>sumif(Farms!$C$68:$C$104,E395,Farms!$F$68:$F$104)</f>
        <v>56</v>
      </c>
      <c r="N395" s="141">
        <f>sumif(Farms!$C$68:$C$104,E395,Farms!$G$68:$G$104)</f>
        <v>15</v>
      </c>
    </row>
    <row r="396">
      <c r="A396" s="135">
        <f>IFERROR(__xludf.DUMMYFUNCTION("""COMPUTED_VALUE"""),45938.0)</f>
        <v>45938</v>
      </c>
      <c r="B396" s="87" t="str">
        <f>IFERROR(__xludf.DUMMYFUNCTION("""COMPUTED_VALUE"""),"murray")</f>
        <v>murray</v>
      </c>
      <c r="C396">
        <f>IFERROR(__xludf.DUMMYFUNCTION("""COMPUTED_VALUE"""),58800.0)</f>
        <v>58800</v>
      </c>
      <c r="D396" s="136">
        <f>IFERROR(__xludf.DUMMYFUNCTION("""COMPUTED_VALUE"""),14.7)</f>
        <v>14.7</v>
      </c>
      <c r="E396" s="137" t="str">
        <f>IFERROR(__xludf.DUMMYFUNCTION("""COMPUTED_VALUE"""),"Non-GMO Yellow Corn")</f>
        <v>Non-GMO Yellow Corn</v>
      </c>
      <c r="F396" s="138" t="str">
        <f>IFERROR(__xludf.DUMMYFUNCTION("""COMPUTED_VALUE"""),"0549195")</f>
        <v>0549195</v>
      </c>
      <c r="G396" t="str">
        <f>IFERROR(__xludf.DUMMYFUNCTION("""COMPUTED_VALUE"""),"HBT#4592 Jack Trk# 63")</f>
        <v>HBT#4592 Jack Trk# 63</v>
      </c>
      <c r="H396" s="50">
        <f>IFERROR(__xludf.DUMMYFUNCTION("""COMPUTED_VALUE"""),0.0)</f>
        <v>0</v>
      </c>
      <c r="I396" s="139">
        <f t="shared" si="11"/>
        <v>0</v>
      </c>
      <c r="J396">
        <f t="shared" si="2"/>
        <v>1054.725</v>
      </c>
      <c r="K396" s="140">
        <f t="shared" si="12"/>
        <v>1054.725</v>
      </c>
      <c r="L396" s="141">
        <f>sumif(Farms!$C$68:$C$104,E396,Farms!$D$68:$D$104)</f>
        <v>1.5</v>
      </c>
      <c r="M396" s="141">
        <f>sumif(Farms!$C$68:$C$104,E396,Farms!$F$68:$F$104)</f>
        <v>56</v>
      </c>
      <c r="N396" s="141">
        <f>sumif(Farms!$C$68:$C$104,E396,Farms!$G$68:$G$104)</f>
        <v>15</v>
      </c>
    </row>
    <row r="397">
      <c r="A397" s="135">
        <f>IFERROR(__xludf.DUMMYFUNCTION("""COMPUTED_VALUE"""),45938.0)</f>
        <v>45938</v>
      </c>
      <c r="B397" s="87" t="str">
        <f>IFERROR(__xludf.DUMMYFUNCTION("""COMPUTED_VALUE"""),"murray")</f>
        <v>murray</v>
      </c>
      <c r="C397">
        <f>IFERROR(__xludf.DUMMYFUNCTION("""COMPUTED_VALUE"""),56980.0)</f>
        <v>56980</v>
      </c>
      <c r="D397" s="136">
        <f>IFERROR(__xludf.DUMMYFUNCTION("""COMPUTED_VALUE"""),14.3)</f>
        <v>14.3</v>
      </c>
      <c r="E397" s="137" t="str">
        <f>IFERROR(__xludf.DUMMYFUNCTION("""COMPUTED_VALUE"""),"Non-GMO Yellow Corn")</f>
        <v>Non-GMO Yellow Corn</v>
      </c>
      <c r="F397" s="138" t="str">
        <f>IFERROR(__xludf.DUMMYFUNCTION("""COMPUTED_VALUE"""),"0549201")</f>
        <v>0549201</v>
      </c>
      <c r="G397" t="str">
        <f>IFERROR(__xludf.DUMMYFUNCTION("""COMPUTED_VALUE"""),"HBT#3143 Trk# 5")</f>
        <v>HBT#3143 Trk# 5</v>
      </c>
      <c r="H397" s="50">
        <f>IFERROR(__xludf.DUMMYFUNCTION("""COMPUTED_VALUE"""),0.0)</f>
        <v>0</v>
      </c>
      <c r="I397" s="139">
        <f t="shared" si="11"/>
        <v>0</v>
      </c>
      <c r="J397">
        <f t="shared" si="2"/>
        <v>1028.18375</v>
      </c>
      <c r="K397" s="140">
        <f t="shared" si="12"/>
        <v>1028.18375</v>
      </c>
      <c r="L397" s="141">
        <f>sumif(Farms!$C$68:$C$104,E397,Farms!$D$68:$D$104)</f>
        <v>1.5</v>
      </c>
      <c r="M397" s="141">
        <f>sumif(Farms!$C$68:$C$104,E397,Farms!$F$68:$F$104)</f>
        <v>56</v>
      </c>
      <c r="N397" s="141">
        <f>sumif(Farms!$C$68:$C$104,E397,Farms!$G$68:$G$104)</f>
        <v>15</v>
      </c>
    </row>
    <row r="398">
      <c r="A398" s="135">
        <f>IFERROR(__xludf.DUMMYFUNCTION("""COMPUTED_VALUE"""),45938.0)</f>
        <v>45938</v>
      </c>
      <c r="B398" s="87" t="str">
        <f>IFERROR(__xludf.DUMMYFUNCTION("""COMPUTED_VALUE"""),"murray")</f>
        <v>murray</v>
      </c>
      <c r="C398">
        <f>IFERROR(__xludf.DUMMYFUNCTION("""COMPUTED_VALUE"""),57120.0)</f>
        <v>57120</v>
      </c>
      <c r="D398" s="136">
        <f>IFERROR(__xludf.DUMMYFUNCTION("""COMPUTED_VALUE"""),14.4)</f>
        <v>14.4</v>
      </c>
      <c r="E398" s="137" t="str">
        <f>IFERROR(__xludf.DUMMYFUNCTION("""COMPUTED_VALUE"""),"Non-GMO Yellow Corn")</f>
        <v>Non-GMO Yellow Corn</v>
      </c>
      <c r="F398" s="138" t="str">
        <f>IFERROR(__xludf.DUMMYFUNCTION("""COMPUTED_VALUE"""),"0549202")</f>
        <v>0549202</v>
      </c>
      <c r="G398" t="str">
        <f>IFERROR(__xludf.DUMMYFUNCTION("""COMPUTED_VALUE"""),"HBT#5768  Gary Trk# 4")</f>
        <v>HBT#5768  Gary Trk# 4</v>
      </c>
      <c r="H398" s="50">
        <f>IFERROR(__xludf.DUMMYFUNCTION("""COMPUTED_VALUE"""),0.0)</f>
        <v>0</v>
      </c>
      <c r="I398" s="139">
        <f t="shared" si="11"/>
        <v>0</v>
      </c>
      <c r="J398">
        <f t="shared" si="2"/>
        <v>1029.18</v>
      </c>
      <c r="K398" s="140">
        <f t="shared" si="12"/>
        <v>1029.18</v>
      </c>
      <c r="L398" s="141">
        <f>sumif(Farms!$C$68:$C$104,E398,Farms!$D$68:$D$104)</f>
        <v>1.5</v>
      </c>
      <c r="M398" s="141">
        <f>sumif(Farms!$C$68:$C$104,E398,Farms!$F$68:$F$104)</f>
        <v>56</v>
      </c>
      <c r="N398" s="141">
        <f>sumif(Farms!$C$68:$C$104,E398,Farms!$G$68:$G$104)</f>
        <v>15</v>
      </c>
    </row>
    <row r="399">
      <c r="A399" s="135">
        <f>IFERROR(__xludf.DUMMYFUNCTION("""COMPUTED_VALUE"""),45938.0)</f>
        <v>45938</v>
      </c>
      <c r="B399" s="87" t="str">
        <f>IFERROR(__xludf.DUMMYFUNCTION("""COMPUTED_VALUE"""),"murray")</f>
        <v>murray</v>
      </c>
      <c r="C399">
        <f>IFERROR(__xludf.DUMMYFUNCTION("""COMPUTED_VALUE"""),57420.0)</f>
        <v>57420</v>
      </c>
      <c r="D399" s="136">
        <f>IFERROR(__xludf.DUMMYFUNCTION("""COMPUTED_VALUE"""),14.7)</f>
        <v>14.7</v>
      </c>
      <c r="E399" s="137" t="str">
        <f>IFERROR(__xludf.DUMMYFUNCTION("""COMPUTED_VALUE"""),"Non-GMO Yellow Corn")</f>
        <v>Non-GMO Yellow Corn</v>
      </c>
      <c r="F399" s="138" t="str">
        <f>IFERROR(__xludf.DUMMYFUNCTION("""COMPUTED_VALUE"""),"0549203")</f>
        <v>0549203</v>
      </c>
      <c r="G399" t="str">
        <f>IFERROR(__xludf.DUMMYFUNCTION("""COMPUTED_VALUE"""),"HBT#5568 WR Trk# 41")</f>
        <v>HBT#5568 WR Trk# 41</v>
      </c>
      <c r="H399" s="50">
        <f>IFERROR(__xludf.DUMMYFUNCTION("""COMPUTED_VALUE"""),0.0)</f>
        <v>0</v>
      </c>
      <c r="I399" s="139">
        <f t="shared" si="11"/>
        <v>0</v>
      </c>
      <c r="J399">
        <f t="shared" si="2"/>
        <v>1029.97125</v>
      </c>
      <c r="K399" s="140">
        <f t="shared" si="12"/>
        <v>1029.97125</v>
      </c>
      <c r="L399" s="141">
        <f>sumif(Farms!$C$68:$C$104,E399,Farms!$D$68:$D$104)</f>
        <v>1.5</v>
      </c>
      <c r="M399" s="141">
        <f>sumif(Farms!$C$68:$C$104,E399,Farms!$F$68:$F$104)</f>
        <v>56</v>
      </c>
      <c r="N399" s="141">
        <f>sumif(Farms!$C$68:$C$104,E399,Farms!$G$68:$G$104)</f>
        <v>15</v>
      </c>
    </row>
    <row r="400">
      <c r="A400" s="135">
        <f>IFERROR(__xludf.DUMMYFUNCTION("""COMPUTED_VALUE"""),45938.0)</f>
        <v>45938</v>
      </c>
      <c r="B400" s="87" t="str">
        <f>IFERROR(__xludf.DUMMYFUNCTION("""COMPUTED_VALUE"""),"murray")</f>
        <v>murray</v>
      </c>
      <c r="C400">
        <f>IFERROR(__xludf.DUMMYFUNCTION("""COMPUTED_VALUE"""),56960.0)</f>
        <v>56960</v>
      </c>
      <c r="D400" s="136">
        <f>IFERROR(__xludf.DUMMYFUNCTION("""COMPUTED_VALUE"""),14.5)</f>
        <v>14.5</v>
      </c>
      <c r="E400" s="137" t="str">
        <f>IFERROR(__xludf.DUMMYFUNCTION("""COMPUTED_VALUE"""),"Non-GMO Yellow Corn")</f>
        <v>Non-GMO Yellow Corn</v>
      </c>
      <c r="F400" s="138" t="str">
        <f>IFERROR(__xludf.DUMMYFUNCTION("""COMPUTED_VALUE"""),"0549207")</f>
        <v>0549207</v>
      </c>
      <c r="G400" t="str">
        <f>IFERROR(__xludf.DUMMYFUNCTION("""COMPUTED_VALUE"""),"HBT#5876 Bob Trk# 3")</f>
        <v>HBT#5876 Bob Trk# 3</v>
      </c>
      <c r="H400" s="50">
        <f>IFERROR(__xludf.DUMMYFUNCTION("""COMPUTED_VALUE"""),0.0)</f>
        <v>0</v>
      </c>
      <c r="I400" s="139">
        <f t="shared" si="11"/>
        <v>0</v>
      </c>
      <c r="J400">
        <f t="shared" si="2"/>
        <v>1024.771429</v>
      </c>
      <c r="K400" s="140">
        <f t="shared" si="12"/>
        <v>1024.771429</v>
      </c>
      <c r="L400" s="141">
        <f>sumif(Farms!$C$68:$C$104,E400,Farms!$D$68:$D$104)</f>
        <v>1.5</v>
      </c>
      <c r="M400" s="141">
        <f>sumif(Farms!$C$68:$C$104,E400,Farms!$F$68:$F$104)</f>
        <v>56</v>
      </c>
      <c r="N400" s="141">
        <f>sumif(Farms!$C$68:$C$104,E400,Farms!$G$68:$G$104)</f>
        <v>15</v>
      </c>
    </row>
    <row r="401">
      <c r="A401" s="135">
        <f>IFERROR(__xludf.DUMMYFUNCTION("""COMPUTED_VALUE"""),45938.0)</f>
        <v>45938</v>
      </c>
      <c r="B401" s="87" t="str">
        <f>IFERROR(__xludf.DUMMYFUNCTION("""COMPUTED_VALUE"""),"murray")</f>
        <v>murray</v>
      </c>
      <c r="C401">
        <f>IFERROR(__xludf.DUMMYFUNCTION("""COMPUTED_VALUE"""),55720.0)</f>
        <v>55720</v>
      </c>
      <c r="D401" s="136">
        <f>IFERROR(__xludf.DUMMYFUNCTION("""COMPUTED_VALUE"""),14.5)</f>
        <v>14.5</v>
      </c>
      <c r="E401" s="137" t="str">
        <f>IFERROR(__xludf.DUMMYFUNCTION("""COMPUTED_VALUE"""),"Non-GMO Yellow Corn")</f>
        <v>Non-GMO Yellow Corn</v>
      </c>
      <c r="F401" s="138" t="str">
        <f>IFERROR(__xludf.DUMMYFUNCTION("""COMPUTED_VALUE"""),"0549212")</f>
        <v>0549212</v>
      </c>
      <c r="G401" t="str">
        <f>IFERROR(__xludf.DUMMYFUNCTION("""COMPUTED_VALUE"""),"HBT#5548 TL Trk# 2 Last Load")</f>
        <v>HBT#5548 TL Trk# 2 Last Load</v>
      </c>
      <c r="H401" s="50">
        <f>IFERROR(__xludf.DUMMYFUNCTION("""COMPUTED_VALUE"""),0.0)</f>
        <v>0</v>
      </c>
      <c r="I401" s="139">
        <f t="shared" si="11"/>
        <v>0</v>
      </c>
      <c r="J401">
        <f t="shared" si="2"/>
        <v>1002.4625</v>
      </c>
      <c r="K401" s="140">
        <f t="shared" si="12"/>
        <v>1002.4625</v>
      </c>
      <c r="L401" s="141">
        <f>sumif(Farms!$C$68:$C$104,E401,Farms!$D$68:$D$104)</f>
        <v>1.5</v>
      </c>
      <c r="M401" s="141">
        <f>sumif(Farms!$C$68:$C$104,E401,Farms!$F$68:$F$104)</f>
        <v>56</v>
      </c>
      <c r="N401" s="141">
        <f>sumif(Farms!$C$68:$C$104,E401,Farms!$G$68:$G$104)</f>
        <v>15</v>
      </c>
    </row>
    <row r="402">
      <c r="A402" s="135">
        <f>IFERROR(__xludf.DUMMYFUNCTION("""COMPUTED_VALUE"""),45930.0)</f>
        <v>45930</v>
      </c>
      <c r="B402" s="87" t="str">
        <f>IFERROR(__xludf.DUMMYFUNCTION("""COMPUTED_VALUE"""),"New Life")</f>
        <v>New Life</v>
      </c>
      <c r="C402">
        <f>IFERROR(__xludf.DUMMYFUNCTION("""COMPUTED_VALUE"""),12498.0)</f>
        <v>12498</v>
      </c>
      <c r="D402" s="136">
        <f>IFERROR(__xludf.DUMMYFUNCTION("""COMPUTED_VALUE"""),10.2)</f>
        <v>10.2</v>
      </c>
      <c r="E402" s="137" t="str">
        <f>IFERROR(__xludf.DUMMYFUNCTION("""COMPUTED_VALUE"""),"Enlist Soybeans")</f>
        <v>Enlist Soybeans</v>
      </c>
      <c r="F402" s="138" t="str">
        <f>IFERROR(__xludf.DUMMYFUNCTION("""COMPUTED_VALUE"""),"M038474")</f>
        <v>M038474</v>
      </c>
      <c r="G402" t="str">
        <f>IFERROR(__xludf.DUMMYFUNCTION("""COMPUTED_VALUE"""),"HBT# 5095  Bob Trk# 3 Split Load")</f>
        <v>HBT# 5095  Bob Trk# 3 Split Load</v>
      </c>
      <c r="H402" s="50">
        <f>IFERROR(__xludf.DUMMYFUNCTION("""COMPUTED_VALUE"""),0.27)</f>
        <v>0.27</v>
      </c>
      <c r="I402" s="139">
        <f t="shared" si="11"/>
        <v>0</v>
      </c>
      <c r="J402">
        <f t="shared" si="2"/>
        <v>231.9271714</v>
      </c>
      <c r="K402" s="140">
        <f t="shared" si="12"/>
        <v>231.9271714</v>
      </c>
      <c r="L402" s="141">
        <f>sumif(Farms!$C$68:$C$104,E402,Farms!$D$68:$D$104)</f>
        <v>1.4</v>
      </c>
      <c r="M402" s="141">
        <f>sumif(Farms!$C$68:$C$104,E402,Farms!$F$68:$F$104)</f>
        <v>56</v>
      </c>
      <c r="N402" s="141">
        <f>sumif(Farms!$C$68:$C$104,E402,Farms!$G$68:$G$104)</f>
        <v>13</v>
      </c>
    </row>
    <row r="403">
      <c r="A403" s="135">
        <f>IFERROR(__xludf.DUMMYFUNCTION("""COMPUTED_VALUE"""),45931.0)</f>
        <v>45931</v>
      </c>
      <c r="B403" s="87" t="str">
        <f>IFERROR(__xludf.DUMMYFUNCTION("""COMPUTED_VALUE"""),"New Life")</f>
        <v>New Life</v>
      </c>
      <c r="C403">
        <f>IFERROR(__xludf.DUMMYFUNCTION("""COMPUTED_VALUE"""),23311.0)</f>
        <v>23311</v>
      </c>
      <c r="D403" s="136">
        <f>IFERROR(__xludf.DUMMYFUNCTION("""COMPUTED_VALUE"""),9.7)</f>
        <v>9.7</v>
      </c>
      <c r="E403" s="137" t="str">
        <f>IFERROR(__xludf.DUMMYFUNCTION("""COMPUTED_VALUE"""),"Enlist Soybeans")</f>
        <v>Enlist Soybeans</v>
      </c>
      <c r="F403" s="138" t="str">
        <f>IFERROR(__xludf.DUMMYFUNCTION("""COMPUTED_VALUE"""),"M038503")</f>
        <v>M038503</v>
      </c>
      <c r="G403" t="str">
        <f>IFERROR(__xludf.DUMMYFUNCTION("""COMPUTED_VALUE"""),"HBT# 5097  Tim Trk# 3 Split Load")</f>
        <v>HBT# 5097  Tim Trk# 3 Split Load</v>
      </c>
      <c r="H403" s="50">
        <f>IFERROR(__xludf.DUMMYFUNCTION("""COMPUTED_VALUE"""),0.0)</f>
        <v>0</v>
      </c>
      <c r="I403" s="139">
        <f t="shared" si="11"/>
        <v>0</v>
      </c>
      <c r="J403">
        <f t="shared" si="2"/>
        <v>435.4994321</v>
      </c>
      <c r="K403" s="140">
        <f t="shared" si="12"/>
        <v>435.4994321</v>
      </c>
      <c r="L403" s="141">
        <f>sumif(Farms!$C$68:$C$104,E403,Farms!$D$68:$D$104)</f>
        <v>1.4</v>
      </c>
      <c r="M403" s="141">
        <f>sumif(Farms!$C$68:$C$104,E403,Farms!$F$68:$F$104)</f>
        <v>56</v>
      </c>
      <c r="N403" s="141">
        <f>sumif(Farms!$C$68:$C$104,E403,Farms!$G$68:$G$104)</f>
        <v>13</v>
      </c>
    </row>
    <row r="404">
      <c r="A404" s="135">
        <f>IFERROR(__xludf.DUMMYFUNCTION("""COMPUTED_VALUE"""),45938.0)</f>
        <v>45938</v>
      </c>
      <c r="B404" s="87" t="str">
        <f>IFERROR(__xludf.DUMMYFUNCTION("""COMPUTED_VALUE"""),"Noss, Jessie")</f>
        <v>Noss, Jessie</v>
      </c>
      <c r="C404">
        <f>IFERROR(__xludf.DUMMYFUNCTION("""COMPUTED_VALUE"""),56180.0)</f>
        <v>56180</v>
      </c>
      <c r="D404" s="136">
        <f>IFERROR(__xludf.DUMMYFUNCTION("""COMPUTED_VALUE"""),15.1)</f>
        <v>15.1</v>
      </c>
      <c r="E404" s="137" t="str">
        <f>IFERROR(__xludf.DUMMYFUNCTION("""COMPUTED_VALUE"""),"Non-GMO Yellow Corn")</f>
        <v>Non-GMO Yellow Corn</v>
      </c>
      <c r="F404" s="138" t="str">
        <f>IFERROR(__xludf.DUMMYFUNCTION("""COMPUTED_VALUE"""),"0549218")</f>
        <v>0549218</v>
      </c>
      <c r="G404" t="str">
        <f>IFERROR(__xludf.DUMMYFUNCTION("""COMPUTED_VALUE"""),"HBT# 4593 Jack Trk# 63 1st Load ")</f>
        <v>HBT# 4593 Jack Trk# 63 1st Load </v>
      </c>
      <c r="H404" s="50">
        <f>IFERROR(__xludf.DUMMYFUNCTION("""COMPUTED_VALUE"""),0.0)</f>
        <v>0</v>
      </c>
      <c r="I404" s="139">
        <f t="shared" si="11"/>
        <v>0</v>
      </c>
      <c r="J404">
        <f t="shared" si="2"/>
        <v>1001.709464</v>
      </c>
      <c r="K404" s="140">
        <f t="shared" si="12"/>
        <v>1001.709464</v>
      </c>
      <c r="L404" s="141">
        <f>sumif(Farms!$C$68:$C$104,E404,Farms!$D$68:$D$104)</f>
        <v>1.5</v>
      </c>
      <c r="M404" s="141">
        <f>sumif(Farms!$C$68:$C$104,E404,Farms!$F$68:$F$104)</f>
        <v>56</v>
      </c>
      <c r="N404" s="141">
        <f>sumif(Farms!$C$68:$C$104,E404,Farms!$G$68:$G$104)</f>
        <v>15</v>
      </c>
    </row>
    <row r="405">
      <c r="A405" s="135">
        <f>IFERROR(__xludf.DUMMYFUNCTION("""COMPUTED_VALUE"""),45938.0)</f>
        <v>45938</v>
      </c>
      <c r="B405" s="87" t="str">
        <f>IFERROR(__xludf.DUMMYFUNCTION("""COMPUTED_VALUE"""),"Noss, Jessie")</f>
        <v>Noss, Jessie</v>
      </c>
      <c r="C405">
        <f>IFERROR(__xludf.DUMMYFUNCTION("""COMPUTED_VALUE"""),57680.0)</f>
        <v>57680</v>
      </c>
      <c r="D405" s="136">
        <f>IFERROR(__xludf.DUMMYFUNCTION("""COMPUTED_VALUE"""),15.2)</f>
        <v>15.2</v>
      </c>
      <c r="E405" s="137" t="str">
        <f>IFERROR(__xludf.DUMMYFUNCTION("""COMPUTED_VALUE"""),"Non-GMO Yellow Corn")</f>
        <v>Non-GMO Yellow Corn</v>
      </c>
      <c r="F405" s="138" t="str">
        <f>IFERROR(__xludf.DUMMYFUNCTION("""COMPUTED_VALUE"""),"0549224")</f>
        <v>0549224</v>
      </c>
      <c r="G405" t="str">
        <f>IFERROR(__xludf.DUMMYFUNCTION("""COMPUTED_VALUE"""),"HBT# 5569 WR Trk# 41")</f>
        <v>HBT# 5569 WR Trk# 41</v>
      </c>
      <c r="H405" s="50">
        <f>IFERROR(__xludf.DUMMYFUNCTION("""COMPUTED_VALUE"""),0.0)</f>
        <v>0</v>
      </c>
      <c r="I405" s="148">
        <v>0.0</v>
      </c>
      <c r="J405">
        <f t="shared" si="2"/>
        <v>1026.91</v>
      </c>
      <c r="K405" s="140">
        <f t="shared" si="12"/>
        <v>1026.91</v>
      </c>
      <c r="L405" s="141">
        <f>sumif(Farms!$C$68:$C$104,E405,Farms!$D$68:$D$104)</f>
        <v>1.5</v>
      </c>
      <c r="M405" s="141">
        <f>sumif(Farms!$C$68:$C$104,E405,Farms!$F$68:$F$104)</f>
        <v>56</v>
      </c>
      <c r="N405" s="141">
        <f>sumif(Farms!$C$68:$C$104,E405,Farms!$G$68:$G$104)</f>
        <v>15</v>
      </c>
    </row>
    <row r="406">
      <c r="A406" s="135">
        <f>IFERROR(__xludf.DUMMYFUNCTION("""COMPUTED_VALUE"""),45938.0)</f>
        <v>45938</v>
      </c>
      <c r="B406" s="87" t="str">
        <f>IFERROR(__xludf.DUMMYFUNCTION("""COMPUTED_VALUE"""),"Noss, Jessie")</f>
        <v>Noss, Jessie</v>
      </c>
      <c r="C406">
        <f>IFERROR(__xludf.DUMMYFUNCTION("""COMPUTED_VALUE"""),58100.0)</f>
        <v>58100</v>
      </c>
      <c r="D406" s="136">
        <f>IFERROR(__xludf.DUMMYFUNCTION("""COMPUTED_VALUE"""),14.8)</f>
        <v>14.8</v>
      </c>
      <c r="E406" s="137" t="str">
        <f>IFERROR(__xludf.DUMMYFUNCTION("""COMPUTED_VALUE"""),"Non-GMO Yellow Corn")</f>
        <v>Non-GMO Yellow Corn</v>
      </c>
      <c r="F406" s="138" t="str">
        <f>IFERROR(__xludf.DUMMYFUNCTION("""COMPUTED_VALUE"""),"0549225")</f>
        <v>0549225</v>
      </c>
      <c r="G406" t="str">
        <f>IFERROR(__xludf.DUMMYFUNCTION("""COMPUTED_VALUE"""),"HBT#5769 Gary Trk# 4")</f>
        <v>HBT#5769 Gary Trk# 4</v>
      </c>
      <c r="H406" s="50">
        <f>IFERROR(__xludf.DUMMYFUNCTION("""COMPUTED_VALUE"""),0.0)</f>
        <v>0</v>
      </c>
      <c r="I406" s="139">
        <f t="shared" ref="I406:I424" si="13">if(H406&gt;=1,H406-1,"0")/100</f>
        <v>0</v>
      </c>
      <c r="J406">
        <f t="shared" si="2"/>
        <v>1040.6125</v>
      </c>
      <c r="K406" s="140">
        <f t="shared" si="12"/>
        <v>1040.6125</v>
      </c>
      <c r="L406" s="141">
        <f>sumif(Farms!$C$68:$C$104,E406,Farms!$D$68:$D$104)</f>
        <v>1.5</v>
      </c>
      <c r="M406" s="141">
        <f>sumif(Farms!$C$68:$C$104,E406,Farms!$F$68:$F$104)</f>
        <v>56</v>
      </c>
      <c r="N406" s="141">
        <f>sumif(Farms!$C$68:$C$104,E406,Farms!$G$68:$G$104)</f>
        <v>15</v>
      </c>
    </row>
    <row r="407">
      <c r="A407" s="135">
        <f>IFERROR(__xludf.DUMMYFUNCTION("""COMPUTED_VALUE"""),45938.0)</f>
        <v>45938</v>
      </c>
      <c r="B407" s="87" t="str">
        <f>IFERROR(__xludf.DUMMYFUNCTION("""COMPUTED_VALUE"""),"Noss, Jessie")</f>
        <v>Noss, Jessie</v>
      </c>
      <c r="C407">
        <f>IFERROR(__xludf.DUMMYFUNCTION("""COMPUTED_VALUE"""),57440.0)</f>
        <v>57440</v>
      </c>
      <c r="D407" s="136">
        <f>IFERROR(__xludf.DUMMYFUNCTION("""COMPUTED_VALUE"""),14.6)</f>
        <v>14.6</v>
      </c>
      <c r="E407" s="137" t="str">
        <f>IFERROR(__xludf.DUMMYFUNCTION("""COMPUTED_VALUE"""),"Non-GMO Yellow Corn")</f>
        <v>Non-GMO Yellow Corn</v>
      </c>
      <c r="F407" s="138" t="str">
        <f>IFERROR(__xludf.DUMMYFUNCTION("""COMPUTED_VALUE"""),"0549227")</f>
        <v>0549227</v>
      </c>
      <c r="G407" t="str">
        <f>IFERROR(__xludf.DUMMYFUNCTION("""COMPUTED_VALUE"""),"HBT# 5877 Bob Trk# 3")</f>
        <v>HBT# 5877 Bob Trk# 3</v>
      </c>
      <c r="H407" s="50">
        <f>IFERROR(__xludf.DUMMYFUNCTION("""COMPUTED_VALUE"""),0.0)</f>
        <v>0</v>
      </c>
      <c r="I407" s="139">
        <f t="shared" si="13"/>
        <v>0</v>
      </c>
      <c r="J407">
        <f t="shared" si="2"/>
        <v>1031.868571</v>
      </c>
      <c r="K407" s="140">
        <f t="shared" si="12"/>
        <v>1031.868571</v>
      </c>
      <c r="L407" s="141">
        <f>sumif(Farms!$C$68:$C$104,E407,Farms!$D$68:$D$104)</f>
        <v>1.5</v>
      </c>
      <c r="M407" s="141">
        <f>sumif(Farms!$C$68:$C$104,E407,Farms!$F$68:$F$104)</f>
        <v>56</v>
      </c>
      <c r="N407" s="141">
        <f>sumif(Farms!$C$68:$C$104,E407,Farms!$G$68:$G$104)</f>
        <v>15</v>
      </c>
    </row>
    <row r="408">
      <c r="A408" s="135">
        <f>IFERROR(__xludf.DUMMYFUNCTION("""COMPUTED_VALUE"""),45938.0)</f>
        <v>45938</v>
      </c>
      <c r="B408" s="87" t="str">
        <f>IFERROR(__xludf.DUMMYFUNCTION("""COMPUTED_VALUE"""),"Noss, Jessie")</f>
        <v>Noss, Jessie</v>
      </c>
      <c r="C408">
        <f>IFERROR(__xludf.DUMMYFUNCTION("""COMPUTED_VALUE"""),57600.0)</f>
        <v>57600</v>
      </c>
      <c r="D408" s="136">
        <f>IFERROR(__xludf.DUMMYFUNCTION("""COMPUTED_VALUE"""),14.8)</f>
        <v>14.8</v>
      </c>
      <c r="E408" s="137" t="str">
        <f>IFERROR(__xludf.DUMMYFUNCTION("""COMPUTED_VALUE"""),"Non-GMO Yellow Corn")</f>
        <v>Non-GMO Yellow Corn</v>
      </c>
      <c r="F408" s="138" t="str">
        <f>IFERROR(__xludf.DUMMYFUNCTION("""COMPUTED_VALUE"""),"0549232")</f>
        <v>0549232</v>
      </c>
      <c r="G408" t="str">
        <f>IFERROR(__xludf.DUMMYFUNCTION("""COMPUTED_VALUE"""),"HBT# 5549 TL Trk# 2")</f>
        <v>HBT# 5549 TL Trk# 2</v>
      </c>
      <c r="H408" s="50">
        <f>IFERROR(__xludf.DUMMYFUNCTION("""COMPUTED_VALUE"""),0.0)</f>
        <v>0</v>
      </c>
      <c r="I408" s="139">
        <f t="shared" si="13"/>
        <v>0</v>
      </c>
      <c r="J408">
        <f t="shared" si="2"/>
        <v>1031.657143</v>
      </c>
      <c r="K408" s="140">
        <f t="shared" si="12"/>
        <v>1031.657143</v>
      </c>
      <c r="L408" s="141">
        <f>sumif(Farms!$C$68:$C$104,E408,Farms!$D$68:$D$104)</f>
        <v>1.5</v>
      </c>
      <c r="M408" s="141">
        <f>sumif(Farms!$C$68:$C$104,E408,Farms!$F$68:$F$104)</f>
        <v>56</v>
      </c>
      <c r="N408" s="141">
        <f>sumif(Farms!$C$68:$C$104,E408,Farms!$G$68:$G$104)</f>
        <v>15</v>
      </c>
    </row>
    <row r="409">
      <c r="A409" s="135">
        <f>IFERROR(__xludf.DUMMYFUNCTION("""COMPUTED_VALUE"""),45938.0)</f>
        <v>45938</v>
      </c>
      <c r="B409" s="87" t="str">
        <f>IFERROR(__xludf.DUMMYFUNCTION("""COMPUTED_VALUE"""),"Noss, Jessie")</f>
        <v>Noss, Jessie</v>
      </c>
      <c r="C409">
        <f>IFERROR(__xludf.DUMMYFUNCTION("""COMPUTED_VALUE"""),57900.0)</f>
        <v>57900</v>
      </c>
      <c r="D409" s="136">
        <f>IFERROR(__xludf.DUMMYFUNCTION("""COMPUTED_VALUE"""),14.1)</f>
        <v>14.1</v>
      </c>
      <c r="E409" s="137" t="str">
        <f>IFERROR(__xludf.DUMMYFUNCTION("""COMPUTED_VALUE"""),"Non-GMO Yellow Corn")</f>
        <v>Non-GMO Yellow Corn</v>
      </c>
      <c r="F409" s="138" t="str">
        <f>IFERROR(__xludf.DUMMYFUNCTION("""COMPUTED_VALUE"""),"0549235")</f>
        <v>0549235</v>
      </c>
      <c r="G409" t="str">
        <f>IFERROR(__xludf.DUMMYFUNCTION("""COMPUTED_VALUE"""),"HBT# 4594 Jack Trk# 63")</f>
        <v>HBT# 4594 Jack Trk# 63</v>
      </c>
      <c r="H409" s="50">
        <f>IFERROR(__xludf.DUMMYFUNCTION("""COMPUTED_VALUE"""),0.0)</f>
        <v>0</v>
      </c>
      <c r="I409" s="139">
        <f t="shared" si="13"/>
        <v>0</v>
      </c>
      <c r="J409">
        <f t="shared" si="2"/>
        <v>1047.886607</v>
      </c>
      <c r="K409" s="140">
        <f t="shared" si="12"/>
        <v>1047.886607</v>
      </c>
      <c r="L409" s="141">
        <f>sumif(Farms!$C$68:$C$104,E409,Farms!$D$68:$D$104)</f>
        <v>1.5</v>
      </c>
      <c r="M409" s="141">
        <f>sumif(Farms!$C$68:$C$104,E409,Farms!$F$68:$F$104)</f>
        <v>56</v>
      </c>
      <c r="N409" s="141">
        <f>sumif(Farms!$C$68:$C$104,E409,Farms!$G$68:$G$104)</f>
        <v>15</v>
      </c>
    </row>
    <row r="410">
      <c r="A410" s="135">
        <f>IFERROR(__xludf.DUMMYFUNCTION("""COMPUTED_VALUE"""),45938.0)</f>
        <v>45938</v>
      </c>
      <c r="B410" s="87" t="str">
        <f>IFERROR(__xludf.DUMMYFUNCTION("""COMPUTED_VALUE"""),"Noss, Jessie")</f>
        <v>Noss, Jessie</v>
      </c>
      <c r="C410">
        <f>IFERROR(__xludf.DUMMYFUNCTION("""COMPUTED_VALUE"""),58680.0)</f>
        <v>58680</v>
      </c>
      <c r="D410" s="136">
        <f>IFERROR(__xludf.DUMMYFUNCTION("""COMPUTED_VALUE"""),14.6)</f>
        <v>14.6</v>
      </c>
      <c r="E410" s="137" t="str">
        <f>IFERROR(__xludf.DUMMYFUNCTION("""COMPUTED_VALUE"""),"Non-GMO Yellow Corn")</f>
        <v>Non-GMO Yellow Corn</v>
      </c>
      <c r="F410" s="138" t="str">
        <f>IFERROR(__xludf.DUMMYFUNCTION("""COMPUTED_VALUE"""),"0549238")</f>
        <v>0549238</v>
      </c>
      <c r="G410" t="str">
        <f>IFERROR(__xludf.DUMMYFUNCTION("""COMPUTED_VALUE"""),"HBT# 5878 Bob Trk# 3")</f>
        <v>HBT# 5878 Bob Trk# 3</v>
      </c>
      <c r="H410" s="50">
        <f>IFERROR(__xludf.DUMMYFUNCTION("""COMPUTED_VALUE"""),0.0)</f>
        <v>0</v>
      </c>
      <c r="I410" s="139">
        <f t="shared" si="13"/>
        <v>0</v>
      </c>
      <c r="J410">
        <f t="shared" si="2"/>
        <v>1054.144286</v>
      </c>
      <c r="K410" s="140">
        <f t="shared" si="12"/>
        <v>1054.144286</v>
      </c>
      <c r="L410" s="141">
        <f>sumif(Farms!$C$68:$C$104,E410,Farms!$D$68:$D$104)</f>
        <v>1.5</v>
      </c>
      <c r="M410" s="141">
        <f>sumif(Farms!$C$68:$C$104,E410,Farms!$F$68:$F$104)</f>
        <v>56</v>
      </c>
      <c r="N410" s="141">
        <f>sumif(Farms!$C$68:$C$104,E410,Farms!$G$68:$G$104)</f>
        <v>15</v>
      </c>
    </row>
    <row r="411">
      <c r="A411" s="135">
        <f>IFERROR(__xludf.DUMMYFUNCTION("""COMPUTED_VALUE"""),45938.0)</f>
        <v>45938</v>
      </c>
      <c r="B411" s="87" t="str">
        <f>IFERROR(__xludf.DUMMYFUNCTION("""COMPUTED_VALUE"""),"Noss, Jessie")</f>
        <v>Noss, Jessie</v>
      </c>
      <c r="C411">
        <f>IFERROR(__xludf.DUMMYFUNCTION("""COMPUTED_VALUE"""),58120.0)</f>
        <v>58120</v>
      </c>
      <c r="D411" s="136">
        <f>IFERROR(__xludf.DUMMYFUNCTION("""COMPUTED_VALUE"""),14.1)</f>
        <v>14.1</v>
      </c>
      <c r="E411" s="137" t="str">
        <f>IFERROR(__xludf.DUMMYFUNCTION("""COMPUTED_VALUE"""),"Non-GMO Yellow Corn")</f>
        <v>Non-GMO Yellow Corn</v>
      </c>
      <c r="F411" s="138" t="str">
        <f>IFERROR(__xludf.DUMMYFUNCTION("""COMPUTED_VALUE"""),"0549241")</f>
        <v>0549241</v>
      </c>
      <c r="G411" t="str">
        <f>IFERROR(__xludf.DUMMYFUNCTION("""COMPUTED_VALUE"""),"HBT# 5901 TL Trk# 2")</f>
        <v>HBT# 5901 TL Trk# 2</v>
      </c>
      <c r="H411" s="50">
        <f>IFERROR(__xludf.DUMMYFUNCTION("""COMPUTED_VALUE"""),0.0)</f>
        <v>0</v>
      </c>
      <c r="I411" s="139">
        <f t="shared" si="13"/>
        <v>0</v>
      </c>
      <c r="J411">
        <f t="shared" si="2"/>
        <v>1051.868214</v>
      </c>
      <c r="K411" s="140">
        <f t="shared" si="12"/>
        <v>1051.868214</v>
      </c>
      <c r="L411" s="141">
        <f>sumif(Farms!$C$68:$C$104,E411,Farms!$D$68:$D$104)</f>
        <v>1.5</v>
      </c>
      <c r="M411" s="141">
        <f>sumif(Farms!$C$68:$C$104,E411,Farms!$F$68:$F$104)</f>
        <v>56</v>
      </c>
      <c r="N411" s="141">
        <f>sumif(Farms!$C$68:$C$104,E411,Farms!$G$68:$G$104)</f>
        <v>15</v>
      </c>
    </row>
    <row r="412">
      <c r="A412" s="135">
        <f>IFERROR(__xludf.DUMMYFUNCTION("""COMPUTED_VALUE"""),45938.0)</f>
        <v>45938</v>
      </c>
      <c r="B412" s="87" t="str">
        <f>IFERROR(__xludf.DUMMYFUNCTION("""COMPUTED_VALUE"""),"Noss, Jessie")</f>
        <v>Noss, Jessie</v>
      </c>
      <c r="C412">
        <f>IFERROR(__xludf.DUMMYFUNCTION("""COMPUTED_VALUE"""),58040.0)</f>
        <v>58040</v>
      </c>
      <c r="D412" s="136">
        <f>IFERROR(__xludf.DUMMYFUNCTION("""COMPUTED_VALUE"""),15.0)</f>
        <v>15</v>
      </c>
      <c r="E412" s="137" t="str">
        <f>IFERROR(__xludf.DUMMYFUNCTION("""COMPUTED_VALUE"""),"Non-GMO Yellow Corn")</f>
        <v>Non-GMO Yellow Corn</v>
      </c>
      <c r="F412" s="138" t="str">
        <f>IFERROR(__xludf.DUMMYFUNCTION("""COMPUTED_VALUE"""),"0549244")</f>
        <v>0549244</v>
      </c>
      <c r="G412" t="str">
        <f>IFERROR(__xludf.DUMMYFUNCTION("""COMPUTED_VALUE"""),"HBT# 5879 Bob Trk# 3")</f>
        <v>HBT# 5879 Bob Trk# 3</v>
      </c>
      <c r="H412" s="50">
        <f>IFERROR(__xludf.DUMMYFUNCTION("""COMPUTED_VALUE"""),0.0)</f>
        <v>0</v>
      </c>
      <c r="I412" s="139">
        <f t="shared" si="13"/>
        <v>0</v>
      </c>
      <c r="J412">
        <f t="shared" si="2"/>
        <v>1036.428571</v>
      </c>
      <c r="K412" s="140">
        <f t="shared" si="12"/>
        <v>1036.428571</v>
      </c>
      <c r="L412" s="141">
        <f>sumif(Farms!$C$68:$C$104,E412,Farms!$D$68:$D$104)</f>
        <v>1.5</v>
      </c>
      <c r="M412" s="141">
        <f>sumif(Farms!$C$68:$C$104,E412,Farms!$F$68:$F$104)</f>
        <v>56</v>
      </c>
      <c r="N412" s="141">
        <f>sumif(Farms!$C$68:$C$104,E412,Farms!$G$68:$G$104)</f>
        <v>15</v>
      </c>
    </row>
    <row r="413">
      <c r="A413" s="135">
        <f>IFERROR(__xludf.DUMMYFUNCTION("""COMPUTED_VALUE"""),45938.0)</f>
        <v>45938</v>
      </c>
      <c r="B413" s="87" t="str">
        <f>IFERROR(__xludf.DUMMYFUNCTION("""COMPUTED_VALUE"""),"Noss, Jessie")</f>
        <v>Noss, Jessie</v>
      </c>
      <c r="C413">
        <f>IFERROR(__xludf.DUMMYFUNCTION("""COMPUTED_VALUE"""),57980.0)</f>
        <v>57980</v>
      </c>
      <c r="D413" s="136">
        <f>IFERROR(__xludf.DUMMYFUNCTION("""COMPUTED_VALUE"""),15.1)</f>
        <v>15.1</v>
      </c>
      <c r="E413" s="137" t="str">
        <f>IFERROR(__xludf.DUMMYFUNCTION("""COMPUTED_VALUE"""),"Non-GMO Yellow Corn")</f>
        <v>Non-GMO Yellow Corn</v>
      </c>
      <c r="F413" s="138" t="str">
        <f>IFERROR(__xludf.DUMMYFUNCTION("""COMPUTED_VALUE"""),"0549253")</f>
        <v>0549253</v>
      </c>
      <c r="G413" t="str">
        <f>IFERROR(__xludf.DUMMYFUNCTION("""COMPUTED_VALUE"""),"HBT# 4595 Jack Trk# 63")</f>
        <v>HBT# 4595 Jack Trk# 63</v>
      </c>
      <c r="H413" s="50">
        <f>IFERROR(__xludf.DUMMYFUNCTION("""COMPUTED_VALUE"""),0.0)</f>
        <v>0</v>
      </c>
      <c r="I413" s="139">
        <f t="shared" si="13"/>
        <v>0</v>
      </c>
      <c r="J413">
        <f t="shared" si="2"/>
        <v>1033.804107</v>
      </c>
      <c r="K413" s="140">
        <f t="shared" si="12"/>
        <v>1033.804107</v>
      </c>
      <c r="L413" s="141">
        <f>sumif(Farms!$C$68:$C$104,E413,Farms!$D$68:$D$104)</f>
        <v>1.5</v>
      </c>
      <c r="M413" s="141">
        <f>sumif(Farms!$C$68:$C$104,E413,Farms!$F$68:$F$104)</f>
        <v>56</v>
      </c>
      <c r="N413" s="141">
        <f>sumif(Farms!$C$68:$C$104,E413,Farms!$G$68:$G$104)</f>
        <v>15</v>
      </c>
    </row>
    <row r="414">
      <c r="A414" s="135">
        <f>IFERROR(__xludf.DUMMYFUNCTION("""COMPUTED_VALUE"""),45938.0)</f>
        <v>45938</v>
      </c>
      <c r="B414" s="87" t="str">
        <f>IFERROR(__xludf.DUMMYFUNCTION("""COMPUTED_VALUE"""),"Noss, Jessie")</f>
        <v>Noss, Jessie</v>
      </c>
      <c r="C414">
        <f>IFERROR(__xludf.DUMMYFUNCTION("""COMPUTED_VALUE"""),58600.0)</f>
        <v>58600</v>
      </c>
      <c r="D414" s="136">
        <f>IFERROR(__xludf.DUMMYFUNCTION("""COMPUTED_VALUE"""),15.1)</f>
        <v>15.1</v>
      </c>
      <c r="E414" s="137" t="str">
        <f>IFERROR(__xludf.DUMMYFUNCTION("""COMPUTED_VALUE"""),"Non-GMO Yellow Corn")</f>
        <v>Non-GMO Yellow Corn</v>
      </c>
      <c r="F414" s="138" t="str">
        <f>IFERROR(__xludf.DUMMYFUNCTION("""COMPUTED_VALUE"""),"0549258")</f>
        <v>0549258</v>
      </c>
      <c r="G414" t="str">
        <f>IFERROR(__xludf.DUMMYFUNCTION("""COMPUTED_VALUE"""),"HBT#5902 TL Trk#  2")</f>
        <v>HBT#5902 TL Trk#  2</v>
      </c>
      <c r="H414" s="50">
        <f>IFERROR(__xludf.DUMMYFUNCTION("""COMPUTED_VALUE"""),0.0)</f>
        <v>0</v>
      </c>
      <c r="I414" s="139">
        <f t="shared" si="13"/>
        <v>0</v>
      </c>
      <c r="J414">
        <f t="shared" si="2"/>
        <v>1044.858929</v>
      </c>
      <c r="K414" s="140">
        <f t="shared" si="12"/>
        <v>1044.858929</v>
      </c>
      <c r="L414" s="141">
        <f>sumif(Farms!$C$68:$C$104,E414,Farms!$D$68:$D$104)</f>
        <v>1.5</v>
      </c>
      <c r="M414" s="141">
        <f>sumif(Farms!$C$68:$C$104,E414,Farms!$F$68:$F$104)</f>
        <v>56</v>
      </c>
      <c r="N414" s="141">
        <f>sumif(Farms!$C$68:$C$104,E414,Farms!$G$68:$G$104)</f>
        <v>15</v>
      </c>
    </row>
    <row r="415">
      <c r="A415" s="135">
        <f>IFERROR(__xludf.DUMMYFUNCTION("""COMPUTED_VALUE"""),45938.0)</f>
        <v>45938</v>
      </c>
      <c r="B415" s="87" t="str">
        <f>IFERROR(__xludf.DUMMYFUNCTION("""COMPUTED_VALUE"""),"Noss, Jessie")</f>
        <v>Noss, Jessie</v>
      </c>
      <c r="C415">
        <f>IFERROR(__xludf.DUMMYFUNCTION("""COMPUTED_VALUE"""),58020.0)</f>
        <v>58020</v>
      </c>
      <c r="D415" s="136">
        <f>IFERROR(__xludf.DUMMYFUNCTION("""COMPUTED_VALUE"""),15.4)</f>
        <v>15.4</v>
      </c>
      <c r="E415" s="137" t="str">
        <f>IFERROR(__xludf.DUMMYFUNCTION("""COMPUTED_VALUE"""),"Non-GMO Yellow Corn")</f>
        <v>Non-GMO Yellow Corn</v>
      </c>
      <c r="F415" s="138" t="str">
        <f>IFERROR(__xludf.DUMMYFUNCTION("""COMPUTED_VALUE"""),"0549260")</f>
        <v>0549260</v>
      </c>
      <c r="G415" t="str">
        <f>IFERROR(__xludf.DUMMYFUNCTION("""COMPUTED_VALUE"""),"HBT#5880 Bob Trk#  3")</f>
        <v>HBT#5880 Bob Trk#  3</v>
      </c>
      <c r="H415" s="50">
        <f>IFERROR(__xludf.DUMMYFUNCTION("""COMPUTED_VALUE"""),0.0)</f>
        <v>0</v>
      </c>
      <c r="I415" s="139">
        <f t="shared" si="13"/>
        <v>0</v>
      </c>
      <c r="J415">
        <f t="shared" si="2"/>
        <v>1029.855</v>
      </c>
      <c r="K415" s="140">
        <f t="shared" si="12"/>
        <v>1029.855</v>
      </c>
      <c r="L415" s="141">
        <f>sumif(Farms!$C$68:$C$104,E415,Farms!$D$68:$D$104)</f>
        <v>1.5</v>
      </c>
      <c r="M415" s="141">
        <f>sumif(Farms!$C$68:$C$104,E415,Farms!$F$68:$F$104)</f>
        <v>56</v>
      </c>
      <c r="N415" s="141">
        <f>sumif(Farms!$C$68:$C$104,E415,Farms!$G$68:$G$104)</f>
        <v>15</v>
      </c>
    </row>
    <row r="416">
      <c r="A416" s="135">
        <f>IFERROR(__xludf.DUMMYFUNCTION("""COMPUTED_VALUE"""),45938.0)</f>
        <v>45938</v>
      </c>
      <c r="B416" s="87" t="str">
        <f>IFERROR(__xludf.DUMMYFUNCTION("""COMPUTED_VALUE"""),"Noss, Jessie")</f>
        <v>Noss, Jessie</v>
      </c>
      <c r="C416">
        <f>IFERROR(__xludf.DUMMYFUNCTION("""COMPUTED_VALUE"""),58740.0)</f>
        <v>58740</v>
      </c>
      <c r="D416" s="136">
        <f>IFERROR(__xludf.DUMMYFUNCTION("""COMPUTED_VALUE"""),15.5)</f>
        <v>15.5</v>
      </c>
      <c r="E416" s="137" t="str">
        <f>IFERROR(__xludf.DUMMYFUNCTION("""COMPUTED_VALUE"""),"Non-GMO Yellow Corn")</f>
        <v>Non-GMO Yellow Corn</v>
      </c>
      <c r="F416" s="138" t="str">
        <f>IFERROR(__xludf.DUMMYFUNCTION("""COMPUTED_VALUE"""),"0549262")</f>
        <v>0549262</v>
      </c>
      <c r="G416" t="str">
        <f>IFERROR(__xludf.DUMMYFUNCTION("""COMPUTED_VALUE"""),"HBT#5770 Gary Trk#  4")</f>
        <v>HBT#5770 Gary Trk#  4</v>
      </c>
      <c r="H416" s="50">
        <f>IFERROR(__xludf.DUMMYFUNCTION("""COMPUTED_VALUE"""),0.0)</f>
        <v>0</v>
      </c>
      <c r="I416" s="139">
        <f t="shared" si="13"/>
        <v>0</v>
      </c>
      <c r="J416">
        <f t="shared" si="2"/>
        <v>1041.061607</v>
      </c>
      <c r="K416" s="140">
        <f t="shared" si="12"/>
        <v>1041.061607</v>
      </c>
      <c r="L416" s="141">
        <f>sumif(Farms!$C$68:$C$104,E416,Farms!$D$68:$D$104)</f>
        <v>1.5</v>
      </c>
      <c r="M416" s="141">
        <f>sumif(Farms!$C$68:$C$104,E416,Farms!$F$68:$F$104)</f>
        <v>56</v>
      </c>
      <c r="N416" s="141">
        <f>sumif(Farms!$C$68:$C$104,E416,Farms!$G$68:$G$104)</f>
        <v>15</v>
      </c>
    </row>
    <row r="417">
      <c r="A417" s="135">
        <f>IFERROR(__xludf.DUMMYFUNCTION("""COMPUTED_VALUE"""),45938.0)</f>
        <v>45938</v>
      </c>
      <c r="B417" s="87" t="str">
        <f>IFERROR(__xludf.DUMMYFUNCTION("""COMPUTED_VALUE"""),"Noss, Jessie")</f>
        <v>Noss, Jessie</v>
      </c>
      <c r="C417">
        <f>IFERROR(__xludf.DUMMYFUNCTION("""COMPUTED_VALUE"""),57000.0)</f>
        <v>57000</v>
      </c>
      <c r="D417" s="136">
        <f>IFERROR(__xludf.DUMMYFUNCTION("""COMPUTED_VALUE"""),14.3)</f>
        <v>14.3</v>
      </c>
      <c r="E417" s="137" t="str">
        <f>IFERROR(__xludf.DUMMYFUNCTION("""COMPUTED_VALUE"""),"Non-GMO Yellow Corn")</f>
        <v>Non-GMO Yellow Corn</v>
      </c>
      <c r="F417" s="138" t="str">
        <f>IFERROR(__xludf.DUMMYFUNCTION("""COMPUTED_VALUE"""),"0549265")</f>
        <v>0549265</v>
      </c>
      <c r="G417" t="str">
        <f>IFERROR(__xludf.DUMMYFUNCTION("""COMPUTED_VALUE"""),"HBT#5570 WDH Trk# 41")</f>
        <v>HBT#5570 WDH Trk# 41</v>
      </c>
      <c r="H417" s="50">
        <f>IFERROR(__xludf.DUMMYFUNCTION("""COMPUTED_VALUE"""),0.0)</f>
        <v>0</v>
      </c>
      <c r="I417" s="139">
        <f t="shared" si="13"/>
        <v>0</v>
      </c>
      <c r="J417">
        <f t="shared" si="2"/>
        <v>1028.544643</v>
      </c>
      <c r="K417" s="140">
        <f t="shared" si="12"/>
        <v>1028.544643</v>
      </c>
      <c r="L417" s="141">
        <f>sumif(Farms!$C$68:$C$104,E417,Farms!$D$68:$D$104)</f>
        <v>1.5</v>
      </c>
      <c r="M417" s="141">
        <f>sumif(Farms!$C$68:$C$104,E417,Farms!$F$68:$F$104)</f>
        <v>56</v>
      </c>
      <c r="N417" s="141">
        <f>sumif(Farms!$C$68:$C$104,E417,Farms!$G$68:$G$104)</f>
        <v>15</v>
      </c>
    </row>
    <row r="418">
      <c r="A418" s="135">
        <f>IFERROR(__xludf.DUMMYFUNCTION("""COMPUTED_VALUE"""),45938.0)</f>
        <v>45938</v>
      </c>
      <c r="B418" s="87" t="str">
        <f>IFERROR(__xludf.DUMMYFUNCTION("""COMPUTED_VALUE"""),"Noss, Jessie")</f>
        <v>Noss, Jessie</v>
      </c>
      <c r="C418">
        <f>IFERROR(__xludf.DUMMYFUNCTION("""COMPUTED_VALUE"""),57560.0)</f>
        <v>57560</v>
      </c>
      <c r="D418" s="136">
        <f>IFERROR(__xludf.DUMMYFUNCTION("""COMPUTED_VALUE"""),15.5)</f>
        <v>15.5</v>
      </c>
      <c r="E418" s="137" t="str">
        <f>IFERROR(__xludf.DUMMYFUNCTION("""COMPUTED_VALUE"""),"Non-GMO Yellow Corn")</f>
        <v>Non-GMO Yellow Corn</v>
      </c>
      <c r="F418" s="138" t="str">
        <f>IFERROR(__xludf.DUMMYFUNCTION("""COMPUTED_VALUE"""),"0549269")</f>
        <v>0549269</v>
      </c>
      <c r="G418" t="str">
        <f>IFERROR(__xludf.DUMMYFUNCTION("""COMPUTED_VALUE"""),"HBT#3144 JB Trk#5")</f>
        <v>HBT#3144 JB Trk#5</v>
      </c>
      <c r="H418" s="50">
        <f>IFERROR(__xludf.DUMMYFUNCTION("""COMPUTED_VALUE"""),0.0)</f>
        <v>0</v>
      </c>
      <c r="I418" s="139">
        <f t="shared" si="13"/>
        <v>0</v>
      </c>
      <c r="J418">
        <f t="shared" si="2"/>
        <v>1020.148214</v>
      </c>
      <c r="K418" s="140">
        <f t="shared" si="12"/>
        <v>1020.148214</v>
      </c>
      <c r="L418" s="141">
        <f>sumif(Farms!$C$68:$C$104,E418,Farms!$D$68:$D$104)</f>
        <v>1.5</v>
      </c>
      <c r="M418" s="141">
        <f>sumif(Farms!$C$68:$C$104,E418,Farms!$F$68:$F$104)</f>
        <v>56</v>
      </c>
      <c r="N418" s="141">
        <f>sumif(Farms!$C$68:$C$104,E418,Farms!$G$68:$G$104)</f>
        <v>15</v>
      </c>
    </row>
    <row r="419">
      <c r="A419" s="135">
        <f>IFERROR(__xludf.DUMMYFUNCTION("""COMPUTED_VALUE"""),45938.0)</f>
        <v>45938</v>
      </c>
      <c r="B419" s="87" t="str">
        <f>IFERROR(__xludf.DUMMYFUNCTION("""COMPUTED_VALUE"""),"Noss, Jessie")</f>
        <v>Noss, Jessie</v>
      </c>
      <c r="C419">
        <f>IFERROR(__xludf.DUMMYFUNCTION("""COMPUTED_VALUE"""),57480.0)</f>
        <v>57480</v>
      </c>
      <c r="D419" s="136">
        <f>IFERROR(__xludf.DUMMYFUNCTION("""COMPUTED_VALUE"""),15.9)</f>
        <v>15.9</v>
      </c>
      <c r="E419" s="137" t="str">
        <f>IFERROR(__xludf.DUMMYFUNCTION("""COMPUTED_VALUE"""),"Non-GMO Yellow Corn")</f>
        <v>Non-GMO Yellow Corn</v>
      </c>
      <c r="F419" s="138" t="str">
        <f>IFERROR(__xludf.DUMMYFUNCTION("""COMPUTED_VALUE"""),"0549271")</f>
        <v>0549271</v>
      </c>
      <c r="G419" t="str">
        <f>IFERROR(__xludf.DUMMYFUNCTION("""COMPUTED_VALUE"""),"HBT# 4596 Jack Trk# 63")</f>
        <v>HBT# 4596 Jack Trk# 63</v>
      </c>
      <c r="H419" s="50">
        <f>IFERROR(__xludf.DUMMYFUNCTION("""COMPUTED_VALUE"""),0.0)</f>
        <v>0</v>
      </c>
      <c r="I419" s="139">
        <f t="shared" si="13"/>
        <v>0</v>
      </c>
      <c r="J419">
        <f t="shared" si="2"/>
        <v>1026.428571</v>
      </c>
      <c r="K419" s="140">
        <f t="shared" si="12"/>
        <v>1026.428571</v>
      </c>
      <c r="L419" s="142">
        <v>0.0</v>
      </c>
      <c r="M419" s="141">
        <f>sumif(Farms!$C$68:$C$104,E419,Farms!$F$68:$F$104)</f>
        <v>56</v>
      </c>
      <c r="N419" s="141">
        <f>sumif(Farms!$C$68:$C$104,E419,Farms!$G$68:$G$104)</f>
        <v>15</v>
      </c>
    </row>
    <row r="420">
      <c r="A420" s="135">
        <f>IFERROR(__xludf.DUMMYFUNCTION("""COMPUTED_VALUE"""),45938.0)</f>
        <v>45938</v>
      </c>
      <c r="B420" s="87" t="str">
        <f>IFERROR(__xludf.DUMMYFUNCTION("""COMPUTED_VALUE"""),"Noss, Jessie")</f>
        <v>Noss, Jessie</v>
      </c>
      <c r="C420">
        <f>IFERROR(__xludf.DUMMYFUNCTION("""COMPUTED_VALUE"""),58320.0)</f>
        <v>58320</v>
      </c>
      <c r="D420" s="136">
        <f>IFERROR(__xludf.DUMMYFUNCTION("""COMPUTED_VALUE"""),15.4)</f>
        <v>15.4</v>
      </c>
      <c r="E420" s="137" t="str">
        <f>IFERROR(__xludf.DUMMYFUNCTION("""COMPUTED_VALUE"""),"Non-GMO Yellow Corn")</f>
        <v>Non-GMO Yellow Corn</v>
      </c>
      <c r="F420" s="138" t="str">
        <f>IFERROR(__xludf.DUMMYFUNCTION("""COMPUTED_VALUE"""),"0549276")</f>
        <v>0549276</v>
      </c>
      <c r="G420" t="str">
        <f>IFERROR(__xludf.DUMMYFUNCTION("""COMPUTED_VALUE"""),"HBT# 5903 TL Trk#2")</f>
        <v>HBT# 5903 TL Trk#2</v>
      </c>
      <c r="H420" s="50">
        <f>IFERROR(__xludf.DUMMYFUNCTION("""COMPUTED_VALUE"""),0.0)</f>
        <v>0</v>
      </c>
      <c r="I420" s="139">
        <f t="shared" si="13"/>
        <v>0</v>
      </c>
      <c r="J420">
        <f t="shared" si="2"/>
        <v>1035.18</v>
      </c>
      <c r="K420" s="140">
        <f t="shared" si="12"/>
        <v>1035.18</v>
      </c>
      <c r="L420" s="142">
        <v>1.5</v>
      </c>
      <c r="M420" s="141">
        <f>sumif(Farms!$C$68:$C$104,E420,Farms!$F$68:$F$104)</f>
        <v>56</v>
      </c>
      <c r="N420" s="141">
        <f>sumif(Farms!$C$68:$C$104,E420,Farms!$G$68:$G$104)</f>
        <v>15</v>
      </c>
    </row>
    <row r="421">
      <c r="A421" s="135">
        <f>IFERROR(__xludf.DUMMYFUNCTION("""COMPUTED_VALUE"""),45938.0)</f>
        <v>45938</v>
      </c>
      <c r="B421" s="87" t="str">
        <f>IFERROR(__xludf.DUMMYFUNCTION("""COMPUTED_VALUE"""),"Noss, Jessie")</f>
        <v>Noss, Jessie</v>
      </c>
      <c r="C421">
        <f>IFERROR(__xludf.DUMMYFUNCTION("""COMPUTED_VALUE"""),58020.0)</f>
        <v>58020</v>
      </c>
      <c r="D421" s="136">
        <f>IFERROR(__xludf.DUMMYFUNCTION("""COMPUTED_VALUE"""),15.2)</f>
        <v>15.2</v>
      </c>
      <c r="E421" s="137" t="str">
        <f>IFERROR(__xludf.DUMMYFUNCTION("""COMPUTED_VALUE"""),"Non-GMO Yellow Corn")</f>
        <v>Non-GMO Yellow Corn</v>
      </c>
      <c r="F421" s="138" t="str">
        <f>IFERROR(__xludf.DUMMYFUNCTION("""COMPUTED_VALUE"""),"0549278")</f>
        <v>0549278</v>
      </c>
      <c r="G421" t="str">
        <f>IFERROR(__xludf.DUMMYFUNCTION("""COMPUTED_VALUE"""),"HBT# 5881 Bob Trk# 3")</f>
        <v>HBT# 5881 Bob Trk# 3</v>
      </c>
      <c r="H421" s="50">
        <f>IFERROR(__xludf.DUMMYFUNCTION("""COMPUTED_VALUE"""),0.0)</f>
        <v>0</v>
      </c>
      <c r="I421" s="139">
        <f t="shared" si="13"/>
        <v>0</v>
      </c>
      <c r="J421">
        <f t="shared" si="2"/>
        <v>1032.963214</v>
      </c>
      <c r="K421" s="140">
        <f t="shared" si="12"/>
        <v>1032.963214</v>
      </c>
      <c r="L421" s="141">
        <f>sumif(Farms!$C$68:$C$104,E421,Farms!$D$68:$D$104)</f>
        <v>1.5</v>
      </c>
      <c r="M421" s="141">
        <f>sumif(Farms!$C$68:$C$104,E421,Farms!$F$68:$F$104)</f>
        <v>56</v>
      </c>
      <c r="N421" s="141">
        <f>sumif(Farms!$C$68:$C$104,E421,Farms!$G$68:$G$104)</f>
        <v>15</v>
      </c>
    </row>
    <row r="422">
      <c r="A422" s="135">
        <f>IFERROR(__xludf.DUMMYFUNCTION("""COMPUTED_VALUE"""),45939.0)</f>
        <v>45939</v>
      </c>
      <c r="B422" s="87" t="str">
        <f>IFERROR(__xludf.DUMMYFUNCTION("""COMPUTED_VALUE"""),"Noss, Jessie")</f>
        <v>Noss, Jessie</v>
      </c>
      <c r="C422">
        <f>IFERROR(__xludf.DUMMYFUNCTION("""COMPUTED_VALUE"""),32838.0)</f>
        <v>32838</v>
      </c>
      <c r="D422" s="136">
        <f>IFERROR(__xludf.DUMMYFUNCTION("""COMPUTED_VALUE"""),15.3)</f>
        <v>15.3</v>
      </c>
      <c r="E422" s="137" t="str">
        <f>IFERROR(__xludf.DUMMYFUNCTION("""COMPUTED_VALUE"""),"Non-GMO Yellow Corn")</f>
        <v>Non-GMO Yellow Corn</v>
      </c>
      <c r="F422" s="138" t="str">
        <f>IFERROR(__xludf.DUMMYFUNCTION("""COMPUTED_VALUE"""),"0549283")</f>
        <v>0549283</v>
      </c>
      <c r="G422" t="str">
        <f>IFERROR(__xludf.DUMMYFUNCTION("""COMPUTED_VALUE"""),"HBT#5771 Bob Trk # 4 Split Load")</f>
        <v>HBT#5771 Bob Trk # 4 Split Load</v>
      </c>
      <c r="H422" s="50">
        <f>IFERROR(__xludf.DUMMYFUNCTION("""COMPUTED_VALUE"""),0.0)</f>
        <v>0</v>
      </c>
      <c r="I422" s="139">
        <f t="shared" si="13"/>
        <v>0</v>
      </c>
      <c r="J422">
        <f t="shared" si="2"/>
        <v>583.7540893</v>
      </c>
      <c r="K422" s="140">
        <f t="shared" si="12"/>
        <v>583.7540893</v>
      </c>
      <c r="L422" s="141">
        <f>sumif(Farms!$C$68:$C$104,E422,Farms!$D$68:$D$104)</f>
        <v>1.5</v>
      </c>
      <c r="M422" s="141">
        <f>sumif(Farms!$C$68:$C$104,E422,Farms!$F$68:$F$104)</f>
        <v>56</v>
      </c>
      <c r="N422" s="141">
        <f>sumif(Farms!$C$68:$C$104,E422,Farms!$G$68:$G$104)</f>
        <v>15</v>
      </c>
    </row>
    <row r="423">
      <c r="A423" s="135">
        <f>IFERROR(__xludf.DUMMYFUNCTION("""COMPUTED_VALUE"""),45927.0)</f>
        <v>45927</v>
      </c>
      <c r="B423" s="87" t="str">
        <f>IFERROR(__xludf.DUMMYFUNCTION("""COMPUTED_VALUE"""),"Noss, Sid")</f>
        <v>Noss, Sid</v>
      </c>
      <c r="C423">
        <f>IFERROR(__xludf.DUMMYFUNCTION("""COMPUTED_VALUE"""),56880.0)</f>
        <v>56880</v>
      </c>
      <c r="D423" s="136">
        <f>IFERROR(__xludf.DUMMYFUNCTION("""COMPUTED_VALUE"""),12.1)</f>
        <v>12.1</v>
      </c>
      <c r="E423" s="137" t="str">
        <f>IFERROR(__xludf.DUMMYFUNCTION("""COMPUTED_VALUE"""),"Pioneer 21A20 Food beans")</f>
        <v>Pioneer 21A20 Food beans</v>
      </c>
      <c r="F423" s="138" t="str">
        <f>IFERROR(__xludf.DUMMYFUNCTION("""COMPUTED_VALUE"""),"A071503")</f>
        <v>A071503</v>
      </c>
      <c r="G423" t="str">
        <f>IFERROR(__xludf.DUMMYFUNCTION("""COMPUTED_VALUE"""),"HBT# 5525 Jack Trk# 2 1st load")</f>
        <v>HBT# 5525 Jack Trk# 2 1st load</v>
      </c>
      <c r="H423" s="50">
        <f>IFERROR(__xludf.DUMMYFUNCTION("""COMPUTED_VALUE"""),1.4)</f>
        <v>1.4</v>
      </c>
      <c r="I423" s="139">
        <f t="shared" si="13"/>
        <v>0.004</v>
      </c>
      <c r="J423">
        <f t="shared" si="2"/>
        <v>960.798</v>
      </c>
      <c r="K423" s="140">
        <f t="shared" si="12"/>
        <v>956.954808</v>
      </c>
      <c r="L423" s="141">
        <f>sumif(Farms!$C$68:$C$104,E423,Farms!$D$68:$D$104)</f>
        <v>1.5</v>
      </c>
      <c r="M423" s="141">
        <f>sumif(Farms!$C$68:$C$104,E423,Farms!$F$68:$F$104)</f>
        <v>60</v>
      </c>
      <c r="N423" s="141">
        <f>sumif(Farms!$C$68:$C$104,E423,Farms!$G$68:$G$104)</f>
        <v>13</v>
      </c>
    </row>
    <row r="424">
      <c r="A424" s="135">
        <f>IFERROR(__xludf.DUMMYFUNCTION("""COMPUTED_VALUE"""),45927.0)</f>
        <v>45927</v>
      </c>
      <c r="B424" s="87" t="str">
        <f>IFERROR(__xludf.DUMMYFUNCTION("""COMPUTED_VALUE"""),"Noss, Sid")</f>
        <v>Noss, Sid</v>
      </c>
      <c r="C424">
        <f>IFERROR(__xludf.DUMMYFUNCTION("""COMPUTED_VALUE"""),56200.0)</f>
        <v>56200</v>
      </c>
      <c r="D424" s="136">
        <f>IFERROR(__xludf.DUMMYFUNCTION("""COMPUTED_VALUE"""),13.2)</f>
        <v>13.2</v>
      </c>
      <c r="E424" s="137" t="str">
        <f>IFERROR(__xludf.DUMMYFUNCTION("""COMPUTED_VALUE"""),"Pioneer 21A20 Food beans")</f>
        <v>Pioneer 21A20 Food beans</v>
      </c>
      <c r="F424" s="138" t="str">
        <f>IFERROR(__xludf.DUMMYFUNCTION("""COMPUTED_VALUE"""),"A071506")</f>
        <v>A071506</v>
      </c>
      <c r="G424" t="str">
        <f>IFERROR(__xludf.DUMMYFUNCTION("""COMPUTED_VALUE"""),"HBT#5526  Jack Trk# 2 ")</f>
        <v>HBT#5526  Jack Trk# 2 </v>
      </c>
      <c r="H424" s="50">
        <f>IFERROR(__xludf.DUMMYFUNCTION("""COMPUTED_VALUE"""),0.6)</f>
        <v>0.6</v>
      </c>
      <c r="I424" s="139">
        <f t="shared" si="13"/>
        <v>0</v>
      </c>
      <c r="J424">
        <f t="shared" si="2"/>
        <v>933.8566667</v>
      </c>
      <c r="K424" s="140">
        <f t="shared" si="12"/>
        <v>933.8566667</v>
      </c>
      <c r="L424" s="141">
        <f>sumif(Farms!$C$68:$C$104,E424,Farms!$D$68:$D$104)</f>
        <v>1.5</v>
      </c>
      <c r="M424" s="141">
        <f>sumif(Farms!$C$68:$C$104,E424,Farms!$F$68:$F$104)</f>
        <v>60</v>
      </c>
      <c r="N424" s="141">
        <f>sumif(Farms!$C$68:$C$104,E424,Farms!$G$68:$G$104)</f>
        <v>13</v>
      </c>
    </row>
    <row r="425">
      <c r="A425" s="135">
        <f>IFERROR(__xludf.DUMMYFUNCTION("""COMPUTED_VALUE"""),45927.0)</f>
        <v>45927</v>
      </c>
      <c r="B425" s="87" t="str">
        <f>IFERROR(__xludf.DUMMYFUNCTION("""COMPUTED_VALUE"""),"Noss, Sid")</f>
        <v>Noss, Sid</v>
      </c>
      <c r="C425">
        <f>IFERROR(__xludf.DUMMYFUNCTION("""COMPUTED_VALUE"""),56420.0)</f>
        <v>56420</v>
      </c>
      <c r="D425" s="136">
        <f>IFERROR(__xludf.DUMMYFUNCTION("""COMPUTED_VALUE"""),12.4)</f>
        <v>12.4</v>
      </c>
      <c r="E425" s="137" t="str">
        <f>IFERROR(__xludf.DUMMYFUNCTION("""COMPUTED_VALUE"""),"Pioneer 21A20 Food beans")</f>
        <v>Pioneer 21A20 Food beans</v>
      </c>
      <c r="F425" s="138" t="str">
        <f>IFERROR(__xludf.DUMMYFUNCTION("""COMPUTED_VALUE"""),"A071507")</f>
        <v>A071507</v>
      </c>
      <c r="G425" t="str">
        <f>IFERROR(__xludf.DUMMYFUNCTION("""COMPUTED_VALUE"""),"HBT# 4395 Gary Trk# 4 ")</f>
        <v>HBT# 4395 Gary Trk# 4 </v>
      </c>
      <c r="H425" s="50">
        <f>IFERROR(__xludf.DUMMYFUNCTION("""COMPUTED_VALUE"""),2.6)</f>
        <v>2.6</v>
      </c>
      <c r="I425" s="148">
        <v>0.0</v>
      </c>
      <c r="J425">
        <f t="shared" si="2"/>
        <v>948.7963333</v>
      </c>
      <c r="K425" s="140">
        <f t="shared" si="12"/>
        <v>948.7963333</v>
      </c>
      <c r="L425" s="141">
        <f>sumif(Farms!$C$68:$C$104,E425,Farms!$D$68:$D$104)</f>
        <v>1.5</v>
      </c>
      <c r="M425" s="141">
        <f>sumif(Farms!$C$68:$C$104,E425,Farms!$F$68:$F$104)</f>
        <v>60</v>
      </c>
      <c r="N425" s="141">
        <f>sumif(Farms!$C$68:$C$104,E425,Farms!$G$68:$G$104)</f>
        <v>13</v>
      </c>
    </row>
    <row r="426">
      <c r="A426" s="135">
        <f>IFERROR(__xludf.DUMMYFUNCTION("""COMPUTED_VALUE"""),45927.0)</f>
        <v>45927</v>
      </c>
      <c r="B426" s="87" t="str">
        <f>IFERROR(__xludf.DUMMYFUNCTION("""COMPUTED_VALUE"""),"Noss, Sid")</f>
        <v>Noss, Sid</v>
      </c>
      <c r="C426">
        <f>IFERROR(__xludf.DUMMYFUNCTION("""COMPUTED_VALUE"""),57080.0)</f>
        <v>57080</v>
      </c>
      <c r="D426" s="136">
        <f>IFERROR(__xludf.DUMMYFUNCTION("""COMPUTED_VALUE"""),12.3)</f>
        <v>12.3</v>
      </c>
      <c r="E426" s="137" t="str">
        <f>IFERROR(__xludf.DUMMYFUNCTION("""COMPUTED_VALUE"""),"Pioneer 21A20 Food beans")</f>
        <v>Pioneer 21A20 Food beans</v>
      </c>
      <c r="F426" s="138" t="str">
        <f>IFERROR(__xludf.DUMMYFUNCTION("""COMPUTED_VALUE"""),"A071508")</f>
        <v>A071508</v>
      </c>
      <c r="G426" t="str">
        <f>IFERROR(__xludf.DUMMYFUNCTION("""COMPUTED_VALUE"""),"HBT# 5527 Jack Trk# 2 ")</f>
        <v>HBT# 5527 Jack Trk# 2 </v>
      </c>
      <c r="H426" s="50">
        <f>IFERROR(__xludf.DUMMYFUNCTION("""COMPUTED_VALUE"""),1.9)</f>
        <v>1.9</v>
      </c>
      <c r="I426" s="139">
        <f t="shared" ref="I426:I444" si="14">if(H426&gt;=1,H426-1,"0")/100</f>
        <v>0.009</v>
      </c>
      <c r="J426">
        <f t="shared" si="2"/>
        <v>961.3223333</v>
      </c>
      <c r="K426" s="140">
        <f t="shared" si="12"/>
        <v>952.6704323</v>
      </c>
      <c r="L426" s="141">
        <f>sumif(Farms!$C$68:$C$104,E426,Farms!$D$68:$D$104)</f>
        <v>1.5</v>
      </c>
      <c r="M426" s="141">
        <f>sumif(Farms!$C$68:$C$104,E426,Farms!$F$68:$F$104)</f>
        <v>60</v>
      </c>
      <c r="N426" s="141">
        <f>sumif(Farms!$C$68:$C$104,E426,Farms!$G$68:$G$104)</f>
        <v>13</v>
      </c>
    </row>
    <row r="427">
      <c r="A427" s="135">
        <f>IFERROR(__xludf.DUMMYFUNCTION("""COMPUTED_VALUE"""),45927.0)</f>
        <v>45927</v>
      </c>
      <c r="B427" s="87" t="str">
        <f>IFERROR(__xludf.DUMMYFUNCTION("""COMPUTED_VALUE"""),"Noss, Sid")</f>
        <v>Noss, Sid</v>
      </c>
      <c r="C427">
        <f>IFERROR(__xludf.DUMMYFUNCTION("""COMPUTED_VALUE"""),55900.0)</f>
        <v>55900</v>
      </c>
      <c r="D427" s="136">
        <f>IFERROR(__xludf.DUMMYFUNCTION("""COMPUTED_VALUE"""),12.0)</f>
        <v>12</v>
      </c>
      <c r="E427" s="137" t="str">
        <f>IFERROR(__xludf.DUMMYFUNCTION("""COMPUTED_VALUE"""),"Pioneer 21A20 Food beans")</f>
        <v>Pioneer 21A20 Food beans</v>
      </c>
      <c r="F427" s="138" t="str">
        <f>IFERROR(__xludf.DUMMYFUNCTION("""COMPUTED_VALUE"""),"A071509")</f>
        <v>A071509</v>
      </c>
      <c r="G427" t="str">
        <f>IFERROR(__xludf.DUMMYFUNCTION("""COMPUTED_VALUE"""),"HBT# 4396 Gary Trk# 4 ")</f>
        <v>HBT# 4396 Gary Trk# 4 </v>
      </c>
      <c r="H427" s="50">
        <f>IFERROR(__xludf.DUMMYFUNCTION("""COMPUTED_VALUE"""),1.8)</f>
        <v>1.8</v>
      </c>
      <c r="I427" s="139">
        <f t="shared" si="14"/>
        <v>0.008</v>
      </c>
      <c r="J427">
        <f t="shared" si="2"/>
        <v>945.6416667</v>
      </c>
      <c r="K427" s="140">
        <f t="shared" si="12"/>
        <v>938.0765333</v>
      </c>
      <c r="L427" s="141">
        <f>sumif(Farms!$C$68:$C$104,E427,Farms!$D$68:$D$104)</f>
        <v>1.5</v>
      </c>
      <c r="M427" s="141">
        <f>sumif(Farms!$C$68:$C$104,E427,Farms!$F$68:$F$104)</f>
        <v>60</v>
      </c>
      <c r="N427" s="141">
        <f>sumif(Farms!$C$68:$C$104,E427,Farms!$G$68:$G$104)</f>
        <v>13</v>
      </c>
    </row>
    <row r="428">
      <c r="A428" s="135">
        <f>IFERROR(__xludf.DUMMYFUNCTION("""COMPUTED_VALUE"""),45928.0)</f>
        <v>45928</v>
      </c>
      <c r="B428" s="87" t="str">
        <f>IFERROR(__xludf.DUMMYFUNCTION("""COMPUTED_VALUE"""),"Noss, Sid")</f>
        <v>Noss, Sid</v>
      </c>
      <c r="C428">
        <f>IFERROR(__xludf.DUMMYFUNCTION("""COMPUTED_VALUE"""),40219.0)</f>
        <v>40219</v>
      </c>
      <c r="D428" s="136">
        <f>IFERROR(__xludf.DUMMYFUNCTION("""COMPUTED_VALUE"""),11.5)</f>
        <v>11.5</v>
      </c>
      <c r="E428" s="137" t="str">
        <f>IFERROR(__xludf.DUMMYFUNCTION("""COMPUTED_VALUE"""),"Pioneer 21A20 Food beans")</f>
        <v>Pioneer 21A20 Food beans</v>
      </c>
      <c r="F428" s="138" t="str">
        <f>IFERROR(__xludf.DUMMYFUNCTION("""COMPUTED_VALUE"""),"A071512")</f>
        <v>A071512</v>
      </c>
      <c r="G428" t="str">
        <f>IFERROR(__xludf.DUMMYFUNCTION("""COMPUTED_VALUE"""),"HBT# 4397 Gary Trk# 4 Split Load")</f>
        <v>HBT# 4397 Gary Trk# 4 Split Load</v>
      </c>
      <c r="H428" s="50"/>
      <c r="I428" s="139">
        <f t="shared" si="14"/>
        <v>0</v>
      </c>
      <c r="J428">
        <f t="shared" si="2"/>
        <v>685.3987917</v>
      </c>
      <c r="K428" s="140">
        <f t="shared" si="12"/>
        <v>685.3987917</v>
      </c>
      <c r="L428" s="141">
        <f>sumif(Farms!$C$68:$C$104,E428,Farms!$D$68:$D$104)</f>
        <v>1.5</v>
      </c>
      <c r="M428" s="141">
        <f>sumif(Farms!$C$68:$C$104,E428,Farms!$F$68:$F$104)</f>
        <v>60</v>
      </c>
      <c r="N428" s="141">
        <f>sumif(Farms!$C$68:$C$104,E428,Farms!$G$68:$G$104)</f>
        <v>13</v>
      </c>
    </row>
    <row r="429">
      <c r="A429" s="135">
        <f>IFERROR(__xludf.DUMMYFUNCTION("""COMPUTED_VALUE"""),45929.0)</f>
        <v>45929</v>
      </c>
      <c r="B429" s="87" t="str">
        <f>IFERROR(__xludf.DUMMYFUNCTION("""COMPUTED_VALUE"""),"Omni , Crop #1")</f>
        <v>Omni , Crop #1</v>
      </c>
      <c r="C429">
        <f>IFERROR(__xludf.DUMMYFUNCTION("""COMPUTED_VALUE"""),21910.0)</f>
        <v>21910</v>
      </c>
      <c r="D429" s="136"/>
      <c r="E429" s="137" t="str">
        <f>IFERROR(__xludf.DUMMYFUNCTION("""COMPUTED_VALUE"""),"155 OR Seed beans")</f>
        <v>155 OR Seed beans</v>
      </c>
      <c r="F429" s="138" t="str">
        <f>IFERROR(__xludf.DUMMYFUNCTION("""COMPUTED_VALUE"""),"341")</f>
        <v>341</v>
      </c>
      <c r="G429" t="str">
        <f>IFERROR(__xludf.DUMMYFUNCTION("""COMPUTED_VALUE"""),"HBT# 5155 BobTrk# 3 Split Load")</f>
        <v>HBT# 5155 BobTrk# 3 Split Load</v>
      </c>
      <c r="H429" s="50"/>
      <c r="I429" s="139">
        <f t="shared" si="14"/>
        <v>0</v>
      </c>
      <c r="J429">
        <f t="shared" si="2"/>
        <v>436.3741667</v>
      </c>
      <c r="K429" s="140">
        <f t="shared" si="12"/>
        <v>436.3741667</v>
      </c>
      <c r="L429" s="141">
        <f>sumif(Farms!$C$68:$C$104,E429,Farms!$D$68:$D$104)</f>
        <v>1.5</v>
      </c>
      <c r="M429" s="141">
        <f>sumif(Farms!$C$68:$C$104,E429,Farms!$F$68:$F$104)</f>
        <v>60</v>
      </c>
      <c r="N429" s="141">
        <f>sumif(Farms!$C$68:$C$104,E429,Farms!$G$68:$G$104)</f>
        <v>13</v>
      </c>
    </row>
    <row r="430">
      <c r="A430" s="135">
        <f>IFERROR(__xludf.DUMMYFUNCTION("""COMPUTED_VALUE"""),45929.0)</f>
        <v>45929</v>
      </c>
      <c r="B430" s="87" t="str">
        <f>IFERROR(__xludf.DUMMYFUNCTION("""COMPUTED_VALUE"""),"Omni , Crop #1")</f>
        <v>Omni , Crop #1</v>
      </c>
      <c r="C430">
        <f>IFERROR(__xludf.DUMMYFUNCTION("""COMPUTED_VALUE"""),13720.0)</f>
        <v>13720</v>
      </c>
      <c r="D430" s="136"/>
      <c r="E430" s="137" t="str">
        <f>IFERROR(__xludf.DUMMYFUNCTION("""COMPUTED_VALUE"""),"155 OR Seed beans")</f>
        <v>155 OR Seed beans</v>
      </c>
      <c r="F430" s="138" t="str">
        <f>IFERROR(__xludf.DUMMYFUNCTION("""COMPUTED_VALUE"""),"342")</f>
        <v>342</v>
      </c>
      <c r="G430" t="str">
        <f>IFERROR(__xludf.DUMMYFUNCTION("""COMPUTED_VALUE"""),"HBT# 4572 Jack Trk# 63")</f>
        <v>HBT# 4572 Jack Trk# 63</v>
      </c>
      <c r="H430" s="50"/>
      <c r="I430" s="139">
        <f t="shared" si="14"/>
        <v>0</v>
      </c>
      <c r="J430">
        <f t="shared" si="2"/>
        <v>273.2566667</v>
      </c>
      <c r="K430" s="140">
        <f t="shared" si="12"/>
        <v>273.2566667</v>
      </c>
      <c r="L430" s="141">
        <f>sumif(Farms!$C$68:$C$104,E430,Farms!$D$68:$D$104)</f>
        <v>1.5</v>
      </c>
      <c r="M430" s="141">
        <f>sumif(Farms!$C$68:$C$104,E430,Farms!$F$68:$F$104)</f>
        <v>60</v>
      </c>
      <c r="N430" s="141">
        <f>sumif(Farms!$C$68:$C$104,E430,Farms!$G$68:$G$104)</f>
        <v>13</v>
      </c>
    </row>
    <row r="431">
      <c r="A431" s="135">
        <f>IFERROR(__xludf.DUMMYFUNCTION("""COMPUTED_VALUE"""),45929.0)</f>
        <v>45929</v>
      </c>
      <c r="B431" s="87" t="str">
        <f>IFERROR(__xludf.DUMMYFUNCTION("""COMPUTED_VALUE"""),"Omni , Crop #1")</f>
        <v>Omni , Crop #1</v>
      </c>
      <c r="C431">
        <f>IFERROR(__xludf.DUMMYFUNCTION("""COMPUTED_VALUE"""),58740.0)</f>
        <v>58740</v>
      </c>
      <c r="D431" s="136"/>
      <c r="E431" s="137" t="str">
        <f>IFERROR(__xludf.DUMMYFUNCTION("""COMPUTED_VALUE"""),"155 OR Seed beans")</f>
        <v>155 OR Seed beans</v>
      </c>
      <c r="F431" s="138" t="str">
        <f>IFERROR(__xludf.DUMMYFUNCTION("""COMPUTED_VALUE"""),"343")</f>
        <v>343</v>
      </c>
      <c r="G431" t="str">
        <f>IFERROR(__xludf.DUMMYFUNCTION("""COMPUTED_VALUE"""),"HBT# 5156 WR Trk# 4")</f>
        <v>HBT# 5156 WR Trk# 4</v>
      </c>
      <c r="H431" s="50"/>
      <c r="I431" s="139">
        <f t="shared" si="14"/>
        <v>0</v>
      </c>
      <c r="J431">
        <f t="shared" si="2"/>
        <v>1169.905</v>
      </c>
      <c r="K431" s="140">
        <f t="shared" si="12"/>
        <v>1169.905</v>
      </c>
      <c r="L431" s="142">
        <v>1.5</v>
      </c>
      <c r="M431" s="141">
        <f>sumif(Farms!$C$68:$C$104,E431,Farms!$F$68:$F$104)</f>
        <v>60</v>
      </c>
      <c r="N431" s="141">
        <f>sumif(Farms!$C$68:$C$104,E431,Farms!$G$68:$G$104)</f>
        <v>13</v>
      </c>
    </row>
    <row r="432">
      <c r="A432" s="135">
        <f>IFERROR(__xludf.DUMMYFUNCTION("""COMPUTED_VALUE"""),45931.0)</f>
        <v>45931</v>
      </c>
      <c r="B432" s="87" t="str">
        <f>IFERROR(__xludf.DUMMYFUNCTION("""COMPUTED_VALUE"""),"Omni , Crop #2")</f>
        <v>Omni , Crop #2</v>
      </c>
      <c r="C432">
        <f>IFERROR(__xludf.DUMMYFUNCTION("""COMPUTED_VALUE"""),56280.0)</f>
        <v>56280</v>
      </c>
      <c r="D432" s="136"/>
      <c r="E432" s="137" t="str">
        <f>IFERROR(__xludf.DUMMYFUNCTION("""COMPUTED_VALUE"""),"202 OR Seed Beans")</f>
        <v>202 OR Seed Beans</v>
      </c>
      <c r="F432" s="138" t="str">
        <f>IFERROR(__xludf.DUMMYFUNCTION("""COMPUTED_VALUE"""),"396")</f>
        <v>396</v>
      </c>
      <c r="G432" t="str">
        <f>IFERROR(__xludf.DUMMYFUNCTION("""COMPUTED_VALUE"""),"HBT# 5751 Bob Trk# 4")</f>
        <v>HBT# 5751 Bob Trk# 4</v>
      </c>
      <c r="H432" s="50"/>
      <c r="I432" s="139">
        <f t="shared" si="14"/>
        <v>0</v>
      </c>
      <c r="J432">
        <f t="shared" si="2"/>
        <v>1120.91</v>
      </c>
      <c r="K432" s="140">
        <f t="shared" si="12"/>
        <v>1120.91</v>
      </c>
      <c r="L432" s="141">
        <f>sumif(Farms!$C$68:$C$104,E432,Farms!$D$68:$D$104)</f>
        <v>1.5</v>
      </c>
      <c r="M432" s="141">
        <f>sumif(Farms!$C$68:$C$104,E432,Farms!$F$68:$F$104)</f>
        <v>60</v>
      </c>
      <c r="N432" s="141">
        <f>sumif(Farms!$C$68:$C$104,E432,Farms!$G$68:$G$104)</f>
        <v>13</v>
      </c>
    </row>
    <row r="433">
      <c r="A433" s="135">
        <f>IFERROR(__xludf.DUMMYFUNCTION("""COMPUTED_VALUE"""),45931.0)</f>
        <v>45931</v>
      </c>
      <c r="B433" s="87" t="str">
        <f>IFERROR(__xludf.DUMMYFUNCTION("""COMPUTED_VALUE"""),"Omni , Crop #2")</f>
        <v>Omni , Crop #2</v>
      </c>
      <c r="C433">
        <f>IFERROR(__xludf.DUMMYFUNCTION("""COMPUTED_VALUE"""),56660.0)</f>
        <v>56660</v>
      </c>
      <c r="D433" s="136"/>
      <c r="E433" s="137" t="str">
        <f>IFERROR(__xludf.DUMMYFUNCTION("""COMPUTED_VALUE"""),"202 OR Seed Beans")</f>
        <v>202 OR Seed Beans</v>
      </c>
      <c r="F433" s="138" t="str">
        <f>IFERROR(__xludf.DUMMYFUNCTION("""COMPUTED_VALUE"""),"397")</f>
        <v>397</v>
      </c>
      <c r="G433" t="str">
        <f>IFERROR(__xludf.DUMMYFUNCTION("""COMPUTED_VALUE"""),"HBt# 5530 Jack Trk# 2")</f>
        <v>HBt# 5530 Jack Trk# 2</v>
      </c>
      <c r="H433" s="50"/>
      <c r="I433" s="139">
        <f t="shared" si="14"/>
        <v>0</v>
      </c>
      <c r="J433">
        <f t="shared" si="2"/>
        <v>1128.478333</v>
      </c>
      <c r="K433" s="140">
        <f t="shared" si="12"/>
        <v>1128.478333</v>
      </c>
      <c r="L433" s="142">
        <v>1.5</v>
      </c>
      <c r="M433" s="141">
        <f>sumif(Farms!$C$68:$C$104,E433,Farms!$F$68:$F$104)</f>
        <v>60</v>
      </c>
      <c r="N433" s="141">
        <f>sumif(Farms!$C$68:$C$104,E433,Farms!$G$68:$G$104)</f>
        <v>13</v>
      </c>
    </row>
    <row r="434">
      <c r="A434" s="135">
        <f>IFERROR(__xludf.DUMMYFUNCTION("""COMPUTED_VALUE"""),45931.0)</f>
        <v>45931</v>
      </c>
      <c r="B434" s="87" t="str">
        <f>IFERROR(__xludf.DUMMYFUNCTION("""COMPUTED_VALUE"""),"Omni , Crop #2")</f>
        <v>Omni , Crop #2</v>
      </c>
      <c r="C434">
        <f>IFERROR(__xludf.DUMMYFUNCTION("""COMPUTED_VALUE"""),11320.0)</f>
        <v>11320</v>
      </c>
      <c r="D434" s="136"/>
      <c r="E434" s="137" t="str">
        <f>IFERROR(__xludf.DUMMYFUNCTION("""COMPUTED_VALUE"""),"202 OR Seed Beans")</f>
        <v>202 OR Seed Beans</v>
      </c>
      <c r="F434" s="138" t="str">
        <f>IFERROR(__xludf.DUMMYFUNCTION("""COMPUTED_VALUE"""),"GRO1")</f>
        <v>GRO1</v>
      </c>
      <c r="G434" t="str">
        <f>IFERROR(__xludf.DUMMYFUNCTION("""COMPUTED_VALUE"""),"GRO1 Ken")</f>
        <v>GRO1 Ken</v>
      </c>
      <c r="H434" s="50"/>
      <c r="I434" s="139">
        <f t="shared" si="14"/>
        <v>0</v>
      </c>
      <c r="J434">
        <f t="shared" si="2"/>
        <v>225.4566667</v>
      </c>
      <c r="K434" s="140">
        <f t="shared" si="12"/>
        <v>225.4566667</v>
      </c>
      <c r="L434" s="141">
        <f>sumif(Farms!$C$68:$C$104,E434,Farms!$D$68:$D$104)</f>
        <v>1.5</v>
      </c>
      <c r="M434" s="141">
        <f>sumif(Farms!$C$68:$C$104,E434,Farms!$F$68:$F$104)</f>
        <v>60</v>
      </c>
      <c r="N434" s="141">
        <f>sumif(Farms!$C$68:$C$104,E434,Farms!$G$68:$G$104)</f>
        <v>13</v>
      </c>
    </row>
    <row r="435">
      <c r="A435" s="135">
        <f>IFERROR(__xludf.DUMMYFUNCTION("""COMPUTED_VALUE"""),45929.0)</f>
        <v>45929</v>
      </c>
      <c r="B435" s="87" t="str">
        <f>IFERROR(__xludf.DUMMYFUNCTION("""COMPUTED_VALUE"""),"Omni, OM1")</f>
        <v>Omni, OM1</v>
      </c>
      <c r="C435">
        <f>IFERROR(__xludf.DUMMYFUNCTION("""COMPUTED_VALUE"""),34270.0)</f>
        <v>34270</v>
      </c>
      <c r="D435" s="136"/>
      <c r="E435" s="137" t="str">
        <f>IFERROR(__xludf.DUMMYFUNCTION("""COMPUTED_VALUE"""),"155 OR Seed beans")</f>
        <v>155 OR Seed beans</v>
      </c>
      <c r="F435" s="138" t="str">
        <f>IFERROR(__xludf.DUMMYFUNCTION("""COMPUTED_VALUE"""),"341")</f>
        <v>341</v>
      </c>
      <c r="G435" t="str">
        <f>IFERROR(__xludf.DUMMYFUNCTION("""COMPUTED_VALUE"""),"HBT# 5155 BobTrk# 3 Split Load")</f>
        <v>HBT# 5155 BobTrk# 3 Split Load</v>
      </c>
      <c r="H435" s="50"/>
      <c r="I435" s="139">
        <f t="shared" si="14"/>
        <v>0</v>
      </c>
      <c r="J435">
        <f t="shared" si="2"/>
        <v>682.5441667</v>
      </c>
      <c r="K435" s="140">
        <f t="shared" si="12"/>
        <v>682.5441667</v>
      </c>
      <c r="L435" s="141">
        <f>sumif(Farms!$C$68:$C$104,E435,Farms!$D$68:$D$104)</f>
        <v>1.5</v>
      </c>
      <c r="M435" s="141">
        <f>sumif(Farms!$C$68:$C$104,E435,Farms!$F$68:$F$104)</f>
        <v>60</v>
      </c>
      <c r="N435" s="141">
        <f>sumif(Farms!$C$68:$C$104,E435,Farms!$G$68:$G$104)</f>
        <v>13</v>
      </c>
    </row>
    <row r="436">
      <c r="A436" s="135">
        <f>IFERROR(__xludf.DUMMYFUNCTION("""COMPUTED_VALUE"""),45929.0)</f>
        <v>45929</v>
      </c>
      <c r="B436" s="87" t="str">
        <f>IFERROR(__xludf.DUMMYFUNCTION("""COMPUTED_VALUE"""),"Omni, OM1")</f>
        <v>Omni, OM1</v>
      </c>
      <c r="C436">
        <f>IFERROR(__xludf.DUMMYFUNCTION("""COMPUTED_VALUE"""),62000.0)</f>
        <v>62000</v>
      </c>
      <c r="D436" s="136"/>
      <c r="E436" s="137" t="str">
        <f>IFERROR(__xludf.DUMMYFUNCTION("""COMPUTED_VALUE"""),"155 OR Seed beans")</f>
        <v>155 OR Seed beans</v>
      </c>
      <c r="F436" s="138" t="str">
        <f>IFERROR(__xludf.DUMMYFUNCTION("""COMPUTED_VALUE"""),"GRO1")</f>
        <v>GRO1</v>
      </c>
      <c r="G436" t="str">
        <f>IFERROR(__xludf.DUMMYFUNCTION("""COMPUTED_VALUE"""),"GRO1 Ken")</f>
        <v>GRO1 Ken</v>
      </c>
      <c r="H436" s="50"/>
      <c r="I436" s="139">
        <f t="shared" si="14"/>
        <v>0</v>
      </c>
      <c r="J436">
        <f t="shared" si="2"/>
        <v>1234.833333</v>
      </c>
      <c r="K436" s="140">
        <f t="shared" si="12"/>
        <v>1234.833333</v>
      </c>
      <c r="L436" s="141">
        <f>sumif(Farms!$C$68:$C$104,E436,Farms!$D$68:$D$104)</f>
        <v>1.5</v>
      </c>
      <c r="M436" s="141">
        <f>sumif(Farms!$C$68:$C$104,E436,Farms!$F$68:$F$104)</f>
        <v>60</v>
      </c>
      <c r="N436" s="141">
        <f>sumif(Farms!$C$68:$C$104,E436,Farms!$G$68:$G$104)</f>
        <v>13</v>
      </c>
    </row>
    <row r="437">
      <c r="A437" s="135">
        <f>IFERROR(__xludf.DUMMYFUNCTION("""COMPUTED_VALUE"""),45917.0)</f>
        <v>45917</v>
      </c>
      <c r="B437" s="87" t="str">
        <f>IFERROR(__xludf.DUMMYFUNCTION("""COMPUTED_VALUE"""),"Omni, OM2")</f>
        <v>Omni, OM2</v>
      </c>
      <c r="C437">
        <f>IFERROR(__xludf.DUMMYFUNCTION("""COMPUTED_VALUE"""),56820.0)</f>
        <v>56820</v>
      </c>
      <c r="D437" s="136"/>
      <c r="E437" s="137" t="str">
        <f>IFERROR(__xludf.DUMMYFUNCTION("""COMPUTED_VALUE"""),"Organic Soybeans")</f>
        <v>Organic Soybeans</v>
      </c>
      <c r="F437" s="138" t="str">
        <f>IFERROR(__xludf.DUMMYFUNCTION("""COMPUTED_VALUE"""),"0259")</f>
        <v>0259</v>
      </c>
      <c r="G437" t="str">
        <f>IFERROR(__xludf.DUMMYFUNCTION("""COMPUTED_VALUE"""),"HBT# 5080 Bob O Trk 3 1st load")</f>
        <v>HBT# 5080 Bob O Trk 3 1st load</v>
      </c>
      <c r="H437" s="50"/>
      <c r="I437" s="139">
        <f t="shared" si="14"/>
        <v>0</v>
      </c>
      <c r="J437">
        <f t="shared" si="2"/>
        <v>1131.665</v>
      </c>
      <c r="K437" s="140">
        <f t="shared" si="12"/>
        <v>1131.665</v>
      </c>
      <c r="L437" s="141">
        <f>sumif(Farms!$C$68:$C$104,E437,Farms!$D$68:$D$104)</f>
        <v>1.5</v>
      </c>
      <c r="M437" s="141">
        <f>sumif(Farms!$C$68:$C$104,E437,Farms!$F$68:$F$104)</f>
        <v>60</v>
      </c>
      <c r="N437" s="141">
        <f>sumif(Farms!$C$68:$C$104,E437,Farms!$G$68:$G$104)</f>
        <v>13</v>
      </c>
    </row>
    <row r="438">
      <c r="A438" s="135">
        <f>IFERROR(__xludf.DUMMYFUNCTION("""COMPUTED_VALUE"""),45917.0)</f>
        <v>45917</v>
      </c>
      <c r="B438" s="87" t="str">
        <f>IFERROR(__xludf.DUMMYFUNCTION("""COMPUTED_VALUE"""),"Omni, OM2")</f>
        <v>Omni, OM2</v>
      </c>
      <c r="C438">
        <f>IFERROR(__xludf.DUMMYFUNCTION("""COMPUTED_VALUE"""),56540.0)</f>
        <v>56540</v>
      </c>
      <c r="D438" s="136"/>
      <c r="E438" s="137" t="str">
        <f>IFERROR(__xludf.DUMMYFUNCTION("""COMPUTED_VALUE"""),"Organic Soybeans")</f>
        <v>Organic Soybeans</v>
      </c>
      <c r="F438" s="138" t="str">
        <f>IFERROR(__xludf.DUMMYFUNCTION("""COMPUTED_VALUE"""),"0260")</f>
        <v>0260</v>
      </c>
      <c r="G438" t="str">
        <f>IFERROR(__xludf.DUMMYFUNCTION("""COMPUTED_VALUE"""),"HBT# 5520 Bob O Trk #2")</f>
        <v>HBT# 5520 Bob O Trk #2</v>
      </c>
      <c r="H438" s="50"/>
      <c r="I438" s="139">
        <f t="shared" si="14"/>
        <v>0</v>
      </c>
      <c r="J438">
        <f t="shared" si="2"/>
        <v>1126.088333</v>
      </c>
      <c r="K438" s="140">
        <f t="shared" si="12"/>
        <v>1126.088333</v>
      </c>
      <c r="L438" s="141">
        <f>sumif(Farms!$C$68:$C$104,E438,Farms!$D$68:$D$104)</f>
        <v>1.5</v>
      </c>
      <c r="M438" s="141">
        <f>sumif(Farms!$C$68:$C$104,E438,Farms!$F$68:$F$104)</f>
        <v>60</v>
      </c>
      <c r="N438" s="141">
        <f>sumif(Farms!$C$68:$C$104,E438,Farms!$G$68:$G$104)</f>
        <v>13</v>
      </c>
    </row>
    <row r="439">
      <c r="A439" s="135">
        <f>IFERROR(__xludf.DUMMYFUNCTION("""COMPUTED_VALUE"""),45917.0)</f>
        <v>45917</v>
      </c>
      <c r="B439" s="87" t="str">
        <f>IFERROR(__xludf.DUMMYFUNCTION("""COMPUTED_VALUE"""),"Omni, OM2")</f>
        <v>Omni, OM2</v>
      </c>
      <c r="C439">
        <f>IFERROR(__xludf.DUMMYFUNCTION("""COMPUTED_VALUE"""),44500.0)</f>
        <v>44500</v>
      </c>
      <c r="D439" s="136"/>
      <c r="E439" s="137" t="str">
        <f>IFERROR(__xludf.DUMMYFUNCTION("""COMPUTED_VALUE"""),"Organic Soybeans")</f>
        <v>Organic Soybeans</v>
      </c>
      <c r="F439" s="138" t="str">
        <f>IFERROR(__xludf.DUMMYFUNCTION("""COMPUTED_VALUE"""),"0261")</f>
        <v>0261</v>
      </c>
      <c r="G439" t="str">
        <f>IFERROR(__xludf.DUMMYFUNCTION("""COMPUTED_VALUE"""),"HBT# 4387 Gary Trk #4")</f>
        <v>HBT# 4387 Gary Trk #4</v>
      </c>
      <c r="H439" s="50"/>
      <c r="I439" s="139">
        <f t="shared" si="14"/>
        <v>0</v>
      </c>
      <c r="J439">
        <f t="shared" si="2"/>
        <v>886.2916667</v>
      </c>
      <c r="K439" s="140">
        <f t="shared" si="12"/>
        <v>886.2916667</v>
      </c>
      <c r="L439" s="141">
        <f>sumif(Farms!$C$68:$C$104,E439,Farms!$D$68:$D$104)</f>
        <v>1.5</v>
      </c>
      <c r="M439" s="141">
        <f>sumif(Farms!$C$68:$C$104,E439,Farms!$F$68:$F$104)</f>
        <v>60</v>
      </c>
      <c r="N439" s="141">
        <f>sumif(Farms!$C$68:$C$104,E439,Farms!$G$68:$G$104)</f>
        <v>13</v>
      </c>
    </row>
    <row r="440">
      <c r="A440" s="135">
        <f>IFERROR(__xludf.DUMMYFUNCTION("""COMPUTED_VALUE"""),45918.0)</f>
        <v>45918</v>
      </c>
      <c r="B440" s="87" t="str">
        <f>IFERROR(__xludf.DUMMYFUNCTION("""COMPUTED_VALUE"""),"Omni, OM2")</f>
        <v>Omni, OM2</v>
      </c>
      <c r="C440">
        <f>IFERROR(__xludf.DUMMYFUNCTION("""COMPUTED_VALUE"""),56540.0)</f>
        <v>56540</v>
      </c>
      <c r="D440" s="136"/>
      <c r="E440" s="137" t="str">
        <f>IFERROR(__xludf.DUMMYFUNCTION("""COMPUTED_VALUE"""),"223 OR Seed Beans")</f>
        <v>223 OR Seed Beans</v>
      </c>
      <c r="F440" s="138" t="str">
        <f>IFERROR(__xludf.DUMMYFUNCTION("""COMPUTED_VALUE"""),"260")</f>
        <v>260</v>
      </c>
      <c r="G440" t="str">
        <f>IFERROR(__xludf.DUMMYFUNCTION("""COMPUTED_VALUE"""),"HBT# 5520 Bob Trk# 2 ")</f>
        <v>HBT# 5520 Bob Trk# 2 </v>
      </c>
      <c r="H440" s="50"/>
      <c r="I440" s="139">
        <f t="shared" si="14"/>
        <v>0</v>
      </c>
      <c r="J440">
        <f t="shared" si="2"/>
        <v>1126.088333</v>
      </c>
      <c r="K440" s="140">
        <f t="shared" si="12"/>
        <v>1126.088333</v>
      </c>
      <c r="L440" s="141">
        <f>sumif(Farms!$C$68:$C$104,E440,Farms!$D$68:$D$104)</f>
        <v>1.5</v>
      </c>
      <c r="M440" s="141">
        <f>sumif(Farms!$C$68:$C$104,E440,Farms!$F$68:$F$104)</f>
        <v>60</v>
      </c>
      <c r="N440" s="141">
        <f>sumif(Farms!$C$68:$C$104,E440,Farms!$G$68:$G$104)</f>
        <v>13</v>
      </c>
    </row>
    <row r="441">
      <c r="A441" s="135">
        <f>IFERROR(__xludf.DUMMYFUNCTION("""COMPUTED_VALUE"""),45918.0)</f>
        <v>45918</v>
      </c>
      <c r="B441" s="87" t="str">
        <f>IFERROR(__xludf.DUMMYFUNCTION("""COMPUTED_VALUE"""),"Omni, OM2")</f>
        <v>Omni, OM2</v>
      </c>
      <c r="C441">
        <f>IFERROR(__xludf.DUMMYFUNCTION("""COMPUTED_VALUE"""),44500.0)</f>
        <v>44500</v>
      </c>
      <c r="D441" s="136"/>
      <c r="E441" s="137" t="str">
        <f>IFERROR(__xludf.DUMMYFUNCTION("""COMPUTED_VALUE"""),"223 OR Seed Beans")</f>
        <v>223 OR Seed Beans</v>
      </c>
      <c r="F441" s="138" t="str">
        <f>IFERROR(__xludf.DUMMYFUNCTION("""COMPUTED_VALUE"""),"261")</f>
        <v>261</v>
      </c>
      <c r="G441" t="str">
        <f>IFERROR(__xludf.DUMMYFUNCTION("""COMPUTED_VALUE"""),"HBT# 4387 WR Trk# 2 ")</f>
        <v>HBT# 4387 WR Trk# 2 </v>
      </c>
      <c r="H441" s="50"/>
      <c r="I441" s="139">
        <f t="shared" si="14"/>
        <v>0</v>
      </c>
      <c r="J441">
        <f t="shared" si="2"/>
        <v>886.2916667</v>
      </c>
      <c r="K441" s="140">
        <f t="shared" si="12"/>
        <v>886.2916667</v>
      </c>
      <c r="L441" s="141">
        <f>sumif(Farms!$C$68:$C$104,E441,Farms!$D$68:$D$104)</f>
        <v>1.5</v>
      </c>
      <c r="M441" s="141">
        <f>sumif(Farms!$C$68:$C$104,E441,Farms!$F$68:$F$104)</f>
        <v>60</v>
      </c>
      <c r="N441" s="141">
        <f>sumif(Farms!$C$68:$C$104,E441,Farms!$G$68:$G$104)</f>
        <v>13</v>
      </c>
    </row>
    <row r="442">
      <c r="A442" s="135">
        <f>IFERROR(__xludf.DUMMYFUNCTION("""COMPUTED_VALUE"""),45891.0)</f>
        <v>45891</v>
      </c>
      <c r="B442" s="87" t="str">
        <f>IFERROR(__xludf.DUMMYFUNCTION("""COMPUTED_VALUE"""),"Philhower East")</f>
        <v>Philhower East</v>
      </c>
      <c r="C442">
        <f>IFERROR(__xludf.DUMMYFUNCTION("""COMPUTED_VALUE"""),2185600.0)</f>
        <v>2185600</v>
      </c>
      <c r="D442" s="136"/>
      <c r="E442" s="137" t="str">
        <f>IFERROR(__xludf.DUMMYFUNCTION("""COMPUTED_VALUE"""),"Sweet Corn")</f>
        <v>Sweet Corn</v>
      </c>
      <c r="F442" s="138" t="str">
        <f>IFERROR(__xludf.DUMMYFUNCTION("""COMPUTED_VALUE"""),"510-057159 -78")</f>
        <v>510-057159 -78</v>
      </c>
      <c r="G442" t="str">
        <f>IFERROR(__xludf.DUMMYFUNCTION("""COMPUTED_VALUE"""),"Seneca Picked ")</f>
        <v>Seneca Picked </v>
      </c>
      <c r="H442" s="50"/>
      <c r="I442" s="139">
        <f t="shared" si="14"/>
        <v>0</v>
      </c>
      <c r="J442">
        <f t="shared" si="2"/>
        <v>1092.8</v>
      </c>
      <c r="K442" s="140">
        <f t="shared" si="12"/>
        <v>1092.8</v>
      </c>
      <c r="L442" s="141">
        <f>sumif(Farms!$C$68:$C$104,E442,Farms!$D$68:$D$104)</f>
        <v>0</v>
      </c>
      <c r="M442" s="141">
        <f>sumif(Farms!$C$68:$C$104,E442,Farms!$F$68:$F$104)</f>
        <v>2000</v>
      </c>
      <c r="N442" s="141">
        <f>sumif(Farms!$C$68:$C$104,E442,Farms!$G$68:$G$104)</f>
        <v>15</v>
      </c>
    </row>
    <row r="443">
      <c r="A443" s="135">
        <f>IFERROR(__xludf.DUMMYFUNCTION("""COMPUTED_VALUE"""),45951.0)</f>
        <v>45951</v>
      </c>
      <c r="B443" s="87" t="str">
        <f>IFERROR(__xludf.DUMMYFUNCTION("""COMPUTED_VALUE"""),"Philhower West")</f>
        <v>Philhower West</v>
      </c>
      <c r="C443">
        <f>IFERROR(__xludf.DUMMYFUNCTION("""COMPUTED_VALUE"""),58260.0)</f>
        <v>58260</v>
      </c>
      <c r="D443" s="136">
        <f>IFERROR(__xludf.DUMMYFUNCTION("""COMPUTED_VALUE"""),16.1)</f>
        <v>16.1</v>
      </c>
      <c r="E443" s="137" t="str">
        <f>IFERROR(__xludf.DUMMYFUNCTION("""COMPUTED_VALUE"""),"Non-GMO Yellow Corn")</f>
        <v>Non-GMO Yellow Corn</v>
      </c>
      <c r="F443" s="138" t="str">
        <f>IFERROR(__xludf.DUMMYFUNCTION("""COMPUTED_VALUE"""),"218859")</f>
        <v>218859</v>
      </c>
      <c r="G443" t="str">
        <f>IFERROR(__xludf.DUMMYFUNCTION("""COMPUTED_VALUE"""),"HBT#5307 Jack Trk# 1")</f>
        <v>HBT#5307 Jack Trk# 1</v>
      </c>
      <c r="H443" s="50"/>
      <c r="I443" s="139">
        <f t="shared" si="14"/>
        <v>0</v>
      </c>
      <c r="J443">
        <f t="shared" si="2"/>
        <v>1023.19125</v>
      </c>
      <c r="K443" s="140">
        <f t="shared" si="12"/>
        <v>1023.19125</v>
      </c>
      <c r="L443" s="142">
        <v>1.5</v>
      </c>
      <c r="M443" s="141">
        <f>sumif(Farms!$C$68:$C$104,E443,Farms!$F$68:$F$104)</f>
        <v>56</v>
      </c>
      <c r="N443" s="141">
        <f>sumif(Farms!$C$68:$C$104,E443,Farms!$G$68:$G$104)</f>
        <v>15</v>
      </c>
    </row>
    <row r="444">
      <c r="A444" s="135">
        <f>IFERROR(__xludf.DUMMYFUNCTION("""COMPUTED_VALUE"""),45950.0)</f>
        <v>45950</v>
      </c>
      <c r="B444" s="87" t="str">
        <f>IFERROR(__xludf.DUMMYFUNCTION("""COMPUTED_VALUE"""),"Philhower West")</f>
        <v>Philhower West</v>
      </c>
      <c r="C444">
        <f>IFERROR(__xludf.DUMMYFUNCTION("""COMPUTED_VALUE"""),56220.0)</f>
        <v>56220</v>
      </c>
      <c r="D444" s="136">
        <f>IFERROR(__xludf.DUMMYFUNCTION("""COMPUTED_VALUE"""),16.3)</f>
        <v>16.3</v>
      </c>
      <c r="E444" s="137" t="str">
        <f>IFERROR(__xludf.DUMMYFUNCTION("""COMPUTED_VALUE"""),"Non-GMO Yellow Corn")</f>
        <v>Non-GMO Yellow Corn</v>
      </c>
      <c r="F444" s="138" t="str">
        <f>IFERROR(__xludf.DUMMYFUNCTION("""COMPUTED_VALUE"""),"A072537")</f>
        <v>A072537</v>
      </c>
      <c r="G444" t="str">
        <f>IFERROR(__xludf.DUMMYFUNCTION("""COMPUTED_VALUE"""),"HBT#5819 BK Trk# 4")</f>
        <v>HBT#5819 BK Trk# 4</v>
      </c>
      <c r="H444" s="50"/>
      <c r="I444" s="139">
        <f t="shared" si="14"/>
        <v>0</v>
      </c>
      <c r="J444">
        <f t="shared" si="2"/>
        <v>984.3519643</v>
      </c>
      <c r="K444" s="140">
        <f t="shared" si="12"/>
        <v>984.3519643</v>
      </c>
      <c r="L444" s="141">
        <f>sumif(Farms!$C$68:$C$104,E444,Farms!$D$68:$D$104)</f>
        <v>1.5</v>
      </c>
      <c r="M444" s="141">
        <f>sumif(Farms!$C$68:$C$104,E444,Farms!$F$68:$F$104)</f>
        <v>56</v>
      </c>
      <c r="N444" s="141">
        <f>sumif(Farms!$C$68:$C$104,E444,Farms!$G$68:$G$104)</f>
        <v>15</v>
      </c>
    </row>
    <row r="445">
      <c r="A445" s="135">
        <f>IFERROR(__xludf.DUMMYFUNCTION("""COMPUTED_VALUE"""),45950.0)</f>
        <v>45950</v>
      </c>
      <c r="B445" s="87" t="str">
        <f>IFERROR(__xludf.DUMMYFUNCTION("""COMPUTED_VALUE"""),"Philhower West")</f>
        <v>Philhower West</v>
      </c>
      <c r="C445">
        <f>IFERROR(__xludf.DUMMYFUNCTION("""COMPUTED_VALUE"""),57620.0)</f>
        <v>57620</v>
      </c>
      <c r="D445" s="136">
        <f>IFERROR(__xludf.DUMMYFUNCTION("""COMPUTED_VALUE"""),16.1)</f>
        <v>16.1</v>
      </c>
      <c r="E445" s="137" t="str">
        <f>IFERROR(__xludf.DUMMYFUNCTION("""COMPUTED_VALUE"""),"Non-GMO Yellow Corn")</f>
        <v>Non-GMO Yellow Corn</v>
      </c>
      <c r="F445" s="138" t="str">
        <f>IFERROR(__xludf.DUMMYFUNCTION("""COMPUTED_VALUE"""),"A072544")</f>
        <v>A072544</v>
      </c>
      <c r="G445" t="str">
        <f>IFERROR(__xludf.DUMMYFUNCTION("""COMPUTED_VALUE"""),"HBT#57620 TL Trk#2")</f>
        <v>HBT#57620 TL Trk#2</v>
      </c>
      <c r="H445" s="50"/>
      <c r="I445" s="148">
        <v>0.0</v>
      </c>
      <c r="J445">
        <f t="shared" si="2"/>
        <v>1011.95125</v>
      </c>
      <c r="K445" s="140">
        <f t="shared" si="12"/>
        <v>1011.95125</v>
      </c>
      <c r="L445" s="141">
        <f>sumif(Farms!$C$68:$C$104,E445,Farms!$D$68:$D$104)</f>
        <v>1.5</v>
      </c>
      <c r="M445" s="141">
        <f>sumif(Farms!$C$68:$C$104,E445,Farms!$F$68:$F$104)</f>
        <v>56</v>
      </c>
      <c r="N445" s="141">
        <f>sumif(Farms!$C$68:$C$104,E445,Farms!$G$68:$G$104)</f>
        <v>15</v>
      </c>
    </row>
    <row r="446">
      <c r="A446" s="135">
        <f>IFERROR(__xludf.DUMMYFUNCTION("""COMPUTED_VALUE"""),45950.0)</f>
        <v>45950</v>
      </c>
      <c r="B446" s="87" t="str">
        <f>IFERROR(__xludf.DUMMYFUNCTION("""COMPUTED_VALUE"""),"Philhower West")</f>
        <v>Philhower West</v>
      </c>
      <c r="C446">
        <f>IFERROR(__xludf.DUMMYFUNCTION("""COMPUTED_VALUE"""),57860.0)</f>
        <v>57860</v>
      </c>
      <c r="D446" s="136">
        <f>IFERROR(__xludf.DUMMYFUNCTION("""COMPUTED_VALUE"""),15.9)</f>
        <v>15.9</v>
      </c>
      <c r="E446" s="137" t="str">
        <f>IFERROR(__xludf.DUMMYFUNCTION("""COMPUTED_VALUE"""),"Non-GMO Yellow Corn")</f>
        <v>Non-GMO Yellow Corn</v>
      </c>
      <c r="F446" s="138" t="str">
        <f>IFERROR(__xludf.DUMMYFUNCTION("""COMPUTED_VALUE"""),"A072548")</f>
        <v>A072548</v>
      </c>
      <c r="G446" t="str">
        <f>IFERROR(__xludf.DUMMYFUNCTION("""COMPUTED_VALUE"""),"HBT# 5303 Jack Trk# 1")</f>
        <v>HBT# 5303 Jack Trk# 1</v>
      </c>
      <c r="H446" s="50"/>
      <c r="I446" s="139">
        <f t="shared" ref="I446:I496" si="15">if(H446&gt;=1,H446-1,"0")/100</f>
        <v>0</v>
      </c>
      <c r="J446">
        <f t="shared" si="2"/>
        <v>1019.265893</v>
      </c>
      <c r="K446" s="140">
        <f t="shared" si="12"/>
        <v>1019.265893</v>
      </c>
      <c r="L446" s="141">
        <f>sumif(Farms!$C$68:$C$104,E446,Farms!$D$68:$D$104)</f>
        <v>1.5</v>
      </c>
      <c r="M446" s="141">
        <f>sumif(Farms!$C$68:$C$104,E446,Farms!$F$68:$F$104)</f>
        <v>56</v>
      </c>
      <c r="N446" s="141">
        <f>sumif(Farms!$C$68:$C$104,E446,Farms!$G$68:$G$104)</f>
        <v>15</v>
      </c>
    </row>
    <row r="447">
      <c r="A447" s="135">
        <f>IFERROR(__xludf.DUMMYFUNCTION("""COMPUTED_VALUE"""),45950.0)</f>
        <v>45950</v>
      </c>
      <c r="B447" s="87" t="str">
        <f>IFERROR(__xludf.DUMMYFUNCTION("""COMPUTED_VALUE"""),"Philhower West")</f>
        <v>Philhower West</v>
      </c>
      <c r="C447">
        <f>IFERROR(__xludf.DUMMYFUNCTION("""COMPUTED_VALUE"""),57060.0)</f>
        <v>57060</v>
      </c>
      <c r="D447" s="136">
        <f>IFERROR(__xludf.DUMMYFUNCTION("""COMPUTED_VALUE"""),15.8)</f>
        <v>15.8</v>
      </c>
      <c r="E447" s="137" t="str">
        <f>IFERROR(__xludf.DUMMYFUNCTION("""COMPUTED_VALUE"""),"Non-GMO Yellow Corn")</f>
        <v>Non-GMO Yellow Corn</v>
      </c>
      <c r="F447" s="138" t="str">
        <f>IFERROR(__xludf.DUMMYFUNCTION("""COMPUTED_VALUE"""),"A072553")</f>
        <v>A072553</v>
      </c>
      <c r="G447" t="str">
        <f>IFERROR(__xludf.DUMMYFUNCTION("""COMPUTED_VALUE"""),"HBT# 5595 WDH Trk# 41")</f>
        <v>HBT# 5595 WDH Trk# 41</v>
      </c>
      <c r="H447" s="50"/>
      <c r="I447" s="139">
        <f t="shared" si="15"/>
        <v>0</v>
      </c>
      <c r="J447">
        <f t="shared" si="2"/>
        <v>1018.928571</v>
      </c>
      <c r="K447" s="140">
        <f t="shared" si="12"/>
        <v>1018.928571</v>
      </c>
      <c r="L447" s="142">
        <v>0.0</v>
      </c>
      <c r="M447" s="141">
        <f>sumif(Farms!$C$68:$C$104,E447,Farms!$F$68:$F$104)</f>
        <v>56</v>
      </c>
      <c r="N447" s="141">
        <f>sumif(Farms!$C$68:$C$104,E447,Farms!$G$68:$G$104)</f>
        <v>15</v>
      </c>
    </row>
    <row r="448">
      <c r="A448" s="135">
        <f>IFERROR(__xludf.DUMMYFUNCTION("""COMPUTED_VALUE"""),45950.0)</f>
        <v>45950</v>
      </c>
      <c r="B448" s="87" t="str">
        <f>IFERROR(__xludf.DUMMYFUNCTION("""COMPUTED_VALUE"""),"Philhower West")</f>
        <v>Philhower West</v>
      </c>
      <c r="C448">
        <f>IFERROR(__xludf.DUMMYFUNCTION("""COMPUTED_VALUE"""),56960.0)</f>
        <v>56960</v>
      </c>
      <c r="D448" s="136">
        <f>IFERROR(__xludf.DUMMYFUNCTION("""COMPUTED_VALUE"""),16.2)</f>
        <v>16.2</v>
      </c>
      <c r="E448" s="137" t="str">
        <f>IFERROR(__xludf.DUMMYFUNCTION("""COMPUTED_VALUE"""),"Non-GMO Yellow Corn")</f>
        <v>Non-GMO Yellow Corn</v>
      </c>
      <c r="F448" s="138" t="str">
        <f>IFERROR(__xludf.DUMMYFUNCTION("""COMPUTED_VALUE"""),"A072556")</f>
        <v>A072556</v>
      </c>
      <c r="G448" t="str">
        <f>IFERROR(__xludf.DUMMYFUNCTION("""COMPUTED_VALUE"""),"HBT# 5229 JB Trk# 5")</f>
        <v>HBT# 5229 JB Trk# 5</v>
      </c>
      <c r="H448" s="50"/>
      <c r="I448" s="139">
        <f t="shared" si="15"/>
        <v>0</v>
      </c>
      <c r="J448">
        <f t="shared" si="2"/>
        <v>998.8342857</v>
      </c>
      <c r="K448" s="140">
        <f t="shared" si="12"/>
        <v>998.8342857</v>
      </c>
      <c r="L448" s="141">
        <f>sumif(Farms!$C$68:$C$104,E448,Farms!$D$68:$D$104)</f>
        <v>1.5</v>
      </c>
      <c r="M448" s="141">
        <f>sumif(Farms!$C$68:$C$104,E448,Farms!$F$68:$F$104)</f>
        <v>56</v>
      </c>
      <c r="N448" s="141">
        <f>sumif(Farms!$C$68:$C$104,E448,Farms!$G$68:$G$104)</f>
        <v>15</v>
      </c>
    </row>
    <row r="449">
      <c r="A449" s="135">
        <f>IFERROR(__xludf.DUMMYFUNCTION("""COMPUTED_VALUE"""),45950.0)</f>
        <v>45950</v>
      </c>
      <c r="B449" s="87" t="str">
        <f>IFERROR(__xludf.DUMMYFUNCTION("""COMPUTED_VALUE"""),"Philhower West")</f>
        <v>Philhower West</v>
      </c>
      <c r="C449">
        <f>IFERROR(__xludf.DUMMYFUNCTION("""COMPUTED_VALUE"""),57440.0)</f>
        <v>57440</v>
      </c>
      <c r="D449" s="136">
        <f>IFERROR(__xludf.DUMMYFUNCTION("""COMPUTED_VALUE"""),16.3)</f>
        <v>16.3</v>
      </c>
      <c r="E449" s="137" t="str">
        <f>IFERROR(__xludf.DUMMYFUNCTION("""COMPUTED_VALUE"""),"Non-GMO Yellow Corn")</f>
        <v>Non-GMO Yellow Corn</v>
      </c>
      <c r="F449" s="138" t="str">
        <f>IFERROR(__xludf.DUMMYFUNCTION("""COMPUTED_VALUE"""),"A072561")</f>
        <v>A072561</v>
      </c>
      <c r="G449" t="str">
        <f>IFERROR(__xludf.DUMMYFUNCTION("""COMPUTED_VALUE"""),"HBT#5820 BK Trk# 4")</f>
        <v>HBT#5820 BK Trk# 4</v>
      </c>
      <c r="H449" s="50"/>
      <c r="I449" s="139">
        <f t="shared" si="15"/>
        <v>0</v>
      </c>
      <c r="J449">
        <f t="shared" si="2"/>
        <v>1005.712857</v>
      </c>
      <c r="K449" s="140">
        <f t="shared" si="12"/>
        <v>1005.712857</v>
      </c>
      <c r="L449" s="141">
        <f>sumif(Farms!$C$68:$C$104,E449,Farms!$D$68:$D$104)</f>
        <v>1.5</v>
      </c>
      <c r="M449" s="141">
        <f>sumif(Farms!$C$68:$C$104,E449,Farms!$F$68:$F$104)</f>
        <v>56</v>
      </c>
      <c r="N449" s="141">
        <f>sumif(Farms!$C$68:$C$104,E449,Farms!$G$68:$G$104)</f>
        <v>15</v>
      </c>
    </row>
    <row r="450">
      <c r="A450" s="135">
        <f>IFERROR(__xludf.DUMMYFUNCTION("""COMPUTED_VALUE"""),45950.0)</f>
        <v>45950</v>
      </c>
      <c r="B450" s="87" t="str">
        <f>IFERROR(__xludf.DUMMYFUNCTION("""COMPUTED_VALUE"""),"Philhower West")</f>
        <v>Philhower West</v>
      </c>
      <c r="C450">
        <f>IFERROR(__xludf.DUMMYFUNCTION("""COMPUTED_VALUE"""),57660.0)</f>
        <v>57660</v>
      </c>
      <c r="D450" s="136">
        <f>IFERROR(__xludf.DUMMYFUNCTION("""COMPUTED_VALUE"""),16.1)</f>
        <v>16.1</v>
      </c>
      <c r="E450" s="137" t="str">
        <f>IFERROR(__xludf.DUMMYFUNCTION("""COMPUTED_VALUE"""),"Non-GMO Yellow Corn")</f>
        <v>Non-GMO Yellow Corn</v>
      </c>
      <c r="F450" s="138" t="str">
        <f>IFERROR(__xludf.DUMMYFUNCTION("""COMPUTED_VALUE"""),"A072564")</f>
        <v>A072564</v>
      </c>
      <c r="G450" t="str">
        <f>IFERROR(__xludf.DUMMYFUNCTION("""COMPUTED_VALUE"""),"HBT#5038 Bob Trk# 3")</f>
        <v>HBT#5038 Bob Trk# 3</v>
      </c>
      <c r="H450" s="50"/>
      <c r="I450" s="139">
        <f t="shared" si="15"/>
        <v>0</v>
      </c>
      <c r="J450">
        <f t="shared" si="2"/>
        <v>1012.65375</v>
      </c>
      <c r="K450" s="140">
        <f t="shared" si="12"/>
        <v>1012.65375</v>
      </c>
      <c r="L450" s="141">
        <f>sumif(Farms!$C$68:$C$104,E450,Farms!$D$68:$D$104)</f>
        <v>1.5</v>
      </c>
      <c r="M450" s="141">
        <f>sumif(Farms!$C$68:$C$104,E450,Farms!$F$68:$F$104)</f>
        <v>56</v>
      </c>
      <c r="N450" s="141">
        <f>sumif(Farms!$C$68:$C$104,E450,Farms!$G$68:$G$104)</f>
        <v>15</v>
      </c>
    </row>
    <row r="451">
      <c r="A451" s="135">
        <f>IFERROR(__xludf.DUMMYFUNCTION("""COMPUTED_VALUE"""),45950.0)</f>
        <v>45950</v>
      </c>
      <c r="B451" s="87" t="str">
        <f>IFERROR(__xludf.DUMMYFUNCTION("""COMPUTED_VALUE"""),"Philhower West")</f>
        <v>Philhower West</v>
      </c>
      <c r="C451">
        <f>IFERROR(__xludf.DUMMYFUNCTION("""COMPUTED_VALUE"""),57900.0)</f>
        <v>57900</v>
      </c>
      <c r="D451" s="136">
        <f>IFERROR(__xludf.DUMMYFUNCTION("""COMPUTED_VALUE"""),15.9)</f>
        <v>15.9</v>
      </c>
      <c r="E451" s="137" t="str">
        <f>IFERROR(__xludf.DUMMYFUNCTION("""COMPUTED_VALUE"""),"Non-GMO Yellow Corn")</f>
        <v>Non-GMO Yellow Corn</v>
      </c>
      <c r="F451" s="138" t="str">
        <f>IFERROR(__xludf.DUMMYFUNCTION("""COMPUTED_VALUE"""),"A072568")</f>
        <v>A072568</v>
      </c>
      <c r="G451" t="str">
        <f>IFERROR(__xludf.DUMMYFUNCTION("""COMPUTED_VALUE"""),"HBT#5947 TL Trk# 2")</f>
        <v>HBT#5947 TL Trk# 2</v>
      </c>
      <c r="H451" s="50"/>
      <c r="I451" s="139">
        <f t="shared" si="15"/>
        <v>0</v>
      </c>
      <c r="J451">
        <f t="shared" si="2"/>
        <v>1019.970536</v>
      </c>
      <c r="K451" s="140">
        <f t="shared" si="12"/>
        <v>1019.970536</v>
      </c>
      <c r="L451" s="141">
        <f>sumif(Farms!$C$68:$C$104,E451,Farms!$D$68:$D$104)</f>
        <v>1.5</v>
      </c>
      <c r="M451" s="141">
        <f>sumif(Farms!$C$68:$C$104,E451,Farms!$F$68:$F$104)</f>
        <v>56</v>
      </c>
      <c r="N451" s="141">
        <f>sumif(Farms!$C$68:$C$104,E451,Farms!$G$68:$G$104)</f>
        <v>15</v>
      </c>
    </row>
    <row r="452">
      <c r="A452" s="135">
        <f>IFERROR(__xludf.DUMMYFUNCTION("""COMPUTED_VALUE"""),45950.0)</f>
        <v>45950</v>
      </c>
      <c r="B452" s="87" t="str">
        <f>IFERROR(__xludf.DUMMYFUNCTION("""COMPUTED_VALUE"""),"Philhower West")</f>
        <v>Philhower West</v>
      </c>
      <c r="C452">
        <f>IFERROR(__xludf.DUMMYFUNCTION("""COMPUTED_VALUE"""),57620.0)</f>
        <v>57620</v>
      </c>
      <c r="D452" s="136">
        <f>IFERROR(__xludf.DUMMYFUNCTION("""COMPUTED_VALUE"""),15.9)</f>
        <v>15.9</v>
      </c>
      <c r="E452" s="137" t="str">
        <f>IFERROR(__xludf.DUMMYFUNCTION("""COMPUTED_VALUE"""),"Non-GMO Yellow Corn")</f>
        <v>Non-GMO Yellow Corn</v>
      </c>
      <c r="F452" s="138" t="str">
        <f>IFERROR(__xludf.DUMMYFUNCTION("""COMPUTED_VALUE"""),"A072572")</f>
        <v>A072572</v>
      </c>
      <c r="G452" t="str">
        <f>IFERROR(__xludf.DUMMYFUNCTION("""COMPUTED_VALUE"""),"HBT#5304 Jack Trk# 1")</f>
        <v>HBT#5304 Jack Trk# 1</v>
      </c>
      <c r="H452" s="50"/>
      <c r="I452" s="139">
        <f t="shared" si="15"/>
        <v>0</v>
      </c>
      <c r="J452">
        <f t="shared" si="2"/>
        <v>1015.038036</v>
      </c>
      <c r="K452" s="140">
        <f t="shared" si="12"/>
        <v>1015.038036</v>
      </c>
      <c r="L452" s="141">
        <f>sumif(Farms!$C$68:$C$104,E452,Farms!$D$68:$D$104)</f>
        <v>1.5</v>
      </c>
      <c r="M452" s="141">
        <f>sumif(Farms!$C$68:$C$104,E452,Farms!$F$68:$F$104)</f>
        <v>56</v>
      </c>
      <c r="N452" s="141">
        <f>sumif(Farms!$C$68:$C$104,E452,Farms!$G$68:$G$104)</f>
        <v>15</v>
      </c>
    </row>
    <row r="453">
      <c r="A453" s="135">
        <f>IFERROR(__xludf.DUMMYFUNCTION("""COMPUTED_VALUE"""),45950.0)</f>
        <v>45950</v>
      </c>
      <c r="B453" s="87" t="str">
        <f>IFERROR(__xludf.DUMMYFUNCTION("""COMPUTED_VALUE"""),"Philhower West")</f>
        <v>Philhower West</v>
      </c>
      <c r="C453">
        <f>IFERROR(__xludf.DUMMYFUNCTION("""COMPUTED_VALUE"""),57900.0)</f>
        <v>57900</v>
      </c>
      <c r="D453" s="136">
        <f>IFERROR(__xludf.DUMMYFUNCTION("""COMPUTED_VALUE"""),15.8)</f>
        <v>15.8</v>
      </c>
      <c r="E453" s="137" t="str">
        <f>IFERROR(__xludf.DUMMYFUNCTION("""COMPUTED_VALUE"""),"Non-GMO Yellow Corn")</f>
        <v>Non-GMO Yellow Corn</v>
      </c>
      <c r="F453" s="138" t="str">
        <f>IFERROR(__xludf.DUMMYFUNCTION("""COMPUTED_VALUE"""),"A072578")</f>
        <v>A072578</v>
      </c>
      <c r="G453" t="str">
        <f>IFERROR(__xludf.DUMMYFUNCTION("""COMPUTED_VALUE"""),"HBT#520 JB Trk# 5")</f>
        <v>HBT#520 JB Trk# 5</v>
      </c>
      <c r="H453" s="50"/>
      <c r="I453" s="139">
        <f t="shared" si="15"/>
        <v>0</v>
      </c>
      <c r="J453">
        <f t="shared" si="2"/>
        <v>1021.521429</v>
      </c>
      <c r="K453" s="140">
        <f t="shared" si="12"/>
        <v>1021.521429</v>
      </c>
      <c r="L453" s="141">
        <f>sumif(Farms!$C$68:$C$104,E453,Farms!$D$68:$D$104)</f>
        <v>1.5</v>
      </c>
      <c r="M453" s="141">
        <f>sumif(Farms!$C$68:$C$104,E453,Farms!$F$68:$F$104)</f>
        <v>56</v>
      </c>
      <c r="N453" s="141">
        <f>sumif(Farms!$C$68:$C$104,E453,Farms!$G$68:$G$104)</f>
        <v>15</v>
      </c>
    </row>
    <row r="454">
      <c r="A454" s="135">
        <f>IFERROR(__xludf.DUMMYFUNCTION("""COMPUTED_VALUE"""),45950.0)</f>
        <v>45950</v>
      </c>
      <c r="B454" s="87" t="str">
        <f>IFERROR(__xludf.DUMMYFUNCTION("""COMPUTED_VALUE"""),"Philhower West")</f>
        <v>Philhower West</v>
      </c>
      <c r="C454">
        <f>IFERROR(__xludf.DUMMYFUNCTION("""COMPUTED_VALUE"""),56740.0)</f>
        <v>56740</v>
      </c>
      <c r="D454" s="136">
        <f>IFERROR(__xludf.DUMMYFUNCTION("""COMPUTED_VALUE"""),15.8)</f>
        <v>15.8</v>
      </c>
      <c r="E454" s="137" t="str">
        <f>IFERROR(__xludf.DUMMYFUNCTION("""COMPUTED_VALUE"""),"Non-GMO Yellow Corn")</f>
        <v>Non-GMO Yellow Corn</v>
      </c>
      <c r="F454" s="138" t="str">
        <f>IFERROR(__xludf.DUMMYFUNCTION("""COMPUTED_VALUE"""),"A072580")</f>
        <v>A072580</v>
      </c>
      <c r="G454" t="str">
        <f>IFERROR(__xludf.DUMMYFUNCTION("""COMPUTED_VALUE"""),"HBT#5821 BK Trk# 4")</f>
        <v>HBT#5821 BK Trk# 4</v>
      </c>
      <c r="H454" s="50"/>
      <c r="I454" s="139">
        <f t="shared" si="15"/>
        <v>0</v>
      </c>
      <c r="J454">
        <f t="shared" si="2"/>
        <v>1001.055714</v>
      </c>
      <c r="K454" s="140">
        <f t="shared" si="12"/>
        <v>1001.055714</v>
      </c>
      <c r="L454" s="141">
        <f>sumif(Farms!$C$68:$C$104,E454,Farms!$D$68:$D$104)</f>
        <v>1.5</v>
      </c>
      <c r="M454" s="141">
        <f>sumif(Farms!$C$68:$C$104,E454,Farms!$F$68:$F$104)</f>
        <v>56</v>
      </c>
      <c r="N454" s="141">
        <f>sumif(Farms!$C$68:$C$104,E454,Farms!$G$68:$G$104)</f>
        <v>15</v>
      </c>
    </row>
    <row r="455">
      <c r="A455" s="135">
        <f>IFERROR(__xludf.DUMMYFUNCTION("""COMPUTED_VALUE"""),45950.0)</f>
        <v>45950</v>
      </c>
      <c r="B455" s="87" t="str">
        <f>IFERROR(__xludf.DUMMYFUNCTION("""COMPUTED_VALUE"""),"Philhower West")</f>
        <v>Philhower West</v>
      </c>
      <c r="C455">
        <f>IFERROR(__xludf.DUMMYFUNCTION("""COMPUTED_VALUE"""),55860.0)</f>
        <v>55860</v>
      </c>
      <c r="D455" s="136">
        <f>IFERROR(__xludf.DUMMYFUNCTION("""COMPUTED_VALUE"""),15.7)</f>
        <v>15.7</v>
      </c>
      <c r="E455" s="137" t="str">
        <f>IFERROR(__xludf.DUMMYFUNCTION("""COMPUTED_VALUE"""),"Non-GMO Yellow Corn")</f>
        <v>Non-GMO Yellow Corn</v>
      </c>
      <c r="F455" s="138" t="str">
        <f>IFERROR(__xludf.DUMMYFUNCTION("""COMPUTED_VALUE"""),"A072584")</f>
        <v>A072584</v>
      </c>
      <c r="G455" t="str">
        <f>IFERROR(__xludf.DUMMYFUNCTION("""COMPUTED_VALUE"""),"HBT#5039 Bob Trk# 3")</f>
        <v>HBT#5039 Bob Trk# 3</v>
      </c>
      <c r="H455" s="50"/>
      <c r="I455" s="139">
        <f t="shared" si="15"/>
        <v>0</v>
      </c>
      <c r="J455">
        <f t="shared" si="2"/>
        <v>987.02625</v>
      </c>
      <c r="K455" s="140">
        <f t="shared" si="12"/>
        <v>987.02625</v>
      </c>
      <c r="L455" s="141">
        <f>sumif(Farms!$C$68:$C$104,E455,Farms!$D$68:$D$104)</f>
        <v>1.5</v>
      </c>
      <c r="M455" s="141">
        <f>sumif(Farms!$C$68:$C$104,E455,Farms!$F$68:$F$104)</f>
        <v>56</v>
      </c>
      <c r="N455" s="141">
        <f>sumif(Farms!$C$68:$C$104,E455,Farms!$G$68:$G$104)</f>
        <v>15</v>
      </c>
    </row>
    <row r="456">
      <c r="A456" s="135">
        <f>IFERROR(__xludf.DUMMYFUNCTION("""COMPUTED_VALUE"""),45950.0)</f>
        <v>45950</v>
      </c>
      <c r="B456" s="87" t="str">
        <f>IFERROR(__xludf.DUMMYFUNCTION("""COMPUTED_VALUE"""),"Philhower West")</f>
        <v>Philhower West</v>
      </c>
      <c r="C456">
        <f>IFERROR(__xludf.DUMMYFUNCTION("""COMPUTED_VALUE"""),58280.0)</f>
        <v>58280</v>
      </c>
      <c r="D456" s="136">
        <f>IFERROR(__xludf.DUMMYFUNCTION("""COMPUTED_VALUE"""),16.1)</f>
        <v>16.1</v>
      </c>
      <c r="E456" s="137" t="str">
        <f>IFERROR(__xludf.DUMMYFUNCTION("""COMPUTED_VALUE"""),"Non-GMO Yellow Corn")</f>
        <v>Non-GMO Yellow Corn</v>
      </c>
      <c r="F456" s="138" t="str">
        <f>IFERROR(__xludf.DUMMYFUNCTION("""COMPUTED_VALUE"""),"A072589")</f>
        <v>A072589</v>
      </c>
      <c r="G456" t="str">
        <f>IFERROR(__xludf.DUMMYFUNCTION("""COMPUTED_VALUE"""),"HBT#5948 TL Trk# 2")</f>
        <v>HBT#5948 TL Trk# 2</v>
      </c>
      <c r="H456" s="50"/>
      <c r="I456" s="139">
        <f t="shared" si="15"/>
        <v>0</v>
      </c>
      <c r="J456">
        <f t="shared" si="2"/>
        <v>1023.5425</v>
      </c>
      <c r="K456" s="140">
        <f t="shared" si="12"/>
        <v>1023.5425</v>
      </c>
      <c r="L456" s="141">
        <f>sumif(Farms!$C$68:$C$104,E456,Farms!$D$68:$D$104)</f>
        <v>1.5</v>
      </c>
      <c r="M456" s="141">
        <f>sumif(Farms!$C$68:$C$104,E456,Farms!$F$68:$F$104)</f>
        <v>56</v>
      </c>
      <c r="N456" s="141">
        <f>sumif(Farms!$C$68:$C$104,E456,Farms!$G$68:$G$104)</f>
        <v>15</v>
      </c>
    </row>
    <row r="457">
      <c r="A457" s="135">
        <f>IFERROR(__xludf.DUMMYFUNCTION("""COMPUTED_VALUE"""),45950.0)</f>
        <v>45950</v>
      </c>
      <c r="B457" s="87" t="str">
        <f>IFERROR(__xludf.DUMMYFUNCTION("""COMPUTED_VALUE"""),"Philhower West")</f>
        <v>Philhower West</v>
      </c>
      <c r="C457">
        <f>IFERROR(__xludf.DUMMYFUNCTION("""COMPUTED_VALUE"""),58220.0)</f>
        <v>58220</v>
      </c>
      <c r="D457" s="136">
        <f>IFERROR(__xludf.DUMMYFUNCTION("""COMPUTED_VALUE"""),16.2)</f>
        <v>16.2</v>
      </c>
      <c r="E457" s="137" t="str">
        <f>IFERROR(__xludf.DUMMYFUNCTION("""COMPUTED_VALUE"""),"Non-GMO Yellow Corn")</f>
        <v>Non-GMO Yellow Corn</v>
      </c>
      <c r="F457" s="138" t="str">
        <f>IFERROR(__xludf.DUMMYFUNCTION("""COMPUTED_VALUE"""),"A072590")</f>
        <v>A072590</v>
      </c>
      <c r="G457" t="str">
        <f>IFERROR(__xludf.DUMMYFUNCTION("""COMPUTED_VALUE"""),"HBT#5596 WDH Trk# 41")</f>
        <v>HBT#5596 WDH Trk# 41</v>
      </c>
      <c r="H457" s="50"/>
      <c r="I457" s="139">
        <f t="shared" si="15"/>
        <v>0</v>
      </c>
      <c r="J457">
        <f t="shared" si="2"/>
        <v>1020.929286</v>
      </c>
      <c r="K457" s="140">
        <f t="shared" si="12"/>
        <v>1020.929286</v>
      </c>
      <c r="L457" s="141">
        <f>sumif(Farms!$C$68:$C$104,E457,Farms!$D$68:$D$104)</f>
        <v>1.5</v>
      </c>
      <c r="M457" s="141">
        <f>sumif(Farms!$C$68:$C$104,E457,Farms!$F$68:$F$104)</f>
        <v>56</v>
      </c>
      <c r="N457" s="141">
        <f>sumif(Farms!$C$68:$C$104,E457,Farms!$G$68:$G$104)</f>
        <v>15</v>
      </c>
    </row>
    <row r="458">
      <c r="A458" s="135">
        <f>IFERROR(__xludf.DUMMYFUNCTION("""COMPUTED_VALUE"""),45950.0)</f>
        <v>45950</v>
      </c>
      <c r="B458" s="87" t="str">
        <f>IFERROR(__xludf.DUMMYFUNCTION("""COMPUTED_VALUE"""),"Philhower West")</f>
        <v>Philhower West</v>
      </c>
      <c r="C458">
        <f>IFERROR(__xludf.DUMMYFUNCTION("""COMPUTED_VALUE"""),57020.0)</f>
        <v>57020</v>
      </c>
      <c r="D458" s="136">
        <f>IFERROR(__xludf.DUMMYFUNCTION("""COMPUTED_VALUE"""),16.3)</f>
        <v>16.3</v>
      </c>
      <c r="E458" s="137" t="str">
        <f>IFERROR(__xludf.DUMMYFUNCTION("""COMPUTED_VALUE"""),"Non-GMO Yellow Corn")</f>
        <v>Non-GMO Yellow Corn</v>
      </c>
      <c r="F458" s="138" t="str">
        <f>IFERROR(__xludf.DUMMYFUNCTION("""COMPUTED_VALUE"""),"A072597")</f>
        <v>A072597</v>
      </c>
      <c r="G458" t="str">
        <f>IFERROR(__xludf.DUMMYFUNCTION("""COMPUTED_VALUE"""),"HBT#5305 Jack  Trk# 1")</f>
        <v>HBT#5305 Jack  Trk# 1</v>
      </c>
      <c r="H458" s="50"/>
      <c r="I458" s="139">
        <f t="shared" si="15"/>
        <v>0</v>
      </c>
      <c r="J458">
        <f t="shared" si="2"/>
        <v>998.3591071</v>
      </c>
      <c r="K458" s="140">
        <f t="shared" si="12"/>
        <v>998.3591071</v>
      </c>
      <c r="L458" s="141">
        <f>sumif(Farms!$C$68:$C$104,E458,Farms!$D$68:$D$104)</f>
        <v>1.5</v>
      </c>
      <c r="M458" s="141">
        <f>sumif(Farms!$C$68:$C$104,E458,Farms!$F$68:$F$104)</f>
        <v>56</v>
      </c>
      <c r="N458" s="141">
        <f>sumif(Farms!$C$68:$C$104,E458,Farms!$G$68:$G$104)</f>
        <v>15</v>
      </c>
    </row>
    <row r="459">
      <c r="A459" s="135">
        <f>IFERROR(__xludf.DUMMYFUNCTION("""COMPUTED_VALUE"""),45951.0)</f>
        <v>45951</v>
      </c>
      <c r="B459" s="87" t="str">
        <f>IFERROR(__xludf.DUMMYFUNCTION("""COMPUTED_VALUE"""),"Philhower West")</f>
        <v>Philhower West</v>
      </c>
      <c r="C459">
        <f>IFERROR(__xludf.DUMMYFUNCTION("""COMPUTED_VALUE"""),56640.0)</f>
        <v>56640</v>
      </c>
      <c r="D459" s="136">
        <f>IFERROR(__xludf.DUMMYFUNCTION("""COMPUTED_VALUE"""),16.0)</f>
        <v>16</v>
      </c>
      <c r="E459" s="137" t="str">
        <f>IFERROR(__xludf.DUMMYFUNCTION("""COMPUTED_VALUE"""),"Non-GMO Yellow Corn")</f>
        <v>Non-GMO Yellow Corn</v>
      </c>
      <c r="F459" s="138" t="str">
        <f>IFERROR(__xludf.DUMMYFUNCTION("""COMPUTED_VALUE"""),"A072612")</f>
        <v>A072612</v>
      </c>
      <c r="G459" t="str">
        <f>IFERROR(__xludf.DUMMYFUNCTION("""COMPUTED_VALUE"""),"HBT# 5040 Bob Trk# 3")</f>
        <v>HBT# 5040 Bob Trk# 3</v>
      </c>
      <c r="H459" s="50"/>
      <c r="I459" s="139">
        <f t="shared" si="15"/>
        <v>0</v>
      </c>
      <c r="J459">
        <f t="shared" si="2"/>
        <v>996.2571429</v>
      </c>
      <c r="K459" s="140">
        <f t="shared" si="12"/>
        <v>996.2571429</v>
      </c>
      <c r="L459" s="141">
        <f>sumif(Farms!$C$68:$C$104,E459,Farms!$D$68:$D$104)</f>
        <v>1.5</v>
      </c>
      <c r="M459" s="141">
        <f>sumif(Farms!$C$68:$C$104,E459,Farms!$F$68:$F$104)</f>
        <v>56</v>
      </c>
      <c r="N459" s="141">
        <f>sumif(Farms!$C$68:$C$104,E459,Farms!$G$68:$G$104)</f>
        <v>15</v>
      </c>
    </row>
    <row r="460">
      <c r="A460" s="135">
        <f>IFERROR(__xludf.DUMMYFUNCTION("""COMPUTED_VALUE"""),45950.0)</f>
        <v>45950</v>
      </c>
      <c r="B460" s="87" t="str">
        <f>IFERROR(__xludf.DUMMYFUNCTION("""COMPUTED_VALUE"""),"Philhower West")</f>
        <v>Philhower West</v>
      </c>
      <c r="C460">
        <f>IFERROR(__xludf.DUMMYFUNCTION("""COMPUTED_VALUE"""),57020.0)</f>
        <v>57020</v>
      </c>
      <c r="D460" s="136">
        <f>IFERROR(__xludf.DUMMYFUNCTION("""COMPUTED_VALUE"""),16.5)</f>
        <v>16.5</v>
      </c>
      <c r="E460" s="137" t="str">
        <f>IFERROR(__xludf.DUMMYFUNCTION("""COMPUTED_VALUE"""),"Non-GMO Yellow Corn")</f>
        <v>Non-GMO Yellow Corn</v>
      </c>
      <c r="F460" s="138" t="str">
        <f>IFERROR(__xludf.DUMMYFUNCTION("""COMPUTED_VALUE"""),"A072614")</f>
        <v>A072614</v>
      </c>
      <c r="G460" t="str">
        <f>IFERROR(__xludf.DUMMYFUNCTION("""COMPUTED_VALUE"""),"HBT#5949 TL Trk# 2")</f>
        <v>HBT#5949 TL Trk# 2</v>
      </c>
      <c r="H460" s="50"/>
      <c r="I460" s="139">
        <f t="shared" si="15"/>
        <v>0</v>
      </c>
      <c r="J460">
        <f t="shared" si="2"/>
        <v>995.3044643</v>
      </c>
      <c r="K460" s="140">
        <f t="shared" si="12"/>
        <v>995.3044643</v>
      </c>
      <c r="L460" s="141">
        <f>sumif(Farms!$C$68:$C$104,E460,Farms!$D$68:$D$104)</f>
        <v>1.5</v>
      </c>
      <c r="M460" s="141">
        <f>sumif(Farms!$C$68:$C$104,E460,Farms!$F$68:$F$104)</f>
        <v>56</v>
      </c>
      <c r="N460" s="141">
        <f>sumif(Farms!$C$68:$C$104,E460,Farms!$G$68:$G$104)</f>
        <v>15</v>
      </c>
    </row>
    <row r="461">
      <c r="A461" s="135">
        <f>IFERROR(__xludf.DUMMYFUNCTION("""COMPUTED_VALUE"""),45950.0)</f>
        <v>45950</v>
      </c>
      <c r="B461" s="87" t="str">
        <f>IFERROR(__xludf.DUMMYFUNCTION("""COMPUTED_VALUE"""),"Philhower West")</f>
        <v>Philhower West</v>
      </c>
      <c r="C461">
        <f>IFERROR(__xludf.DUMMYFUNCTION("""COMPUTED_VALUE"""),58180.0)</f>
        <v>58180</v>
      </c>
      <c r="D461" s="136">
        <f>IFERROR(__xludf.DUMMYFUNCTION("""COMPUTED_VALUE"""),16.1)</f>
        <v>16.1</v>
      </c>
      <c r="E461" s="137" t="str">
        <f>IFERROR(__xludf.DUMMYFUNCTION("""COMPUTED_VALUE"""),"Non-GMO Yellow Corn")</f>
        <v>Non-GMO Yellow Corn</v>
      </c>
      <c r="F461" s="138" t="str">
        <f>IFERROR(__xludf.DUMMYFUNCTION("""COMPUTED_VALUE"""),"A072617")</f>
        <v>A072617</v>
      </c>
      <c r="G461" t="str">
        <f>IFERROR(__xludf.DUMMYFUNCTION("""COMPUTED_VALUE"""),"HBT#5231  JB Trk# 5")</f>
        <v>HBT#5231  JB Trk# 5</v>
      </c>
      <c r="H461" s="50"/>
      <c r="I461" s="139">
        <f t="shared" si="15"/>
        <v>0</v>
      </c>
      <c r="J461">
        <f t="shared" si="2"/>
        <v>1021.78625</v>
      </c>
      <c r="K461" s="140">
        <f t="shared" si="12"/>
        <v>1021.78625</v>
      </c>
      <c r="L461" s="141">
        <f>sumif(Farms!$C$68:$C$104,E461,Farms!$D$68:$D$104)</f>
        <v>1.5</v>
      </c>
      <c r="M461" s="141">
        <f>sumif(Farms!$C$68:$C$104,E461,Farms!$F$68:$F$104)</f>
        <v>56</v>
      </c>
      <c r="N461" s="141">
        <f>sumif(Farms!$C$68:$C$104,E461,Farms!$G$68:$G$104)</f>
        <v>15</v>
      </c>
    </row>
    <row r="462">
      <c r="A462" s="135">
        <f>IFERROR(__xludf.DUMMYFUNCTION("""COMPUTED_VALUE"""),45950.0)</f>
        <v>45950</v>
      </c>
      <c r="B462" s="87" t="str">
        <f>IFERROR(__xludf.DUMMYFUNCTION("""COMPUTED_VALUE"""),"Philhower West")</f>
        <v>Philhower West</v>
      </c>
      <c r="C462">
        <f>IFERROR(__xludf.DUMMYFUNCTION("""COMPUTED_VALUE"""),57120.0)</f>
        <v>57120</v>
      </c>
      <c r="D462" s="136">
        <f>IFERROR(__xludf.DUMMYFUNCTION("""COMPUTED_VALUE"""),15.7)</f>
        <v>15.7</v>
      </c>
      <c r="E462" s="137" t="str">
        <f>IFERROR(__xludf.DUMMYFUNCTION("""COMPUTED_VALUE"""),"Non-GMO Yellow Corn")</f>
        <v>Non-GMO Yellow Corn</v>
      </c>
      <c r="F462" s="138" t="str">
        <f>IFERROR(__xludf.DUMMYFUNCTION("""COMPUTED_VALUE"""),"A072620")</f>
        <v>A072620</v>
      </c>
      <c r="G462" t="str">
        <f>IFERROR(__xludf.DUMMYFUNCTION("""COMPUTED_VALUE"""),"HBT#5822 BK Trk# 4")</f>
        <v>HBT#5822 BK Trk# 4</v>
      </c>
      <c r="H462" s="50"/>
      <c r="I462" s="139">
        <f t="shared" si="15"/>
        <v>0</v>
      </c>
      <c r="J462">
        <f t="shared" si="2"/>
        <v>1009.29</v>
      </c>
      <c r="K462" s="140">
        <f t="shared" si="12"/>
        <v>1009.29</v>
      </c>
      <c r="L462" s="141">
        <f>sumif(Farms!$C$68:$C$104,E462,Farms!$D$68:$D$104)</f>
        <v>1.5</v>
      </c>
      <c r="M462" s="141">
        <f>sumif(Farms!$C$68:$C$104,E462,Farms!$F$68:$F$104)</f>
        <v>56</v>
      </c>
      <c r="N462" s="141">
        <f>sumif(Farms!$C$68:$C$104,E462,Farms!$G$68:$G$104)</f>
        <v>15</v>
      </c>
    </row>
    <row r="463">
      <c r="A463" s="135">
        <f>IFERROR(__xludf.DUMMYFUNCTION("""COMPUTED_VALUE"""),45951.0)</f>
        <v>45951</v>
      </c>
      <c r="B463" s="87" t="str">
        <f>IFERROR(__xludf.DUMMYFUNCTION("""COMPUTED_VALUE"""),"Philhower West")</f>
        <v>Philhower West</v>
      </c>
      <c r="C463">
        <f>IFERROR(__xludf.DUMMYFUNCTION("""COMPUTED_VALUE"""),58260.0)</f>
        <v>58260</v>
      </c>
      <c r="D463" s="136">
        <f>IFERROR(__xludf.DUMMYFUNCTION("""COMPUTED_VALUE"""),16.2)</f>
        <v>16.2</v>
      </c>
      <c r="E463" s="137" t="str">
        <f>IFERROR(__xludf.DUMMYFUNCTION("""COMPUTED_VALUE"""),"Non-GMO Yellow Corn")</f>
        <v>Non-GMO Yellow Corn</v>
      </c>
      <c r="F463" s="138" t="str">
        <f>IFERROR(__xludf.DUMMYFUNCTION("""COMPUTED_VALUE"""),"A072638")</f>
        <v>A072638</v>
      </c>
      <c r="G463" t="str">
        <f>IFERROR(__xludf.DUMMYFUNCTION("""COMPUTED_VALUE"""),"HBT# 5041 Bob Trk# 3")</f>
        <v>HBT# 5041 Bob Trk# 3</v>
      </c>
      <c r="H463" s="50"/>
      <c r="I463" s="139">
        <f t="shared" si="15"/>
        <v>0</v>
      </c>
      <c r="J463">
        <f t="shared" si="2"/>
        <v>1021.630714</v>
      </c>
      <c r="K463" s="140">
        <f t="shared" si="12"/>
        <v>1021.630714</v>
      </c>
      <c r="L463" s="141">
        <f>sumif(Farms!$C$68:$C$104,E463,Farms!$D$68:$D$104)</f>
        <v>1.5</v>
      </c>
      <c r="M463" s="141">
        <f>sumif(Farms!$C$68:$C$104,E463,Farms!$F$68:$F$104)</f>
        <v>56</v>
      </c>
      <c r="N463" s="141">
        <f>sumif(Farms!$C$68:$C$104,E463,Farms!$G$68:$G$104)</f>
        <v>15</v>
      </c>
    </row>
    <row r="464">
      <c r="A464" s="135">
        <f>IFERROR(__xludf.DUMMYFUNCTION("""COMPUTED_VALUE"""),45951.0)</f>
        <v>45951</v>
      </c>
      <c r="B464" s="87" t="str">
        <f>IFERROR(__xludf.DUMMYFUNCTION("""COMPUTED_VALUE"""),"Philhower West")</f>
        <v>Philhower West</v>
      </c>
      <c r="C464">
        <f>IFERROR(__xludf.DUMMYFUNCTION("""COMPUTED_VALUE"""),57180.0)</f>
        <v>57180</v>
      </c>
      <c r="D464" s="136">
        <f>IFERROR(__xludf.DUMMYFUNCTION("""COMPUTED_VALUE"""),16.8)</f>
        <v>16.8</v>
      </c>
      <c r="E464" s="137" t="str">
        <f>IFERROR(__xludf.DUMMYFUNCTION("""COMPUTED_VALUE"""),"Non-GMO Yellow Corn")</f>
        <v>Non-GMO Yellow Corn</v>
      </c>
      <c r="F464" s="138" t="str">
        <f>IFERROR(__xludf.DUMMYFUNCTION("""COMPUTED_VALUE"""),"A072640")</f>
        <v>A072640</v>
      </c>
      <c r="G464" t="str">
        <f>IFERROR(__xludf.DUMMYFUNCTION("""COMPUTED_VALUE"""),"HBT# 5306 Jack Trk# 1")</f>
        <v>HBT# 5306 Jack Trk# 1</v>
      </c>
      <c r="H464" s="50"/>
      <c r="I464" s="139">
        <f t="shared" si="15"/>
        <v>0</v>
      </c>
      <c r="J464">
        <f t="shared" si="2"/>
        <v>993.5025</v>
      </c>
      <c r="K464" s="140">
        <f t="shared" si="12"/>
        <v>993.5025</v>
      </c>
      <c r="L464" s="141">
        <f>sumif(Farms!$C$68:$C$104,E464,Farms!$D$68:$D$104)</f>
        <v>1.5</v>
      </c>
      <c r="M464" s="141">
        <f>sumif(Farms!$C$68:$C$104,E464,Farms!$F$68:$F$104)</f>
        <v>56</v>
      </c>
      <c r="N464" s="141">
        <f>sumif(Farms!$C$68:$C$104,E464,Farms!$G$68:$G$104)</f>
        <v>15</v>
      </c>
    </row>
    <row r="465">
      <c r="A465" s="135">
        <f>IFERROR(__xludf.DUMMYFUNCTION("""COMPUTED_VALUE"""),45951.0)</f>
        <v>45951</v>
      </c>
      <c r="B465" s="87" t="str">
        <f>IFERROR(__xludf.DUMMYFUNCTION("""COMPUTED_VALUE"""),"Philhower West")</f>
        <v>Philhower West</v>
      </c>
      <c r="C465">
        <f>IFERROR(__xludf.DUMMYFUNCTION("""COMPUTED_VALUE"""),58820.0)</f>
        <v>58820</v>
      </c>
      <c r="D465" s="136">
        <f>IFERROR(__xludf.DUMMYFUNCTION("""COMPUTED_VALUE"""),16.9)</f>
        <v>16.9</v>
      </c>
      <c r="E465" s="137" t="str">
        <f>IFERROR(__xludf.DUMMYFUNCTION("""COMPUTED_VALUE"""),"Non-GMO Yellow Corn")</f>
        <v>Non-GMO Yellow Corn</v>
      </c>
      <c r="F465" s="138" t="str">
        <f>IFERROR(__xludf.DUMMYFUNCTION("""COMPUTED_VALUE"""),"A072644")</f>
        <v>A072644</v>
      </c>
      <c r="G465" t="str">
        <f>IFERROR(__xludf.DUMMYFUNCTION("""COMPUTED_VALUE"""),"HBT# 5233 JB Trk# 5")</f>
        <v>HBT# 5233 JB Trk# 5</v>
      </c>
      <c r="H465" s="50"/>
      <c r="I465" s="139">
        <f t="shared" si="15"/>
        <v>0</v>
      </c>
      <c r="J465">
        <f t="shared" si="2"/>
        <v>1020.421964</v>
      </c>
      <c r="K465" s="140">
        <f t="shared" si="12"/>
        <v>1020.421964</v>
      </c>
      <c r="L465" s="141">
        <f>sumif(Farms!$C$68:$C$104,E465,Farms!$D$68:$D$104)</f>
        <v>1.5</v>
      </c>
      <c r="M465" s="141">
        <f>sumif(Farms!$C$68:$C$104,E465,Farms!$F$68:$F$104)</f>
        <v>56</v>
      </c>
      <c r="N465" s="141">
        <f>sumif(Farms!$C$68:$C$104,E465,Farms!$G$68:$G$104)</f>
        <v>15</v>
      </c>
    </row>
    <row r="466">
      <c r="A466" s="135">
        <f>IFERROR(__xludf.DUMMYFUNCTION("""COMPUTED_VALUE"""),45951.0)</f>
        <v>45951</v>
      </c>
      <c r="B466" s="87" t="str">
        <f>IFERROR(__xludf.DUMMYFUNCTION("""COMPUTED_VALUE"""),"Philhower West")</f>
        <v>Philhower West</v>
      </c>
      <c r="C466">
        <f>IFERROR(__xludf.DUMMYFUNCTION("""COMPUTED_VALUE"""),56900.0)</f>
        <v>56900</v>
      </c>
      <c r="D466" s="136">
        <f>IFERROR(__xludf.DUMMYFUNCTION("""COMPUTED_VALUE"""),16.5)</f>
        <v>16.5</v>
      </c>
      <c r="E466" s="137" t="str">
        <f>IFERROR(__xludf.DUMMYFUNCTION("""COMPUTED_VALUE"""),"Non-GMO Yellow Corn")</f>
        <v>Non-GMO Yellow Corn</v>
      </c>
      <c r="F466" s="138" t="str">
        <f>IFERROR(__xludf.DUMMYFUNCTION("""COMPUTED_VALUE"""),"A072645")</f>
        <v>A072645</v>
      </c>
      <c r="G466" t="str">
        <f>IFERROR(__xludf.DUMMYFUNCTION("""COMPUTED_VALUE"""),"HBT# 5823 BK Trk# 4")</f>
        <v>HBT# 5823 BK Trk# 4</v>
      </c>
      <c r="H466" s="50"/>
      <c r="I466" s="139">
        <f t="shared" si="15"/>
        <v>0</v>
      </c>
      <c r="J466">
        <f t="shared" si="2"/>
        <v>993.2098214</v>
      </c>
      <c r="K466" s="140">
        <f t="shared" si="12"/>
        <v>993.2098214</v>
      </c>
      <c r="L466" s="141">
        <f>sumif(Farms!$C$68:$C$104,E466,Farms!$D$68:$D$104)</f>
        <v>1.5</v>
      </c>
      <c r="M466" s="141">
        <f>sumif(Farms!$C$68:$C$104,E466,Farms!$F$68:$F$104)</f>
        <v>56</v>
      </c>
      <c r="N466" s="141">
        <f>sumif(Farms!$C$68:$C$104,E466,Farms!$G$68:$G$104)</f>
        <v>15</v>
      </c>
    </row>
    <row r="467">
      <c r="A467" s="135">
        <f>IFERROR(__xludf.DUMMYFUNCTION("""COMPUTED_VALUE"""),45951.0)</f>
        <v>45951</v>
      </c>
      <c r="B467" s="87" t="str">
        <f>IFERROR(__xludf.DUMMYFUNCTION("""COMPUTED_VALUE"""),"Philhower West")</f>
        <v>Philhower West</v>
      </c>
      <c r="C467">
        <f>IFERROR(__xludf.DUMMYFUNCTION("""COMPUTED_VALUE"""),56640.0)</f>
        <v>56640</v>
      </c>
      <c r="D467" s="136">
        <f>IFERROR(__xludf.DUMMYFUNCTION("""COMPUTED_VALUE"""),16.1)</f>
        <v>16.1</v>
      </c>
      <c r="E467" s="137" t="str">
        <f>IFERROR(__xludf.DUMMYFUNCTION("""COMPUTED_VALUE"""),"Non-GMO Yellow Corn")</f>
        <v>Non-GMO Yellow Corn</v>
      </c>
      <c r="F467" s="138" t="str">
        <f>IFERROR(__xludf.DUMMYFUNCTION("""COMPUTED_VALUE"""),"A072647")</f>
        <v>A072647</v>
      </c>
      <c r="G467" t="str">
        <f>IFERROR(__xludf.DUMMYFUNCTION("""COMPUTED_VALUE"""),"HBT# 6501 TL Trk# 2")</f>
        <v>HBT# 6501 TL Trk# 2</v>
      </c>
      <c r="H467" s="50"/>
      <c r="I467" s="139">
        <f t="shared" si="15"/>
        <v>0</v>
      </c>
      <c r="J467">
        <f t="shared" si="2"/>
        <v>994.74</v>
      </c>
      <c r="K467" s="140">
        <f t="shared" si="12"/>
        <v>994.74</v>
      </c>
      <c r="L467" s="141">
        <f>sumif(Farms!$C$68:$C$104,E467,Farms!$D$68:$D$104)</f>
        <v>1.5</v>
      </c>
      <c r="M467" s="141">
        <f>sumif(Farms!$C$68:$C$104,E467,Farms!$F$68:$F$104)</f>
        <v>56</v>
      </c>
      <c r="N467" s="141">
        <f>sumif(Farms!$C$68:$C$104,E467,Farms!$G$68:$G$104)</f>
        <v>15</v>
      </c>
    </row>
    <row r="468">
      <c r="A468" s="135">
        <f>IFERROR(__xludf.DUMMYFUNCTION("""COMPUTED_VALUE"""),45951.0)</f>
        <v>45951</v>
      </c>
      <c r="B468" s="87" t="str">
        <f>IFERROR(__xludf.DUMMYFUNCTION("""COMPUTED_VALUE"""),"Philhower West")</f>
        <v>Philhower West</v>
      </c>
      <c r="C468">
        <f>IFERROR(__xludf.DUMMYFUNCTION("""COMPUTED_VALUE"""),58100.0)</f>
        <v>58100</v>
      </c>
      <c r="D468" s="136">
        <f>IFERROR(__xludf.DUMMYFUNCTION("""COMPUTED_VALUE"""),16.7)</f>
        <v>16.7</v>
      </c>
      <c r="E468" s="137" t="str">
        <f>IFERROR(__xludf.DUMMYFUNCTION("""COMPUTED_VALUE"""),"Non-GMO Yellow Corn")</f>
        <v>Non-GMO Yellow Corn</v>
      </c>
      <c r="F468" s="138" t="str">
        <f>IFERROR(__xludf.DUMMYFUNCTION("""COMPUTED_VALUE"""),"A072649")</f>
        <v>A072649</v>
      </c>
      <c r="G468" t="str">
        <f>IFERROR(__xludf.DUMMYFUNCTION("""COMPUTED_VALUE"""),"HBT# 5042 Bob Trk# 3")</f>
        <v>HBT# 5042 Bob Trk# 3</v>
      </c>
      <c r="H468" s="50"/>
      <c r="I468" s="139">
        <f t="shared" si="15"/>
        <v>0</v>
      </c>
      <c r="J468">
        <f t="shared" si="2"/>
        <v>1011.04375</v>
      </c>
      <c r="K468" s="140">
        <f t="shared" si="12"/>
        <v>1011.04375</v>
      </c>
      <c r="L468" s="141">
        <f>sumif(Farms!$C$68:$C$104,E468,Farms!$D$68:$D$104)</f>
        <v>1.5</v>
      </c>
      <c r="M468" s="141">
        <f>sumif(Farms!$C$68:$C$104,E468,Farms!$F$68:$F$104)</f>
        <v>56</v>
      </c>
      <c r="N468" s="141">
        <f>sumif(Farms!$C$68:$C$104,E468,Farms!$G$68:$G$104)</f>
        <v>15</v>
      </c>
    </row>
    <row r="469">
      <c r="A469" s="135">
        <f>IFERROR(__xludf.DUMMYFUNCTION("""COMPUTED_VALUE"""),45951.0)</f>
        <v>45951</v>
      </c>
      <c r="B469" s="87" t="str">
        <f>IFERROR(__xludf.DUMMYFUNCTION("""COMPUTED_VALUE"""),"Philhower West")</f>
        <v>Philhower West</v>
      </c>
      <c r="C469">
        <f>IFERROR(__xludf.DUMMYFUNCTION("""COMPUTED_VALUE"""),57780.0)</f>
        <v>57780</v>
      </c>
      <c r="D469" s="136">
        <f>IFERROR(__xludf.DUMMYFUNCTION("""COMPUTED_VALUE"""),16.2)</f>
        <v>16.2</v>
      </c>
      <c r="E469" s="137" t="str">
        <f>IFERROR(__xludf.DUMMYFUNCTION("""COMPUTED_VALUE"""),"Non-GMO Yellow Corn")</f>
        <v>Non-GMO Yellow Corn</v>
      </c>
      <c r="F469" s="138" t="str">
        <f>IFERROR(__xludf.DUMMYFUNCTION("""COMPUTED_VALUE"""),"A072657")</f>
        <v>A072657</v>
      </c>
      <c r="G469" t="str">
        <f>IFERROR(__xludf.DUMMYFUNCTION("""COMPUTED_VALUE"""),"HBT# 5223 JB  Trk#5")</f>
        <v>HBT# 5223 JB  Trk#5</v>
      </c>
      <c r="H469" s="50"/>
      <c r="I469" s="139">
        <f t="shared" si="15"/>
        <v>0</v>
      </c>
      <c r="J469">
        <f t="shared" si="2"/>
        <v>1013.213571</v>
      </c>
      <c r="K469" s="140">
        <f t="shared" si="12"/>
        <v>1013.213571</v>
      </c>
      <c r="L469" s="141">
        <f>sumif(Farms!$C$68:$C$104,E469,Farms!$D$68:$D$104)</f>
        <v>1.5</v>
      </c>
      <c r="M469" s="141">
        <f>sumif(Farms!$C$68:$C$104,E469,Farms!$F$68:$F$104)</f>
        <v>56</v>
      </c>
      <c r="N469" s="141">
        <f>sumif(Farms!$C$68:$C$104,E469,Farms!$G$68:$G$104)</f>
        <v>15</v>
      </c>
    </row>
    <row r="470">
      <c r="A470" s="135">
        <f>IFERROR(__xludf.DUMMYFUNCTION("""COMPUTED_VALUE"""),45951.0)</f>
        <v>45951</v>
      </c>
      <c r="B470" s="87" t="str">
        <f>IFERROR(__xludf.DUMMYFUNCTION("""COMPUTED_VALUE"""),"Philhower West")</f>
        <v>Philhower West</v>
      </c>
      <c r="C470">
        <f>IFERROR(__xludf.DUMMYFUNCTION("""COMPUTED_VALUE"""),57480.0)</f>
        <v>57480</v>
      </c>
      <c r="D470" s="136">
        <f>IFERROR(__xludf.DUMMYFUNCTION("""COMPUTED_VALUE"""),16.3)</f>
        <v>16.3</v>
      </c>
      <c r="E470" s="137" t="str">
        <f>IFERROR(__xludf.DUMMYFUNCTION("""COMPUTED_VALUE"""),"Non-GMO Yellow Corn")</f>
        <v>Non-GMO Yellow Corn</v>
      </c>
      <c r="F470" s="138" t="str">
        <f>IFERROR(__xludf.DUMMYFUNCTION("""COMPUTED_VALUE"""),"A072660")</f>
        <v>A072660</v>
      </c>
      <c r="G470" t="str">
        <f>IFERROR(__xludf.DUMMYFUNCTION("""COMPUTED_VALUE"""),"HBT# 5043 Bob Trk# 3")</f>
        <v>HBT# 5043 Bob Trk# 3</v>
      </c>
      <c r="H470" s="50"/>
      <c r="I470" s="139">
        <f t="shared" si="15"/>
        <v>0</v>
      </c>
      <c r="J470">
        <f t="shared" si="2"/>
        <v>1006.413214</v>
      </c>
      <c r="K470" s="140">
        <f t="shared" si="12"/>
        <v>1006.413214</v>
      </c>
      <c r="L470" s="141">
        <f>sumif(Farms!$C$68:$C$104,E470,Farms!$D$68:$D$104)</f>
        <v>1.5</v>
      </c>
      <c r="M470" s="141">
        <f>sumif(Farms!$C$68:$C$104,E470,Farms!$F$68:$F$104)</f>
        <v>56</v>
      </c>
      <c r="N470" s="141">
        <f>sumif(Farms!$C$68:$C$104,E470,Farms!$G$68:$G$104)</f>
        <v>15</v>
      </c>
    </row>
    <row r="471">
      <c r="A471" s="135">
        <f>IFERROR(__xludf.DUMMYFUNCTION("""COMPUTED_VALUE"""),45951.0)</f>
        <v>45951</v>
      </c>
      <c r="B471" s="87" t="str">
        <f>IFERROR(__xludf.DUMMYFUNCTION("""COMPUTED_VALUE"""),"Philhower West")</f>
        <v>Philhower West</v>
      </c>
      <c r="C471">
        <f>IFERROR(__xludf.DUMMYFUNCTION("""COMPUTED_VALUE"""),57700.0)</f>
        <v>57700</v>
      </c>
      <c r="D471" s="136">
        <f>IFERROR(__xludf.DUMMYFUNCTION("""COMPUTED_VALUE"""),16.4)</f>
        <v>16.4</v>
      </c>
      <c r="E471" s="137" t="str">
        <f>IFERROR(__xludf.DUMMYFUNCTION("""COMPUTED_VALUE"""),"Non-GMO Yellow Corn")</f>
        <v>Non-GMO Yellow Corn</v>
      </c>
      <c r="F471" s="138" t="str">
        <f>IFERROR(__xludf.DUMMYFUNCTION("""COMPUTED_VALUE"""),"A072668")</f>
        <v>A072668</v>
      </c>
      <c r="G471" t="str">
        <f>IFERROR(__xludf.DUMMYFUNCTION("""COMPUTED_VALUE"""),"HBT#6502 TL Trk# 2")</f>
        <v>HBT#6502 TL Trk# 2</v>
      </c>
      <c r="H471" s="50"/>
      <c r="I471" s="139">
        <f t="shared" si="15"/>
        <v>0</v>
      </c>
      <c r="J471">
        <f t="shared" si="2"/>
        <v>1008.719643</v>
      </c>
      <c r="K471" s="140">
        <f t="shared" si="12"/>
        <v>1008.719643</v>
      </c>
      <c r="L471" s="141">
        <f>sumif(Farms!$C$68:$C$104,E471,Farms!$D$68:$D$104)</f>
        <v>1.5</v>
      </c>
      <c r="M471" s="141">
        <f>sumif(Farms!$C$68:$C$104,E471,Farms!$F$68:$F$104)</f>
        <v>56</v>
      </c>
      <c r="N471" s="141">
        <f>sumif(Farms!$C$68:$C$104,E471,Farms!$G$68:$G$104)</f>
        <v>15</v>
      </c>
    </row>
    <row r="472">
      <c r="A472" s="135">
        <f>IFERROR(__xludf.DUMMYFUNCTION("""COMPUTED_VALUE"""),45951.0)</f>
        <v>45951</v>
      </c>
      <c r="B472" s="87" t="str">
        <f>IFERROR(__xludf.DUMMYFUNCTION("""COMPUTED_VALUE"""),"Philhower West")</f>
        <v>Philhower West</v>
      </c>
      <c r="C472">
        <f>IFERROR(__xludf.DUMMYFUNCTION("""COMPUTED_VALUE"""),59540.0)</f>
        <v>59540</v>
      </c>
      <c r="D472" s="136">
        <f>IFERROR(__xludf.DUMMYFUNCTION("""COMPUTED_VALUE"""),16.1)</f>
        <v>16.1</v>
      </c>
      <c r="E472" s="137" t="str">
        <f>IFERROR(__xludf.DUMMYFUNCTION("""COMPUTED_VALUE"""),"Non-GMO Yellow Corn")</f>
        <v>Non-GMO Yellow Corn</v>
      </c>
      <c r="F472" s="138" t="str">
        <f>IFERROR(__xludf.DUMMYFUNCTION("""COMPUTED_VALUE"""),"A072673")</f>
        <v>A072673</v>
      </c>
      <c r="G472" t="str">
        <f>IFERROR(__xludf.DUMMYFUNCTION("""COMPUTED_VALUE"""),"HBT#5308 Jack Trk# 1")</f>
        <v>HBT#5308 Jack Trk# 1</v>
      </c>
      <c r="H472" s="50"/>
      <c r="I472" s="139">
        <f t="shared" si="15"/>
        <v>0</v>
      </c>
      <c r="J472">
        <f t="shared" si="2"/>
        <v>1045.67125</v>
      </c>
      <c r="K472" s="140">
        <f t="shared" si="12"/>
        <v>1045.67125</v>
      </c>
      <c r="L472" s="141">
        <f>sumif(Farms!$C$68:$C$104,E472,Farms!$D$68:$D$104)</f>
        <v>1.5</v>
      </c>
      <c r="M472" s="141">
        <f>sumif(Farms!$C$68:$C$104,E472,Farms!$F$68:$F$104)</f>
        <v>56</v>
      </c>
      <c r="N472" s="141">
        <f>sumif(Farms!$C$68:$C$104,E472,Farms!$G$68:$G$104)</f>
        <v>15</v>
      </c>
    </row>
    <row r="473">
      <c r="A473" s="135">
        <f>IFERROR(__xludf.DUMMYFUNCTION("""COMPUTED_VALUE"""),45951.0)</f>
        <v>45951</v>
      </c>
      <c r="B473" s="87" t="str">
        <f>IFERROR(__xludf.DUMMYFUNCTION("""COMPUTED_VALUE"""),"Philhower West")</f>
        <v>Philhower West</v>
      </c>
      <c r="C473">
        <f>IFERROR(__xludf.DUMMYFUNCTION("""COMPUTED_VALUE"""),57360.0)</f>
        <v>57360</v>
      </c>
      <c r="D473" s="136">
        <f>IFERROR(__xludf.DUMMYFUNCTION("""COMPUTED_VALUE"""),15.8)</f>
        <v>15.8</v>
      </c>
      <c r="E473" s="137" t="str">
        <f>IFERROR(__xludf.DUMMYFUNCTION("""COMPUTED_VALUE"""),"Non-GMO Yellow Corn")</f>
        <v>Non-GMO Yellow Corn</v>
      </c>
      <c r="F473" s="138" t="str">
        <f>IFERROR(__xludf.DUMMYFUNCTION("""COMPUTED_VALUE"""),"A075661")</f>
        <v>A075661</v>
      </c>
      <c r="G473" t="str">
        <f>IFERROR(__xludf.DUMMYFUNCTION("""COMPUTED_VALUE"""),"HBT# 5824 BK Trk# 4")</f>
        <v>HBT# 5824 BK Trk# 4</v>
      </c>
      <c r="H473" s="50"/>
      <c r="I473" s="139">
        <f t="shared" si="15"/>
        <v>0</v>
      </c>
      <c r="J473">
        <f t="shared" si="2"/>
        <v>1011.994286</v>
      </c>
      <c r="K473" s="140">
        <f t="shared" si="12"/>
        <v>1011.994286</v>
      </c>
      <c r="L473" s="141">
        <f>sumif(Farms!$C$68:$C$104,E473,Farms!$D$68:$D$104)</f>
        <v>1.5</v>
      </c>
      <c r="M473" s="141">
        <f>sumif(Farms!$C$68:$C$104,E473,Farms!$F$68:$F$104)</f>
        <v>56</v>
      </c>
      <c r="N473" s="141">
        <f>sumif(Farms!$C$68:$C$104,E473,Farms!$G$68:$G$104)</f>
        <v>15</v>
      </c>
    </row>
    <row r="474">
      <c r="A474" s="135">
        <f>IFERROR(__xludf.DUMMYFUNCTION("""COMPUTED_VALUE"""),45922.0)</f>
        <v>45922</v>
      </c>
      <c r="B474" s="87" t="str">
        <f>IFERROR(__xludf.DUMMYFUNCTION("""COMPUTED_VALUE"""),"Schultz ")</f>
        <v>Schultz </v>
      </c>
      <c r="C474">
        <f>IFERROR(__xludf.DUMMYFUNCTION("""COMPUTED_VALUE"""),53840.0)</f>
        <v>53840</v>
      </c>
      <c r="D474" s="136">
        <f>IFERROR(__xludf.DUMMYFUNCTION("""COMPUTED_VALUE"""),13.3)</f>
        <v>13.3</v>
      </c>
      <c r="E474" s="137" t="str">
        <f>IFERROR(__xludf.DUMMYFUNCTION("""COMPUTED_VALUE"""),"Pioneer 21A20 Food beans")</f>
        <v>Pioneer 21A20 Food beans</v>
      </c>
      <c r="F474" s="138" t="str">
        <f>IFERROR(__xludf.DUMMYFUNCTION("""COMPUTED_VALUE"""),"0548286")</f>
        <v>0548286</v>
      </c>
      <c r="G474" t="str">
        <f>IFERROR(__xludf.DUMMYFUNCTION("""COMPUTED_VALUE"""),"HBT# 4388 Gary Trk 4 1st Load")</f>
        <v>HBT# 4388 Gary Trk 4 1st Load</v>
      </c>
      <c r="H474" s="50">
        <f>IFERROR(__xludf.DUMMYFUNCTION("""COMPUTED_VALUE"""),0.2)</f>
        <v>0.2</v>
      </c>
      <c r="I474" s="139">
        <f t="shared" si="15"/>
        <v>0</v>
      </c>
      <c r="J474">
        <f t="shared" si="2"/>
        <v>893.2953333</v>
      </c>
      <c r="K474" s="140">
        <f t="shared" si="12"/>
        <v>893.2953333</v>
      </c>
      <c r="L474" s="141">
        <f>sumif(Farms!$C$68:$C$104,E474,Farms!$D$68:$D$104)</f>
        <v>1.5</v>
      </c>
      <c r="M474" s="141">
        <f>sumif(Farms!$C$68:$C$104,E474,Farms!$F$68:$F$104)</f>
        <v>60</v>
      </c>
      <c r="N474" s="141">
        <f>sumif(Farms!$C$68:$C$104,E474,Farms!$G$68:$G$104)</f>
        <v>13</v>
      </c>
    </row>
    <row r="475">
      <c r="A475" s="135">
        <f>IFERROR(__xludf.DUMMYFUNCTION("""COMPUTED_VALUE"""),45922.0)</f>
        <v>45922</v>
      </c>
      <c r="B475" s="87" t="str">
        <f>IFERROR(__xludf.DUMMYFUNCTION("""COMPUTED_VALUE"""),"Schultz ")</f>
        <v>Schultz </v>
      </c>
      <c r="C475">
        <f>IFERROR(__xludf.DUMMYFUNCTION("""COMPUTED_VALUE"""),55760.0)</f>
        <v>55760</v>
      </c>
      <c r="D475" s="136">
        <f>IFERROR(__xludf.DUMMYFUNCTION("""COMPUTED_VALUE"""),13.5)</f>
        <v>13.5</v>
      </c>
      <c r="E475" s="137" t="str">
        <f>IFERROR(__xludf.DUMMYFUNCTION("""COMPUTED_VALUE"""),"Pioneer 21A20 Food beans")</f>
        <v>Pioneer 21A20 Food beans</v>
      </c>
      <c r="F475" s="138" t="str">
        <f>IFERROR(__xludf.DUMMYFUNCTION("""COMPUTED_VALUE"""),"0548288")</f>
        <v>0548288</v>
      </c>
      <c r="G475" t="str">
        <f>IFERROR(__xludf.DUMMYFUNCTION("""COMPUTED_VALUE"""),"HBT# 4389 Gary Trk 4 ")</f>
        <v>HBT# 4389 Gary Trk 4 </v>
      </c>
      <c r="H475" s="50">
        <f>IFERROR(__xludf.DUMMYFUNCTION("""COMPUTED_VALUE"""),0.5)</f>
        <v>0.5</v>
      </c>
      <c r="I475" s="139">
        <f t="shared" si="15"/>
        <v>0</v>
      </c>
      <c r="J475">
        <f t="shared" si="2"/>
        <v>922.3633333</v>
      </c>
      <c r="K475" s="140">
        <f t="shared" si="12"/>
        <v>922.3633333</v>
      </c>
      <c r="L475" s="141">
        <f>sumif(Farms!$C$68:$C$104,E475,Farms!$D$68:$D$104)</f>
        <v>1.5</v>
      </c>
      <c r="M475" s="141">
        <f>sumif(Farms!$C$68:$C$104,E475,Farms!$F$68:$F$104)</f>
        <v>60</v>
      </c>
      <c r="N475" s="141">
        <f>sumif(Farms!$C$68:$C$104,E475,Farms!$G$68:$G$104)</f>
        <v>13</v>
      </c>
    </row>
    <row r="476">
      <c r="A476" s="135">
        <f>IFERROR(__xludf.DUMMYFUNCTION("""COMPUTED_VALUE"""),45922.0)</f>
        <v>45922</v>
      </c>
      <c r="B476" s="87" t="str">
        <f>IFERROR(__xludf.DUMMYFUNCTION("""COMPUTED_VALUE"""),"Schultz ")</f>
        <v>Schultz </v>
      </c>
      <c r="C476">
        <f>IFERROR(__xludf.DUMMYFUNCTION("""COMPUTED_VALUE"""),54580.0)</f>
        <v>54580</v>
      </c>
      <c r="D476" s="136">
        <f>IFERROR(__xludf.DUMMYFUNCTION("""COMPUTED_VALUE"""),12.9)</f>
        <v>12.9</v>
      </c>
      <c r="E476" s="137" t="str">
        <f>IFERROR(__xludf.DUMMYFUNCTION("""COMPUTED_VALUE"""),"Pioneer 21A20 Food beans")</f>
        <v>Pioneer 21A20 Food beans</v>
      </c>
      <c r="F476" s="138" t="str">
        <f>IFERROR(__xludf.DUMMYFUNCTION("""COMPUTED_VALUE"""),"0548292")</f>
        <v>0548292</v>
      </c>
      <c r="G476" t="str">
        <f>IFERROR(__xludf.DUMMYFUNCTION("""COMPUTED_VALUE"""),"HBT# 5521 Gary Trk# 4 ")</f>
        <v>HBT# 5521 Gary Trk# 4 </v>
      </c>
      <c r="H476" s="50">
        <f>IFERROR(__xludf.DUMMYFUNCTION("""COMPUTED_VALUE"""),0.2)</f>
        <v>0.2</v>
      </c>
      <c r="I476" s="139">
        <f t="shared" si="15"/>
        <v>0</v>
      </c>
      <c r="J476">
        <f t="shared" si="2"/>
        <v>911.0311667</v>
      </c>
      <c r="K476" s="140">
        <f t="shared" si="12"/>
        <v>911.0311667</v>
      </c>
      <c r="L476" s="141">
        <f>sumif(Farms!$C$68:$C$104,E476,Farms!$D$68:$D$104)</f>
        <v>1.5</v>
      </c>
      <c r="M476" s="141">
        <f>sumif(Farms!$C$68:$C$104,E476,Farms!$F$68:$F$104)</f>
        <v>60</v>
      </c>
      <c r="N476" s="141">
        <f>sumif(Farms!$C$68:$C$104,E476,Farms!$G$68:$G$104)</f>
        <v>13</v>
      </c>
    </row>
    <row r="477">
      <c r="A477" s="135">
        <f>IFERROR(__xludf.DUMMYFUNCTION("""COMPUTED_VALUE"""),45925.0)</f>
        <v>45925</v>
      </c>
      <c r="B477" s="87" t="str">
        <f>IFERROR(__xludf.DUMMYFUNCTION("""COMPUTED_VALUE"""),"Schultz ")</f>
        <v>Schultz </v>
      </c>
      <c r="C477">
        <f>IFERROR(__xludf.DUMMYFUNCTION("""COMPUTED_VALUE"""),55760.0)</f>
        <v>55760</v>
      </c>
      <c r="D477" s="136">
        <f>IFERROR(__xludf.DUMMYFUNCTION("""COMPUTED_VALUE"""),12.5)</f>
        <v>12.5</v>
      </c>
      <c r="E477" s="137" t="str">
        <f>IFERROR(__xludf.DUMMYFUNCTION("""COMPUTED_VALUE"""),"Pioneer 21A20 Food beans")</f>
        <v>Pioneer 21A20 Food beans</v>
      </c>
      <c r="F477" s="138" t="str">
        <f>IFERROR(__xludf.DUMMYFUNCTION("""COMPUTED_VALUE"""),"0548359")</f>
        <v>0548359</v>
      </c>
      <c r="G477" t="str">
        <f>IFERROR(__xludf.DUMMYFUNCTION("""COMPUTED_VALUE"""),"HBt# 4390 Gary Trk# 4")</f>
        <v>HBt# 4390 Gary Trk# 4</v>
      </c>
      <c r="H477" s="50">
        <f>IFERROR(__xludf.DUMMYFUNCTION("""COMPUTED_VALUE"""),0.4)</f>
        <v>0.4</v>
      </c>
      <c r="I477" s="139">
        <f t="shared" si="15"/>
        <v>0</v>
      </c>
      <c r="J477">
        <f t="shared" si="2"/>
        <v>936.3033333</v>
      </c>
      <c r="K477" s="140">
        <f t="shared" si="12"/>
        <v>936.3033333</v>
      </c>
      <c r="L477" s="141">
        <f>sumif(Farms!$C$68:$C$104,E477,Farms!$D$68:$D$104)</f>
        <v>1.5</v>
      </c>
      <c r="M477" s="141">
        <f>sumif(Farms!$C$68:$C$104,E477,Farms!$F$68:$F$104)</f>
        <v>60</v>
      </c>
      <c r="N477" s="141">
        <f>sumif(Farms!$C$68:$C$104,E477,Farms!$G$68:$G$104)</f>
        <v>13</v>
      </c>
    </row>
    <row r="478">
      <c r="A478" s="135">
        <f>IFERROR(__xludf.DUMMYFUNCTION("""COMPUTED_VALUE"""),45925.0)</f>
        <v>45925</v>
      </c>
      <c r="B478" s="87" t="str">
        <f>IFERROR(__xludf.DUMMYFUNCTION("""COMPUTED_VALUE"""),"Schultz ")</f>
        <v>Schultz </v>
      </c>
      <c r="C478">
        <f>IFERROR(__xludf.DUMMYFUNCTION("""COMPUTED_VALUE"""),57140.0)</f>
        <v>57140</v>
      </c>
      <c r="D478" s="136">
        <f>IFERROR(__xludf.DUMMYFUNCTION("""COMPUTED_VALUE"""),12.8)</f>
        <v>12.8</v>
      </c>
      <c r="E478" s="137" t="str">
        <f>IFERROR(__xludf.DUMMYFUNCTION("""COMPUTED_VALUE"""),"Pioneer 21A20 Food beans")</f>
        <v>Pioneer 21A20 Food beans</v>
      </c>
      <c r="F478" s="138" t="str">
        <f>IFERROR(__xludf.DUMMYFUNCTION("""COMPUTED_VALUE"""),"0548375")</f>
        <v>0548375</v>
      </c>
      <c r="G478" t="str">
        <f>IFERROR(__xludf.DUMMYFUNCTION("""COMPUTED_VALUE"""),"HBt# 5522 Gary Trk# 2")</f>
        <v>HBt# 5522 Gary Trk# 2</v>
      </c>
      <c r="H478" s="50">
        <f>IFERROR(__xludf.DUMMYFUNCTION("""COMPUTED_VALUE"""),0.1)</f>
        <v>0.1</v>
      </c>
      <c r="I478" s="139">
        <f t="shared" si="15"/>
        <v>0</v>
      </c>
      <c r="J478">
        <f t="shared" si="2"/>
        <v>955.1903333</v>
      </c>
      <c r="K478" s="140">
        <f t="shared" si="12"/>
        <v>955.1903333</v>
      </c>
      <c r="L478" s="141">
        <f>sumif(Farms!$C$68:$C$104,E478,Farms!$D$68:$D$104)</f>
        <v>1.5</v>
      </c>
      <c r="M478" s="141">
        <f>sumif(Farms!$C$68:$C$104,E478,Farms!$F$68:$F$104)</f>
        <v>60</v>
      </c>
      <c r="N478" s="141">
        <f>sumif(Farms!$C$68:$C$104,E478,Farms!$G$68:$G$104)</f>
        <v>13</v>
      </c>
    </row>
    <row r="479">
      <c r="A479" s="135">
        <f>IFERROR(__xludf.DUMMYFUNCTION("""COMPUTED_VALUE"""),45926.0)</f>
        <v>45926</v>
      </c>
      <c r="B479" s="87" t="str">
        <f>IFERROR(__xludf.DUMMYFUNCTION("""COMPUTED_VALUE"""),"Schultz ")</f>
        <v>Schultz </v>
      </c>
      <c r="C479">
        <f>IFERROR(__xludf.DUMMYFUNCTION("""COMPUTED_VALUE"""),56900.0)</f>
        <v>56900</v>
      </c>
      <c r="D479" s="136">
        <f>IFERROR(__xludf.DUMMYFUNCTION("""COMPUTED_VALUE"""),12.3)</f>
        <v>12.3</v>
      </c>
      <c r="E479" s="137" t="str">
        <f>IFERROR(__xludf.DUMMYFUNCTION("""COMPUTED_VALUE"""),"Pioneer 21A20 Food beans")</f>
        <v>Pioneer 21A20 Food beans</v>
      </c>
      <c r="F479" s="138" t="str">
        <f>IFERROR(__xludf.DUMMYFUNCTION("""COMPUTED_VALUE"""),"0548404")</f>
        <v>0548404</v>
      </c>
      <c r="G479" t="str">
        <f>IFERROR(__xludf.DUMMYFUNCTION("""COMPUTED_VALUE"""),"HBt# 4391 GaryTrk# 4")</f>
        <v>HBt# 4391 GaryTrk# 4</v>
      </c>
      <c r="H479" s="50">
        <f>IFERROR(__xludf.DUMMYFUNCTION("""COMPUTED_VALUE"""),0.4)</f>
        <v>0.4</v>
      </c>
      <c r="I479" s="139">
        <f t="shared" si="15"/>
        <v>0</v>
      </c>
      <c r="J479">
        <f t="shared" si="2"/>
        <v>958.2908333</v>
      </c>
      <c r="K479" s="140">
        <f t="shared" si="12"/>
        <v>958.2908333</v>
      </c>
      <c r="L479" s="141">
        <f>sumif(Farms!$C$68:$C$104,E479,Farms!$D$68:$D$104)</f>
        <v>1.5</v>
      </c>
      <c r="M479" s="141">
        <f>sumif(Farms!$C$68:$C$104,E479,Farms!$F$68:$F$104)</f>
        <v>60</v>
      </c>
      <c r="N479" s="141">
        <f>sumif(Farms!$C$68:$C$104,E479,Farms!$G$68:$G$104)</f>
        <v>13</v>
      </c>
    </row>
    <row r="480">
      <c r="A480" s="135">
        <f>IFERROR(__xludf.DUMMYFUNCTION("""COMPUTED_VALUE"""),45926.0)</f>
        <v>45926</v>
      </c>
      <c r="B480" s="87" t="str">
        <f>IFERROR(__xludf.DUMMYFUNCTION("""COMPUTED_VALUE"""),"Schultz ")</f>
        <v>Schultz </v>
      </c>
      <c r="C480">
        <f>IFERROR(__xludf.DUMMYFUNCTION("""COMPUTED_VALUE"""),52780.0)</f>
        <v>52780</v>
      </c>
      <c r="D480" s="136">
        <f>IFERROR(__xludf.DUMMYFUNCTION("""COMPUTED_VALUE"""),11.9)</f>
        <v>11.9</v>
      </c>
      <c r="E480" s="137" t="str">
        <f>IFERROR(__xludf.DUMMYFUNCTION("""COMPUTED_VALUE"""),"Pioneer 21A20 Food beans")</f>
        <v>Pioneer 21A20 Food beans</v>
      </c>
      <c r="F480" s="138" t="str">
        <f>IFERROR(__xludf.DUMMYFUNCTION("""COMPUTED_VALUE"""),"0548416")</f>
        <v>0548416</v>
      </c>
      <c r="G480" t="str">
        <f>IFERROR(__xludf.DUMMYFUNCTION("""COMPUTED_VALUE"""),"HBt# 5523 Jack Trk# 2")</f>
        <v>HBt# 5523 Jack Trk# 2</v>
      </c>
      <c r="H480" s="50">
        <f>IFERROR(__xludf.DUMMYFUNCTION("""COMPUTED_VALUE"""),0.4)</f>
        <v>0.4</v>
      </c>
      <c r="I480" s="139">
        <f t="shared" si="15"/>
        <v>0</v>
      </c>
      <c r="J480">
        <f t="shared" si="2"/>
        <v>894.1811667</v>
      </c>
      <c r="K480" s="140">
        <f t="shared" si="12"/>
        <v>894.1811667</v>
      </c>
      <c r="L480" s="141">
        <f>sumif(Farms!$C$68:$C$104,E480,Farms!$D$68:$D$104)</f>
        <v>1.5</v>
      </c>
      <c r="M480" s="141">
        <f>sumif(Farms!$C$68:$C$104,E480,Farms!$F$68:$F$104)</f>
        <v>60</v>
      </c>
      <c r="N480" s="141">
        <f>sumif(Farms!$C$68:$C$104,E480,Farms!$G$68:$G$104)</f>
        <v>13</v>
      </c>
    </row>
    <row r="481">
      <c r="A481" s="135">
        <f>IFERROR(__xludf.DUMMYFUNCTION("""COMPUTED_VALUE"""),46291.0)</f>
        <v>46291</v>
      </c>
      <c r="B481" s="87" t="str">
        <f>IFERROR(__xludf.DUMMYFUNCTION("""COMPUTED_VALUE"""),"Schultz ")</f>
        <v>Schultz </v>
      </c>
      <c r="C481">
        <f>IFERROR(__xludf.DUMMYFUNCTION("""COMPUTED_VALUE"""),12412.0)</f>
        <v>12412</v>
      </c>
      <c r="D481" s="136">
        <f>IFERROR(__xludf.DUMMYFUNCTION("""COMPUTED_VALUE"""),11.0)</f>
        <v>11</v>
      </c>
      <c r="E481" s="137" t="str">
        <f>IFERROR(__xludf.DUMMYFUNCTION("""COMPUTED_VALUE"""),"Pioneer 21A20 Food beans")</f>
        <v>Pioneer 21A20 Food beans</v>
      </c>
      <c r="F481" s="138" t="str">
        <f>IFERROR(__xludf.DUMMYFUNCTION("""COMPUTED_VALUE"""),"0548931")</f>
        <v>0548931</v>
      </c>
      <c r="G481" t="str">
        <f>IFERROR(__xludf.DUMMYFUNCTION("""COMPUTED_VALUE"""),"HBt# 4392 Gary Trk# 4 Split Load")</f>
        <v>HBt# 4392 Gary Trk# 4 Split Load</v>
      </c>
      <c r="H481" s="50">
        <f>IFERROR(__xludf.DUMMYFUNCTION("""COMPUTED_VALUE"""),0.3)</f>
        <v>0.3</v>
      </c>
      <c r="I481" s="139">
        <f t="shared" si="15"/>
        <v>0</v>
      </c>
      <c r="J481">
        <f t="shared" si="2"/>
        <v>213.0726667</v>
      </c>
      <c r="K481" s="140">
        <f t="shared" si="12"/>
        <v>213.0726667</v>
      </c>
      <c r="L481" s="141">
        <f>sumif(Farms!$C$68:$C$104,E481,Farms!$D$68:$D$104)</f>
        <v>1.5</v>
      </c>
      <c r="M481" s="141">
        <f>sumif(Farms!$C$68:$C$104,E481,Farms!$F$68:$F$104)</f>
        <v>60</v>
      </c>
      <c r="N481" s="141">
        <f>sumif(Farms!$C$68:$C$104,E481,Farms!$G$68:$G$104)</f>
        <v>13</v>
      </c>
    </row>
    <row r="482">
      <c r="A482" s="135">
        <f>IFERROR(__xludf.DUMMYFUNCTION("""COMPUTED_VALUE"""),45926.0)</f>
        <v>45926</v>
      </c>
      <c r="B482" s="87" t="str">
        <f>IFERROR(__xludf.DUMMYFUNCTION("""COMPUTED_VALUE"""),"schwellenbach")</f>
        <v>schwellenbach</v>
      </c>
      <c r="C482">
        <f>IFERROR(__xludf.DUMMYFUNCTION("""COMPUTED_VALUE"""),44008.0)</f>
        <v>44008</v>
      </c>
      <c r="D482" s="136">
        <f>IFERROR(__xludf.DUMMYFUNCTION("""COMPUTED_VALUE"""),11.0)</f>
        <v>11</v>
      </c>
      <c r="E482" s="137" t="str">
        <f>IFERROR(__xludf.DUMMYFUNCTION("""COMPUTED_VALUE"""),"Non-GMO Yellow Corn")</f>
        <v>Non-GMO Yellow Corn</v>
      </c>
      <c r="F482" s="138" t="str">
        <f>IFERROR(__xludf.DUMMYFUNCTION("""COMPUTED_VALUE"""),"0548431")</f>
        <v>0548431</v>
      </c>
      <c r="G482" t="str">
        <f>IFERROR(__xludf.DUMMYFUNCTION("""COMPUTED_VALUE"""),"HBT#4393  Gary  Trk # 4 Split Load")</f>
        <v>HBT#4393  Gary  Trk # 4 Split Load</v>
      </c>
      <c r="H482" s="50">
        <f>IFERROR(__xludf.DUMMYFUNCTION("""COMPUTED_VALUE"""),0.3)</f>
        <v>0.3</v>
      </c>
      <c r="I482" s="139">
        <f t="shared" si="15"/>
        <v>0</v>
      </c>
      <c r="J482">
        <f t="shared" si="2"/>
        <v>833.0085714</v>
      </c>
      <c r="K482" s="140">
        <f t="shared" si="12"/>
        <v>833.0085714</v>
      </c>
      <c r="L482" s="141">
        <f>sumif(Farms!$C$68:$C$104,E482,Farms!$D$68:$D$104)</f>
        <v>1.5</v>
      </c>
      <c r="M482" s="141">
        <f>sumif(Farms!$C$68:$C$104,E482,Farms!$F$68:$F$104)</f>
        <v>56</v>
      </c>
      <c r="N482" s="141">
        <f>sumif(Farms!$C$68:$C$104,E482,Farms!$G$68:$G$104)</f>
        <v>15</v>
      </c>
    </row>
    <row r="483">
      <c r="A483" s="135">
        <f>IFERROR(__xludf.DUMMYFUNCTION("""COMPUTED_VALUE"""),45927.0)</f>
        <v>45927</v>
      </c>
      <c r="B483" s="87" t="str">
        <f>IFERROR(__xludf.DUMMYFUNCTION("""COMPUTED_VALUE"""),"schwellenbach")</f>
        <v>schwellenbach</v>
      </c>
      <c r="C483">
        <f>IFERROR(__xludf.DUMMYFUNCTION("""COMPUTED_VALUE"""),50200.0)</f>
        <v>50200</v>
      </c>
      <c r="D483" s="136">
        <f>IFERROR(__xludf.DUMMYFUNCTION("""COMPUTED_VALUE"""),10.9)</f>
        <v>10.9</v>
      </c>
      <c r="E483" s="137" t="str">
        <f>IFERROR(__xludf.DUMMYFUNCTION("""COMPUTED_VALUE"""),"Non-GMO Yellow Corn")</f>
        <v>Non-GMO Yellow Corn</v>
      </c>
      <c r="F483" s="138" t="str">
        <f>IFERROR(__xludf.DUMMYFUNCTION("""COMPUTED_VALUE"""),"A071504")</f>
        <v>A071504</v>
      </c>
      <c r="G483" t="str">
        <f>IFERROR(__xludf.DUMMYFUNCTION("""COMPUTED_VALUE"""),"HBT#4394  Gary  Trk # 4Last Load")</f>
        <v>HBT#4394  Gary  Trk # 4Last Load</v>
      </c>
      <c r="H483" s="50">
        <f>IFERROR(__xludf.DUMMYFUNCTION("""COMPUTED_VALUE"""),0.3)</f>
        <v>0.3</v>
      </c>
      <c r="I483" s="139">
        <f t="shared" si="15"/>
        <v>0</v>
      </c>
      <c r="J483">
        <f t="shared" si="2"/>
        <v>951.5589286</v>
      </c>
      <c r="K483" s="140">
        <f t="shared" si="12"/>
        <v>951.5589286</v>
      </c>
      <c r="L483" s="141">
        <f>sumif(Farms!$C$68:$C$104,E483,Farms!$D$68:$D$104)</f>
        <v>1.5</v>
      </c>
      <c r="M483" s="141">
        <f>sumif(Farms!$C$68:$C$104,E483,Farms!$F$68:$F$104)</f>
        <v>56</v>
      </c>
      <c r="N483" s="141">
        <f>sumif(Farms!$C$68:$C$104,E483,Farms!$G$68:$G$104)</f>
        <v>15</v>
      </c>
    </row>
    <row r="484">
      <c r="A484" s="135">
        <f>IFERROR(__xludf.DUMMYFUNCTION("""COMPUTED_VALUE"""),45927.0)</f>
        <v>45927</v>
      </c>
      <c r="B484" s="87" t="str">
        <f>IFERROR(__xludf.DUMMYFUNCTION("""COMPUTED_VALUE"""),"schwellenbach")</f>
        <v>schwellenbach</v>
      </c>
      <c r="C484">
        <f>IFERROR(__xludf.DUMMYFUNCTION("""COMPUTED_VALUE"""),55240.0)</f>
        <v>55240</v>
      </c>
      <c r="D484" s="136">
        <f>IFERROR(__xludf.DUMMYFUNCTION("""COMPUTED_VALUE"""),10.9)</f>
        <v>10.9</v>
      </c>
      <c r="E484" s="137" t="str">
        <f>IFERROR(__xludf.DUMMYFUNCTION("""COMPUTED_VALUE"""),"Non-GMO Yellow Corn")</f>
        <v>Non-GMO Yellow Corn</v>
      </c>
      <c r="F484" s="138" t="str">
        <f>IFERROR(__xludf.DUMMYFUNCTION("""COMPUTED_VALUE"""),"F01641")</f>
        <v>F01641</v>
      </c>
      <c r="G484" t="str">
        <f>IFERROR(__xludf.DUMMYFUNCTION("""COMPUTED_VALUE"""),"HBT#5524 Jack  Trk # 2 ")</f>
        <v>HBT#5524 Jack  Trk # 2 </v>
      </c>
      <c r="H484" s="50">
        <f>IFERROR(__xludf.DUMMYFUNCTION("""COMPUTED_VALUE"""),0.6)</f>
        <v>0.6</v>
      </c>
      <c r="I484" s="139">
        <f t="shared" si="15"/>
        <v>0</v>
      </c>
      <c r="J484">
        <f t="shared" si="2"/>
        <v>1047.093929</v>
      </c>
      <c r="K484" s="140">
        <f t="shared" si="12"/>
        <v>1047.093929</v>
      </c>
      <c r="L484" s="141">
        <f>sumif(Farms!$C$68:$C$104,E484,Farms!$D$68:$D$104)</f>
        <v>1.5</v>
      </c>
      <c r="M484" s="141">
        <f>sumif(Farms!$C$68:$C$104,E484,Farms!$F$68:$F$104)</f>
        <v>56</v>
      </c>
      <c r="N484" s="141">
        <f>sumif(Farms!$C$68:$C$104,E484,Farms!$G$68:$G$104)</f>
        <v>15</v>
      </c>
    </row>
    <row r="485">
      <c r="A485" s="135">
        <f>IFERROR(__xludf.DUMMYFUNCTION("""COMPUTED_VALUE"""),45860.0)</f>
        <v>45860</v>
      </c>
      <c r="B485" s="87" t="str">
        <f>IFERROR(__xludf.DUMMYFUNCTION("""COMPUTED_VALUE"""),"Simpsons ")</f>
        <v>Simpsons </v>
      </c>
      <c r="C485">
        <f>IFERROR(__xludf.DUMMYFUNCTION("""COMPUTED_VALUE"""),52140.0)</f>
        <v>52140</v>
      </c>
      <c r="D485" s="50">
        <f>IFERROR(__xludf.DUMMYFUNCTION("""COMPUTED_VALUE"""),16.7)</f>
        <v>16.7</v>
      </c>
      <c r="E485" s="137" t="str">
        <f>IFERROR(__xludf.DUMMYFUNCTION("""COMPUTED_VALUE"""),"Organic Wheat")</f>
        <v>Organic Wheat</v>
      </c>
      <c r="F485" s="137">
        <f>IFERROR(__xludf.DUMMYFUNCTION("""COMPUTED_VALUE"""),547578.0)</f>
        <v>547578</v>
      </c>
      <c r="G485" t="str">
        <f>IFERROR(__xludf.DUMMYFUNCTION("""COMPUTED_VALUE"""),"HBT# 5513 Gary Trk# 1")</f>
        <v>HBT# 5513 Gary Trk# 1</v>
      </c>
      <c r="H485" s="50"/>
      <c r="I485" s="139">
        <f t="shared" si="15"/>
        <v>0</v>
      </c>
      <c r="J485">
        <f t="shared" si="2"/>
        <v>898.9655172</v>
      </c>
      <c r="K485" s="140">
        <f t="shared" si="12"/>
        <v>898.9655172</v>
      </c>
      <c r="L485" s="141">
        <f>sumif(Farms!$C$68:$C$104,E485,Farms!$D$68:$D$104)</f>
        <v>0</v>
      </c>
      <c r="M485" s="141">
        <f>sumif(Farms!$C$68:$C$104,E485,Farms!$F$68:$F$104)</f>
        <v>58</v>
      </c>
      <c r="N485" s="141">
        <f>sumif(Farms!$C$68:$C$104,E485,Farms!$G$68:$G$104)</f>
        <v>0</v>
      </c>
    </row>
    <row r="486">
      <c r="A486" s="135">
        <f>IFERROR(__xludf.DUMMYFUNCTION("""COMPUTED_VALUE"""),45922.0)</f>
        <v>45922</v>
      </c>
      <c r="B486" s="87" t="str">
        <f>IFERROR(__xludf.DUMMYFUNCTION("""COMPUTED_VALUE"""),"Simpsons ")</f>
        <v>Simpsons </v>
      </c>
      <c r="C486">
        <f>IFERROR(__xludf.DUMMYFUNCTION("""COMPUTED_VALUE"""),58680.0)</f>
        <v>58680</v>
      </c>
      <c r="D486" s="136"/>
      <c r="E486" s="137" t="str">
        <f>IFERROR(__xludf.DUMMYFUNCTION("""COMPUTED_VALUE"""),"Organic Wheat")</f>
        <v>Organic Wheat</v>
      </c>
      <c r="F486" s="138" t="str">
        <f>IFERROR(__xludf.DUMMYFUNCTION("""COMPUTED_VALUE"""),"036630")</f>
        <v>036630</v>
      </c>
      <c r="G486" t="str">
        <f>IFERROR(__xludf.DUMMYFUNCTION("""COMPUTED_VALUE"""),"HBT# 5655 Bob Trk 41 Bin 1  Meadowlark 844")</f>
        <v>HBT# 5655 Bob Trk 41 Bin 1  Meadowlark 844</v>
      </c>
      <c r="H486" s="50">
        <f>IFERROR(__xludf.DUMMYFUNCTION("""COMPUTED_VALUE"""),0.23)</f>
        <v>0.23</v>
      </c>
      <c r="I486" s="139">
        <f t="shared" si="15"/>
        <v>0</v>
      </c>
      <c r="J486">
        <f t="shared" si="2"/>
        <v>1011.724138</v>
      </c>
      <c r="K486" s="140">
        <f t="shared" si="12"/>
        <v>1011.724138</v>
      </c>
      <c r="L486" s="141">
        <f>sumif(Farms!$C$68:$C$104,E486,Farms!$D$68:$D$104)</f>
        <v>0</v>
      </c>
      <c r="M486" s="141">
        <f>sumif(Farms!$C$68:$C$104,E486,Farms!$F$68:$F$104)</f>
        <v>58</v>
      </c>
      <c r="N486" s="141">
        <f>sumif(Farms!$C$68:$C$104,E486,Farms!$G$68:$G$104)</f>
        <v>0</v>
      </c>
    </row>
    <row r="487">
      <c r="A487" s="135">
        <f>IFERROR(__xludf.DUMMYFUNCTION("""COMPUTED_VALUE"""),45881.0)</f>
        <v>45881</v>
      </c>
      <c r="B487" s="87" t="str">
        <f>IFERROR(__xludf.DUMMYFUNCTION("""COMPUTED_VALUE"""),"Simpsons ")</f>
        <v>Simpsons </v>
      </c>
      <c r="C487">
        <f>IFERROR(__xludf.DUMMYFUNCTION("""COMPUTED_VALUE"""),55660.0)</f>
        <v>55660</v>
      </c>
      <c r="D487" s="136">
        <f>IFERROR(__xludf.DUMMYFUNCTION("""COMPUTED_VALUE"""),13.4)</f>
        <v>13.4</v>
      </c>
      <c r="E487" s="137" t="str">
        <f>IFERROR(__xludf.DUMMYFUNCTION("""COMPUTED_VALUE"""),"Organic Wheat")</f>
        <v>Organic Wheat</v>
      </c>
      <c r="F487" s="138" t="str">
        <f>IFERROR(__xludf.DUMMYFUNCTION("""COMPUTED_VALUE"""),"203")</f>
        <v>203</v>
      </c>
      <c r="G487" t="str">
        <f>IFERROR(__xludf.DUMMYFUNCTION("""COMPUTED_VALUE"""),"Bin # 3 HBT# 3129 Truck 5  Bob -801")</f>
        <v>Bin # 3 HBT# 3129 Truck 5  Bob -801</v>
      </c>
      <c r="H487" s="50"/>
      <c r="I487" s="139">
        <f t="shared" si="15"/>
        <v>0</v>
      </c>
      <c r="J487">
        <f t="shared" si="2"/>
        <v>959.6551724</v>
      </c>
      <c r="K487" s="140">
        <f t="shared" si="12"/>
        <v>959.6551724</v>
      </c>
      <c r="L487" s="141">
        <f>sumif(Farms!$C$68:$C$104,E487,Farms!$D$68:$D$104)</f>
        <v>0</v>
      </c>
      <c r="M487" s="141">
        <f>sumif(Farms!$C$68:$C$104,E487,Farms!$F$68:$F$104)</f>
        <v>58</v>
      </c>
      <c r="N487" s="141">
        <f>sumif(Farms!$C$68:$C$104,E487,Farms!$G$68:$G$104)</f>
        <v>0</v>
      </c>
    </row>
    <row r="488">
      <c r="A488" s="135">
        <f>IFERROR(__xludf.DUMMYFUNCTION("""COMPUTED_VALUE"""),45882.0)</f>
        <v>45882</v>
      </c>
      <c r="B488" s="87" t="str">
        <f>IFERROR(__xludf.DUMMYFUNCTION("""COMPUTED_VALUE"""),"Simpsons ")</f>
        <v>Simpsons </v>
      </c>
      <c r="C488">
        <f>IFERROR(__xludf.DUMMYFUNCTION("""COMPUTED_VALUE"""),55120.0)</f>
        <v>55120</v>
      </c>
      <c r="D488" s="136">
        <f>IFERROR(__xludf.DUMMYFUNCTION("""COMPUTED_VALUE"""),13.2)</f>
        <v>13.2</v>
      </c>
      <c r="E488" s="137" t="str">
        <f>IFERROR(__xludf.DUMMYFUNCTION("""COMPUTED_VALUE"""),"Organic Wheat")</f>
        <v>Organic Wheat</v>
      </c>
      <c r="F488" s="138" t="str">
        <f>IFERROR(__xludf.DUMMYFUNCTION("""COMPUTED_VALUE"""),"204")</f>
        <v>204</v>
      </c>
      <c r="G488" t="str">
        <f>IFERROR(__xludf.DUMMYFUNCTION("""COMPUTED_VALUE"""),"Bin # 3 HBT# 4566 Truck 5  Bob -801")</f>
        <v>Bin # 3 HBT# 4566 Truck 5  Bob -801</v>
      </c>
      <c r="H488" s="50">
        <f>IFERROR(__xludf.DUMMYFUNCTION("""COMPUTED_VALUE"""),0.1)</f>
        <v>0.1</v>
      </c>
      <c r="I488" s="139">
        <f t="shared" si="15"/>
        <v>0</v>
      </c>
      <c r="J488">
        <f t="shared" si="2"/>
        <v>950.3448276</v>
      </c>
      <c r="K488" s="140">
        <f t="shared" si="12"/>
        <v>950.3448276</v>
      </c>
      <c r="L488" s="141">
        <f>sumif(Farms!$C$68:$C$104,E488,Farms!$D$68:$D$104)</f>
        <v>0</v>
      </c>
      <c r="M488" s="141">
        <f>sumif(Farms!$C$68:$C$104,E488,Farms!$F$68:$F$104)</f>
        <v>58</v>
      </c>
      <c r="N488" s="141">
        <f>sumif(Farms!$C$68:$C$104,E488,Farms!$G$68:$G$104)</f>
        <v>0</v>
      </c>
    </row>
    <row r="489">
      <c r="A489" s="135">
        <f>IFERROR(__xludf.DUMMYFUNCTION("""COMPUTED_VALUE"""),45883.0)</f>
        <v>45883</v>
      </c>
      <c r="B489" s="87" t="str">
        <f>IFERROR(__xludf.DUMMYFUNCTION("""COMPUTED_VALUE"""),"Simpsons ")</f>
        <v>Simpsons </v>
      </c>
      <c r="C489">
        <f>IFERROR(__xludf.DUMMYFUNCTION("""COMPUTED_VALUE"""),55720.0)</f>
        <v>55720</v>
      </c>
      <c r="D489" s="136">
        <f>IFERROR(__xludf.DUMMYFUNCTION("""COMPUTED_VALUE"""),13.7)</f>
        <v>13.7</v>
      </c>
      <c r="E489" s="137" t="str">
        <f>IFERROR(__xludf.DUMMYFUNCTION("""COMPUTED_VALUE"""),"Organic Wheat")</f>
        <v>Organic Wheat</v>
      </c>
      <c r="F489" s="138" t="str">
        <f>IFERROR(__xludf.DUMMYFUNCTION("""COMPUTED_VALUE"""),"209")</f>
        <v>209</v>
      </c>
      <c r="G489" t="str">
        <f>IFERROR(__xludf.DUMMYFUNCTION("""COMPUTED_VALUE"""),"HBT# 3127 4 Trk# 5 Julianne - 801")</f>
        <v>HBT# 3127 4 Trk# 5 Julianne - 801</v>
      </c>
      <c r="H489" s="50"/>
      <c r="I489" s="139">
        <f t="shared" si="15"/>
        <v>0</v>
      </c>
      <c r="J489">
        <f t="shared" si="2"/>
        <v>960.6896552</v>
      </c>
      <c r="K489" s="140">
        <f t="shared" si="12"/>
        <v>960.6896552</v>
      </c>
      <c r="L489" s="141">
        <f>sumif(Farms!$C$68:$C$104,E489,Farms!$D$68:$D$104)</f>
        <v>0</v>
      </c>
      <c r="M489" s="141">
        <f>sumif(Farms!$C$68:$C$104,E489,Farms!$F$68:$F$104)</f>
        <v>58</v>
      </c>
      <c r="N489" s="141">
        <f>sumif(Farms!$C$68:$C$104,E489,Farms!$G$68:$G$104)</f>
        <v>0</v>
      </c>
    </row>
    <row r="490">
      <c r="A490" s="135">
        <f>IFERROR(__xludf.DUMMYFUNCTION("""COMPUTED_VALUE"""),45917.0)</f>
        <v>45917</v>
      </c>
      <c r="B490" s="87" t="str">
        <f>IFERROR(__xludf.DUMMYFUNCTION("""COMPUTED_VALUE"""),"Simpsons ")</f>
        <v>Simpsons </v>
      </c>
      <c r="C490">
        <f>IFERROR(__xludf.DUMMYFUNCTION("""COMPUTED_VALUE"""),3180.0)</f>
        <v>3180</v>
      </c>
      <c r="D490" s="136">
        <f>IFERROR(__xludf.DUMMYFUNCTION("""COMPUTED_VALUE"""),14.2)</f>
        <v>14.2</v>
      </c>
      <c r="E490" s="137" t="str">
        <f>IFERROR(__xludf.DUMMYFUNCTION("""COMPUTED_VALUE"""),"Organic Wheat")</f>
        <v>Organic Wheat</v>
      </c>
      <c r="F490" s="138" t="str">
        <f>IFERROR(__xludf.DUMMYFUNCTION("""COMPUTED_VALUE"""),"21990")</f>
        <v>21990</v>
      </c>
      <c r="G490" t="str">
        <f>IFERROR(__xludf.DUMMYFUNCTION("""COMPUTED_VALUE"""),"HBT# 5601 Bob Trk # Bernie's Super Soy -844")</f>
        <v>HBT# 5601 Bob Trk # Bernie's Super Soy -844</v>
      </c>
      <c r="H490" s="50"/>
      <c r="I490" s="139">
        <f t="shared" si="15"/>
        <v>0</v>
      </c>
      <c r="J490">
        <f t="shared" si="2"/>
        <v>54.82758621</v>
      </c>
      <c r="K490" s="140">
        <f t="shared" si="12"/>
        <v>54.82758621</v>
      </c>
      <c r="L490" s="141">
        <f>sumif(Farms!$C$68:$C$104,E490,Farms!$D$68:$D$104)</f>
        <v>0</v>
      </c>
      <c r="M490" s="141">
        <f>sumif(Farms!$C$68:$C$104,E490,Farms!$F$68:$F$104)</f>
        <v>58</v>
      </c>
      <c r="N490" s="141">
        <f>sumif(Farms!$C$68:$C$104,E490,Farms!$G$68:$G$104)</f>
        <v>0</v>
      </c>
    </row>
    <row r="491">
      <c r="A491" s="135">
        <f>IFERROR(__xludf.DUMMYFUNCTION("""COMPUTED_VALUE"""),45888.0)</f>
        <v>45888</v>
      </c>
      <c r="B491" s="87" t="str">
        <f>IFERROR(__xludf.DUMMYFUNCTION("""COMPUTED_VALUE"""),"Simpsons ")</f>
        <v>Simpsons </v>
      </c>
      <c r="C491">
        <f>IFERROR(__xludf.DUMMYFUNCTION("""COMPUTED_VALUE"""),55840.0)</f>
        <v>55840</v>
      </c>
      <c r="D491" s="136">
        <f>IFERROR(__xludf.DUMMYFUNCTION("""COMPUTED_VALUE"""),9.27)</f>
        <v>9.27</v>
      </c>
      <c r="E491" s="137" t="str">
        <f>IFERROR(__xludf.DUMMYFUNCTION("""COMPUTED_VALUE"""),"Organic Wheat")</f>
        <v>Organic Wheat</v>
      </c>
      <c r="F491" s="138" t="str">
        <f>IFERROR(__xludf.DUMMYFUNCTION("""COMPUTED_VALUE"""),"223")</f>
        <v>223</v>
      </c>
      <c r="G491" t="str">
        <f>IFERROR(__xludf.DUMMYFUNCTION("""COMPUTED_VALUE"""),"From Bin #3 HBT# 5077 Trk# 35 Bob #844")</f>
        <v>From Bin #3 HBT# 5077 Trk# 35 Bob #844</v>
      </c>
      <c r="H491" s="50"/>
      <c r="I491" s="139">
        <f t="shared" si="15"/>
        <v>0</v>
      </c>
      <c r="J491">
        <f t="shared" si="2"/>
        <v>962.7586207</v>
      </c>
      <c r="K491" s="140">
        <f t="shared" si="12"/>
        <v>962.7586207</v>
      </c>
      <c r="L491" s="141">
        <f>sumif(Farms!$C$68:$C$104,E491,Farms!$D$68:$D$104)</f>
        <v>0</v>
      </c>
      <c r="M491" s="141">
        <f>sumif(Farms!$C$68:$C$104,E491,Farms!$F$68:$F$104)</f>
        <v>58</v>
      </c>
      <c r="N491" s="141">
        <f>sumif(Farms!$C$68:$C$104,E491,Farms!$G$68:$G$104)</f>
        <v>0</v>
      </c>
    </row>
    <row r="492">
      <c r="A492" s="135">
        <f>IFERROR(__xludf.DUMMYFUNCTION("""COMPUTED_VALUE"""),45890.0)</f>
        <v>45890</v>
      </c>
      <c r="B492" s="87" t="str">
        <f>IFERROR(__xludf.DUMMYFUNCTION("""COMPUTED_VALUE"""),"Simpsons ")</f>
        <v>Simpsons </v>
      </c>
      <c r="C492">
        <f>IFERROR(__xludf.DUMMYFUNCTION("""COMPUTED_VALUE"""),30380.0)</f>
        <v>30380</v>
      </c>
      <c r="D492" s="136">
        <f>IFERROR(__xludf.DUMMYFUNCTION("""COMPUTED_VALUE"""),13.8)</f>
        <v>13.8</v>
      </c>
      <c r="E492" s="137" t="str">
        <f>IFERROR(__xludf.DUMMYFUNCTION("""COMPUTED_VALUE"""),"Organic Wheat")</f>
        <v>Organic Wheat</v>
      </c>
      <c r="F492" s="138" t="str">
        <f>IFERROR(__xludf.DUMMYFUNCTION("""COMPUTED_VALUE"""),"241")</f>
        <v>241</v>
      </c>
      <c r="G492" t="str">
        <f>IFERROR(__xludf.DUMMYFUNCTION("""COMPUTED_VALUE"""),"HBT# 5078 Bob Trk # 5  - 844 Front Hopper")</f>
        <v>HBT# 5078 Bob Trk # 5  - 844 Front Hopper</v>
      </c>
      <c r="H492" s="50"/>
      <c r="I492" s="139">
        <f t="shared" si="15"/>
        <v>0</v>
      </c>
      <c r="J492">
        <f t="shared" si="2"/>
        <v>523.7931034</v>
      </c>
      <c r="K492" s="140">
        <f t="shared" si="12"/>
        <v>523.7931034</v>
      </c>
      <c r="L492" s="141">
        <f>sumif(Farms!$C$68:$C$104,E492,Farms!$D$68:$D$104)</f>
        <v>0</v>
      </c>
      <c r="M492" s="141">
        <f>sumif(Farms!$C$68:$C$104,E492,Farms!$F$68:$F$104)</f>
        <v>58</v>
      </c>
      <c r="N492" s="141">
        <f>sumif(Farms!$C$68:$C$104,E492,Farms!$G$68:$G$104)</f>
        <v>0</v>
      </c>
    </row>
    <row r="493">
      <c r="A493" s="135">
        <f>IFERROR(__xludf.DUMMYFUNCTION("""COMPUTED_VALUE"""),45868.0)</f>
        <v>45868</v>
      </c>
      <c r="B493" s="87" t="str">
        <f>IFERROR(__xludf.DUMMYFUNCTION("""COMPUTED_VALUE"""),"Simpsons ")</f>
        <v>Simpsons </v>
      </c>
      <c r="C493">
        <f>IFERROR(__xludf.DUMMYFUNCTION("""COMPUTED_VALUE"""),56380.0)</f>
        <v>56380</v>
      </c>
      <c r="D493" s="136">
        <f>IFERROR(__xludf.DUMMYFUNCTION("""COMPUTED_VALUE"""),14.4)</f>
        <v>14.4</v>
      </c>
      <c r="E493" s="137" t="str">
        <f>IFERROR(__xludf.DUMMYFUNCTION("""COMPUTED_VALUE"""),"Organic Wheat")</f>
        <v>Organic Wheat</v>
      </c>
      <c r="F493" s="138" t="str">
        <f>IFERROR(__xludf.DUMMYFUNCTION("""COMPUTED_VALUE"""),"283")</f>
        <v>283</v>
      </c>
      <c r="G493" t="str">
        <f>IFERROR(__xludf.DUMMYFUNCTION("""COMPUTED_VALUE"""),"HBT# 5074 Bob Trk# 5 - 844")</f>
        <v>HBT# 5074 Bob Trk# 5 - 844</v>
      </c>
      <c r="H493" s="50">
        <f>IFERROR(__xludf.DUMMYFUNCTION("""COMPUTED_VALUE"""),0.0)</f>
        <v>0</v>
      </c>
      <c r="I493" s="139">
        <f t="shared" si="15"/>
        <v>0</v>
      </c>
      <c r="J493">
        <f t="shared" si="2"/>
        <v>972.0689655</v>
      </c>
      <c r="K493" s="140">
        <f t="shared" si="12"/>
        <v>972.0689655</v>
      </c>
      <c r="L493" s="141">
        <f>sumif(Farms!$C$68:$C$104,E493,Farms!$D$68:$D$104)</f>
        <v>0</v>
      </c>
      <c r="M493" s="141">
        <f>sumif(Farms!$C$68:$C$104,E493,Farms!$F$68:$F$104)</f>
        <v>58</v>
      </c>
      <c r="N493" s="141">
        <f>sumif(Farms!$C$68:$C$104,E493,Farms!$G$68:$G$104)</f>
        <v>0</v>
      </c>
    </row>
    <row r="494">
      <c r="A494" s="135">
        <f>IFERROR(__xludf.DUMMYFUNCTION("""COMPUTED_VALUE"""),45869.0)</f>
        <v>45869</v>
      </c>
      <c r="B494" s="87" t="str">
        <f>IFERROR(__xludf.DUMMYFUNCTION("""COMPUTED_VALUE"""),"Simpsons ")</f>
        <v>Simpsons </v>
      </c>
      <c r="C494">
        <f>IFERROR(__xludf.DUMMYFUNCTION("""COMPUTED_VALUE"""),50740.0)</f>
        <v>50740</v>
      </c>
      <c r="D494" s="136">
        <f>IFERROR(__xludf.DUMMYFUNCTION("""COMPUTED_VALUE"""),16.4)</f>
        <v>16.4</v>
      </c>
      <c r="E494" s="137" t="str">
        <f>IFERROR(__xludf.DUMMYFUNCTION("""COMPUTED_VALUE"""),"Organic Wheat")</f>
        <v>Organic Wheat</v>
      </c>
      <c r="F494" s="138" t="str">
        <f>IFERROR(__xludf.DUMMYFUNCTION("""COMPUTED_VALUE"""),"285")</f>
        <v>285</v>
      </c>
      <c r="G494" t="str">
        <f>IFERROR(__xludf.DUMMYFUNCTION("""COMPUTED_VALUE"""),"HBT# 3123 Bob Trk# 4 - 844")</f>
        <v>HBT# 3123 Bob Trk# 4 - 844</v>
      </c>
      <c r="H494" s="50"/>
      <c r="I494" s="139">
        <f t="shared" si="15"/>
        <v>0</v>
      </c>
      <c r="J494">
        <f t="shared" si="2"/>
        <v>874.8275862</v>
      </c>
      <c r="K494" s="140">
        <f t="shared" si="12"/>
        <v>874.8275862</v>
      </c>
      <c r="L494" s="141">
        <f>sumif(Farms!$C$68:$C$104,E494,Farms!$D$68:$D$104)</f>
        <v>0</v>
      </c>
      <c r="M494" s="141">
        <f>sumif(Farms!$C$68:$C$104,E494,Farms!$F$68:$F$104)</f>
        <v>58</v>
      </c>
      <c r="N494" s="141">
        <f>sumif(Farms!$C$68:$C$104,E494,Farms!$G$68:$G$104)</f>
        <v>0</v>
      </c>
    </row>
    <row r="495">
      <c r="A495" s="135">
        <f>IFERROR(__xludf.DUMMYFUNCTION("""COMPUTED_VALUE"""),45856.0)</f>
        <v>45856</v>
      </c>
      <c r="B495" s="87" t="str">
        <f>IFERROR(__xludf.DUMMYFUNCTION("""COMPUTED_VALUE"""),"Simpsons ")</f>
        <v>Simpsons </v>
      </c>
      <c r="C495">
        <f>IFERROR(__xludf.DUMMYFUNCTION("""COMPUTED_VALUE"""),56060.0)</f>
        <v>56060</v>
      </c>
      <c r="D495" s="136">
        <f>IFERROR(__xludf.DUMMYFUNCTION("""COMPUTED_VALUE"""),15.7)</f>
        <v>15.7</v>
      </c>
      <c r="E495" s="137" t="str">
        <f>IFERROR(__xludf.DUMMYFUNCTION("""COMPUTED_VALUE"""),"Organic Wheat")</f>
        <v>Organic Wheat</v>
      </c>
      <c r="F495" s="138" t="str">
        <f>IFERROR(__xludf.DUMMYFUNCTION("""COMPUTED_VALUE"""),"547646")</f>
        <v>547646</v>
      </c>
      <c r="G495" t="str">
        <f>IFERROR(__xludf.DUMMYFUNCTION("""COMPUTED_VALUE"""),"HBT# 5510 Gary Trk# 2  1st Load")</f>
        <v>HBT# 5510 Gary Trk# 2  1st Load</v>
      </c>
      <c r="H495" s="50">
        <f>IFERROR(__xludf.DUMMYFUNCTION("""COMPUTED_VALUE"""),0.02)</f>
        <v>0.02</v>
      </c>
      <c r="I495" s="139">
        <f t="shared" si="15"/>
        <v>0</v>
      </c>
      <c r="J495">
        <f t="shared" si="2"/>
        <v>966.5517241</v>
      </c>
      <c r="K495" s="140">
        <f t="shared" si="12"/>
        <v>966.5517241</v>
      </c>
      <c r="L495" s="141">
        <f>sumif(Farms!$C$68:$C$104,E495,Farms!$D$68:$D$104)</f>
        <v>0</v>
      </c>
      <c r="M495" s="141">
        <f>sumif(Farms!$C$68:$C$104,E495,Farms!$F$68:$F$104)</f>
        <v>58</v>
      </c>
      <c r="N495" s="141">
        <f>sumif(Farms!$C$68:$C$104,E495,Farms!$G$68:$G$104)</f>
        <v>0</v>
      </c>
    </row>
    <row r="496">
      <c r="A496" s="135">
        <f>IFERROR(__xludf.DUMMYFUNCTION("""COMPUTED_VALUE"""),45856.0)</f>
        <v>45856</v>
      </c>
      <c r="B496" s="87" t="str">
        <f>IFERROR(__xludf.DUMMYFUNCTION("""COMPUTED_VALUE"""),"Simpsons ")</f>
        <v>Simpsons </v>
      </c>
      <c r="C496">
        <f>IFERROR(__xludf.DUMMYFUNCTION("""COMPUTED_VALUE"""),53720.0)</f>
        <v>53720</v>
      </c>
      <c r="D496" s="136">
        <f>IFERROR(__xludf.DUMMYFUNCTION("""COMPUTED_VALUE"""),14.9)</f>
        <v>14.9</v>
      </c>
      <c r="E496" s="137" t="str">
        <f>IFERROR(__xludf.DUMMYFUNCTION("""COMPUTED_VALUE"""),"Organic Wheat")</f>
        <v>Organic Wheat</v>
      </c>
      <c r="F496" s="138" t="str">
        <f>IFERROR(__xludf.DUMMYFUNCTION("""COMPUTED_VALUE"""),"547647")</f>
        <v>547647</v>
      </c>
      <c r="G496" t="str">
        <f>IFERROR(__xludf.DUMMYFUNCTION("""COMPUTED_VALUE"""),"HBT#4382 WR  Trk# 4 ")</f>
        <v>HBT#4382 WR  Trk# 4 </v>
      </c>
      <c r="H496" s="50">
        <f>IFERROR(__xludf.DUMMYFUNCTION("""COMPUTED_VALUE"""),0.0)</f>
        <v>0</v>
      </c>
      <c r="I496" s="139">
        <f t="shared" si="15"/>
        <v>0</v>
      </c>
      <c r="J496">
        <f t="shared" si="2"/>
        <v>926.2068966</v>
      </c>
      <c r="K496" s="140">
        <f t="shared" si="12"/>
        <v>926.2068966</v>
      </c>
      <c r="L496" s="141">
        <f>sumif(Farms!$C$68:$C$104,E496,Farms!$D$68:$D$104)</f>
        <v>0</v>
      </c>
      <c r="M496" s="141">
        <f>sumif(Farms!$C$68:$C$104,E496,Farms!$F$68:$F$104)</f>
        <v>58</v>
      </c>
      <c r="N496" s="141">
        <f>sumif(Farms!$C$68:$C$104,E496,Farms!$G$68:$G$104)</f>
        <v>0</v>
      </c>
    </row>
    <row r="497">
      <c r="A497" s="135">
        <f>IFERROR(__xludf.DUMMYFUNCTION("""COMPUTED_VALUE"""),45859.0)</f>
        <v>45859</v>
      </c>
      <c r="B497" s="87" t="str">
        <f>IFERROR(__xludf.DUMMYFUNCTION("""COMPUTED_VALUE"""),"Simpsons ")</f>
        <v>Simpsons </v>
      </c>
      <c r="C497">
        <f>IFERROR(__xludf.DUMMYFUNCTION("""COMPUTED_VALUE"""),54520.0)</f>
        <v>54520</v>
      </c>
      <c r="D497" s="136">
        <f>IFERROR(__xludf.DUMMYFUNCTION("""COMPUTED_VALUE"""),14.7)</f>
        <v>14.7</v>
      </c>
      <c r="E497" s="137" t="str">
        <f>IFERROR(__xludf.DUMMYFUNCTION("""COMPUTED_VALUE"""),"Organic Wheat")</f>
        <v>Organic Wheat</v>
      </c>
      <c r="F497" s="138" t="str">
        <f>IFERROR(__xludf.DUMMYFUNCTION("""COMPUTED_VALUE"""),"547660")</f>
        <v>547660</v>
      </c>
      <c r="G497" t="str">
        <f>IFERROR(__xludf.DUMMYFUNCTION("""COMPUTED_VALUE"""),"HBT#5513  Gary Trk# 1 ")</f>
        <v>HBT#5513  Gary Trk# 1 </v>
      </c>
      <c r="H497" s="50">
        <f>IFERROR(__xludf.DUMMYFUNCTION("""COMPUTED_VALUE"""),0.0)</f>
        <v>0</v>
      </c>
      <c r="I497" s="46">
        <v>0.0</v>
      </c>
      <c r="J497">
        <f t="shared" si="2"/>
        <v>940</v>
      </c>
      <c r="K497" s="140">
        <f t="shared" si="12"/>
        <v>940</v>
      </c>
      <c r="L497" s="141">
        <f>sumif(Farms!$C$68:$C$104,E497,Farms!$D$68:$D$104)</f>
        <v>0</v>
      </c>
      <c r="M497" s="141">
        <f>sumif(Farms!$C$68:$C$104,E497,Farms!$F$68:$F$104)</f>
        <v>58</v>
      </c>
      <c r="N497" s="141">
        <f>sumif(Farms!$C$68:$C$104,E497,Farms!$G$68:$G$104)</f>
        <v>0</v>
      </c>
    </row>
    <row r="498">
      <c r="A498" s="135">
        <f>IFERROR(__xludf.DUMMYFUNCTION("""COMPUTED_VALUE"""),45859.0)</f>
        <v>45859</v>
      </c>
      <c r="B498" s="87" t="str">
        <f>IFERROR(__xludf.DUMMYFUNCTION("""COMPUTED_VALUE"""),"Simpsons ")</f>
        <v>Simpsons </v>
      </c>
      <c r="C498">
        <f>IFERROR(__xludf.DUMMYFUNCTION("""COMPUTED_VALUE"""),53400.0)</f>
        <v>53400</v>
      </c>
      <c r="D498" s="136">
        <f>IFERROR(__xludf.DUMMYFUNCTION("""COMPUTED_VALUE"""),16.3)</f>
        <v>16.3</v>
      </c>
      <c r="E498" s="137" t="str">
        <f>IFERROR(__xludf.DUMMYFUNCTION("""COMPUTED_VALUE"""),"Organic Wheat")</f>
        <v>Organic Wheat</v>
      </c>
      <c r="F498" s="138" t="str">
        <f>IFERROR(__xludf.DUMMYFUNCTION("""COMPUTED_VALUE"""),"547664")</f>
        <v>547664</v>
      </c>
      <c r="G498" t="str">
        <f>IFERROR(__xludf.DUMMYFUNCTION("""COMPUTED_VALUE"""),"HBT#4384  WR Trk# 4 ")</f>
        <v>HBT#4384  WR Trk# 4 </v>
      </c>
      <c r="H498" s="159"/>
      <c r="I498" s="46">
        <v>0.0</v>
      </c>
      <c r="J498">
        <f t="shared" si="2"/>
        <v>920.6896552</v>
      </c>
      <c r="K498" s="140">
        <f t="shared" si="12"/>
        <v>920.6896552</v>
      </c>
      <c r="L498" s="141">
        <f>sumif(Farms!$C$68:$C$104,E498,Farms!$D$68:$D$104)</f>
        <v>0</v>
      </c>
      <c r="M498" s="141">
        <f>sumif(Farms!$C$68:$C$104,E498,Farms!$F$68:$F$104)</f>
        <v>58</v>
      </c>
      <c r="N498" s="141">
        <f>sumif(Farms!$C$68:$C$104,E498,Farms!$G$68:$G$104)</f>
        <v>0</v>
      </c>
    </row>
    <row r="499">
      <c r="A499" s="135">
        <f>IFERROR(__xludf.DUMMYFUNCTION("""COMPUTED_VALUE"""),45860.0)</f>
        <v>45860</v>
      </c>
      <c r="B499" s="87" t="str">
        <f>IFERROR(__xludf.DUMMYFUNCTION("""COMPUTED_VALUE"""),"Simpsons ")</f>
        <v>Simpsons </v>
      </c>
      <c r="C499">
        <f>IFERROR(__xludf.DUMMYFUNCTION("""COMPUTED_VALUE"""),54420.0)</f>
        <v>54420</v>
      </c>
      <c r="D499" s="136">
        <f>IFERROR(__xludf.DUMMYFUNCTION("""COMPUTED_VALUE"""),16.6)</f>
        <v>16.6</v>
      </c>
      <c r="E499" s="137" t="str">
        <f>IFERROR(__xludf.DUMMYFUNCTION("""COMPUTED_VALUE"""),"Organic Wheat")</f>
        <v>Organic Wheat</v>
      </c>
      <c r="F499" s="138" t="str">
        <f>IFERROR(__xludf.DUMMYFUNCTION("""COMPUTED_VALUE"""),"547677")</f>
        <v>547677</v>
      </c>
      <c r="G499" t="str">
        <f>IFERROR(__xludf.DUMMYFUNCTION("""COMPUTED_VALUE"""),"HBT# 5512 Tanner Trk #4")</f>
        <v>HBT# 5512 Tanner Trk #4</v>
      </c>
      <c r="H499" s="160"/>
      <c r="I499" s="46">
        <v>0.0</v>
      </c>
      <c r="J499">
        <f t="shared" si="2"/>
        <v>938.2758621</v>
      </c>
      <c r="K499" s="140">
        <f t="shared" si="12"/>
        <v>938.2758621</v>
      </c>
      <c r="L499" s="141">
        <f>sumif(Farms!$C$68:$C$104,E499,Farms!$D$68:$D$104)</f>
        <v>0</v>
      </c>
      <c r="M499" s="141">
        <f>sumif(Farms!$C$68:$C$104,E499,Farms!$F$68:$F$104)</f>
        <v>58</v>
      </c>
      <c r="N499" s="141">
        <f>sumif(Farms!$C$68:$C$104,E499,Farms!$G$68:$G$104)</f>
        <v>0</v>
      </c>
    </row>
    <row r="500">
      <c r="A500" s="135">
        <f>IFERROR(__xludf.DUMMYFUNCTION("""COMPUTED_VALUE"""),45860.0)</f>
        <v>45860</v>
      </c>
      <c r="B500" s="87" t="str">
        <f>IFERROR(__xludf.DUMMYFUNCTION("""COMPUTED_VALUE"""),"Simpsons ")</f>
        <v>Simpsons </v>
      </c>
      <c r="C500">
        <f>IFERROR(__xludf.DUMMYFUNCTION("""COMPUTED_VALUE"""),55900.0)</f>
        <v>55900</v>
      </c>
      <c r="D500" s="136">
        <f>IFERROR(__xludf.DUMMYFUNCTION("""COMPUTED_VALUE"""),16.3)</f>
        <v>16.3</v>
      </c>
      <c r="E500" s="137" t="str">
        <f>IFERROR(__xludf.DUMMYFUNCTION("""COMPUTED_VALUE"""),"Organic Wheat")</f>
        <v>Organic Wheat</v>
      </c>
      <c r="F500" s="138" t="str">
        <f>IFERROR(__xludf.DUMMYFUNCTION("""COMPUTED_VALUE"""),"547680")</f>
        <v>547680</v>
      </c>
      <c r="G500" t="str">
        <f>IFERROR(__xludf.DUMMYFUNCTION("""COMPUTED_VALUE"""),"HBT# 5514 Tanner Trk #2")</f>
        <v>HBT# 5514 Tanner Trk #2</v>
      </c>
      <c r="H500" s="160">
        <f>IFERROR(__xludf.DUMMYFUNCTION("""COMPUTED_VALUE"""),0.0)</f>
        <v>0</v>
      </c>
      <c r="I500" s="46">
        <v>0.0</v>
      </c>
      <c r="J500">
        <f t="shared" si="2"/>
        <v>963.7931034</v>
      </c>
      <c r="K500" s="140">
        <f t="shared" si="12"/>
        <v>963.7931034</v>
      </c>
      <c r="L500" s="141">
        <f>sumif(Farms!$C$68:$C$104,E500,Farms!$D$68:$D$104)</f>
        <v>0</v>
      </c>
      <c r="M500" s="141">
        <f>sumif(Farms!$C$68:$C$104,E500,Farms!$F$68:$F$104)</f>
        <v>58</v>
      </c>
      <c r="N500" s="141">
        <f>sumif(Farms!$C$68:$C$104,E500,Farms!$G$68:$G$104)</f>
        <v>0</v>
      </c>
    </row>
    <row r="501">
      <c r="A501" s="135">
        <f>IFERROR(__xludf.DUMMYFUNCTION("""COMPUTED_VALUE"""),45950.0)</f>
        <v>45950</v>
      </c>
      <c r="B501" s="87" t="str">
        <f>IFERROR(__xludf.DUMMYFUNCTION("""COMPUTED_VALUE"""),"suiter")</f>
        <v>suiter</v>
      </c>
      <c r="C501">
        <f>IFERROR(__xludf.DUMMYFUNCTION("""COMPUTED_VALUE"""),56500.0)</f>
        <v>56500</v>
      </c>
      <c r="D501" s="136">
        <f>IFERROR(__xludf.DUMMYFUNCTION("""COMPUTED_VALUE"""),19.6)</f>
        <v>19.6</v>
      </c>
      <c r="E501" s="137" t="str">
        <f>IFERROR(__xludf.DUMMYFUNCTION("""COMPUTED_VALUE"""),"Non-GMO Yellow Corn")</f>
        <v>Non-GMO Yellow Corn</v>
      </c>
      <c r="F501" s="138" t="str">
        <f>IFERROR(__xludf.DUMMYFUNCTION("""COMPUTED_VALUE"""),"A072536")</f>
        <v>A072536</v>
      </c>
      <c r="G501" t="str">
        <f>IFERROR(__xludf.DUMMYFUNCTION("""COMPUTED_VALUE"""),"HBT#5228 JB Trk#5")</f>
        <v>HBT#5228 JB Trk#5</v>
      </c>
      <c r="H501" s="160"/>
      <c r="I501" s="139">
        <f t="shared" ref="I501:I506" si="16">if(H501&gt;=1,H501-1,"0")/100</f>
        <v>0</v>
      </c>
      <c r="J501">
        <f t="shared" si="2"/>
        <v>939.3125</v>
      </c>
      <c r="K501" s="140">
        <f t="shared" si="12"/>
        <v>939.3125</v>
      </c>
      <c r="L501" s="141">
        <f>sumif(Farms!$C$68:$C$104,E501,Farms!$D$68:$D$104)</f>
        <v>1.5</v>
      </c>
      <c r="M501" s="141">
        <f>sumif(Farms!$C$68:$C$104,E501,Farms!$F$68:$F$104)</f>
        <v>56</v>
      </c>
      <c r="N501" s="141">
        <f>sumif(Farms!$C$68:$C$104,E501,Farms!$G$68:$G$104)</f>
        <v>15</v>
      </c>
    </row>
    <row r="502">
      <c r="A502" s="135">
        <f>IFERROR(__xludf.DUMMYFUNCTION("""COMPUTED_VALUE"""),45950.0)</f>
        <v>45950</v>
      </c>
      <c r="B502" s="87" t="str">
        <f>IFERROR(__xludf.DUMMYFUNCTION("""COMPUTED_VALUE"""),"suiter")</f>
        <v>suiter</v>
      </c>
      <c r="C502">
        <f>IFERROR(__xludf.DUMMYFUNCTION("""COMPUTED_VALUE"""),41580.0)</f>
        <v>41580</v>
      </c>
      <c r="D502" s="136">
        <f>IFERROR(__xludf.DUMMYFUNCTION("""COMPUTED_VALUE"""),19.9)</f>
        <v>19.9</v>
      </c>
      <c r="E502" s="137" t="str">
        <f>IFERROR(__xludf.DUMMYFUNCTION("""COMPUTED_VALUE"""),"Non-GMO Yellow Corn")</f>
        <v>Non-GMO Yellow Corn</v>
      </c>
      <c r="F502" s="138" t="str">
        <f>IFERROR(__xludf.DUMMYFUNCTION("""COMPUTED_VALUE"""),"A072540")</f>
        <v>A072540</v>
      </c>
      <c r="G502" t="str">
        <f>IFERROR(__xludf.DUMMYFUNCTION("""COMPUTED_VALUE"""),"HBT#5037 Bob Trk# 3")</f>
        <v>HBT#5037 Bob Trk# 3</v>
      </c>
      <c r="H502" s="160"/>
      <c r="I502" s="139">
        <f t="shared" si="16"/>
        <v>0</v>
      </c>
      <c r="J502">
        <f t="shared" si="2"/>
        <v>687.92625</v>
      </c>
      <c r="K502" s="140">
        <f t="shared" si="12"/>
        <v>687.92625</v>
      </c>
      <c r="L502" s="141">
        <f>sumif(Farms!$C$68:$C$104,E502,Farms!$D$68:$D$104)</f>
        <v>1.5</v>
      </c>
      <c r="M502" s="141">
        <f>sumif(Farms!$C$68:$C$104,E502,Farms!$F$68:$F$104)</f>
        <v>56</v>
      </c>
      <c r="N502" s="141">
        <f>sumif(Farms!$C$68:$C$104,E502,Farms!$G$68:$G$104)</f>
        <v>15</v>
      </c>
    </row>
    <row r="503">
      <c r="A503" s="135">
        <f>IFERROR(__xludf.DUMMYFUNCTION("""COMPUTED_VALUE"""),45939.0)</f>
        <v>45939</v>
      </c>
      <c r="B503" s="87" t="str">
        <f>IFERROR(__xludf.DUMMYFUNCTION("""COMPUTED_VALUE"""),"Torkelson - East")</f>
        <v>Torkelson - East</v>
      </c>
      <c r="C503">
        <f>IFERROR(__xludf.DUMMYFUNCTION("""COMPUTED_VALUE"""),25802.0)</f>
        <v>25802</v>
      </c>
      <c r="D503" s="136">
        <f>IFERROR(__xludf.DUMMYFUNCTION("""COMPUTED_VALUE"""),15.3)</f>
        <v>15.3</v>
      </c>
      <c r="E503" s="137" t="str">
        <f>IFERROR(__xludf.DUMMYFUNCTION("""COMPUTED_VALUE"""),"Non-GMO Yellow Corn")</f>
        <v>Non-GMO Yellow Corn</v>
      </c>
      <c r="F503" s="138" t="str">
        <f>IFERROR(__xludf.DUMMYFUNCTION("""COMPUTED_VALUE"""),"0549283")</f>
        <v>0549283</v>
      </c>
      <c r="G503" t="str">
        <f>IFERROR(__xludf.DUMMYFUNCTION("""COMPUTED_VALUE"""),"HBT#5772 Bob Trk # 4 Split Load")</f>
        <v>HBT#5772 Bob Trk # 4 Split Load</v>
      </c>
      <c r="H503" s="160"/>
      <c r="I503" s="139">
        <f t="shared" si="16"/>
        <v>0</v>
      </c>
      <c r="J503">
        <f t="shared" si="2"/>
        <v>458.676625</v>
      </c>
      <c r="K503" s="140">
        <f t="shared" si="12"/>
        <v>458.676625</v>
      </c>
      <c r="L503" s="141">
        <f>sumif(Farms!$C$68:$C$104,E503,Farms!$D$68:$D$104)</f>
        <v>1.5</v>
      </c>
      <c r="M503" s="141">
        <f>sumif(Farms!$C$68:$C$104,E503,Farms!$F$68:$F$104)</f>
        <v>56</v>
      </c>
      <c r="N503" s="141">
        <f>sumif(Farms!$C$68:$C$104,E503,Farms!$G$68:$G$104)</f>
        <v>15</v>
      </c>
    </row>
    <row r="504">
      <c r="A504" s="135">
        <f>IFERROR(__xludf.DUMMYFUNCTION("""COMPUTED_VALUE"""),45939.0)</f>
        <v>45939</v>
      </c>
      <c r="B504" s="87" t="str">
        <f>IFERROR(__xludf.DUMMYFUNCTION("""COMPUTED_VALUE"""),"Torkelson - East")</f>
        <v>Torkelson - East</v>
      </c>
      <c r="C504">
        <f>IFERROR(__xludf.DUMMYFUNCTION("""COMPUTED_VALUE"""),56580.0)</f>
        <v>56580</v>
      </c>
      <c r="D504" s="136">
        <f>IFERROR(__xludf.DUMMYFUNCTION("""COMPUTED_VALUE"""),15.5)</f>
        <v>15.5</v>
      </c>
      <c r="E504" s="137" t="str">
        <f>IFERROR(__xludf.DUMMYFUNCTION("""COMPUTED_VALUE"""),"Non-GMO Yellow Corn")</f>
        <v>Non-GMO Yellow Corn</v>
      </c>
      <c r="F504" s="138" t="str">
        <f>IFERROR(__xludf.DUMMYFUNCTION("""COMPUTED_VALUE"""),"0549286")</f>
        <v>0549286</v>
      </c>
      <c r="G504" t="str">
        <f>IFERROR(__xludf.DUMMYFUNCTION("""COMPUTED_VALUE"""),"HBT#5571 WDH Trk # 41")</f>
        <v>HBT#5571 WDH Trk # 41</v>
      </c>
      <c r="H504" s="50"/>
      <c r="I504" s="139">
        <f t="shared" si="16"/>
        <v>0</v>
      </c>
      <c r="J504">
        <f t="shared" si="2"/>
        <v>1002.779464</v>
      </c>
      <c r="K504" s="140">
        <f t="shared" si="12"/>
        <v>1002.779464</v>
      </c>
      <c r="L504" s="141">
        <f>sumif(Farms!$C$68:$C$104,E504,Farms!$D$68:$D$104)</f>
        <v>1.5</v>
      </c>
      <c r="M504" s="141">
        <f>sumif(Farms!$C$68:$C$104,E504,Farms!$F$68:$F$104)</f>
        <v>56</v>
      </c>
      <c r="N504" s="141">
        <f>sumif(Farms!$C$68:$C$104,E504,Farms!$G$68:$G$104)</f>
        <v>15</v>
      </c>
    </row>
    <row r="505">
      <c r="A505" s="135">
        <f>IFERROR(__xludf.DUMMYFUNCTION("""COMPUTED_VALUE"""),45939.0)</f>
        <v>45939</v>
      </c>
      <c r="B505" s="87" t="str">
        <f>IFERROR(__xludf.DUMMYFUNCTION("""COMPUTED_VALUE"""),"Torkelson - East")</f>
        <v>Torkelson - East</v>
      </c>
      <c r="C505">
        <f>IFERROR(__xludf.DUMMYFUNCTION("""COMPUTED_VALUE"""),56000.0)</f>
        <v>56000</v>
      </c>
      <c r="D505" s="136">
        <f>IFERROR(__xludf.DUMMYFUNCTION("""COMPUTED_VALUE"""),15.8)</f>
        <v>15.8</v>
      </c>
      <c r="E505" s="137" t="str">
        <f>IFERROR(__xludf.DUMMYFUNCTION("""COMPUTED_VALUE"""),"Non-GMO Yellow Corn")</f>
        <v>Non-GMO Yellow Corn</v>
      </c>
      <c r="F505" s="138" t="str">
        <f>IFERROR(__xludf.DUMMYFUNCTION("""COMPUTED_VALUE"""),"0549290")</f>
        <v>0549290</v>
      </c>
      <c r="G505" t="str">
        <f>IFERROR(__xludf.DUMMYFUNCTION("""COMPUTED_VALUE"""),"HBT#3145 JB Trk #51")</f>
        <v>HBT#3145 JB Trk #51</v>
      </c>
      <c r="H505" s="50"/>
      <c r="I505" s="139">
        <f t="shared" si="16"/>
        <v>0</v>
      </c>
      <c r="J505">
        <f t="shared" si="2"/>
        <v>988</v>
      </c>
      <c r="K505" s="140">
        <f t="shared" si="12"/>
        <v>988</v>
      </c>
      <c r="L505" s="141">
        <f>sumif(Farms!$C$68:$C$104,E505,Farms!$D$68:$D$104)</f>
        <v>1.5</v>
      </c>
      <c r="M505" s="141">
        <f>sumif(Farms!$C$68:$C$104,E505,Farms!$F$68:$F$104)</f>
        <v>56</v>
      </c>
      <c r="N505" s="141">
        <f>sumif(Farms!$C$68:$C$104,E505,Farms!$G$68:$G$104)</f>
        <v>15</v>
      </c>
    </row>
    <row r="506">
      <c r="A506" s="135">
        <f>IFERROR(__xludf.DUMMYFUNCTION("""COMPUTED_VALUE"""),45939.0)</f>
        <v>45939</v>
      </c>
      <c r="B506" s="87" t="str">
        <f>IFERROR(__xludf.DUMMYFUNCTION("""COMPUTED_VALUE"""),"Torkelson - East")</f>
        <v>Torkelson - East</v>
      </c>
      <c r="C506">
        <f>IFERROR(__xludf.DUMMYFUNCTION("""COMPUTED_VALUE"""),57700.0)</f>
        <v>57700</v>
      </c>
      <c r="D506" s="136">
        <f>IFERROR(__xludf.DUMMYFUNCTION("""COMPUTED_VALUE"""),15.3)</f>
        <v>15.3</v>
      </c>
      <c r="E506" s="137" t="str">
        <f>IFERROR(__xludf.DUMMYFUNCTION("""COMPUTED_VALUE"""),"Non-GMO Yellow Corn")</f>
        <v>Non-GMO Yellow Corn</v>
      </c>
      <c r="F506" s="138" t="str">
        <f>IFERROR(__xludf.DUMMYFUNCTION("""COMPUTED_VALUE"""),"0549292")</f>
        <v>0549292</v>
      </c>
      <c r="G506" t="str">
        <f>IFERROR(__xludf.DUMMYFUNCTION("""COMPUTED_VALUE"""),"HBT#4597 Jack Trk #63")</f>
        <v>HBT#4597 Jack Trk #63</v>
      </c>
      <c r="H506" s="50"/>
      <c r="I506" s="139">
        <f t="shared" si="16"/>
        <v>0</v>
      </c>
      <c r="J506">
        <f t="shared" si="2"/>
        <v>1025.720536</v>
      </c>
      <c r="K506" s="140">
        <f t="shared" si="12"/>
        <v>1025.720536</v>
      </c>
      <c r="L506" s="141">
        <f>sumif(Farms!$C$68:$C$104,E506,Farms!$D$68:$D$104)</f>
        <v>1.5</v>
      </c>
      <c r="M506" s="141">
        <f>sumif(Farms!$C$68:$C$104,E506,Farms!$F$68:$F$104)</f>
        <v>56</v>
      </c>
      <c r="N506" s="141">
        <f>sumif(Farms!$C$68:$C$104,E506,Farms!$G$68:$G$104)</f>
        <v>15</v>
      </c>
    </row>
    <row r="507">
      <c r="A507" s="135">
        <f>IFERROR(__xludf.DUMMYFUNCTION("""COMPUTED_VALUE"""),45939.0)</f>
        <v>45939</v>
      </c>
      <c r="B507" s="87" t="str">
        <f>IFERROR(__xludf.DUMMYFUNCTION("""COMPUTED_VALUE"""),"Torkelson - East")</f>
        <v>Torkelson - East</v>
      </c>
      <c r="C507">
        <f>IFERROR(__xludf.DUMMYFUNCTION("""COMPUTED_VALUE"""),57560.0)</f>
        <v>57560</v>
      </c>
      <c r="D507" s="136">
        <f>IFERROR(__xludf.DUMMYFUNCTION("""COMPUTED_VALUE"""),15.4)</f>
        <v>15.4</v>
      </c>
      <c r="E507" s="137" t="str">
        <f>IFERROR(__xludf.DUMMYFUNCTION("""COMPUTED_VALUE"""),"Non-GMO Yellow Corn")</f>
        <v>Non-GMO Yellow Corn</v>
      </c>
      <c r="F507" s="138" t="str">
        <f>IFERROR(__xludf.DUMMYFUNCTION("""COMPUTED_VALUE"""),"0549297")</f>
        <v>0549297</v>
      </c>
      <c r="G507" t="str">
        <f>IFERROR(__xludf.DUMMYFUNCTION("""COMPUTED_VALUE"""),"HBT#5904 TL Trk # 2")</f>
        <v>HBT#5904 TL Trk # 2</v>
      </c>
      <c r="H507" s="50"/>
      <c r="I507" s="46">
        <v>0.0</v>
      </c>
      <c r="J507">
        <f t="shared" si="2"/>
        <v>1021.69</v>
      </c>
      <c r="K507" s="140">
        <f t="shared" si="12"/>
        <v>1021.69</v>
      </c>
      <c r="L507" s="141">
        <f>sumif(Farms!$C$68:$C$104,E507,Farms!$D$68:$D$104)</f>
        <v>1.5</v>
      </c>
      <c r="M507" s="141">
        <f>sumif(Farms!$C$68:$C$104,E507,Farms!$F$68:$F$104)</f>
        <v>56</v>
      </c>
      <c r="N507" s="141">
        <f>sumif(Farms!$C$68:$C$104,E507,Farms!$G$68:$G$104)</f>
        <v>15</v>
      </c>
    </row>
    <row r="508">
      <c r="A508" s="135">
        <f>IFERROR(__xludf.DUMMYFUNCTION("""COMPUTED_VALUE"""),45939.0)</f>
        <v>45939</v>
      </c>
      <c r="B508" s="87" t="str">
        <f>IFERROR(__xludf.DUMMYFUNCTION("""COMPUTED_VALUE"""),"Torkelson - East")</f>
        <v>Torkelson - East</v>
      </c>
      <c r="C508">
        <f>IFERROR(__xludf.DUMMYFUNCTION("""COMPUTED_VALUE"""),58240.0)</f>
        <v>58240</v>
      </c>
      <c r="D508" s="136">
        <f>IFERROR(__xludf.DUMMYFUNCTION("""COMPUTED_VALUE"""),16.3)</f>
        <v>16.3</v>
      </c>
      <c r="E508" s="137" t="str">
        <f>IFERROR(__xludf.DUMMYFUNCTION("""COMPUTED_VALUE"""),"Non-GMO Yellow Corn")</f>
        <v>Non-GMO Yellow Corn</v>
      </c>
      <c r="F508" s="138" t="str">
        <f>IFERROR(__xludf.DUMMYFUNCTION("""COMPUTED_VALUE"""),"0549300")</f>
        <v>0549300</v>
      </c>
      <c r="G508" t="str">
        <f>IFERROR(__xludf.DUMMYFUNCTION("""COMPUTED_VALUE"""),"HBT#5882 Bob Trk # 3")</f>
        <v>HBT#5882 Bob Trk # 3</v>
      </c>
      <c r="H508" s="50"/>
      <c r="I508" s="139">
        <f t="shared" ref="I508:I528" si="17">if(H508&gt;=1,H508-1,"0")/100</f>
        <v>0</v>
      </c>
      <c r="J508">
        <f t="shared" si="2"/>
        <v>1019.72</v>
      </c>
      <c r="K508" s="140">
        <f t="shared" si="12"/>
        <v>1019.72</v>
      </c>
      <c r="L508" s="141">
        <f>sumif(Farms!$C$68:$C$104,E508,Farms!$D$68:$D$104)</f>
        <v>1.5</v>
      </c>
      <c r="M508" s="141">
        <f>sumif(Farms!$C$68:$C$104,E508,Farms!$F$68:$F$104)</f>
        <v>56</v>
      </c>
      <c r="N508" s="141">
        <f>sumif(Farms!$C$68:$C$104,E508,Farms!$G$68:$G$104)</f>
        <v>15</v>
      </c>
    </row>
    <row r="509">
      <c r="A509" s="135">
        <f>IFERROR(__xludf.DUMMYFUNCTION("""COMPUTED_VALUE"""),45939.0)</f>
        <v>45939</v>
      </c>
      <c r="B509" s="87" t="str">
        <f>IFERROR(__xludf.DUMMYFUNCTION("""COMPUTED_VALUE"""),"Torkelson - East")</f>
        <v>Torkelson - East</v>
      </c>
      <c r="C509">
        <f>IFERROR(__xludf.DUMMYFUNCTION("""COMPUTED_VALUE"""),57440.0)</f>
        <v>57440</v>
      </c>
      <c r="D509" s="136">
        <f>IFERROR(__xludf.DUMMYFUNCTION("""COMPUTED_VALUE"""),16.3)</f>
        <v>16.3</v>
      </c>
      <c r="E509" s="159" t="str">
        <f>IFERROR(__xludf.DUMMYFUNCTION("""COMPUTED_VALUE"""),"Non-GMO Yellow Corn")</f>
        <v>Non-GMO Yellow Corn</v>
      </c>
      <c r="F509" s="138" t="str">
        <f>IFERROR(__xludf.DUMMYFUNCTION("""COMPUTED_VALUE"""),"0549302")</f>
        <v>0549302</v>
      </c>
      <c r="G509" t="str">
        <f>IFERROR(__xludf.DUMMYFUNCTION("""COMPUTED_VALUE"""),"HBT#5773 Gary Trk # 4")</f>
        <v>HBT#5773 Gary Trk # 4</v>
      </c>
      <c r="H509" s="50"/>
      <c r="I509" s="139">
        <f t="shared" si="17"/>
        <v>0</v>
      </c>
      <c r="J509">
        <f t="shared" si="2"/>
        <v>1005.712857</v>
      </c>
      <c r="K509" s="140">
        <f t="shared" si="12"/>
        <v>1005.712857</v>
      </c>
      <c r="L509" s="141">
        <f>sumif(Farms!$C$68:$C$104,E509,Farms!$D$68:$D$104)</f>
        <v>1.5</v>
      </c>
      <c r="M509" s="141">
        <f>sumif(Farms!$C$68:$C$104,E509,Farms!$F$68:$F$104)</f>
        <v>56</v>
      </c>
      <c r="N509" s="141">
        <f>sumif(Farms!$C$68:$C$104,E509,Farms!$G$68:$G$104)</f>
        <v>15</v>
      </c>
    </row>
    <row r="510">
      <c r="A510" s="135">
        <f>IFERROR(__xludf.DUMMYFUNCTION("""COMPUTED_VALUE"""),45939.0)</f>
        <v>45939</v>
      </c>
      <c r="B510" s="87" t="str">
        <f>IFERROR(__xludf.DUMMYFUNCTION("""COMPUTED_VALUE"""),"Torkelson - East")</f>
        <v>Torkelson - East</v>
      </c>
      <c r="C510">
        <f>IFERROR(__xludf.DUMMYFUNCTION("""COMPUTED_VALUE"""),58060.0)</f>
        <v>58060</v>
      </c>
      <c r="D510" s="136">
        <f>IFERROR(__xludf.DUMMYFUNCTION("""COMPUTED_VALUE"""),16.3)</f>
        <v>16.3</v>
      </c>
      <c r="E510" s="137" t="str">
        <f>IFERROR(__xludf.DUMMYFUNCTION("""COMPUTED_VALUE"""),"Non-GMO Yellow Corn")</f>
        <v>Non-GMO Yellow Corn</v>
      </c>
      <c r="F510" s="138" t="str">
        <f>IFERROR(__xludf.DUMMYFUNCTION("""COMPUTED_VALUE"""),"0549306")</f>
        <v>0549306</v>
      </c>
      <c r="G510" t="str">
        <f>IFERROR(__xludf.DUMMYFUNCTION("""COMPUTED_VALUE"""),"HBT#5572  WDH Trk # 41")</f>
        <v>HBT#5572  WDH Trk # 41</v>
      </c>
      <c r="H510" s="50"/>
      <c r="I510" s="139">
        <f t="shared" si="17"/>
        <v>0</v>
      </c>
      <c r="J510">
        <f t="shared" si="2"/>
        <v>1016.568393</v>
      </c>
      <c r="K510" s="140">
        <f t="shared" si="12"/>
        <v>1016.568393</v>
      </c>
      <c r="L510" s="141">
        <f>sumif(Farms!$C$68:$C$104,E510,Farms!$D$68:$D$104)</f>
        <v>1.5</v>
      </c>
      <c r="M510" s="141">
        <f>sumif(Farms!$C$68:$C$104,E510,Farms!$F$68:$F$104)</f>
        <v>56</v>
      </c>
      <c r="N510" s="141">
        <f>sumif(Farms!$C$68:$C$104,E510,Farms!$G$68:$G$104)</f>
        <v>15</v>
      </c>
    </row>
    <row r="511">
      <c r="A511" s="135">
        <f>IFERROR(__xludf.DUMMYFUNCTION("""COMPUTED_VALUE"""),45939.0)</f>
        <v>45939</v>
      </c>
      <c r="B511" s="87" t="str">
        <f>IFERROR(__xludf.DUMMYFUNCTION("""COMPUTED_VALUE"""),"Torkelson - East")</f>
        <v>Torkelson - East</v>
      </c>
      <c r="C511">
        <f>IFERROR(__xludf.DUMMYFUNCTION("""COMPUTED_VALUE"""),57660.0)</f>
        <v>57660</v>
      </c>
      <c r="D511" s="136">
        <f>IFERROR(__xludf.DUMMYFUNCTION("""COMPUTED_VALUE"""),15.9)</f>
        <v>15.9</v>
      </c>
      <c r="E511" s="137" t="str">
        <f>IFERROR(__xludf.DUMMYFUNCTION("""COMPUTED_VALUE"""),"Non-GMO Yellow Corn")</f>
        <v>Non-GMO Yellow Corn</v>
      </c>
      <c r="F511" s="138" t="str">
        <f>IFERROR(__xludf.DUMMYFUNCTION("""COMPUTED_VALUE"""),"0549311")</f>
        <v>0549311</v>
      </c>
      <c r="G511" t="str">
        <f>IFERROR(__xludf.DUMMYFUNCTION("""COMPUTED_VALUE"""),"HBT#3146 JB Trk # 3")</f>
        <v>HBT#3146 JB Trk # 3</v>
      </c>
      <c r="H511" s="50"/>
      <c r="I511" s="139">
        <f t="shared" si="17"/>
        <v>0</v>
      </c>
      <c r="J511">
        <f t="shared" si="2"/>
        <v>1015.742679</v>
      </c>
      <c r="K511" s="140">
        <f t="shared" si="12"/>
        <v>1015.742679</v>
      </c>
      <c r="L511" s="141">
        <f>sumif(Farms!$C$68:$C$104,E511,Farms!$D$68:$D$104)</f>
        <v>1.5</v>
      </c>
      <c r="M511" s="141">
        <f>sumif(Farms!$C$68:$C$104,E511,Farms!$F$68:$F$104)</f>
        <v>56</v>
      </c>
      <c r="N511" s="141">
        <f>sumif(Farms!$C$68:$C$104,E511,Farms!$G$68:$G$104)</f>
        <v>15</v>
      </c>
    </row>
    <row r="512">
      <c r="A512" s="135">
        <f>IFERROR(__xludf.DUMMYFUNCTION("""COMPUTED_VALUE"""),45939.0)</f>
        <v>45939</v>
      </c>
      <c r="B512" s="87" t="str">
        <f>IFERROR(__xludf.DUMMYFUNCTION("""COMPUTED_VALUE"""),"Torkelson - East")</f>
        <v>Torkelson - East</v>
      </c>
      <c r="C512">
        <f>IFERROR(__xludf.DUMMYFUNCTION("""COMPUTED_VALUE"""),57520.0)</f>
        <v>57520</v>
      </c>
      <c r="D512" s="136">
        <f>IFERROR(__xludf.DUMMYFUNCTION("""COMPUTED_VALUE"""),16.4)</f>
        <v>16.4</v>
      </c>
      <c r="E512" s="137" t="str">
        <f>IFERROR(__xludf.DUMMYFUNCTION("""COMPUTED_VALUE"""),"Non-GMO Yellow Corn")</f>
        <v>Non-GMO Yellow Corn</v>
      </c>
      <c r="F512" s="138" t="str">
        <f>IFERROR(__xludf.DUMMYFUNCTION("""COMPUTED_VALUE"""),"0549314")</f>
        <v>0549314</v>
      </c>
      <c r="G512" t="str">
        <f>IFERROR(__xludf.DUMMYFUNCTION("""COMPUTED_VALUE"""),"HBT#4598 Jack Trk # 63")</f>
        <v>HBT#4598 Jack Trk # 63</v>
      </c>
      <c r="H512" s="50"/>
      <c r="I512" s="139">
        <f t="shared" si="17"/>
        <v>0</v>
      </c>
      <c r="J512">
        <f t="shared" si="2"/>
        <v>1005.572857</v>
      </c>
      <c r="K512" s="140">
        <f t="shared" si="12"/>
        <v>1005.572857</v>
      </c>
      <c r="L512" s="141">
        <f>sumif(Farms!$C$68:$C$104,E512,Farms!$D$68:$D$104)</f>
        <v>1.5</v>
      </c>
      <c r="M512" s="141">
        <f>sumif(Farms!$C$68:$C$104,E512,Farms!$F$68:$F$104)</f>
        <v>56</v>
      </c>
      <c r="N512" s="141">
        <f>sumif(Farms!$C$68:$C$104,E512,Farms!$G$68:$G$104)</f>
        <v>15</v>
      </c>
    </row>
    <row r="513">
      <c r="A513" s="135">
        <f>IFERROR(__xludf.DUMMYFUNCTION("""COMPUTED_VALUE"""),45939.0)</f>
        <v>45939</v>
      </c>
      <c r="B513" s="87" t="str">
        <f>IFERROR(__xludf.DUMMYFUNCTION("""COMPUTED_VALUE"""),"Torkelson - East")</f>
        <v>Torkelson - East</v>
      </c>
      <c r="C513">
        <f>IFERROR(__xludf.DUMMYFUNCTION("""COMPUTED_VALUE"""),57460.0)</f>
        <v>57460</v>
      </c>
      <c r="D513" s="136">
        <f>IFERROR(__xludf.DUMMYFUNCTION("""COMPUTED_VALUE"""),17.4)</f>
        <v>17.4</v>
      </c>
      <c r="E513" s="137" t="str">
        <f>IFERROR(__xludf.DUMMYFUNCTION("""COMPUTED_VALUE"""),"Non-GMO Yellow Corn")</f>
        <v>Non-GMO Yellow Corn</v>
      </c>
      <c r="F513" s="138" t="str">
        <f>IFERROR(__xludf.DUMMYFUNCTION("""COMPUTED_VALUE"""),"0549320")</f>
        <v>0549320</v>
      </c>
      <c r="G513" t="str">
        <f>IFERROR(__xludf.DUMMYFUNCTION("""COMPUTED_VALUE"""),"HBT#5905 TL Trk # 2")</f>
        <v>HBT#5905 TL Trk # 2</v>
      </c>
      <c r="H513" s="50"/>
      <c r="I513" s="139">
        <f t="shared" si="17"/>
        <v>0</v>
      </c>
      <c r="J513">
        <f t="shared" si="2"/>
        <v>989.1328571</v>
      </c>
      <c r="K513" s="140">
        <f t="shared" si="12"/>
        <v>989.1328571</v>
      </c>
      <c r="L513" s="141">
        <f>sumif(Farms!$C$68:$C$104,E513,Farms!$D$68:$D$104)</f>
        <v>1.5</v>
      </c>
      <c r="M513" s="141">
        <f>sumif(Farms!$C$68:$C$104,E513,Farms!$F$68:$F$104)</f>
        <v>56</v>
      </c>
      <c r="N513" s="141">
        <f>sumif(Farms!$C$68:$C$104,E513,Farms!$G$68:$G$104)</f>
        <v>15</v>
      </c>
    </row>
    <row r="514">
      <c r="A514" s="135">
        <f>IFERROR(__xludf.DUMMYFUNCTION("""COMPUTED_VALUE"""),45939.0)</f>
        <v>45939</v>
      </c>
      <c r="B514" s="87" t="str">
        <f>IFERROR(__xludf.DUMMYFUNCTION("""COMPUTED_VALUE"""),"Torkelson - East")</f>
        <v>Torkelson - East</v>
      </c>
      <c r="C514">
        <f>IFERROR(__xludf.DUMMYFUNCTION("""COMPUTED_VALUE"""),57900.0)</f>
        <v>57900</v>
      </c>
      <c r="D514" s="136">
        <f>IFERROR(__xludf.DUMMYFUNCTION("""COMPUTED_VALUE"""),17.0)</f>
        <v>17</v>
      </c>
      <c r="E514" s="137" t="str">
        <f>IFERROR(__xludf.DUMMYFUNCTION("""COMPUTED_VALUE"""),"Non-GMO Yellow Corn")</f>
        <v>Non-GMO Yellow Corn</v>
      </c>
      <c r="F514" s="138" t="str">
        <f>IFERROR(__xludf.DUMMYFUNCTION("""COMPUTED_VALUE"""),"0549324")</f>
        <v>0549324</v>
      </c>
      <c r="G514" t="str">
        <f>IFERROR(__xludf.DUMMYFUNCTION("""COMPUTED_VALUE"""),"HBT#5883 Bob Trk # 3")</f>
        <v>HBT#5883 Bob Trk # 3</v>
      </c>
      <c r="H514" s="50"/>
      <c r="I514" s="139">
        <f t="shared" si="17"/>
        <v>0</v>
      </c>
      <c r="J514">
        <f t="shared" si="2"/>
        <v>1002.910714</v>
      </c>
      <c r="K514" s="140">
        <f t="shared" si="12"/>
        <v>1002.910714</v>
      </c>
      <c r="L514" s="141">
        <f>sumif(Farms!$C$68:$C$104,E514,Farms!$D$68:$D$104)</f>
        <v>1.5</v>
      </c>
      <c r="M514" s="141">
        <f>sumif(Farms!$C$68:$C$104,E514,Farms!$F$68:$F$104)</f>
        <v>56</v>
      </c>
      <c r="N514" s="141">
        <f>sumif(Farms!$C$68:$C$104,E514,Farms!$G$68:$G$104)</f>
        <v>15</v>
      </c>
    </row>
    <row r="515">
      <c r="A515" s="135">
        <f>IFERROR(__xludf.DUMMYFUNCTION("""COMPUTED_VALUE"""),45939.0)</f>
        <v>45939</v>
      </c>
      <c r="B515" s="87" t="str">
        <f>IFERROR(__xludf.DUMMYFUNCTION("""COMPUTED_VALUE"""),"Torkelson - East")</f>
        <v>Torkelson - East</v>
      </c>
      <c r="C515">
        <f>IFERROR(__xludf.DUMMYFUNCTION("""COMPUTED_VALUE"""),57700.0)</f>
        <v>57700</v>
      </c>
      <c r="D515" s="136">
        <f>IFERROR(__xludf.DUMMYFUNCTION("""COMPUTED_VALUE"""),17.0)</f>
        <v>17</v>
      </c>
      <c r="E515" s="137" t="str">
        <f>IFERROR(__xludf.DUMMYFUNCTION("""COMPUTED_VALUE"""),"Non-GMO Yellow Corn")</f>
        <v>Non-GMO Yellow Corn</v>
      </c>
      <c r="F515" s="138" t="str">
        <f>IFERROR(__xludf.DUMMYFUNCTION("""COMPUTED_VALUE"""),"0549327")</f>
        <v>0549327</v>
      </c>
      <c r="G515" t="str">
        <f>IFERROR(__xludf.DUMMYFUNCTION("""COMPUTED_VALUE"""),"HBT#5774 gary Trk # 4")</f>
        <v>HBT#5774 gary Trk # 4</v>
      </c>
      <c r="H515" s="50"/>
      <c r="I515" s="139">
        <f t="shared" si="17"/>
        <v>0</v>
      </c>
      <c r="J515">
        <f t="shared" si="2"/>
        <v>999.4464286</v>
      </c>
      <c r="K515" s="140">
        <f t="shared" si="12"/>
        <v>999.4464286</v>
      </c>
      <c r="L515" s="141">
        <f>sumif(Farms!$C$68:$C$104,E515,Farms!$D$68:$D$104)</f>
        <v>1.5</v>
      </c>
      <c r="M515" s="141">
        <f>sumif(Farms!$C$68:$C$104,E515,Farms!$F$68:$F$104)</f>
        <v>56</v>
      </c>
      <c r="N515" s="141">
        <f>sumif(Farms!$C$68:$C$104,E515,Farms!$G$68:$G$104)</f>
        <v>15</v>
      </c>
    </row>
    <row r="516">
      <c r="A516" s="135">
        <f>IFERROR(__xludf.DUMMYFUNCTION("""COMPUTED_VALUE"""),45939.0)</f>
        <v>45939</v>
      </c>
      <c r="B516" s="87" t="str">
        <f>IFERROR(__xludf.DUMMYFUNCTION("""COMPUTED_VALUE"""),"Torkelson - East")</f>
        <v>Torkelson - East</v>
      </c>
      <c r="C516">
        <f>IFERROR(__xludf.DUMMYFUNCTION("""COMPUTED_VALUE"""),58060.0)</f>
        <v>58060</v>
      </c>
      <c r="D516" s="136">
        <f>IFERROR(__xludf.DUMMYFUNCTION("""COMPUTED_VALUE"""),16.9)</f>
        <v>16.9</v>
      </c>
      <c r="E516" s="137" t="str">
        <f>IFERROR(__xludf.DUMMYFUNCTION("""COMPUTED_VALUE"""),"Non-GMO Yellow Corn")</f>
        <v>Non-GMO Yellow Corn</v>
      </c>
      <c r="F516" s="138" t="str">
        <f>IFERROR(__xludf.DUMMYFUNCTION("""COMPUTED_VALUE"""),"0549330")</f>
        <v>0549330</v>
      </c>
      <c r="G516" t="str">
        <f>IFERROR(__xludf.DUMMYFUNCTION("""COMPUTED_VALUE"""),"HBT#5573 WDH  Trk # 41")</f>
        <v>HBT#5573 WDH  Trk # 41</v>
      </c>
      <c r="H516" s="50"/>
      <c r="I516" s="139">
        <f t="shared" si="17"/>
        <v>0</v>
      </c>
      <c r="J516">
        <f t="shared" si="2"/>
        <v>1007.237321</v>
      </c>
      <c r="K516" s="140">
        <f t="shared" si="12"/>
        <v>1007.237321</v>
      </c>
      <c r="L516" s="141">
        <f>sumif(Farms!$C$68:$C$104,E516,Farms!$D$68:$D$104)</f>
        <v>1.5</v>
      </c>
      <c r="M516" s="141">
        <f>sumif(Farms!$C$68:$C$104,E516,Farms!$F$68:$F$104)</f>
        <v>56</v>
      </c>
      <c r="N516" s="141">
        <f>sumif(Farms!$C$68:$C$104,E516,Farms!$G$68:$G$104)</f>
        <v>15</v>
      </c>
    </row>
    <row r="517">
      <c r="A517" s="135">
        <f>IFERROR(__xludf.DUMMYFUNCTION("""COMPUTED_VALUE"""),45939.0)</f>
        <v>45939</v>
      </c>
      <c r="B517" s="87" t="str">
        <f>IFERROR(__xludf.DUMMYFUNCTION("""COMPUTED_VALUE"""),"Torkelson - East")</f>
        <v>Torkelson - East</v>
      </c>
      <c r="C517">
        <f>IFERROR(__xludf.DUMMYFUNCTION("""COMPUTED_VALUE"""),55380.0)</f>
        <v>55380</v>
      </c>
      <c r="D517" s="136">
        <f>IFERROR(__xludf.DUMMYFUNCTION("""COMPUTED_VALUE"""),16.7)</f>
        <v>16.7</v>
      </c>
      <c r="E517" s="137" t="str">
        <f>IFERROR(__xludf.DUMMYFUNCTION("""COMPUTED_VALUE"""),"Non-GMO Yellow Corn")</f>
        <v>Non-GMO Yellow Corn</v>
      </c>
      <c r="F517" s="138" t="str">
        <f>IFERROR(__xludf.DUMMYFUNCTION("""COMPUTED_VALUE"""),"0549334")</f>
        <v>0549334</v>
      </c>
      <c r="G517" t="str">
        <f>IFERROR(__xludf.DUMMYFUNCTION("""COMPUTED_VALUE"""),"HBT#4599 Jack  Trk # 63")</f>
        <v>HBT#4599 Jack  Trk # 63</v>
      </c>
      <c r="H517" s="50"/>
      <c r="I517" s="139">
        <f t="shared" si="17"/>
        <v>0</v>
      </c>
      <c r="J517">
        <f t="shared" si="2"/>
        <v>963.7108929</v>
      </c>
      <c r="K517" s="140">
        <f t="shared" si="12"/>
        <v>963.7108929</v>
      </c>
      <c r="L517" s="141">
        <f>sumif(Farms!$C$68:$C$104,E517,Farms!$D$68:$D$104)</f>
        <v>1.5</v>
      </c>
      <c r="M517" s="141">
        <f>sumif(Farms!$C$68:$C$104,E517,Farms!$F$68:$F$104)</f>
        <v>56</v>
      </c>
      <c r="N517" s="141">
        <f>sumif(Farms!$C$68:$C$104,E517,Farms!$G$68:$G$104)</f>
        <v>15</v>
      </c>
    </row>
    <row r="518">
      <c r="A518" s="135">
        <f>IFERROR(__xludf.DUMMYFUNCTION("""COMPUTED_VALUE"""),45940.0)</f>
        <v>45940</v>
      </c>
      <c r="B518" s="87" t="str">
        <f>IFERROR(__xludf.DUMMYFUNCTION("""COMPUTED_VALUE"""),"Torkelson - East")</f>
        <v>Torkelson - East</v>
      </c>
      <c r="C518">
        <f>IFERROR(__xludf.DUMMYFUNCTION("""COMPUTED_VALUE"""),56480.0)</f>
        <v>56480</v>
      </c>
      <c r="D518" s="136">
        <f>IFERROR(__xludf.DUMMYFUNCTION("""COMPUTED_VALUE"""),17.3)</f>
        <v>17.3</v>
      </c>
      <c r="E518" s="137" t="str">
        <f>IFERROR(__xludf.DUMMYFUNCTION("""COMPUTED_VALUE"""),"Non-GMO Yellow Corn")</f>
        <v>Non-GMO Yellow Corn</v>
      </c>
      <c r="F518" s="138" t="str">
        <f>IFERROR(__xludf.DUMMYFUNCTION("""COMPUTED_VALUE"""),"0549378")</f>
        <v>0549378</v>
      </c>
      <c r="G518" t="str">
        <f>IFERROR(__xludf.DUMMYFUNCTION("""COMPUTED_VALUE"""),"HBT#3147 BK  Trk # 5")</f>
        <v>HBT#3147 BK  Trk # 5</v>
      </c>
      <c r="H518" s="50"/>
      <c r="I518" s="139">
        <f t="shared" si="17"/>
        <v>0</v>
      </c>
      <c r="J518">
        <f t="shared" si="2"/>
        <v>973.7757143</v>
      </c>
      <c r="K518" s="140">
        <f t="shared" si="12"/>
        <v>973.7757143</v>
      </c>
      <c r="L518" s="141">
        <f>sumif(Farms!$C$68:$C$104,E518,Farms!$D$68:$D$104)</f>
        <v>1.5</v>
      </c>
      <c r="M518" s="141">
        <f>sumif(Farms!$C$68:$C$104,E518,Farms!$F$68:$F$104)</f>
        <v>56</v>
      </c>
      <c r="N518" s="141">
        <f>sumif(Farms!$C$68:$C$104,E518,Farms!$G$68:$G$104)</f>
        <v>15</v>
      </c>
    </row>
    <row r="519">
      <c r="A519" s="135">
        <f>IFERROR(__xludf.DUMMYFUNCTION("""COMPUTED_VALUE"""),45863.0)</f>
        <v>45863</v>
      </c>
      <c r="B519" s="87" t="str">
        <f>IFERROR(__xludf.DUMMYFUNCTION("""COMPUTED_VALUE"""),"Townline N&amp;S Crop 2")</f>
        <v>Townline N&amp;S Crop 2</v>
      </c>
      <c r="C519">
        <f>IFERROR(__xludf.DUMMYFUNCTION("""COMPUTED_VALUE"""),1692800.0)</f>
        <v>1692800</v>
      </c>
      <c r="D519" s="136"/>
      <c r="E519" s="137" t="str">
        <f>IFERROR(__xludf.DUMMYFUNCTION("""COMPUTED_VALUE"""),"Snap Beans")</f>
        <v>Snap Beans</v>
      </c>
      <c r="F519" s="138" t="str">
        <f>IFERROR(__xludf.DUMMYFUNCTION("""COMPUTED_VALUE"""),"533-017148 - 77")</f>
        <v>533-017148 - 77</v>
      </c>
      <c r="G519" t="str">
        <f>IFERROR(__xludf.DUMMYFUNCTION("""COMPUTED_VALUE"""),"Seneca")</f>
        <v>Seneca</v>
      </c>
      <c r="H519" s="50"/>
      <c r="I519" s="139">
        <f t="shared" si="17"/>
        <v>0</v>
      </c>
      <c r="J519">
        <f t="shared" si="2"/>
        <v>846.4</v>
      </c>
      <c r="K519" s="140">
        <f t="shared" si="12"/>
        <v>846.4</v>
      </c>
      <c r="L519" s="141">
        <f>sumif(Farms!$C$68:$C$104,E519,Farms!$D$68:$D$104)</f>
        <v>0</v>
      </c>
      <c r="M519" s="141">
        <f>sumif(Farms!$C$68:$C$104,E519,Farms!$F$68:$F$104)</f>
        <v>2000</v>
      </c>
      <c r="N519" s="141">
        <f>sumif(Farms!$C$68:$C$104,E519,Farms!$G$68:$G$104)</f>
        <v>15</v>
      </c>
    </row>
    <row r="520">
      <c r="A520" s="135">
        <f>IFERROR(__xludf.DUMMYFUNCTION("""COMPUTED_VALUE"""),45951.0)</f>
        <v>45951</v>
      </c>
      <c r="B520" s="87" t="str">
        <f>IFERROR(__xludf.DUMMYFUNCTION("""COMPUTED_VALUE"""),"Twist")</f>
        <v>Twist</v>
      </c>
      <c r="C520">
        <f>IFERROR(__xludf.DUMMYFUNCTION("""COMPUTED_VALUE"""),58380.0)</f>
        <v>58380</v>
      </c>
      <c r="D520">
        <f>IFERROR(__xludf.DUMMYFUNCTION("""COMPUTED_VALUE"""),17.4)</f>
        <v>17.4</v>
      </c>
      <c r="E520" s="137" t="str">
        <f>IFERROR(__xludf.DUMMYFUNCTION("""COMPUTED_VALUE"""),"Non-GMO Yellow Corn")</f>
        <v>Non-GMO Yellow Corn</v>
      </c>
      <c r="F520" s="137" t="str">
        <f>IFERROR(__xludf.DUMMYFUNCTION("""COMPUTED_VALUE"""),"A072676")</f>
        <v>A072676</v>
      </c>
      <c r="G520" t="str">
        <f>IFERROR(__xludf.DUMMYFUNCTION("""COMPUTED_VALUE"""),"HBT#5243 JB Trk# 5")</f>
        <v>HBT#5243 JB Trk# 5</v>
      </c>
      <c r="I520" s="139">
        <f t="shared" si="17"/>
        <v>0</v>
      </c>
      <c r="J520">
        <f t="shared" si="2"/>
        <v>1004.97</v>
      </c>
      <c r="K520" s="140">
        <f t="shared" si="12"/>
        <v>1004.97</v>
      </c>
      <c r="L520" s="141">
        <f>sumif(Farms!$C$68:$C$104,E520,Farms!$D$68:$D$104)</f>
        <v>1.5</v>
      </c>
      <c r="M520" s="141">
        <f>sumif(Farms!$C$68:$C$104,E520,Farms!$F$68:$F$104)</f>
        <v>56</v>
      </c>
      <c r="N520" s="141">
        <f>sumif(Farms!$C$68:$C$104,E520,Farms!$G$68:$G$104)</f>
        <v>15</v>
      </c>
    </row>
    <row r="521">
      <c r="A521" s="135">
        <f>IFERROR(__xludf.DUMMYFUNCTION("""COMPUTED_VALUE"""),45951.0)</f>
        <v>45951</v>
      </c>
      <c r="B521" s="87" t="str">
        <f>IFERROR(__xludf.DUMMYFUNCTION("""COMPUTED_VALUE"""),"Twist")</f>
        <v>Twist</v>
      </c>
      <c r="C521">
        <f>IFERROR(__xludf.DUMMYFUNCTION("""COMPUTED_VALUE"""),57900.0)</f>
        <v>57900</v>
      </c>
      <c r="D521" s="136">
        <f>IFERROR(__xludf.DUMMYFUNCTION("""COMPUTED_VALUE"""),17.7)</f>
        <v>17.7</v>
      </c>
      <c r="E521" s="137" t="str">
        <f>IFERROR(__xludf.DUMMYFUNCTION("""COMPUTED_VALUE"""),"Non-GMO Yellow Corn")</f>
        <v>Non-GMO Yellow Corn</v>
      </c>
      <c r="F521" s="138" t="str">
        <f>IFERROR(__xludf.DUMMYFUNCTION("""COMPUTED_VALUE"""),"A072678")</f>
        <v>A072678</v>
      </c>
      <c r="G521" t="str">
        <f>IFERROR(__xludf.DUMMYFUNCTION("""COMPUTED_VALUE"""),"HBT#5044 Bob Trk# 3")</f>
        <v>HBT#5044 Bob Trk# 3</v>
      </c>
      <c r="H521" s="50"/>
      <c r="I521" s="139">
        <f t="shared" si="17"/>
        <v>0</v>
      </c>
      <c r="J521">
        <f t="shared" si="2"/>
        <v>992.0544643</v>
      </c>
      <c r="K521" s="140">
        <f t="shared" si="12"/>
        <v>992.0544643</v>
      </c>
      <c r="L521" s="141">
        <f>sumif(Farms!$C$68:$C$104,E521,Farms!$D$68:$D$104)</f>
        <v>1.5</v>
      </c>
      <c r="M521" s="141">
        <f>sumif(Farms!$C$68:$C$104,E521,Farms!$F$68:$F$104)</f>
        <v>56</v>
      </c>
      <c r="N521" s="141">
        <f>sumif(Farms!$C$68:$C$104,E521,Farms!$G$68:$G$104)</f>
        <v>15</v>
      </c>
    </row>
    <row r="522">
      <c r="A522" s="135">
        <f>IFERROR(__xludf.DUMMYFUNCTION("""COMPUTED_VALUE"""),45951.0)</f>
        <v>45951</v>
      </c>
      <c r="B522" s="87" t="str">
        <f>IFERROR(__xludf.DUMMYFUNCTION("""COMPUTED_VALUE"""),"Twist")</f>
        <v>Twist</v>
      </c>
      <c r="C522">
        <f>IFERROR(__xludf.DUMMYFUNCTION("""COMPUTED_VALUE"""),57580.0)</f>
        <v>57580</v>
      </c>
      <c r="D522" s="136">
        <f>IFERROR(__xludf.DUMMYFUNCTION("""COMPUTED_VALUE"""),17.3)</f>
        <v>17.3</v>
      </c>
      <c r="E522" s="137" t="str">
        <f>IFERROR(__xludf.DUMMYFUNCTION("""COMPUTED_VALUE"""),"Non-GMO Yellow Corn")</f>
        <v>Non-GMO Yellow Corn</v>
      </c>
      <c r="F522" s="138" t="str">
        <f>IFERROR(__xludf.DUMMYFUNCTION("""COMPUTED_VALUE"""),"A072683")</f>
        <v>A072683</v>
      </c>
      <c r="G522" t="str">
        <f>IFERROR(__xludf.DUMMYFUNCTION("""COMPUTED_VALUE"""),"HBT#5825 BK Trk# 4")</f>
        <v>HBT#5825 BK Trk# 4</v>
      </c>
      <c r="H522" s="50"/>
      <c r="I522" s="139">
        <f t="shared" si="17"/>
        <v>0</v>
      </c>
      <c r="J522">
        <f t="shared" si="2"/>
        <v>992.7408929</v>
      </c>
      <c r="K522" s="140">
        <f t="shared" si="12"/>
        <v>992.7408929</v>
      </c>
      <c r="L522" s="141">
        <f>sumif(Farms!$C$68:$C$104,E522,Farms!$D$68:$D$104)</f>
        <v>1.5</v>
      </c>
      <c r="M522" s="141">
        <f>sumif(Farms!$C$68:$C$104,E522,Farms!$F$68:$F$104)</f>
        <v>56</v>
      </c>
      <c r="N522" s="141">
        <f>sumif(Farms!$C$68:$C$104,E522,Farms!$G$68:$G$104)</f>
        <v>15</v>
      </c>
    </row>
    <row r="523">
      <c r="A523" s="135">
        <f>IFERROR(__xludf.DUMMYFUNCTION("""COMPUTED_VALUE"""),45951.0)</f>
        <v>45951</v>
      </c>
      <c r="B523" s="87" t="str">
        <f>IFERROR(__xludf.DUMMYFUNCTION("""COMPUTED_VALUE"""),"Twist")</f>
        <v>Twist</v>
      </c>
      <c r="C523">
        <f>IFERROR(__xludf.DUMMYFUNCTION("""COMPUTED_VALUE"""),58100.0)</f>
        <v>58100</v>
      </c>
      <c r="D523" s="136">
        <f>IFERROR(__xludf.DUMMYFUNCTION("""COMPUTED_VALUE"""),17.5)</f>
        <v>17.5</v>
      </c>
      <c r="E523" s="137" t="str">
        <f>IFERROR(__xludf.DUMMYFUNCTION("""COMPUTED_VALUE"""),"Non-GMO Yellow Corn")</f>
        <v>Non-GMO Yellow Corn</v>
      </c>
      <c r="F523" s="138" t="str">
        <f>IFERROR(__xludf.DUMMYFUNCTION("""COMPUTED_VALUE"""),"A072688")</f>
        <v>A072688</v>
      </c>
      <c r="G523" t="str">
        <f>IFERROR(__xludf.DUMMYFUNCTION("""COMPUTED_VALUE"""),"HBT#6503 TL Trk# 2")</f>
        <v>HBT#6503 TL Trk# 2</v>
      </c>
      <c r="H523" s="50"/>
      <c r="I523" s="139">
        <f t="shared" si="17"/>
        <v>0</v>
      </c>
      <c r="J523">
        <f t="shared" si="2"/>
        <v>998.59375</v>
      </c>
      <c r="K523" s="140">
        <f t="shared" si="12"/>
        <v>998.59375</v>
      </c>
      <c r="L523" s="141">
        <f>sumif(Farms!$C$68:$C$104,E523,Farms!$D$68:$D$104)</f>
        <v>1.5</v>
      </c>
      <c r="M523" s="141">
        <f>sumif(Farms!$C$68:$C$104,E523,Farms!$F$68:$F$104)</f>
        <v>56</v>
      </c>
      <c r="N523" s="141">
        <f>sumif(Farms!$C$68:$C$104,E523,Farms!$G$68:$G$104)</f>
        <v>15</v>
      </c>
    </row>
    <row r="524">
      <c r="A524" s="135">
        <f>IFERROR(__xludf.DUMMYFUNCTION("""COMPUTED_VALUE"""),45951.0)</f>
        <v>45951</v>
      </c>
      <c r="B524" s="87" t="str">
        <f>IFERROR(__xludf.DUMMYFUNCTION("""COMPUTED_VALUE"""),"Twist")</f>
        <v>Twist</v>
      </c>
      <c r="C524">
        <f>IFERROR(__xludf.DUMMYFUNCTION("""COMPUTED_VALUE"""),57160.0)</f>
        <v>57160</v>
      </c>
      <c r="D524" s="136">
        <f>IFERROR(__xludf.DUMMYFUNCTION("""COMPUTED_VALUE"""),17.7)</f>
        <v>17.7</v>
      </c>
      <c r="E524" s="137" t="str">
        <f>IFERROR(__xludf.DUMMYFUNCTION("""COMPUTED_VALUE"""),"Non-GMO Yellow Corn")</f>
        <v>Non-GMO Yellow Corn</v>
      </c>
      <c r="F524" s="138" t="str">
        <f>IFERROR(__xludf.DUMMYFUNCTION("""COMPUTED_VALUE"""),"A072690")</f>
        <v>A072690</v>
      </c>
      <c r="G524" t="str">
        <f>IFERROR(__xludf.DUMMYFUNCTION("""COMPUTED_VALUE"""),"HBT#5309 Jack Trk# 1")</f>
        <v>HBT#5309 Jack Trk# 1</v>
      </c>
      <c r="H524" s="50"/>
      <c r="I524" s="139">
        <f t="shared" si="17"/>
        <v>0</v>
      </c>
      <c r="J524">
        <f t="shared" si="2"/>
        <v>979.3753571</v>
      </c>
      <c r="K524" s="140">
        <f t="shared" si="12"/>
        <v>979.3753571</v>
      </c>
      <c r="L524" s="141">
        <f>sumif(Farms!$C$68:$C$104,E524,Farms!$D$68:$D$104)</f>
        <v>1.5</v>
      </c>
      <c r="M524" s="141">
        <f>sumif(Farms!$C$68:$C$104,E524,Farms!$F$68:$F$104)</f>
        <v>56</v>
      </c>
      <c r="N524" s="141">
        <f>sumif(Farms!$C$68:$C$104,E524,Farms!$G$68:$G$104)</f>
        <v>15</v>
      </c>
    </row>
    <row r="525">
      <c r="A525" s="135">
        <f>IFERROR(__xludf.DUMMYFUNCTION("""COMPUTED_VALUE"""),45951.0)</f>
        <v>45951</v>
      </c>
      <c r="B525" s="87" t="str">
        <f>IFERROR(__xludf.DUMMYFUNCTION("""COMPUTED_VALUE"""),"Twist")</f>
        <v>Twist</v>
      </c>
      <c r="C525">
        <f>IFERROR(__xludf.DUMMYFUNCTION("""COMPUTED_VALUE"""),55380.0)</f>
        <v>55380</v>
      </c>
      <c r="D525" s="136">
        <f>IFERROR(__xludf.DUMMYFUNCTION("""COMPUTED_VALUE"""),16.6)</f>
        <v>16.6</v>
      </c>
      <c r="E525" s="137" t="str">
        <f>IFERROR(__xludf.DUMMYFUNCTION("""COMPUTED_VALUE"""),"Non-GMO Yellow Corn")</f>
        <v>Non-GMO Yellow Corn</v>
      </c>
      <c r="F525" s="138" t="str">
        <f>IFERROR(__xludf.DUMMYFUNCTION("""COMPUTED_VALUE"""),"A072693")</f>
        <v>A072693</v>
      </c>
      <c r="G525" t="str">
        <f>IFERROR(__xludf.DUMMYFUNCTION("""COMPUTED_VALUE"""),"HBT#5235 JB Trk# 5")</f>
        <v>HBT#5235 JB Trk# 5</v>
      </c>
      <c r="H525" s="50"/>
      <c r="I525" s="139">
        <f t="shared" si="17"/>
        <v>0</v>
      </c>
      <c r="J525">
        <f t="shared" si="2"/>
        <v>965.1942857</v>
      </c>
      <c r="K525" s="140">
        <f t="shared" si="12"/>
        <v>965.1942857</v>
      </c>
      <c r="L525" s="141">
        <f>sumif(Farms!$C$68:$C$104,E525,Farms!$D$68:$D$104)</f>
        <v>1.5</v>
      </c>
      <c r="M525" s="141">
        <f>sumif(Farms!$C$68:$C$104,E525,Farms!$F$68:$F$104)</f>
        <v>56</v>
      </c>
      <c r="N525" s="141">
        <f>sumif(Farms!$C$68:$C$104,E525,Farms!$G$68:$G$104)</f>
        <v>15</v>
      </c>
    </row>
    <row r="526">
      <c r="A526" s="135">
        <f>IFERROR(__xludf.DUMMYFUNCTION("""COMPUTED_VALUE"""),45951.0)</f>
        <v>45951</v>
      </c>
      <c r="B526" s="87" t="str">
        <f>IFERROR(__xludf.DUMMYFUNCTION("""COMPUTED_VALUE"""),"Twist")</f>
        <v>Twist</v>
      </c>
      <c r="C526">
        <f>IFERROR(__xludf.DUMMYFUNCTION("""COMPUTED_VALUE"""),17200.0)</f>
        <v>17200</v>
      </c>
      <c r="D526" s="136">
        <f>IFERROR(__xludf.DUMMYFUNCTION("""COMPUTED_VALUE"""),16.2)</f>
        <v>16.2</v>
      </c>
      <c r="E526" s="137" t="str">
        <f>IFERROR(__xludf.DUMMYFUNCTION("""COMPUTED_VALUE"""),"Non-GMO Yellow Corn")</f>
        <v>Non-GMO Yellow Corn</v>
      </c>
      <c r="F526" s="138" t="str">
        <f>IFERROR(__xludf.DUMMYFUNCTION("""COMPUTED_VALUE"""),"A072694")</f>
        <v>A072694</v>
      </c>
      <c r="G526" t="str">
        <f>IFERROR(__xludf.DUMMYFUNCTION("""COMPUTED_VALUE"""),"HBT#5045 Bob Trk# 3 Last Load")</f>
        <v>HBT#5045 Bob Trk# 3 Last Load</v>
      </c>
      <c r="H526" s="50"/>
      <c r="I526" s="139">
        <f t="shared" si="17"/>
        <v>0</v>
      </c>
      <c r="J526">
        <f t="shared" si="2"/>
        <v>301.6142857</v>
      </c>
      <c r="K526" s="140">
        <f t="shared" si="12"/>
        <v>301.6142857</v>
      </c>
      <c r="L526" s="141">
        <f>sumif(Farms!$C$68:$C$104,E526,Farms!$D$68:$D$104)</f>
        <v>1.5</v>
      </c>
      <c r="M526" s="141">
        <f>sumif(Farms!$C$68:$C$104,E526,Farms!$F$68:$F$104)</f>
        <v>56</v>
      </c>
      <c r="N526" s="141">
        <f>sumif(Farms!$C$68:$C$104,E526,Farms!$G$68:$G$104)</f>
        <v>15</v>
      </c>
    </row>
    <row r="527">
      <c r="A527" s="135">
        <f>IFERROR(__xludf.DUMMYFUNCTION("""COMPUTED_VALUE"""),45907.0)</f>
        <v>45907</v>
      </c>
      <c r="B527" s="87" t="str">
        <f>IFERROR(__xludf.DUMMYFUNCTION("""COMPUTED_VALUE"""),"Wes Crop 1")</f>
        <v>Wes Crop 1</v>
      </c>
      <c r="C527">
        <f>IFERROR(__xludf.DUMMYFUNCTION("""COMPUTED_VALUE"""),221439.0)</f>
        <v>221439</v>
      </c>
      <c r="D527" s="136"/>
      <c r="E527" s="137" t="str">
        <f>IFERROR(__xludf.DUMMYFUNCTION("""COMPUTED_VALUE"""),"Lima Beans")</f>
        <v>Lima Beans</v>
      </c>
      <c r="F527" s="138" t="str">
        <f>IFERROR(__xludf.DUMMYFUNCTION("""COMPUTED_VALUE"""),"531-040638")</f>
        <v>531-040638</v>
      </c>
      <c r="G527" t="str">
        <f>IFERROR(__xludf.DUMMYFUNCTION("""COMPUTED_VALUE"""),"Seneca")</f>
        <v>Seneca</v>
      </c>
      <c r="H527" s="50"/>
      <c r="I527" s="139">
        <f t="shared" si="17"/>
        <v>0</v>
      </c>
      <c r="J527">
        <f t="shared" si="2"/>
        <v>110.7195</v>
      </c>
      <c r="K527" s="140">
        <f t="shared" si="12"/>
        <v>110.7195</v>
      </c>
      <c r="L527" s="141">
        <f>sumif(Farms!$C$68:$C$104,E527,Farms!$D$68:$D$104)</f>
        <v>0</v>
      </c>
      <c r="M527" s="141">
        <f>sumif(Farms!$C$68:$C$104,E527,Farms!$F$68:$F$104)</f>
        <v>2000</v>
      </c>
      <c r="N527" s="141">
        <f>sumif(Farms!$C$68:$C$104,E527,Farms!$G$68:$G$104)</f>
        <v>0</v>
      </c>
    </row>
    <row r="528">
      <c r="A528" s="135">
        <f>IFERROR(__xludf.DUMMYFUNCTION("""COMPUTED_VALUE"""),45930.0)</f>
        <v>45930</v>
      </c>
      <c r="B528" s="87" t="str">
        <f>IFERROR(__xludf.DUMMYFUNCTION("""COMPUTED_VALUE"""),"Wes Crop 2")</f>
        <v>Wes Crop 2</v>
      </c>
      <c r="C528">
        <f>IFERROR(__xludf.DUMMYFUNCTION("""COMPUTED_VALUE"""),4008.0)</f>
        <v>4008</v>
      </c>
      <c r="D528" s="136">
        <f>IFERROR(__xludf.DUMMYFUNCTION("""COMPUTED_VALUE"""),13.2)</f>
        <v>13.2</v>
      </c>
      <c r="E528" s="137" t="str">
        <f>IFERROR(__xludf.DUMMYFUNCTION("""COMPUTED_VALUE"""),"Enlist Soybeans")</f>
        <v>Enlist Soybeans</v>
      </c>
      <c r="F528" s="138" t="str">
        <f>IFERROR(__xludf.DUMMYFUNCTION("""COMPUTED_VALUE"""),"M038432")</f>
        <v>M038432</v>
      </c>
      <c r="G528" t="str">
        <f>IFERROR(__xludf.DUMMYFUNCTION("""COMPUTED_VALUE"""),"Split Load HBT#5091 Bob Trk# 3")</f>
        <v>Split Load HBT#5091 Bob Trk# 3</v>
      </c>
      <c r="H528" s="50">
        <f>IFERROR(__xludf.DUMMYFUNCTION("""COMPUTED_VALUE"""),0.23)</f>
        <v>0.23</v>
      </c>
      <c r="I528" s="139">
        <f t="shared" si="17"/>
        <v>0</v>
      </c>
      <c r="J528">
        <f t="shared" si="2"/>
        <v>71.37102857</v>
      </c>
      <c r="K528" s="140">
        <f t="shared" si="12"/>
        <v>71.37102857</v>
      </c>
      <c r="L528" s="141">
        <f>sumif(Farms!$C$68:$C$104,E528,Farms!$D$68:$D$104)</f>
        <v>1.4</v>
      </c>
      <c r="M528" s="141">
        <f>sumif(Farms!$C$68:$C$104,E528,Farms!$F$68:$F$104)</f>
        <v>56</v>
      </c>
      <c r="N528" s="141">
        <f>sumif(Farms!$C$68:$C$104,E528,Farms!$G$68:$G$104)</f>
        <v>13</v>
      </c>
    </row>
    <row r="529">
      <c r="A529" s="135"/>
      <c r="B529" s="87"/>
      <c r="D529" s="136"/>
      <c r="E529" s="137"/>
      <c r="F529" s="138"/>
      <c r="H529" s="50"/>
      <c r="K529" s="50"/>
    </row>
    <row r="530">
      <c r="A530" s="135"/>
      <c r="B530" s="87"/>
      <c r="D530" s="136"/>
      <c r="E530" s="137"/>
      <c r="F530" s="138"/>
      <c r="H530" s="50"/>
      <c r="K530" s="50"/>
    </row>
    <row r="531">
      <c r="A531" s="135"/>
      <c r="B531" s="87"/>
      <c r="D531" s="136"/>
      <c r="E531" s="137"/>
      <c r="F531" s="138"/>
      <c r="H531" s="50"/>
      <c r="K531" s="50"/>
    </row>
    <row r="532">
      <c r="A532" s="135"/>
      <c r="B532" s="87"/>
      <c r="D532" s="136"/>
      <c r="E532" s="137"/>
      <c r="F532" s="138"/>
      <c r="H532" s="50"/>
      <c r="K532" s="50"/>
    </row>
    <row r="533">
      <c r="A533" s="135"/>
      <c r="B533" s="87"/>
      <c r="D533" s="136"/>
      <c r="E533" s="137"/>
      <c r="F533" s="138"/>
      <c r="H533" s="50"/>
      <c r="K533" s="50"/>
    </row>
    <row r="534">
      <c r="A534" s="135"/>
      <c r="B534" s="87"/>
      <c r="D534" s="136"/>
      <c r="E534" s="137"/>
      <c r="F534" s="138"/>
      <c r="H534" s="50"/>
      <c r="K534" s="50"/>
    </row>
    <row r="535">
      <c r="A535" s="135"/>
      <c r="B535" s="87"/>
      <c r="D535" s="136"/>
      <c r="E535" s="137"/>
      <c r="F535" s="138"/>
      <c r="H535" s="50"/>
      <c r="K535" s="50"/>
    </row>
    <row r="536">
      <c r="A536" s="135"/>
      <c r="B536" s="87"/>
      <c r="D536" s="136"/>
      <c r="E536" s="137"/>
      <c r="F536" s="138"/>
      <c r="H536" s="50"/>
      <c r="K536" s="50"/>
    </row>
    <row r="537">
      <c r="A537" s="135"/>
      <c r="B537" s="87"/>
      <c r="D537" s="136"/>
      <c r="E537" s="137"/>
      <c r="F537" s="138"/>
      <c r="H537" s="50"/>
      <c r="K537" s="50"/>
    </row>
    <row r="538">
      <c r="A538" s="135"/>
      <c r="B538" s="87"/>
      <c r="D538" s="136"/>
      <c r="E538" s="137"/>
      <c r="F538" s="138"/>
      <c r="H538" s="50"/>
      <c r="K538" s="50"/>
    </row>
    <row r="539">
      <c r="A539" s="135"/>
      <c r="B539" s="87"/>
      <c r="D539" s="136"/>
      <c r="E539" s="137"/>
      <c r="F539" s="138"/>
      <c r="H539" s="50"/>
      <c r="K539" s="50"/>
    </row>
    <row r="540">
      <c r="A540" s="135"/>
      <c r="B540" s="87"/>
      <c r="D540" s="136"/>
      <c r="E540" s="137"/>
      <c r="F540" s="138"/>
      <c r="H540" s="50"/>
      <c r="K540" s="50"/>
    </row>
    <row r="541">
      <c r="A541" s="135"/>
      <c r="B541" s="87"/>
      <c r="D541" s="136"/>
      <c r="E541" s="137"/>
      <c r="F541" s="138"/>
      <c r="H541" s="50"/>
      <c r="K541" s="50"/>
    </row>
    <row r="542">
      <c r="A542" s="135"/>
      <c r="B542" s="87"/>
      <c r="D542" s="136"/>
      <c r="E542" s="137"/>
      <c r="F542" s="138"/>
      <c r="H542" s="50"/>
      <c r="K542" s="50"/>
    </row>
    <row r="543">
      <c r="A543" s="135"/>
      <c r="B543" s="87"/>
      <c r="D543" s="136"/>
      <c r="E543" s="137"/>
      <c r="F543" s="138"/>
      <c r="H543" s="50"/>
      <c r="K543" s="50"/>
    </row>
    <row r="544">
      <c r="A544" s="135"/>
      <c r="B544" s="87"/>
      <c r="D544" s="136"/>
      <c r="E544" s="137"/>
      <c r="F544" s="138"/>
      <c r="H544" s="50"/>
      <c r="K544" s="50"/>
    </row>
    <row r="545">
      <c r="A545" s="135"/>
      <c r="B545" s="87"/>
      <c r="D545" s="136"/>
      <c r="E545" s="137"/>
      <c r="F545" s="138"/>
      <c r="H545" s="50"/>
      <c r="K545" s="50"/>
    </row>
    <row r="546">
      <c r="A546" s="135"/>
      <c r="B546" s="87"/>
      <c r="D546" s="136"/>
      <c r="E546" s="137"/>
      <c r="F546" s="138"/>
      <c r="H546" s="50"/>
      <c r="K546" s="50"/>
    </row>
    <row r="547">
      <c r="A547" s="135"/>
      <c r="B547" s="87"/>
      <c r="D547" s="136"/>
      <c r="E547" s="137"/>
      <c r="F547" s="138"/>
      <c r="H547" s="50"/>
      <c r="K547" s="50"/>
    </row>
    <row r="548">
      <c r="A548" s="135"/>
      <c r="B548" s="87"/>
      <c r="D548" s="136"/>
      <c r="E548" s="137"/>
      <c r="F548" s="138"/>
      <c r="H548" s="50"/>
      <c r="K548" s="50"/>
    </row>
    <row r="549">
      <c r="A549" s="135"/>
      <c r="B549" s="87"/>
      <c r="D549" s="136"/>
      <c r="E549" s="137"/>
      <c r="F549" s="138"/>
      <c r="H549" s="50"/>
      <c r="K549" s="50"/>
    </row>
    <row r="550">
      <c r="A550" s="135"/>
      <c r="B550" s="87"/>
      <c r="D550" s="136"/>
      <c r="E550" s="137"/>
      <c r="F550" s="138"/>
      <c r="H550" s="50"/>
      <c r="K550" s="50"/>
    </row>
    <row r="551">
      <c r="A551" s="135"/>
      <c r="B551" s="87"/>
      <c r="D551" s="136"/>
      <c r="E551" s="137"/>
      <c r="F551" s="138"/>
      <c r="H551" s="50"/>
      <c r="K551" s="50"/>
    </row>
    <row r="552">
      <c r="A552" s="135"/>
      <c r="B552" s="87"/>
      <c r="D552" s="136"/>
      <c r="E552" s="137"/>
      <c r="F552" s="138"/>
      <c r="H552" s="50"/>
      <c r="K552" s="50"/>
    </row>
    <row r="553">
      <c r="A553" s="135"/>
      <c r="B553" s="87"/>
      <c r="D553" s="136"/>
      <c r="E553" s="137"/>
      <c r="F553" s="138"/>
      <c r="H553" s="50"/>
      <c r="K553" s="50"/>
    </row>
    <row r="554">
      <c r="A554" s="135"/>
      <c r="B554" s="87"/>
      <c r="D554" s="136"/>
      <c r="E554" s="137"/>
      <c r="F554" s="138"/>
      <c r="H554" s="50"/>
      <c r="K554" s="50"/>
    </row>
    <row r="555">
      <c r="A555" s="135"/>
      <c r="B555" s="87"/>
      <c r="D555" s="136"/>
      <c r="E555" s="137"/>
      <c r="F555" s="138"/>
      <c r="H555" s="50"/>
      <c r="K555" s="50"/>
    </row>
    <row r="556">
      <c r="A556" s="135"/>
      <c r="B556" s="87"/>
      <c r="D556" s="136"/>
      <c r="E556" s="137"/>
      <c r="F556" s="138"/>
      <c r="H556" s="50"/>
      <c r="K556" s="50"/>
    </row>
    <row r="557">
      <c r="A557" s="135"/>
      <c r="B557" s="87"/>
      <c r="D557" s="136"/>
      <c r="E557" s="137"/>
      <c r="F557" s="138"/>
      <c r="H557" s="50"/>
      <c r="K557" s="50"/>
    </row>
    <row r="558">
      <c r="A558" s="135"/>
      <c r="B558" s="87"/>
      <c r="D558" s="136"/>
      <c r="E558" s="137"/>
      <c r="F558" s="138"/>
      <c r="H558" s="50"/>
      <c r="K558" s="50"/>
    </row>
    <row r="559">
      <c r="A559" s="135"/>
      <c r="B559" s="87"/>
      <c r="D559" s="136"/>
      <c r="E559" s="137"/>
      <c r="F559" s="138"/>
      <c r="H559" s="50"/>
      <c r="K559" s="50"/>
    </row>
    <row r="560">
      <c r="A560" s="135"/>
      <c r="B560" s="87"/>
      <c r="D560" s="136"/>
      <c r="E560" s="137"/>
      <c r="F560" s="138"/>
      <c r="H560" s="50"/>
      <c r="K560" s="50"/>
    </row>
    <row r="561">
      <c r="A561" s="135"/>
      <c r="B561" s="87"/>
      <c r="D561" s="136"/>
      <c r="E561" s="137"/>
      <c r="F561" s="138"/>
      <c r="H561" s="50"/>
      <c r="K561" s="50"/>
    </row>
    <row r="562">
      <c r="A562" s="135"/>
      <c r="B562" s="87"/>
      <c r="D562" s="136"/>
      <c r="E562" s="137"/>
      <c r="F562" s="138"/>
      <c r="H562" s="50"/>
      <c r="K562" s="50"/>
    </row>
    <row r="563">
      <c r="A563" s="135"/>
      <c r="B563" s="87"/>
      <c r="D563" s="136"/>
      <c r="E563" s="137"/>
      <c r="F563" s="138"/>
      <c r="H563" s="50"/>
      <c r="K563" s="50"/>
    </row>
    <row r="564">
      <c r="A564" s="135"/>
      <c r="B564" s="87"/>
      <c r="D564" s="136"/>
      <c r="E564" s="137"/>
      <c r="F564" s="138"/>
      <c r="H564" s="50"/>
      <c r="K564" s="50"/>
    </row>
    <row r="565">
      <c r="A565" s="135"/>
      <c r="B565" s="87"/>
      <c r="D565" s="136"/>
      <c r="E565" s="137"/>
      <c r="F565" s="138"/>
      <c r="H565" s="50"/>
      <c r="K565" s="50"/>
    </row>
    <row r="566">
      <c r="A566" s="135"/>
      <c r="B566" s="87"/>
      <c r="D566" s="136"/>
      <c r="E566" s="137"/>
      <c r="F566" s="138"/>
      <c r="H566" s="50"/>
      <c r="K566" s="50"/>
    </row>
    <row r="567">
      <c r="A567" s="135"/>
      <c r="B567" s="87"/>
      <c r="D567" s="136"/>
      <c r="E567" s="137"/>
      <c r="F567" s="138"/>
      <c r="H567" s="50"/>
      <c r="K567" s="50"/>
    </row>
    <row r="568">
      <c r="A568" s="135"/>
      <c r="B568" s="87"/>
      <c r="D568" s="136"/>
      <c r="E568" s="137"/>
      <c r="F568" s="138"/>
      <c r="H568" s="50"/>
      <c r="K568" s="50"/>
    </row>
    <row r="569">
      <c r="A569" s="135"/>
      <c r="B569" s="87"/>
      <c r="D569" s="136"/>
      <c r="E569" s="137"/>
      <c r="F569" s="138"/>
      <c r="H569" s="50"/>
      <c r="K569" s="50"/>
    </row>
    <row r="570">
      <c r="A570" s="135"/>
      <c r="B570" s="87"/>
      <c r="D570" s="136"/>
      <c r="E570" s="137"/>
      <c r="F570" s="138"/>
      <c r="H570" s="50"/>
      <c r="K570" s="50"/>
    </row>
    <row r="571">
      <c r="A571" s="135"/>
      <c r="B571" s="87"/>
      <c r="D571" s="136"/>
      <c r="E571" s="137"/>
      <c r="F571" s="138"/>
      <c r="H571" s="50"/>
      <c r="K571" s="50"/>
    </row>
    <row r="572">
      <c r="A572" s="135"/>
      <c r="B572" s="87"/>
      <c r="D572" s="136"/>
      <c r="E572" s="137"/>
      <c r="F572" s="138"/>
      <c r="H572" s="50"/>
      <c r="K572" s="50"/>
    </row>
    <row r="573">
      <c r="A573" s="135"/>
      <c r="B573" s="87"/>
      <c r="D573" s="136"/>
      <c r="E573" s="137"/>
      <c r="F573" s="138"/>
      <c r="H573" s="50"/>
      <c r="K573" s="50"/>
    </row>
    <row r="574">
      <c r="A574" s="135"/>
      <c r="B574" s="87"/>
      <c r="D574" s="136"/>
      <c r="E574" s="137"/>
      <c r="F574" s="138"/>
      <c r="H574" s="50"/>
      <c r="K574" s="50"/>
    </row>
    <row r="575">
      <c r="A575" s="135"/>
      <c r="B575" s="87"/>
      <c r="D575" s="136"/>
      <c r="E575" s="137"/>
      <c r="F575" s="138"/>
      <c r="H575" s="50"/>
      <c r="K575" s="50"/>
    </row>
    <row r="576">
      <c r="A576" s="135"/>
      <c r="B576" s="87"/>
      <c r="D576" s="136"/>
      <c r="E576" s="137"/>
      <c r="F576" s="138"/>
      <c r="H576" s="50"/>
      <c r="K576" s="50"/>
    </row>
    <row r="577">
      <c r="A577" s="135"/>
      <c r="B577" s="87"/>
      <c r="D577" s="136"/>
      <c r="E577" s="137"/>
      <c r="F577" s="138"/>
      <c r="H577" s="50"/>
      <c r="K577" s="50"/>
    </row>
    <row r="578">
      <c r="A578" s="135"/>
      <c r="B578" s="87"/>
      <c r="D578" s="136"/>
      <c r="E578" s="137"/>
      <c r="F578" s="138"/>
      <c r="H578" s="50"/>
      <c r="K578" s="50"/>
    </row>
    <row r="579">
      <c r="A579" s="135"/>
      <c r="B579" s="87"/>
      <c r="D579" s="136"/>
      <c r="E579" s="137"/>
      <c r="F579" s="138"/>
      <c r="H579" s="50"/>
      <c r="K579" s="50"/>
    </row>
    <row r="580">
      <c r="A580" s="135"/>
      <c r="B580" s="87"/>
      <c r="D580" s="136"/>
      <c r="E580" s="137"/>
      <c r="F580" s="138"/>
      <c r="H580" s="50"/>
      <c r="K580" s="50"/>
    </row>
    <row r="581">
      <c r="A581" s="135"/>
      <c r="B581" s="87"/>
      <c r="D581" s="136"/>
      <c r="E581" s="137"/>
      <c r="F581" s="138"/>
      <c r="H581" s="50"/>
      <c r="K581" s="50"/>
    </row>
    <row r="582">
      <c r="A582" s="135"/>
      <c r="B582" s="87"/>
      <c r="D582" s="136"/>
      <c r="E582" s="137"/>
      <c r="F582" s="138"/>
      <c r="H582" s="50"/>
      <c r="K582" s="50"/>
    </row>
    <row r="583">
      <c r="A583" s="135"/>
      <c r="B583" s="87"/>
      <c r="D583" s="136"/>
      <c r="E583" s="137"/>
      <c r="F583" s="138"/>
      <c r="H583" s="50"/>
      <c r="K583" s="50"/>
    </row>
    <row r="584">
      <c r="A584" s="135"/>
      <c r="B584" s="87"/>
      <c r="D584" s="136"/>
      <c r="E584" s="137"/>
      <c r="F584" s="138"/>
      <c r="H584" s="50"/>
      <c r="K584" s="50"/>
    </row>
    <row r="585">
      <c r="A585" s="135"/>
      <c r="B585" s="87"/>
      <c r="D585" s="136"/>
      <c r="E585" s="137"/>
      <c r="F585" s="138"/>
      <c r="H585" s="50"/>
      <c r="K585" s="50"/>
    </row>
    <row r="586">
      <c r="A586" s="135"/>
      <c r="B586" s="87"/>
      <c r="D586" s="136"/>
      <c r="E586" s="137"/>
      <c r="F586" s="138"/>
      <c r="H586" s="50"/>
      <c r="K586" s="50"/>
    </row>
    <row r="587">
      <c r="A587" s="135"/>
      <c r="B587" s="87"/>
      <c r="D587" s="136"/>
      <c r="E587" s="137"/>
      <c r="F587" s="138"/>
      <c r="H587" s="50"/>
      <c r="K587" s="50"/>
    </row>
    <row r="588">
      <c r="A588" s="135"/>
      <c r="B588" s="87"/>
      <c r="D588" s="136"/>
      <c r="E588" s="137"/>
      <c r="F588" s="138"/>
      <c r="H588" s="50"/>
      <c r="K588" s="50"/>
    </row>
    <row r="589">
      <c r="A589" s="135"/>
      <c r="B589" s="87"/>
      <c r="D589" s="136"/>
      <c r="E589" s="137"/>
      <c r="F589" s="138"/>
      <c r="H589" s="50"/>
      <c r="K589" s="50"/>
    </row>
    <row r="590">
      <c r="A590" s="135"/>
      <c r="B590" s="87"/>
      <c r="D590" s="136"/>
      <c r="E590" s="137"/>
      <c r="F590" s="138"/>
      <c r="H590" s="50"/>
      <c r="K590" s="50"/>
    </row>
    <row r="591">
      <c r="A591" s="135"/>
      <c r="B591" s="87"/>
      <c r="D591" s="136"/>
      <c r="E591" s="137"/>
      <c r="F591" s="138"/>
      <c r="H591" s="50"/>
      <c r="K591" s="50"/>
    </row>
    <row r="592">
      <c r="A592" s="135"/>
      <c r="B592" s="87"/>
      <c r="D592" s="136"/>
      <c r="E592" s="137"/>
      <c r="F592" s="138"/>
      <c r="H592" s="50"/>
      <c r="K592" s="50"/>
    </row>
    <row r="593">
      <c r="A593" s="135"/>
      <c r="B593" s="87"/>
      <c r="D593" s="136"/>
      <c r="E593" s="137"/>
      <c r="F593" s="138"/>
      <c r="H593" s="50"/>
      <c r="K593" s="50"/>
    </row>
    <row r="594">
      <c r="A594" s="135"/>
      <c r="B594" s="87"/>
      <c r="D594" s="136"/>
      <c r="E594" s="137"/>
      <c r="F594" s="138"/>
      <c r="H594" s="50"/>
      <c r="K594" s="50"/>
    </row>
    <row r="595">
      <c r="A595" s="135"/>
      <c r="B595" s="87"/>
      <c r="D595" s="136"/>
      <c r="E595" s="137"/>
      <c r="F595" s="138"/>
      <c r="H595" s="50"/>
      <c r="K595" s="50"/>
    </row>
    <row r="596">
      <c r="A596" s="135"/>
      <c r="B596" s="87"/>
      <c r="D596" s="136"/>
      <c r="E596" s="137"/>
      <c r="F596" s="138"/>
      <c r="H596" s="50"/>
      <c r="K596" s="50"/>
    </row>
    <row r="597">
      <c r="A597" s="135"/>
      <c r="B597" s="87"/>
      <c r="D597" s="136"/>
      <c r="E597" s="137"/>
      <c r="F597" s="138"/>
      <c r="H597" s="50"/>
      <c r="K597" s="50"/>
    </row>
    <row r="598">
      <c r="A598" s="135"/>
      <c r="B598" s="87"/>
      <c r="D598" s="136"/>
      <c r="E598" s="137"/>
      <c r="F598" s="138"/>
      <c r="H598" s="50"/>
      <c r="K598" s="50"/>
    </row>
    <row r="599">
      <c r="A599" s="135"/>
      <c r="B599" s="87"/>
      <c r="D599" s="136"/>
      <c r="E599" s="137"/>
      <c r="F599" s="138"/>
      <c r="H599" s="50"/>
      <c r="K599" s="50"/>
    </row>
    <row r="600">
      <c r="A600" s="135"/>
      <c r="B600" s="87"/>
      <c r="D600" s="136"/>
      <c r="E600" s="137"/>
      <c r="F600" s="138"/>
      <c r="H600" s="50"/>
      <c r="K600" s="50"/>
    </row>
    <row r="601">
      <c r="A601" s="135"/>
      <c r="B601" s="87"/>
      <c r="D601" s="136"/>
      <c r="E601" s="137"/>
      <c r="F601" s="138"/>
      <c r="H601" s="50"/>
      <c r="K601" s="50"/>
    </row>
    <row r="602">
      <c r="A602" s="135"/>
      <c r="B602" s="87"/>
      <c r="D602" s="136"/>
      <c r="E602" s="137"/>
      <c r="F602" s="138"/>
      <c r="H602" s="50"/>
      <c r="K602" s="50"/>
    </row>
    <row r="603">
      <c r="A603" s="135"/>
      <c r="B603" s="87"/>
      <c r="D603" s="136"/>
      <c r="E603" s="137"/>
      <c r="F603" s="138"/>
      <c r="H603" s="50"/>
      <c r="K603" s="50"/>
    </row>
    <row r="604">
      <c r="A604" s="135"/>
      <c r="B604" s="87"/>
      <c r="D604" s="136"/>
      <c r="E604" s="137"/>
      <c r="F604" s="138"/>
      <c r="H604" s="50"/>
      <c r="K604" s="50"/>
    </row>
    <row r="605">
      <c r="A605" s="135"/>
      <c r="B605" s="87"/>
      <c r="D605" s="136"/>
      <c r="E605" s="137"/>
      <c r="F605" s="138"/>
      <c r="H605" s="50"/>
      <c r="K605" s="50"/>
    </row>
    <row r="606">
      <c r="A606" s="135"/>
      <c r="B606" s="87"/>
      <c r="D606" s="136"/>
      <c r="E606" s="137"/>
      <c r="F606" s="138"/>
      <c r="H606" s="50"/>
      <c r="K606" s="50"/>
    </row>
    <row r="607">
      <c r="A607" s="135"/>
      <c r="B607" s="87"/>
      <c r="D607" s="136"/>
      <c r="E607" s="137"/>
      <c r="F607" s="138"/>
      <c r="H607" s="50"/>
      <c r="K607" s="50"/>
    </row>
    <row r="608">
      <c r="A608" s="135"/>
      <c r="B608" s="87"/>
      <c r="D608" s="136"/>
      <c r="E608" s="137"/>
      <c r="F608" s="138"/>
      <c r="H608" s="50"/>
      <c r="K608" s="50"/>
    </row>
    <row r="609">
      <c r="A609" s="135"/>
      <c r="B609" s="87"/>
      <c r="D609" s="136"/>
      <c r="E609" s="137"/>
      <c r="F609" s="138"/>
      <c r="H609" s="50"/>
      <c r="K609" s="50"/>
    </row>
    <row r="610">
      <c r="A610" s="135"/>
      <c r="B610" s="87"/>
      <c r="D610" s="136"/>
      <c r="E610" s="137"/>
      <c r="F610" s="138"/>
      <c r="H610" s="50"/>
      <c r="K610" s="50"/>
    </row>
    <row r="611">
      <c r="A611" s="135"/>
      <c r="B611" s="87"/>
      <c r="D611" s="136"/>
      <c r="E611" s="137"/>
      <c r="F611" s="138"/>
      <c r="H611" s="50"/>
      <c r="K611" s="50"/>
    </row>
    <row r="612">
      <c r="A612" s="135"/>
      <c r="B612" s="87"/>
      <c r="D612" s="136"/>
      <c r="E612" s="137"/>
      <c r="F612" s="138"/>
      <c r="H612" s="50"/>
      <c r="K612" s="50"/>
    </row>
    <row r="613">
      <c r="A613" s="135"/>
      <c r="B613" s="87"/>
      <c r="D613" s="136"/>
      <c r="E613" s="137"/>
      <c r="F613" s="138"/>
      <c r="H613" s="50"/>
      <c r="K613" s="50"/>
    </row>
    <row r="614">
      <c r="A614" s="135"/>
      <c r="B614" s="87"/>
      <c r="D614" s="136"/>
      <c r="E614" s="137"/>
      <c r="F614" s="138"/>
      <c r="H614" s="50"/>
      <c r="K614" s="50"/>
    </row>
    <row r="615">
      <c r="A615" s="135"/>
      <c r="B615" s="87"/>
      <c r="D615" s="136"/>
      <c r="E615" s="137"/>
      <c r="F615" s="138"/>
      <c r="H615" s="50"/>
      <c r="K615" s="50"/>
    </row>
    <row r="616">
      <c r="A616" s="135"/>
      <c r="B616" s="87"/>
      <c r="D616" s="136"/>
      <c r="E616" s="137"/>
      <c r="F616" s="138"/>
      <c r="H616" s="50"/>
      <c r="K616" s="50"/>
    </row>
    <row r="617">
      <c r="A617" s="135"/>
      <c r="B617" s="87"/>
      <c r="D617" s="136"/>
      <c r="E617" s="137"/>
      <c r="F617" s="138"/>
      <c r="H617" s="50"/>
      <c r="K617" s="50"/>
    </row>
    <row r="618">
      <c r="A618" s="135"/>
      <c r="B618" s="87"/>
      <c r="D618" s="136"/>
      <c r="E618" s="137"/>
      <c r="F618" s="138"/>
      <c r="H618" s="50"/>
      <c r="K618" s="50"/>
    </row>
    <row r="619">
      <c r="A619" s="135"/>
      <c r="B619" s="87"/>
      <c r="D619" s="136"/>
      <c r="E619" s="137"/>
      <c r="F619" s="138"/>
      <c r="H619" s="50"/>
      <c r="K619" s="50"/>
    </row>
    <row r="620">
      <c r="A620" s="135"/>
      <c r="B620" s="87"/>
      <c r="D620" s="136"/>
      <c r="E620" s="137"/>
      <c r="F620" s="138"/>
      <c r="H620" s="50"/>
      <c r="K620" s="50"/>
    </row>
    <row r="621">
      <c r="A621" s="135"/>
      <c r="B621" s="87"/>
      <c r="D621" s="136"/>
      <c r="E621" s="137"/>
      <c r="F621" s="138"/>
      <c r="H621" s="50"/>
      <c r="K621" s="50"/>
    </row>
    <row r="622">
      <c r="A622" s="135"/>
      <c r="B622" s="87"/>
      <c r="D622" s="136"/>
      <c r="E622" s="137"/>
      <c r="F622" s="138"/>
      <c r="H622" s="50"/>
      <c r="K622" s="50"/>
    </row>
    <row r="623">
      <c r="A623" s="135"/>
      <c r="B623" s="87"/>
      <c r="D623" s="136"/>
      <c r="E623" s="137"/>
      <c r="F623" s="138"/>
      <c r="H623" s="50"/>
      <c r="K623" s="50"/>
    </row>
    <row r="624">
      <c r="A624" s="135"/>
      <c r="B624" s="87"/>
      <c r="D624" s="136"/>
      <c r="E624" s="137"/>
      <c r="F624" s="138"/>
      <c r="H624" s="50"/>
      <c r="K624" s="50"/>
    </row>
    <row r="625">
      <c r="A625" s="135"/>
      <c r="B625" s="87"/>
      <c r="D625" s="136"/>
      <c r="E625" s="137"/>
      <c r="F625" s="138"/>
      <c r="H625" s="50"/>
      <c r="K625" s="50"/>
    </row>
    <row r="626">
      <c r="A626" s="135"/>
      <c r="B626" s="87"/>
      <c r="D626" s="136"/>
      <c r="E626" s="137"/>
      <c r="F626" s="138"/>
      <c r="H626" s="50"/>
      <c r="K626" s="50"/>
    </row>
    <row r="627">
      <c r="A627" s="135"/>
      <c r="B627" s="87"/>
      <c r="D627" s="136"/>
      <c r="E627" s="137"/>
      <c r="F627" s="138"/>
      <c r="H627" s="50"/>
      <c r="K627" s="50"/>
    </row>
    <row r="628">
      <c r="A628" s="135"/>
      <c r="B628" s="87"/>
      <c r="D628" s="136"/>
      <c r="E628" s="137"/>
      <c r="F628" s="138"/>
      <c r="H628" s="50"/>
      <c r="K628" s="50"/>
    </row>
    <row r="629">
      <c r="A629" s="135"/>
      <c r="B629" s="87"/>
      <c r="D629" s="136"/>
      <c r="E629" s="137"/>
      <c r="F629" s="138"/>
      <c r="H629" s="50"/>
      <c r="K629" s="50"/>
    </row>
    <row r="630">
      <c r="A630" s="135"/>
      <c r="B630" s="87"/>
      <c r="D630" s="136"/>
      <c r="E630" s="137"/>
      <c r="F630" s="138"/>
      <c r="H630" s="50"/>
      <c r="K630" s="50"/>
    </row>
    <row r="631">
      <c r="A631" s="135"/>
      <c r="B631" s="87"/>
      <c r="D631" s="136"/>
      <c r="E631" s="137"/>
      <c r="F631" s="138"/>
      <c r="H631" s="50"/>
      <c r="K631" s="50"/>
    </row>
    <row r="632">
      <c r="A632" s="135"/>
      <c r="B632" s="87"/>
      <c r="D632" s="136"/>
      <c r="E632" s="137"/>
      <c r="F632" s="138"/>
      <c r="H632" s="50"/>
      <c r="K632" s="50"/>
    </row>
    <row r="633">
      <c r="A633" s="135"/>
      <c r="B633" s="87"/>
      <c r="D633" s="136"/>
      <c r="E633" s="137"/>
      <c r="F633" s="138"/>
      <c r="H633" s="50"/>
      <c r="K633" s="50"/>
    </row>
    <row r="634">
      <c r="A634" s="135"/>
      <c r="B634" s="87"/>
      <c r="D634" s="136"/>
      <c r="E634" s="137"/>
      <c r="F634" s="138"/>
      <c r="H634" s="50"/>
      <c r="K634" s="50"/>
    </row>
    <row r="635">
      <c r="A635" s="135"/>
      <c r="B635" s="87"/>
      <c r="D635" s="136"/>
      <c r="E635" s="137"/>
      <c r="F635" s="138"/>
      <c r="H635" s="50"/>
      <c r="K635" s="50"/>
    </row>
    <row r="636">
      <c r="A636" s="135"/>
      <c r="B636" s="87"/>
      <c r="D636" s="136"/>
      <c r="E636" s="137"/>
      <c r="F636" s="138"/>
      <c r="H636" s="50"/>
      <c r="K636" s="50"/>
    </row>
    <row r="637">
      <c r="A637" s="135"/>
      <c r="B637" s="87"/>
      <c r="D637" s="136"/>
      <c r="E637" s="137"/>
      <c r="F637" s="138"/>
      <c r="H637" s="50"/>
      <c r="K637" s="50"/>
    </row>
    <row r="638">
      <c r="A638" s="135"/>
      <c r="B638" s="87"/>
      <c r="D638" s="136"/>
      <c r="E638" s="137"/>
      <c r="F638" s="138"/>
      <c r="H638" s="50"/>
      <c r="K638" s="50"/>
    </row>
    <row r="639">
      <c r="A639" s="135"/>
      <c r="B639" s="87"/>
      <c r="D639" s="136"/>
      <c r="E639" s="137"/>
      <c r="F639" s="138"/>
      <c r="H639" s="50"/>
      <c r="K639" s="50"/>
    </row>
    <row r="640">
      <c r="A640" s="135"/>
      <c r="B640" s="87"/>
      <c r="D640" s="136"/>
      <c r="E640" s="137"/>
      <c r="F640" s="138"/>
      <c r="H640" s="50"/>
      <c r="K640" s="50"/>
    </row>
    <row r="641">
      <c r="A641" s="135"/>
      <c r="B641" s="87"/>
      <c r="D641" s="136"/>
      <c r="E641" s="137"/>
      <c r="F641" s="138"/>
      <c r="H641" s="50"/>
      <c r="K641" s="50"/>
    </row>
    <row r="642">
      <c r="A642" s="135"/>
      <c r="B642" s="87"/>
      <c r="D642" s="136"/>
      <c r="E642" s="137"/>
      <c r="F642" s="138"/>
      <c r="H642" s="50"/>
      <c r="K642" s="50"/>
    </row>
    <row r="643">
      <c r="A643" s="135"/>
      <c r="B643" s="87"/>
      <c r="D643" s="136"/>
      <c r="E643" s="137"/>
      <c r="F643" s="138"/>
      <c r="H643" s="50"/>
      <c r="K643" s="50"/>
    </row>
    <row r="644">
      <c r="A644" s="135"/>
      <c r="B644" s="87"/>
      <c r="D644" s="136"/>
      <c r="E644" s="137"/>
      <c r="F644" s="138"/>
      <c r="H644" s="50"/>
      <c r="K644" s="50"/>
    </row>
    <row r="645">
      <c r="A645" s="135"/>
      <c r="B645" s="87"/>
      <c r="D645" s="136"/>
      <c r="E645" s="137"/>
      <c r="F645" s="138"/>
      <c r="H645" s="50"/>
      <c r="K645" s="50"/>
    </row>
    <row r="646">
      <c r="A646" s="135"/>
      <c r="B646" s="87"/>
      <c r="D646" s="136"/>
      <c r="E646" s="137"/>
      <c r="F646" s="138"/>
      <c r="H646" s="50"/>
      <c r="K646" s="50"/>
    </row>
    <row r="647">
      <c r="A647" s="135"/>
      <c r="B647" s="87"/>
      <c r="D647" s="136"/>
      <c r="E647" s="137"/>
      <c r="F647" s="138"/>
      <c r="H647" s="50"/>
      <c r="K647" s="50"/>
    </row>
    <row r="648">
      <c r="A648" s="135"/>
      <c r="B648" s="87"/>
      <c r="D648" s="136"/>
      <c r="E648" s="137"/>
      <c r="F648" s="138"/>
      <c r="H648" s="50"/>
      <c r="K648" s="50"/>
    </row>
    <row r="649">
      <c r="A649" s="135"/>
      <c r="B649" s="87"/>
      <c r="D649" s="136"/>
      <c r="E649" s="137"/>
      <c r="F649" s="138"/>
      <c r="H649" s="50"/>
      <c r="K649" s="50"/>
    </row>
    <row r="650">
      <c r="A650" s="135"/>
      <c r="B650" s="87"/>
      <c r="D650" s="136"/>
      <c r="E650" s="137"/>
      <c r="F650" s="138"/>
      <c r="H650" s="50"/>
      <c r="K650" s="50"/>
    </row>
    <row r="651">
      <c r="A651" s="135"/>
      <c r="B651" s="87"/>
      <c r="D651" s="136"/>
      <c r="E651" s="137"/>
      <c r="F651" s="138"/>
      <c r="H651" s="50"/>
      <c r="K651" s="50"/>
    </row>
    <row r="652">
      <c r="A652" s="135"/>
      <c r="B652" s="87"/>
      <c r="D652" s="136"/>
      <c r="E652" s="137"/>
      <c r="F652" s="138"/>
      <c r="H652" s="50"/>
      <c r="K652" s="50"/>
    </row>
    <row r="653">
      <c r="A653" s="135"/>
      <c r="B653" s="87"/>
      <c r="D653" s="136"/>
      <c r="E653" s="137"/>
      <c r="F653" s="138"/>
      <c r="H653" s="50"/>
      <c r="K653" s="50"/>
    </row>
    <row r="654">
      <c r="A654" s="135"/>
      <c r="B654" s="87"/>
      <c r="D654" s="136"/>
      <c r="E654" s="137"/>
      <c r="F654" s="138"/>
      <c r="H654" s="50"/>
      <c r="K654" s="50"/>
    </row>
    <row r="655">
      <c r="A655" s="135"/>
      <c r="B655" s="87"/>
      <c r="D655" s="136"/>
      <c r="E655" s="137"/>
      <c r="F655" s="138"/>
      <c r="H655" s="50"/>
      <c r="K655" s="50"/>
    </row>
    <row r="656">
      <c r="A656" s="135"/>
      <c r="B656" s="87"/>
      <c r="D656" s="136"/>
      <c r="E656" s="137"/>
      <c r="F656" s="138"/>
      <c r="H656" s="50"/>
      <c r="K656" s="50"/>
    </row>
    <row r="657">
      <c r="A657" s="135"/>
      <c r="B657" s="87"/>
      <c r="D657" s="136"/>
      <c r="E657" s="137"/>
      <c r="F657" s="138"/>
      <c r="H657" s="50"/>
      <c r="K657" s="50"/>
    </row>
    <row r="658">
      <c r="A658" s="135"/>
      <c r="B658" s="87"/>
      <c r="D658" s="136"/>
      <c r="E658" s="137"/>
      <c r="F658" s="138"/>
      <c r="H658" s="50"/>
      <c r="K658" s="50"/>
    </row>
    <row r="659">
      <c r="A659" s="135"/>
      <c r="B659" s="87"/>
      <c r="D659" s="136"/>
      <c r="E659" s="137"/>
      <c r="F659" s="138"/>
      <c r="H659" s="50"/>
      <c r="K659" s="50"/>
    </row>
    <row r="660">
      <c r="A660" s="135"/>
      <c r="B660" s="87"/>
      <c r="D660" s="136"/>
      <c r="E660" s="137"/>
      <c r="F660" s="138"/>
      <c r="H660" s="50"/>
      <c r="K660" s="50"/>
    </row>
    <row r="661">
      <c r="A661" s="135"/>
      <c r="B661" s="87"/>
      <c r="D661" s="136"/>
      <c r="E661" s="137"/>
      <c r="F661" s="138"/>
      <c r="H661" s="50"/>
      <c r="K661" s="50"/>
    </row>
    <row r="662">
      <c r="A662" s="135"/>
      <c r="B662" s="87"/>
      <c r="D662" s="136"/>
      <c r="E662" s="137"/>
      <c r="F662" s="138"/>
      <c r="H662" s="50"/>
      <c r="K662" s="50"/>
    </row>
    <row r="663">
      <c r="A663" s="135"/>
      <c r="B663" s="87"/>
      <c r="D663" s="136"/>
      <c r="E663" s="137"/>
      <c r="F663" s="138"/>
      <c r="H663" s="50"/>
      <c r="K663" s="50"/>
    </row>
    <row r="664">
      <c r="A664" s="135"/>
      <c r="B664" s="87"/>
      <c r="D664" s="136"/>
      <c r="E664" s="137"/>
      <c r="F664" s="138"/>
      <c r="H664" s="50"/>
      <c r="K664" s="50"/>
    </row>
    <row r="665">
      <c r="A665" s="135"/>
      <c r="B665" s="87"/>
      <c r="D665" s="136"/>
      <c r="E665" s="137"/>
      <c r="F665" s="138"/>
      <c r="H665" s="50"/>
      <c r="K665" s="50"/>
    </row>
    <row r="666">
      <c r="A666" s="135"/>
      <c r="B666" s="87"/>
      <c r="D666" s="136"/>
      <c r="E666" s="137"/>
      <c r="F666" s="138"/>
      <c r="H666" s="50"/>
      <c r="K666" s="50"/>
    </row>
    <row r="667">
      <c r="A667" s="135"/>
      <c r="B667" s="87"/>
      <c r="D667" s="136"/>
      <c r="E667" s="137"/>
      <c r="F667" s="138"/>
      <c r="H667" s="50"/>
      <c r="K667" s="50"/>
    </row>
    <row r="668">
      <c r="A668" s="135"/>
      <c r="B668" s="87"/>
      <c r="D668" s="136"/>
      <c r="E668" s="137"/>
      <c r="F668" s="138"/>
      <c r="H668" s="50"/>
      <c r="K668" s="50"/>
    </row>
    <row r="669">
      <c r="A669" s="135"/>
      <c r="B669" s="87"/>
      <c r="D669" s="136"/>
      <c r="E669" s="137"/>
      <c r="F669" s="138"/>
      <c r="H669" s="50"/>
      <c r="K669" s="50"/>
    </row>
    <row r="670">
      <c r="A670" s="135"/>
      <c r="B670" s="87"/>
      <c r="D670" s="136"/>
      <c r="E670" s="137"/>
      <c r="F670" s="138"/>
      <c r="H670" s="50"/>
      <c r="K670" s="50"/>
    </row>
    <row r="671">
      <c r="A671" s="135"/>
      <c r="B671" s="87"/>
      <c r="D671" s="136"/>
      <c r="E671" s="137"/>
      <c r="F671" s="138"/>
      <c r="H671" s="50"/>
      <c r="K671" s="50"/>
    </row>
    <row r="672">
      <c r="A672" s="135"/>
      <c r="B672" s="87"/>
      <c r="D672" s="136"/>
      <c r="E672" s="137"/>
      <c r="F672" s="138"/>
      <c r="H672" s="50"/>
      <c r="K672" s="50"/>
    </row>
    <row r="673">
      <c r="A673" s="135"/>
      <c r="B673" s="87"/>
      <c r="D673" s="136"/>
      <c r="E673" s="137"/>
      <c r="F673" s="138"/>
      <c r="H673" s="50"/>
      <c r="K673" s="50"/>
    </row>
    <row r="674">
      <c r="A674" s="135"/>
      <c r="B674" s="87"/>
      <c r="D674" s="136"/>
      <c r="E674" s="137"/>
      <c r="F674" s="138"/>
      <c r="H674" s="50"/>
      <c r="K674" s="50"/>
    </row>
    <row r="675">
      <c r="A675" s="135"/>
      <c r="B675" s="87"/>
      <c r="D675" s="136"/>
      <c r="E675" s="137"/>
      <c r="F675" s="138"/>
      <c r="H675" s="50"/>
      <c r="K675" s="50"/>
    </row>
    <row r="676">
      <c r="A676" s="135"/>
      <c r="B676" s="87"/>
      <c r="D676" s="136"/>
      <c r="E676" s="137"/>
      <c r="F676" s="138"/>
      <c r="H676" s="50"/>
      <c r="K676" s="50"/>
    </row>
    <row r="677">
      <c r="A677" s="135"/>
      <c r="B677" s="87"/>
      <c r="D677" s="136"/>
      <c r="E677" s="137"/>
      <c r="F677" s="138"/>
      <c r="H677" s="50"/>
      <c r="K677" s="50"/>
    </row>
    <row r="678">
      <c r="A678" s="135"/>
      <c r="B678" s="87"/>
      <c r="D678" s="136"/>
      <c r="E678" s="137"/>
      <c r="F678" s="138"/>
      <c r="H678" s="50"/>
      <c r="K678" s="50"/>
    </row>
    <row r="679">
      <c r="A679" s="135"/>
      <c r="B679" s="87"/>
      <c r="D679" s="136"/>
      <c r="E679" s="137"/>
      <c r="F679" s="138"/>
      <c r="H679" s="50"/>
      <c r="K679" s="50"/>
    </row>
    <row r="680">
      <c r="A680" s="135"/>
      <c r="B680" s="87"/>
      <c r="D680" s="136"/>
      <c r="E680" s="137"/>
      <c r="F680" s="138"/>
      <c r="H680" s="50"/>
      <c r="K680" s="50"/>
    </row>
    <row r="681">
      <c r="A681" s="135"/>
      <c r="B681" s="87"/>
      <c r="D681" s="136"/>
      <c r="E681" s="137"/>
      <c r="F681" s="138"/>
      <c r="H681" s="50"/>
      <c r="K681" s="50"/>
    </row>
    <row r="682">
      <c r="A682" s="135"/>
      <c r="B682" s="87"/>
      <c r="D682" s="136"/>
      <c r="E682" s="137"/>
      <c r="F682" s="138"/>
      <c r="H682" s="50"/>
      <c r="K682" s="50"/>
    </row>
    <row r="683">
      <c r="A683" s="135"/>
      <c r="B683" s="87"/>
      <c r="D683" s="136"/>
      <c r="E683" s="137"/>
      <c r="F683" s="138"/>
      <c r="H683" s="50"/>
      <c r="K683" s="50"/>
    </row>
    <row r="684">
      <c r="A684" s="135"/>
      <c r="B684" s="87"/>
      <c r="D684" s="136"/>
      <c r="E684" s="137"/>
      <c r="F684" s="138"/>
      <c r="H684" s="50"/>
      <c r="K684" s="50"/>
    </row>
    <row r="685">
      <c r="A685" s="135"/>
      <c r="B685" s="87"/>
      <c r="D685" s="136"/>
      <c r="E685" s="137"/>
      <c r="F685" s="138"/>
      <c r="H685" s="50"/>
      <c r="K685" s="50"/>
    </row>
    <row r="686">
      <c r="A686" s="135"/>
      <c r="B686" s="87"/>
      <c r="D686" s="136"/>
      <c r="E686" s="137"/>
      <c r="F686" s="138"/>
      <c r="H686" s="50"/>
      <c r="K686" s="50"/>
    </row>
    <row r="687">
      <c r="A687" s="135"/>
      <c r="B687" s="87"/>
      <c r="D687" s="136"/>
      <c r="E687" s="137"/>
      <c r="F687" s="138"/>
      <c r="H687" s="50"/>
      <c r="K687" s="50"/>
    </row>
    <row r="688">
      <c r="A688" s="135"/>
      <c r="B688" s="87"/>
      <c r="D688" s="136"/>
      <c r="E688" s="137"/>
      <c r="F688" s="138"/>
      <c r="H688" s="50"/>
      <c r="K688" s="50"/>
    </row>
    <row r="689">
      <c r="A689" s="135"/>
      <c r="B689" s="87"/>
      <c r="D689" s="136"/>
      <c r="E689" s="137"/>
      <c r="F689" s="138"/>
      <c r="H689" s="50"/>
      <c r="K689" s="50"/>
    </row>
    <row r="690">
      <c r="A690" s="135"/>
      <c r="B690" s="87"/>
      <c r="D690" s="136"/>
      <c r="E690" s="137"/>
      <c r="F690" s="138"/>
      <c r="H690" s="50"/>
      <c r="K690" s="50"/>
    </row>
    <row r="691">
      <c r="A691" s="135"/>
      <c r="B691" s="87"/>
      <c r="D691" s="136"/>
      <c r="E691" s="137"/>
      <c r="F691" s="138"/>
      <c r="H691" s="50"/>
      <c r="K691" s="50"/>
    </row>
    <row r="692">
      <c r="A692" s="135"/>
      <c r="B692" s="87"/>
      <c r="D692" s="136"/>
      <c r="E692" s="137"/>
      <c r="F692" s="138"/>
      <c r="H692" s="50"/>
      <c r="K692" s="50"/>
    </row>
    <row r="693">
      <c r="A693" s="135"/>
      <c r="B693" s="87"/>
      <c r="D693" s="136"/>
      <c r="E693" s="137"/>
      <c r="F693" s="138"/>
      <c r="H693" s="50"/>
      <c r="K693" s="50"/>
    </row>
    <row r="694">
      <c r="A694" s="135"/>
      <c r="B694" s="87"/>
      <c r="D694" s="136"/>
      <c r="E694" s="137"/>
      <c r="F694" s="138"/>
      <c r="H694" s="50"/>
      <c r="K694" s="50"/>
    </row>
    <row r="695">
      <c r="A695" s="135"/>
      <c r="B695" s="87"/>
      <c r="D695" s="136"/>
      <c r="E695" s="137"/>
      <c r="F695" s="138"/>
      <c r="H695" s="50"/>
      <c r="K695" s="50"/>
    </row>
    <row r="696">
      <c r="A696" s="135"/>
      <c r="B696" s="87"/>
      <c r="D696" s="136"/>
      <c r="E696" s="137"/>
      <c r="F696" s="138"/>
      <c r="H696" s="50"/>
      <c r="K696" s="50"/>
    </row>
    <row r="697">
      <c r="A697" s="135"/>
      <c r="B697" s="87"/>
      <c r="D697" s="136"/>
      <c r="E697" s="137"/>
      <c r="F697" s="138"/>
      <c r="H697" s="50"/>
      <c r="K697" s="50"/>
    </row>
    <row r="698">
      <c r="A698" s="135"/>
      <c r="B698" s="87"/>
      <c r="D698" s="136"/>
      <c r="E698" s="137"/>
      <c r="F698" s="138"/>
      <c r="H698" s="50"/>
      <c r="K698" s="50"/>
    </row>
    <row r="699">
      <c r="A699" s="135"/>
      <c r="B699" s="87"/>
      <c r="D699" s="136"/>
      <c r="E699" s="137"/>
      <c r="F699" s="138"/>
      <c r="H699" s="50"/>
      <c r="K699" s="50"/>
    </row>
    <row r="700">
      <c r="A700" s="135"/>
      <c r="B700" s="87"/>
      <c r="D700" s="136"/>
      <c r="E700" s="137"/>
      <c r="F700" s="138"/>
      <c r="H700" s="50"/>
      <c r="K700" s="50"/>
    </row>
    <row r="701">
      <c r="A701" s="135"/>
      <c r="B701" s="87"/>
      <c r="D701" s="136"/>
      <c r="E701" s="137"/>
      <c r="F701" s="138"/>
      <c r="H701" s="50"/>
      <c r="K701" s="50"/>
    </row>
    <row r="702">
      <c r="A702" s="135"/>
      <c r="B702" s="87"/>
      <c r="D702" s="136"/>
      <c r="E702" s="137"/>
      <c r="F702" s="138"/>
      <c r="H702" s="50"/>
      <c r="K702" s="50"/>
    </row>
    <row r="703">
      <c r="A703" s="135"/>
      <c r="B703" s="87"/>
      <c r="D703" s="136"/>
      <c r="E703" s="137"/>
      <c r="F703" s="138"/>
      <c r="H703" s="50"/>
      <c r="K703" s="50"/>
    </row>
    <row r="704">
      <c r="A704" s="135"/>
      <c r="B704" s="87"/>
      <c r="D704" s="136"/>
      <c r="E704" s="137"/>
      <c r="F704" s="138"/>
      <c r="H704" s="50"/>
      <c r="K704" s="50"/>
    </row>
    <row r="705">
      <c r="A705" s="135"/>
      <c r="B705" s="87"/>
      <c r="D705" s="136"/>
      <c r="E705" s="137"/>
      <c r="F705" s="138"/>
      <c r="H705" s="50"/>
      <c r="K705" s="50"/>
    </row>
    <row r="706">
      <c r="A706" s="135"/>
      <c r="B706" s="87"/>
      <c r="D706" s="136"/>
      <c r="E706" s="137"/>
      <c r="F706" s="138"/>
      <c r="H706" s="50"/>
      <c r="K706" s="50"/>
    </row>
    <row r="707">
      <c r="A707" s="135"/>
      <c r="B707" s="87"/>
      <c r="D707" s="136"/>
      <c r="E707" s="137"/>
      <c r="F707" s="138"/>
      <c r="H707" s="50"/>
      <c r="K707" s="50"/>
    </row>
    <row r="708">
      <c r="A708" s="135"/>
      <c r="B708" s="87"/>
      <c r="D708" s="136"/>
      <c r="E708" s="137"/>
      <c r="F708" s="138"/>
      <c r="H708" s="50"/>
      <c r="K708" s="50"/>
    </row>
    <row r="709">
      <c r="A709" s="135"/>
      <c r="B709" s="87"/>
      <c r="D709" s="136"/>
      <c r="E709" s="137"/>
      <c r="F709" s="138"/>
      <c r="H709" s="50"/>
      <c r="K709" s="50"/>
    </row>
    <row r="710">
      <c r="A710" s="135"/>
      <c r="B710" s="87"/>
      <c r="D710" s="136"/>
      <c r="E710" s="137"/>
      <c r="F710" s="138"/>
      <c r="H710" s="50"/>
      <c r="K710" s="50"/>
    </row>
    <row r="711">
      <c r="A711" s="135"/>
      <c r="B711" s="87"/>
      <c r="D711" s="136"/>
      <c r="E711" s="137"/>
      <c r="F711" s="138"/>
      <c r="H711" s="50"/>
      <c r="K711" s="50"/>
    </row>
    <row r="712">
      <c r="A712" s="135"/>
      <c r="B712" s="87"/>
      <c r="D712" s="136"/>
      <c r="E712" s="137"/>
      <c r="F712" s="138"/>
      <c r="H712" s="50"/>
      <c r="K712" s="50"/>
    </row>
    <row r="713">
      <c r="A713" s="135"/>
      <c r="B713" s="87"/>
      <c r="D713" s="136"/>
      <c r="E713" s="137"/>
      <c r="F713" s="138"/>
      <c r="H713" s="50"/>
      <c r="K713" s="50"/>
    </row>
    <row r="714">
      <c r="A714" s="135"/>
      <c r="B714" s="87"/>
      <c r="D714" s="136"/>
      <c r="E714" s="137"/>
      <c r="F714" s="138"/>
      <c r="H714" s="50"/>
      <c r="K714" s="50"/>
    </row>
    <row r="715">
      <c r="A715" s="135"/>
      <c r="B715" s="87"/>
      <c r="D715" s="136"/>
      <c r="E715" s="137"/>
      <c r="F715" s="138"/>
      <c r="H715" s="50"/>
      <c r="K715" s="50"/>
    </row>
    <row r="716">
      <c r="A716" s="135"/>
      <c r="B716" s="87"/>
      <c r="D716" s="136"/>
      <c r="E716" s="137"/>
      <c r="F716" s="138"/>
      <c r="H716" s="50"/>
      <c r="K716" s="50"/>
    </row>
    <row r="717">
      <c r="A717" s="135"/>
      <c r="B717" s="87"/>
      <c r="D717" s="136"/>
      <c r="E717" s="137"/>
      <c r="F717" s="138"/>
      <c r="H717" s="50"/>
      <c r="K717" s="50"/>
    </row>
    <row r="718">
      <c r="A718" s="135"/>
      <c r="B718" s="87"/>
      <c r="D718" s="136"/>
      <c r="E718" s="137"/>
      <c r="F718" s="138"/>
      <c r="H718" s="50"/>
      <c r="K718" s="50"/>
    </row>
    <row r="719">
      <c r="A719" s="135"/>
      <c r="B719" s="87"/>
      <c r="D719" s="136"/>
      <c r="E719" s="137"/>
      <c r="F719" s="138"/>
      <c r="H719" s="50"/>
      <c r="K719" s="50"/>
    </row>
    <row r="720">
      <c r="A720" s="135"/>
      <c r="B720" s="87"/>
      <c r="D720" s="136"/>
      <c r="E720" s="137"/>
      <c r="F720" s="138"/>
      <c r="H720" s="50"/>
      <c r="K720" s="50"/>
    </row>
    <row r="721">
      <c r="A721" s="135"/>
      <c r="B721" s="87"/>
      <c r="D721" s="136"/>
      <c r="E721" s="137"/>
      <c r="F721" s="138"/>
      <c r="H721" s="50"/>
      <c r="K721" s="50"/>
    </row>
    <row r="722">
      <c r="A722" s="135"/>
      <c r="B722" s="87"/>
      <c r="D722" s="136"/>
      <c r="E722" s="137"/>
      <c r="F722" s="138"/>
      <c r="H722" s="50"/>
      <c r="K722" s="50"/>
    </row>
    <row r="723">
      <c r="A723" s="135"/>
      <c r="B723" s="87"/>
      <c r="D723" s="136"/>
      <c r="E723" s="137"/>
      <c r="F723" s="138"/>
      <c r="H723" s="50"/>
      <c r="K723" s="50"/>
    </row>
    <row r="724">
      <c r="A724" s="135"/>
      <c r="B724" s="87"/>
      <c r="D724" s="136"/>
      <c r="E724" s="137"/>
      <c r="F724" s="138"/>
      <c r="H724" s="50"/>
      <c r="K724" s="50"/>
    </row>
    <row r="725">
      <c r="A725" s="135"/>
      <c r="B725" s="87"/>
      <c r="D725" s="136"/>
      <c r="E725" s="137"/>
      <c r="F725" s="138"/>
      <c r="H725" s="50"/>
      <c r="K725" s="50"/>
    </row>
    <row r="726">
      <c r="A726" s="135"/>
      <c r="B726" s="87"/>
      <c r="D726" s="136"/>
      <c r="E726" s="137"/>
      <c r="F726" s="138"/>
      <c r="H726" s="50"/>
      <c r="K726" s="50"/>
    </row>
    <row r="727">
      <c r="A727" s="135"/>
      <c r="B727" s="87"/>
      <c r="D727" s="136"/>
      <c r="E727" s="137"/>
      <c r="F727" s="138"/>
      <c r="H727" s="50"/>
      <c r="K727" s="50"/>
    </row>
    <row r="728">
      <c r="A728" s="135"/>
      <c r="B728" s="87"/>
      <c r="D728" s="136"/>
      <c r="E728" s="137"/>
      <c r="F728" s="138"/>
      <c r="H728" s="50"/>
      <c r="K728" s="50"/>
    </row>
    <row r="729">
      <c r="A729" s="135"/>
      <c r="B729" s="87"/>
      <c r="D729" s="136"/>
      <c r="E729" s="137"/>
      <c r="F729" s="138"/>
      <c r="H729" s="50"/>
      <c r="K729" s="50"/>
    </row>
    <row r="730">
      <c r="A730" s="135"/>
      <c r="B730" s="87"/>
      <c r="D730" s="136"/>
      <c r="E730" s="137"/>
      <c r="F730" s="138"/>
      <c r="H730" s="50"/>
      <c r="K730" s="50"/>
    </row>
    <row r="731">
      <c r="A731" s="135"/>
      <c r="B731" s="87"/>
      <c r="D731" s="136"/>
      <c r="E731" s="137"/>
      <c r="F731" s="138"/>
      <c r="H731" s="50"/>
      <c r="K731" s="50"/>
    </row>
    <row r="732">
      <c r="A732" s="135"/>
      <c r="B732" s="87"/>
      <c r="D732" s="136"/>
      <c r="E732" s="137"/>
      <c r="F732" s="138"/>
      <c r="H732" s="50"/>
      <c r="K732" s="50"/>
    </row>
    <row r="733">
      <c r="A733" s="135"/>
      <c r="B733" s="87"/>
      <c r="D733" s="136"/>
      <c r="E733" s="137"/>
      <c r="F733" s="138"/>
      <c r="H733" s="50"/>
      <c r="K733" s="50"/>
    </row>
    <row r="734">
      <c r="A734" s="135"/>
      <c r="B734" s="87"/>
      <c r="D734" s="136"/>
      <c r="E734" s="137"/>
      <c r="F734" s="138"/>
      <c r="H734" s="50"/>
      <c r="K734" s="50"/>
    </row>
    <row r="735">
      <c r="A735" s="135"/>
      <c r="B735" s="87"/>
      <c r="D735" s="136"/>
      <c r="E735" s="137"/>
      <c r="F735" s="138"/>
      <c r="H735" s="50"/>
      <c r="K735" s="50"/>
    </row>
    <row r="736">
      <c r="A736" s="135"/>
      <c r="B736" s="87"/>
      <c r="D736" s="136"/>
      <c r="E736" s="137"/>
      <c r="F736" s="138"/>
      <c r="H736" s="50"/>
      <c r="K736" s="50"/>
    </row>
    <row r="737">
      <c r="A737" s="135"/>
      <c r="B737" s="87"/>
      <c r="D737" s="136"/>
      <c r="E737" s="137"/>
      <c r="F737" s="138"/>
      <c r="H737" s="50"/>
      <c r="K737" s="50"/>
    </row>
    <row r="738">
      <c r="A738" s="135"/>
      <c r="B738" s="87"/>
      <c r="D738" s="136"/>
      <c r="E738" s="137"/>
      <c r="F738" s="138"/>
      <c r="H738" s="50"/>
      <c r="K738" s="50"/>
    </row>
    <row r="739">
      <c r="A739" s="135"/>
      <c r="B739" s="87"/>
      <c r="D739" s="136"/>
      <c r="E739" s="137"/>
      <c r="F739" s="138"/>
      <c r="H739" s="50"/>
      <c r="K739" s="50"/>
    </row>
    <row r="740">
      <c r="A740" s="135"/>
      <c r="B740" s="87"/>
      <c r="D740" s="136"/>
      <c r="E740" s="137"/>
      <c r="F740" s="138"/>
      <c r="H740" s="50"/>
      <c r="K740" s="50"/>
    </row>
    <row r="741">
      <c r="A741" s="135"/>
      <c r="B741" s="87"/>
      <c r="D741" s="136"/>
      <c r="E741" s="137"/>
      <c r="F741" s="138"/>
      <c r="H741" s="50"/>
      <c r="K741" s="50"/>
    </row>
    <row r="742">
      <c r="A742" s="135"/>
      <c r="B742" s="87"/>
      <c r="D742" s="136"/>
      <c r="E742" s="137"/>
      <c r="F742" s="138"/>
      <c r="H742" s="50"/>
      <c r="K742" s="50"/>
    </row>
    <row r="743">
      <c r="A743" s="135"/>
      <c r="B743" s="87"/>
      <c r="D743" s="136"/>
      <c r="E743" s="137"/>
      <c r="F743" s="138"/>
      <c r="H743" s="50"/>
      <c r="K743" s="50"/>
    </row>
    <row r="744">
      <c r="A744" s="135"/>
      <c r="B744" s="87"/>
      <c r="D744" s="136"/>
      <c r="E744" s="137"/>
      <c r="F744" s="138"/>
      <c r="H744" s="50"/>
      <c r="K744" s="50"/>
    </row>
    <row r="745">
      <c r="A745" s="135"/>
      <c r="B745" s="87"/>
      <c r="D745" s="136"/>
      <c r="E745" s="137"/>
      <c r="F745" s="138"/>
      <c r="H745" s="50"/>
      <c r="K745" s="50"/>
    </row>
    <row r="746">
      <c r="A746" s="135"/>
      <c r="B746" s="87"/>
      <c r="D746" s="136"/>
      <c r="E746" s="137"/>
      <c r="F746" s="138"/>
      <c r="H746" s="50"/>
      <c r="K746" s="50"/>
    </row>
    <row r="747">
      <c r="A747" s="135"/>
      <c r="B747" s="87"/>
      <c r="D747" s="136"/>
      <c r="E747" s="137"/>
      <c r="F747" s="138"/>
      <c r="H747" s="50"/>
      <c r="K747" s="50"/>
    </row>
    <row r="748">
      <c r="A748" s="135"/>
      <c r="B748" s="87"/>
      <c r="D748" s="136"/>
      <c r="E748" s="137"/>
      <c r="F748" s="138"/>
      <c r="H748" s="50"/>
      <c r="K748" s="50"/>
    </row>
    <row r="749">
      <c r="A749" s="135"/>
      <c r="B749" s="87"/>
      <c r="D749" s="136"/>
      <c r="E749" s="137"/>
      <c r="F749" s="138"/>
      <c r="H749" s="50"/>
      <c r="K749" s="50"/>
    </row>
    <row r="750">
      <c r="A750" s="135"/>
      <c r="B750" s="87"/>
      <c r="D750" s="136"/>
      <c r="E750" s="137"/>
      <c r="F750" s="138"/>
      <c r="H750" s="50"/>
      <c r="K750" s="50"/>
    </row>
    <row r="751">
      <c r="A751" s="135"/>
      <c r="B751" s="87"/>
      <c r="D751" s="136"/>
      <c r="E751" s="137"/>
      <c r="F751" s="138"/>
      <c r="H751" s="50"/>
      <c r="K751" s="50"/>
    </row>
    <row r="752">
      <c r="A752" s="135"/>
      <c r="B752" s="87"/>
      <c r="D752" s="136"/>
      <c r="E752" s="137"/>
      <c r="F752" s="138"/>
      <c r="H752" s="50"/>
      <c r="K752" s="50"/>
    </row>
    <row r="753">
      <c r="A753" s="135"/>
      <c r="B753" s="87"/>
      <c r="D753" s="136"/>
      <c r="E753" s="137"/>
      <c r="F753" s="138"/>
      <c r="H753" s="50"/>
      <c r="K753" s="50"/>
    </row>
    <row r="754">
      <c r="A754" s="135"/>
      <c r="B754" s="87"/>
      <c r="D754" s="136"/>
      <c r="E754" s="137"/>
      <c r="F754" s="138"/>
      <c r="H754" s="50"/>
      <c r="K754" s="50"/>
    </row>
    <row r="755">
      <c r="A755" s="135"/>
      <c r="B755" s="87"/>
      <c r="D755" s="136"/>
      <c r="E755" s="137"/>
      <c r="F755" s="138"/>
      <c r="H755" s="50"/>
      <c r="K755" s="50"/>
    </row>
    <row r="756">
      <c r="A756" s="135"/>
      <c r="B756" s="87"/>
      <c r="D756" s="136"/>
      <c r="E756" s="137"/>
      <c r="F756" s="138"/>
      <c r="H756" s="50"/>
      <c r="K756" s="50"/>
    </row>
    <row r="757">
      <c r="A757" s="135"/>
      <c r="B757" s="87"/>
      <c r="D757" s="136"/>
      <c r="E757" s="137"/>
      <c r="F757" s="138"/>
      <c r="H757" s="50"/>
      <c r="K757" s="50"/>
    </row>
    <row r="758">
      <c r="A758" s="135"/>
      <c r="B758" s="87"/>
      <c r="D758" s="136"/>
      <c r="E758" s="137"/>
      <c r="F758" s="138"/>
      <c r="H758" s="50"/>
      <c r="K758" s="50"/>
    </row>
    <row r="759">
      <c r="A759" s="135"/>
      <c r="B759" s="87"/>
      <c r="D759" s="136"/>
      <c r="E759" s="137"/>
      <c r="F759" s="138"/>
      <c r="H759" s="50"/>
      <c r="K759" s="50"/>
    </row>
    <row r="760">
      <c r="A760" s="135"/>
      <c r="B760" s="87"/>
      <c r="D760" s="136"/>
      <c r="E760" s="137"/>
      <c r="F760" s="138"/>
      <c r="H760" s="50"/>
      <c r="K760" s="50"/>
    </row>
    <row r="761">
      <c r="A761" s="135"/>
      <c r="B761" s="87"/>
      <c r="D761" s="136"/>
      <c r="E761" s="137"/>
      <c r="F761" s="138"/>
      <c r="H761" s="50"/>
      <c r="K761" s="50"/>
    </row>
    <row r="762">
      <c r="A762" s="135"/>
      <c r="B762" s="87"/>
      <c r="D762" s="136"/>
      <c r="E762" s="137"/>
      <c r="F762" s="138"/>
      <c r="H762" s="50"/>
      <c r="K762" s="50"/>
    </row>
    <row r="763">
      <c r="A763" s="135"/>
      <c r="B763" s="87"/>
      <c r="D763" s="136"/>
      <c r="E763" s="137"/>
      <c r="F763" s="138"/>
      <c r="H763" s="50"/>
      <c r="K763" s="50"/>
    </row>
    <row r="764">
      <c r="A764" s="135"/>
      <c r="B764" s="87"/>
      <c r="D764" s="136"/>
      <c r="E764" s="137"/>
      <c r="F764" s="138"/>
      <c r="H764" s="50"/>
      <c r="K764" s="50"/>
    </row>
    <row r="765">
      <c r="A765" s="135"/>
      <c r="B765" s="87"/>
      <c r="D765" s="136"/>
      <c r="E765" s="137"/>
      <c r="F765" s="138"/>
      <c r="H765" s="50"/>
      <c r="K765" s="50"/>
    </row>
    <row r="766">
      <c r="A766" s="135"/>
      <c r="B766" s="87"/>
      <c r="D766" s="136"/>
      <c r="E766" s="137"/>
      <c r="F766" s="138"/>
      <c r="H766" s="50"/>
      <c r="K766" s="50"/>
    </row>
    <row r="767">
      <c r="A767" s="135"/>
      <c r="B767" s="87"/>
      <c r="D767" s="136"/>
      <c r="E767" s="137"/>
      <c r="F767" s="138"/>
      <c r="H767" s="50"/>
      <c r="K767" s="50"/>
    </row>
    <row r="768">
      <c r="A768" s="135"/>
      <c r="B768" s="87"/>
      <c r="D768" s="136"/>
      <c r="E768" s="137"/>
      <c r="F768" s="138"/>
      <c r="H768" s="50"/>
      <c r="K768" s="50"/>
    </row>
    <row r="769">
      <c r="A769" s="135"/>
      <c r="B769" s="87"/>
      <c r="D769" s="136"/>
      <c r="E769" s="137"/>
      <c r="F769" s="138"/>
      <c r="H769" s="50"/>
      <c r="K769" s="50"/>
    </row>
    <row r="770">
      <c r="A770" s="135"/>
      <c r="B770" s="87"/>
      <c r="D770" s="136"/>
      <c r="E770" s="137"/>
      <c r="F770" s="138"/>
      <c r="H770" s="50"/>
      <c r="K770" s="50"/>
    </row>
    <row r="771">
      <c r="A771" s="135"/>
      <c r="B771" s="87"/>
      <c r="D771" s="136"/>
      <c r="E771" s="137"/>
      <c r="F771" s="138"/>
      <c r="H771" s="50"/>
      <c r="K771" s="50"/>
    </row>
    <row r="772">
      <c r="A772" s="135"/>
      <c r="B772" s="87"/>
      <c r="D772" s="136"/>
      <c r="E772" s="137"/>
      <c r="F772" s="138"/>
      <c r="H772" s="50"/>
      <c r="K772" s="50"/>
    </row>
    <row r="773">
      <c r="A773" s="135"/>
      <c r="B773" s="87"/>
      <c r="D773" s="136"/>
      <c r="E773" s="137"/>
      <c r="F773" s="138"/>
      <c r="H773" s="50"/>
      <c r="K773" s="50"/>
    </row>
    <row r="774">
      <c r="A774" s="135"/>
      <c r="B774" s="87"/>
      <c r="D774" s="136"/>
      <c r="E774" s="137"/>
      <c r="F774" s="138"/>
      <c r="H774" s="50"/>
      <c r="K774" s="50"/>
    </row>
    <row r="775">
      <c r="A775" s="135"/>
      <c r="B775" s="87"/>
      <c r="D775" s="136"/>
      <c r="E775" s="137"/>
      <c r="F775" s="138"/>
      <c r="H775" s="50"/>
      <c r="K775" s="50"/>
    </row>
    <row r="776">
      <c r="A776" s="135"/>
      <c r="B776" s="87"/>
      <c r="D776" s="136"/>
      <c r="E776" s="137"/>
      <c r="F776" s="138"/>
      <c r="H776" s="50"/>
      <c r="K776" s="50"/>
    </row>
    <row r="777">
      <c r="A777" s="135"/>
      <c r="B777" s="87"/>
      <c r="D777" s="136"/>
      <c r="E777" s="137"/>
      <c r="F777" s="138"/>
      <c r="H777" s="50"/>
      <c r="K777" s="50"/>
    </row>
    <row r="778">
      <c r="A778" s="135"/>
      <c r="B778" s="87"/>
      <c r="D778" s="136"/>
      <c r="E778" s="137"/>
      <c r="F778" s="138"/>
      <c r="H778" s="50"/>
      <c r="K778" s="50"/>
    </row>
    <row r="779">
      <c r="A779" s="135"/>
      <c r="B779" s="87"/>
      <c r="D779" s="136"/>
      <c r="E779" s="137"/>
      <c r="F779" s="138"/>
      <c r="H779" s="50"/>
      <c r="K779" s="50"/>
    </row>
    <row r="780">
      <c r="A780" s="135"/>
      <c r="B780" s="87"/>
      <c r="D780" s="136"/>
      <c r="E780" s="137"/>
      <c r="F780" s="138"/>
      <c r="H780" s="50"/>
      <c r="K780" s="50"/>
    </row>
    <row r="781">
      <c r="A781" s="135"/>
      <c r="B781" s="87"/>
      <c r="D781" s="136"/>
      <c r="E781" s="137"/>
      <c r="F781" s="138"/>
      <c r="H781" s="50"/>
      <c r="K781" s="50"/>
    </row>
    <row r="782">
      <c r="A782" s="135"/>
      <c r="B782" s="87"/>
      <c r="D782" s="136"/>
      <c r="E782" s="137"/>
      <c r="F782" s="138"/>
      <c r="H782" s="50"/>
      <c r="K782" s="50"/>
    </row>
    <row r="783">
      <c r="A783" s="135"/>
      <c r="B783" s="87"/>
      <c r="D783" s="136"/>
      <c r="E783" s="137"/>
      <c r="F783" s="138"/>
      <c r="H783" s="50"/>
      <c r="K783" s="50"/>
    </row>
    <row r="784">
      <c r="A784" s="135"/>
      <c r="B784" s="87"/>
      <c r="D784" s="136"/>
      <c r="E784" s="137"/>
      <c r="F784" s="138"/>
      <c r="H784" s="50"/>
      <c r="K784" s="50"/>
    </row>
    <row r="785">
      <c r="A785" s="135"/>
      <c r="B785" s="87"/>
      <c r="D785" s="136"/>
      <c r="E785" s="137"/>
      <c r="F785" s="138"/>
      <c r="H785" s="50"/>
      <c r="K785" s="50"/>
    </row>
    <row r="786">
      <c r="A786" s="135"/>
      <c r="B786" s="87"/>
      <c r="D786" s="136"/>
      <c r="E786" s="137"/>
      <c r="F786" s="138"/>
      <c r="H786" s="50"/>
      <c r="K786" s="50"/>
    </row>
    <row r="787">
      <c r="A787" s="135"/>
      <c r="B787" s="87"/>
      <c r="D787" s="136"/>
      <c r="E787" s="137"/>
      <c r="F787" s="138"/>
      <c r="H787" s="50"/>
      <c r="K787" s="50"/>
    </row>
    <row r="788">
      <c r="A788" s="135"/>
      <c r="B788" s="87"/>
      <c r="D788" s="136"/>
      <c r="E788" s="137"/>
      <c r="F788" s="138"/>
      <c r="H788" s="50"/>
      <c r="K788" s="50"/>
    </row>
    <row r="789">
      <c r="A789" s="135"/>
      <c r="B789" s="87"/>
      <c r="D789" s="136"/>
      <c r="E789" s="137"/>
      <c r="F789" s="138"/>
      <c r="H789" s="50"/>
      <c r="K789" s="50"/>
    </row>
    <row r="790">
      <c r="A790" s="135"/>
      <c r="B790" s="87"/>
      <c r="D790" s="136"/>
      <c r="E790" s="137"/>
      <c r="F790" s="138"/>
      <c r="H790" s="50"/>
      <c r="K790" s="50"/>
    </row>
    <row r="791">
      <c r="A791" s="135"/>
      <c r="B791" s="87"/>
      <c r="D791" s="136"/>
      <c r="E791" s="137"/>
      <c r="F791" s="138"/>
      <c r="H791" s="50"/>
      <c r="K791" s="50"/>
    </row>
    <row r="792">
      <c r="A792" s="135"/>
      <c r="B792" s="87"/>
      <c r="D792" s="136"/>
      <c r="E792" s="137"/>
      <c r="F792" s="138"/>
      <c r="H792" s="50"/>
      <c r="K792" s="50"/>
    </row>
    <row r="793">
      <c r="A793" s="135"/>
      <c r="B793" s="87"/>
      <c r="D793" s="136"/>
      <c r="E793" s="137"/>
      <c r="F793" s="138"/>
      <c r="H793" s="50"/>
      <c r="K793" s="50"/>
    </row>
    <row r="794">
      <c r="A794" s="135"/>
      <c r="B794" s="87"/>
      <c r="D794" s="136"/>
      <c r="E794" s="137"/>
      <c r="F794" s="138"/>
      <c r="H794" s="50"/>
      <c r="K794" s="50"/>
    </row>
    <row r="795">
      <c r="A795" s="135"/>
      <c r="B795" s="87"/>
      <c r="D795" s="136"/>
      <c r="E795" s="137"/>
      <c r="F795" s="138"/>
      <c r="H795" s="50"/>
      <c r="K795" s="50"/>
    </row>
    <row r="796">
      <c r="A796" s="135"/>
      <c r="B796" s="87"/>
      <c r="D796" s="136"/>
      <c r="E796" s="137"/>
      <c r="F796" s="138"/>
      <c r="H796" s="50"/>
      <c r="K796" s="50"/>
    </row>
    <row r="797">
      <c r="A797" s="135"/>
      <c r="B797" s="87"/>
      <c r="D797" s="136"/>
      <c r="E797" s="137"/>
      <c r="F797" s="138"/>
      <c r="H797" s="50"/>
      <c r="K797" s="50"/>
    </row>
    <row r="798">
      <c r="A798" s="135"/>
      <c r="B798" s="87"/>
      <c r="D798" s="136"/>
      <c r="E798" s="137"/>
      <c r="F798" s="138"/>
      <c r="H798" s="50"/>
      <c r="K798" s="50"/>
    </row>
    <row r="799">
      <c r="A799" s="135"/>
      <c r="B799" s="87"/>
      <c r="D799" s="136"/>
      <c r="E799" s="137"/>
      <c r="F799" s="138"/>
      <c r="H799" s="50"/>
      <c r="K799" s="50"/>
    </row>
    <row r="800">
      <c r="A800" s="135"/>
      <c r="B800" s="87"/>
      <c r="D800" s="136"/>
      <c r="E800" s="137"/>
      <c r="F800" s="138"/>
      <c r="H800" s="50"/>
      <c r="K800" s="50"/>
    </row>
    <row r="801">
      <c r="A801" s="135"/>
      <c r="B801" s="87"/>
      <c r="D801" s="136"/>
      <c r="E801" s="137"/>
      <c r="F801" s="138"/>
      <c r="H801" s="50"/>
      <c r="K801" s="50"/>
    </row>
    <row r="802">
      <c r="A802" s="135"/>
      <c r="B802" s="87"/>
      <c r="D802" s="136"/>
      <c r="E802" s="137"/>
      <c r="F802" s="138"/>
      <c r="H802" s="50"/>
      <c r="K802" s="50"/>
    </row>
    <row r="803">
      <c r="A803" s="135"/>
      <c r="B803" s="87"/>
      <c r="D803" s="136"/>
      <c r="E803" s="137"/>
      <c r="F803" s="138"/>
      <c r="H803" s="50"/>
      <c r="K803" s="50"/>
    </row>
    <row r="804">
      <c r="A804" s="135"/>
      <c r="B804" s="87"/>
      <c r="D804" s="136"/>
      <c r="E804" s="137"/>
      <c r="F804" s="138"/>
      <c r="H804" s="50"/>
      <c r="K804" s="50"/>
    </row>
    <row r="805">
      <c r="A805" s="135"/>
      <c r="B805" s="87"/>
      <c r="D805" s="136"/>
      <c r="E805" s="137"/>
      <c r="F805" s="138"/>
      <c r="H805" s="50"/>
      <c r="K805" s="50"/>
    </row>
    <row r="806">
      <c r="A806" s="135"/>
      <c r="B806" s="87"/>
      <c r="D806" s="136"/>
      <c r="E806" s="137"/>
      <c r="F806" s="138"/>
      <c r="H806" s="50"/>
      <c r="K806" s="50"/>
    </row>
    <row r="807">
      <c r="A807" s="135"/>
      <c r="B807" s="87"/>
      <c r="D807" s="136"/>
      <c r="E807" s="137"/>
      <c r="F807" s="138"/>
      <c r="H807" s="50"/>
      <c r="K807" s="50"/>
    </row>
    <row r="808">
      <c r="A808" s="135"/>
      <c r="B808" s="87"/>
      <c r="D808" s="136"/>
      <c r="E808" s="137"/>
      <c r="F808" s="138"/>
      <c r="H808" s="50"/>
      <c r="K808" s="50"/>
    </row>
    <row r="809">
      <c r="A809" s="135"/>
      <c r="B809" s="87"/>
      <c r="D809" s="136"/>
      <c r="E809" s="137"/>
      <c r="F809" s="138"/>
      <c r="H809" s="50"/>
      <c r="K809" s="50"/>
    </row>
    <row r="810">
      <c r="A810" s="135"/>
      <c r="B810" s="87"/>
      <c r="D810" s="136"/>
      <c r="E810" s="137"/>
      <c r="F810" s="138"/>
      <c r="H810" s="50"/>
      <c r="K810" s="50"/>
    </row>
    <row r="811">
      <c r="A811" s="135"/>
      <c r="B811" s="87"/>
      <c r="D811" s="136"/>
      <c r="E811" s="137"/>
      <c r="F811" s="138"/>
      <c r="H811" s="50"/>
      <c r="K811" s="50"/>
    </row>
    <row r="812">
      <c r="A812" s="135"/>
      <c r="B812" s="87"/>
      <c r="D812" s="136"/>
      <c r="E812" s="137"/>
      <c r="F812" s="138"/>
      <c r="H812" s="50"/>
      <c r="K812" s="50"/>
    </row>
    <row r="813">
      <c r="A813" s="135"/>
      <c r="B813" s="87"/>
      <c r="D813" s="136"/>
      <c r="E813" s="137"/>
      <c r="F813" s="138"/>
      <c r="H813" s="50"/>
      <c r="K813" s="50"/>
    </row>
    <row r="814">
      <c r="A814" s="135"/>
      <c r="B814" s="87"/>
      <c r="D814" s="136"/>
      <c r="E814" s="137"/>
      <c r="F814" s="138"/>
      <c r="H814" s="50"/>
      <c r="K814" s="50"/>
    </row>
    <row r="815">
      <c r="A815" s="135"/>
      <c r="B815" s="87"/>
      <c r="D815" s="136"/>
      <c r="E815" s="137"/>
      <c r="F815" s="138"/>
      <c r="H815" s="50"/>
      <c r="K815" s="50"/>
    </row>
    <row r="816">
      <c r="A816" s="135"/>
      <c r="B816" s="87"/>
      <c r="D816" s="136"/>
      <c r="E816" s="137"/>
      <c r="F816" s="138"/>
      <c r="H816" s="50"/>
      <c r="K816" s="50"/>
    </row>
    <row r="817">
      <c r="A817" s="135"/>
      <c r="B817" s="87"/>
      <c r="D817" s="136"/>
      <c r="E817" s="137"/>
      <c r="F817" s="138"/>
      <c r="H817" s="50"/>
      <c r="K817" s="50"/>
    </row>
    <row r="818">
      <c r="A818" s="135"/>
      <c r="B818" s="87"/>
      <c r="D818" s="136"/>
      <c r="E818" s="137"/>
      <c r="F818" s="138"/>
      <c r="H818" s="50"/>
      <c r="K818" s="50"/>
    </row>
    <row r="819">
      <c r="A819" s="135"/>
      <c r="B819" s="87"/>
      <c r="D819" s="136"/>
      <c r="E819" s="137"/>
      <c r="F819" s="138"/>
      <c r="H819" s="50"/>
      <c r="K819" s="50"/>
    </row>
    <row r="820">
      <c r="A820" s="135"/>
      <c r="B820" s="87"/>
      <c r="D820" s="136"/>
      <c r="E820" s="137"/>
      <c r="F820" s="138"/>
      <c r="H820" s="50"/>
      <c r="K820" s="50"/>
    </row>
    <row r="821">
      <c r="A821" s="135"/>
      <c r="B821" s="87"/>
      <c r="D821" s="136"/>
      <c r="E821" s="137"/>
      <c r="F821" s="138"/>
      <c r="H821" s="50"/>
      <c r="K821" s="50"/>
    </row>
    <row r="822">
      <c r="A822" s="135"/>
      <c r="B822" s="87"/>
      <c r="D822" s="136"/>
      <c r="E822" s="137"/>
      <c r="F822" s="138"/>
      <c r="H822" s="50"/>
      <c r="K822" s="50"/>
    </row>
    <row r="823">
      <c r="A823" s="135"/>
      <c r="B823" s="87"/>
      <c r="D823" s="136"/>
      <c r="E823" s="137"/>
      <c r="F823" s="138"/>
      <c r="H823" s="50"/>
      <c r="K823" s="50"/>
    </row>
    <row r="824">
      <c r="A824" s="135"/>
      <c r="B824" s="87"/>
      <c r="D824" s="136"/>
      <c r="E824" s="137"/>
      <c r="F824" s="138"/>
      <c r="H824" s="50"/>
      <c r="K824" s="50"/>
    </row>
    <row r="825">
      <c r="A825" s="135"/>
      <c r="B825" s="87"/>
      <c r="D825" s="136"/>
      <c r="E825" s="137"/>
      <c r="F825" s="138"/>
      <c r="H825" s="50"/>
      <c r="K825" s="50"/>
    </row>
    <row r="826">
      <c r="A826" s="135"/>
      <c r="B826" s="87"/>
      <c r="D826" s="136"/>
      <c r="E826" s="137"/>
      <c r="F826" s="138"/>
      <c r="H826" s="50"/>
      <c r="K826" s="50"/>
    </row>
    <row r="827">
      <c r="A827" s="135"/>
      <c r="B827" s="87"/>
      <c r="D827" s="136"/>
      <c r="E827" s="137"/>
      <c r="F827" s="138"/>
      <c r="H827" s="50"/>
      <c r="K827" s="50"/>
    </row>
    <row r="828">
      <c r="A828" s="135"/>
      <c r="B828" s="87"/>
      <c r="D828" s="136"/>
      <c r="E828" s="137"/>
      <c r="F828" s="138"/>
      <c r="H828" s="50"/>
      <c r="K828" s="50"/>
    </row>
    <row r="829">
      <c r="A829" s="135"/>
      <c r="B829" s="87"/>
      <c r="D829" s="136"/>
      <c r="E829" s="137"/>
      <c r="F829" s="138"/>
      <c r="H829" s="50"/>
      <c r="K829" s="50"/>
    </row>
    <row r="830">
      <c r="A830" s="135"/>
      <c r="B830" s="87"/>
      <c r="D830" s="136"/>
      <c r="E830" s="137"/>
      <c r="F830" s="138"/>
      <c r="H830" s="50"/>
      <c r="K830" s="50"/>
    </row>
    <row r="831">
      <c r="A831" s="135"/>
      <c r="B831" s="87"/>
      <c r="D831" s="136"/>
      <c r="E831" s="137"/>
      <c r="F831" s="138"/>
      <c r="H831" s="50"/>
      <c r="K831" s="50"/>
    </row>
    <row r="832">
      <c r="A832" s="135"/>
      <c r="B832" s="87"/>
      <c r="D832" s="136"/>
      <c r="E832" s="137"/>
      <c r="F832" s="138"/>
      <c r="H832" s="50"/>
      <c r="K832" s="50"/>
    </row>
    <row r="833">
      <c r="A833" s="135"/>
      <c r="B833" s="87"/>
      <c r="D833" s="136"/>
      <c r="E833" s="137"/>
      <c r="F833" s="138"/>
      <c r="H833" s="50"/>
      <c r="K833" s="50"/>
    </row>
    <row r="834">
      <c r="A834" s="135"/>
      <c r="B834" s="87"/>
      <c r="D834" s="136"/>
      <c r="E834" s="137"/>
      <c r="F834" s="138"/>
      <c r="H834" s="50"/>
      <c r="K834" s="50"/>
    </row>
    <row r="835">
      <c r="A835" s="135"/>
      <c r="B835" s="87"/>
      <c r="D835" s="136"/>
      <c r="E835" s="137"/>
      <c r="F835" s="138"/>
      <c r="H835" s="50"/>
      <c r="K835" s="50"/>
    </row>
    <row r="836">
      <c r="A836" s="135"/>
      <c r="B836" s="87"/>
      <c r="D836" s="136"/>
      <c r="E836" s="137"/>
      <c r="F836" s="138"/>
      <c r="H836" s="50"/>
      <c r="K836" s="50"/>
    </row>
    <row r="837">
      <c r="A837" s="135"/>
      <c r="B837" s="87"/>
      <c r="D837" s="136"/>
      <c r="E837" s="137"/>
      <c r="F837" s="138"/>
      <c r="H837" s="50"/>
      <c r="K837" s="50"/>
    </row>
    <row r="838">
      <c r="A838" s="135"/>
      <c r="B838" s="87"/>
      <c r="D838" s="136"/>
      <c r="E838" s="137"/>
      <c r="F838" s="138"/>
      <c r="H838" s="50"/>
      <c r="K838" s="50"/>
    </row>
    <row r="839">
      <c r="A839" s="135"/>
      <c r="B839" s="87"/>
      <c r="D839" s="136"/>
      <c r="E839" s="137"/>
      <c r="F839" s="138"/>
      <c r="H839" s="50"/>
      <c r="K839" s="50"/>
    </row>
    <row r="840">
      <c r="A840" s="135"/>
      <c r="B840" s="87"/>
      <c r="D840" s="136"/>
      <c r="E840" s="137"/>
      <c r="F840" s="138"/>
      <c r="H840" s="50"/>
      <c r="K840" s="50"/>
    </row>
    <row r="841">
      <c r="A841" s="135"/>
      <c r="B841" s="87"/>
      <c r="D841" s="136"/>
      <c r="E841" s="137"/>
      <c r="F841" s="138"/>
      <c r="H841" s="50"/>
      <c r="K841" s="50"/>
    </row>
    <row r="842">
      <c r="A842" s="135"/>
      <c r="B842" s="87"/>
      <c r="D842" s="136"/>
      <c r="E842" s="137"/>
      <c r="F842" s="138"/>
      <c r="H842" s="50"/>
      <c r="K842" s="50"/>
    </row>
    <row r="843">
      <c r="A843" s="135"/>
      <c r="B843" s="87"/>
      <c r="D843" s="136"/>
      <c r="E843" s="137"/>
      <c r="F843" s="138"/>
      <c r="H843" s="50"/>
      <c r="K843" s="50"/>
    </row>
    <row r="844">
      <c r="A844" s="135"/>
      <c r="B844" s="87"/>
      <c r="D844" s="136"/>
      <c r="E844" s="137"/>
      <c r="F844" s="138"/>
      <c r="H844" s="50"/>
      <c r="K844" s="50"/>
    </row>
    <row r="845">
      <c r="A845" s="135"/>
      <c r="B845" s="87"/>
      <c r="D845" s="136"/>
      <c r="E845" s="137"/>
      <c r="F845" s="138"/>
      <c r="H845" s="50"/>
      <c r="K845" s="50"/>
    </row>
    <row r="846">
      <c r="A846" s="135"/>
      <c r="B846" s="87"/>
      <c r="D846" s="136"/>
      <c r="E846" s="137"/>
      <c r="F846" s="138"/>
      <c r="H846" s="50"/>
      <c r="K846" s="50"/>
    </row>
    <row r="847">
      <c r="A847" s="135"/>
      <c r="B847" s="87"/>
      <c r="D847" s="136"/>
      <c r="E847" s="137"/>
      <c r="F847" s="138"/>
      <c r="H847" s="50"/>
      <c r="K847" s="50"/>
    </row>
    <row r="848">
      <c r="A848" s="135"/>
      <c r="B848" s="87"/>
      <c r="D848" s="136"/>
      <c r="E848" s="137"/>
      <c r="F848" s="138"/>
      <c r="H848" s="50"/>
      <c r="K848" s="50"/>
    </row>
    <row r="849">
      <c r="A849" s="135"/>
      <c r="B849" s="87"/>
      <c r="D849" s="136"/>
      <c r="E849" s="137"/>
      <c r="F849" s="138"/>
      <c r="H849" s="50"/>
      <c r="K849" s="50"/>
    </row>
    <row r="850">
      <c r="A850" s="135"/>
      <c r="B850" s="87"/>
      <c r="D850" s="136"/>
      <c r="E850" s="137"/>
      <c r="F850" s="138"/>
      <c r="H850" s="50"/>
      <c r="K850" s="50"/>
    </row>
    <row r="851">
      <c r="A851" s="135"/>
      <c r="B851" s="87"/>
      <c r="D851" s="136"/>
      <c r="E851" s="137"/>
      <c r="F851" s="138"/>
      <c r="H851" s="50"/>
      <c r="K851" s="50"/>
    </row>
    <row r="852">
      <c r="A852" s="135"/>
      <c r="B852" s="87"/>
      <c r="D852" s="136"/>
      <c r="E852" s="137"/>
      <c r="F852" s="138"/>
      <c r="H852" s="50"/>
      <c r="K852" s="50"/>
    </row>
    <row r="853">
      <c r="A853" s="135"/>
      <c r="B853" s="87"/>
      <c r="D853" s="136"/>
      <c r="E853" s="137"/>
      <c r="F853" s="138"/>
      <c r="H853" s="50"/>
      <c r="K853" s="50"/>
    </row>
    <row r="854">
      <c r="A854" s="135"/>
      <c r="B854" s="87"/>
      <c r="D854" s="136"/>
      <c r="E854" s="137"/>
      <c r="F854" s="138"/>
      <c r="H854" s="50"/>
      <c r="K854" s="50"/>
    </row>
    <row r="855">
      <c r="A855" s="135"/>
      <c r="B855" s="87"/>
      <c r="D855" s="136"/>
      <c r="E855" s="137"/>
      <c r="F855" s="138"/>
      <c r="H855" s="50"/>
      <c r="K855" s="50"/>
    </row>
    <row r="856">
      <c r="A856" s="135"/>
      <c r="B856" s="87"/>
      <c r="D856" s="136"/>
      <c r="E856" s="137"/>
      <c r="F856" s="138"/>
      <c r="H856" s="50"/>
      <c r="K856" s="50"/>
    </row>
    <row r="857">
      <c r="A857" s="135"/>
      <c r="B857" s="87"/>
      <c r="D857" s="136"/>
      <c r="E857" s="137"/>
      <c r="F857" s="138"/>
      <c r="H857" s="50"/>
      <c r="K857" s="50"/>
    </row>
    <row r="858">
      <c r="A858" s="135"/>
      <c r="B858" s="87"/>
      <c r="D858" s="136"/>
      <c r="E858" s="137"/>
      <c r="F858" s="138"/>
      <c r="H858" s="50"/>
      <c r="K858" s="50"/>
    </row>
    <row r="859">
      <c r="A859" s="135"/>
      <c r="B859" s="87"/>
      <c r="D859" s="136"/>
      <c r="E859" s="137"/>
      <c r="F859" s="138"/>
      <c r="H859" s="50"/>
      <c r="K859" s="50"/>
    </row>
    <row r="860">
      <c r="A860" s="135"/>
      <c r="B860" s="87"/>
      <c r="D860" s="136"/>
      <c r="E860" s="137"/>
      <c r="F860" s="138"/>
      <c r="H860" s="50"/>
      <c r="K860" s="50"/>
    </row>
    <row r="861">
      <c r="A861" s="135"/>
      <c r="B861" s="87"/>
      <c r="D861" s="136"/>
      <c r="E861" s="137"/>
      <c r="F861" s="138"/>
      <c r="H861" s="50"/>
      <c r="K861" s="50"/>
    </row>
    <row r="862">
      <c r="A862" s="135"/>
      <c r="B862" s="87"/>
      <c r="D862" s="136"/>
      <c r="E862" s="137"/>
      <c r="F862" s="138"/>
      <c r="H862" s="50"/>
      <c r="K862" s="50"/>
    </row>
    <row r="863">
      <c r="A863" s="135"/>
      <c r="B863" s="87"/>
      <c r="D863" s="136"/>
      <c r="E863" s="137"/>
      <c r="F863" s="138"/>
      <c r="H863" s="50"/>
      <c r="K863" s="50"/>
    </row>
    <row r="864">
      <c r="A864" s="135"/>
      <c r="B864" s="87"/>
      <c r="D864" s="136"/>
      <c r="E864" s="137"/>
      <c r="F864" s="138"/>
      <c r="H864" s="50"/>
      <c r="K864" s="50"/>
    </row>
    <row r="865">
      <c r="A865" s="135"/>
      <c r="B865" s="87"/>
      <c r="D865" s="136"/>
      <c r="E865" s="137"/>
      <c r="F865" s="138"/>
      <c r="H865" s="50"/>
      <c r="K865" s="50"/>
    </row>
    <row r="866">
      <c r="A866" s="135"/>
      <c r="B866" s="87"/>
      <c r="D866" s="136"/>
      <c r="E866" s="137"/>
      <c r="F866" s="138"/>
      <c r="H866" s="50"/>
      <c r="K866" s="50"/>
    </row>
    <row r="867">
      <c r="A867" s="135"/>
      <c r="B867" s="87"/>
      <c r="D867" s="136"/>
      <c r="E867" s="137"/>
      <c r="F867" s="138"/>
      <c r="H867" s="50"/>
      <c r="K867" s="50"/>
    </row>
    <row r="868">
      <c r="A868" s="135"/>
      <c r="B868" s="87"/>
      <c r="D868" s="136"/>
      <c r="E868" s="137"/>
      <c r="F868" s="138"/>
      <c r="H868" s="50"/>
      <c r="K868" s="50"/>
    </row>
    <row r="869">
      <c r="A869" s="135"/>
      <c r="B869" s="87"/>
      <c r="D869" s="136"/>
      <c r="E869" s="137"/>
      <c r="F869" s="138"/>
      <c r="H869" s="50"/>
      <c r="K869" s="50"/>
    </row>
    <row r="870">
      <c r="A870" s="135"/>
      <c r="B870" s="87"/>
      <c r="D870" s="136"/>
      <c r="E870" s="137"/>
      <c r="F870" s="138"/>
      <c r="H870" s="50"/>
      <c r="K870" s="50"/>
    </row>
    <row r="871">
      <c r="A871" s="135"/>
      <c r="B871" s="87"/>
      <c r="D871" s="136"/>
      <c r="E871" s="137"/>
      <c r="F871" s="138"/>
      <c r="H871" s="50"/>
      <c r="K871" s="50"/>
    </row>
    <row r="872">
      <c r="A872" s="135"/>
      <c r="B872" s="87"/>
      <c r="D872" s="136"/>
      <c r="E872" s="137"/>
      <c r="F872" s="138"/>
      <c r="H872" s="50"/>
      <c r="K872" s="50"/>
    </row>
    <row r="873">
      <c r="A873" s="135"/>
      <c r="B873" s="87"/>
      <c r="D873" s="136"/>
      <c r="E873" s="137"/>
      <c r="F873" s="138"/>
      <c r="H873" s="50"/>
      <c r="K873" s="50"/>
    </row>
    <row r="874">
      <c r="A874" s="135"/>
      <c r="B874" s="87"/>
      <c r="D874" s="136"/>
      <c r="E874" s="137"/>
      <c r="F874" s="138"/>
      <c r="H874" s="50"/>
      <c r="K874" s="50"/>
    </row>
    <row r="875">
      <c r="A875" s="135"/>
      <c r="B875" s="87"/>
      <c r="D875" s="136"/>
      <c r="E875" s="137"/>
      <c r="F875" s="138"/>
      <c r="H875" s="50"/>
      <c r="K875" s="50"/>
    </row>
    <row r="876">
      <c r="A876" s="135"/>
      <c r="B876" s="87"/>
      <c r="D876" s="136"/>
      <c r="E876" s="137"/>
      <c r="F876" s="138"/>
      <c r="H876" s="50"/>
      <c r="K876" s="50"/>
    </row>
    <row r="877">
      <c r="A877" s="135"/>
      <c r="B877" s="87"/>
      <c r="D877" s="136"/>
      <c r="E877" s="137"/>
      <c r="F877" s="138"/>
      <c r="H877" s="50"/>
      <c r="K877" s="50"/>
    </row>
    <row r="878">
      <c r="A878" s="135"/>
      <c r="B878" s="87"/>
      <c r="D878" s="136"/>
      <c r="E878" s="137"/>
      <c r="F878" s="138"/>
      <c r="H878" s="50"/>
      <c r="K878" s="50"/>
    </row>
    <row r="879">
      <c r="A879" s="135"/>
      <c r="B879" s="87"/>
      <c r="D879" s="136"/>
      <c r="E879" s="137"/>
      <c r="F879" s="138"/>
      <c r="H879" s="50"/>
      <c r="K879" s="50"/>
    </row>
    <row r="880">
      <c r="A880" s="135"/>
      <c r="B880" s="87"/>
      <c r="D880" s="136"/>
      <c r="E880" s="137"/>
      <c r="F880" s="138"/>
      <c r="H880" s="50"/>
      <c r="K880" s="50"/>
    </row>
    <row r="881">
      <c r="A881" s="135"/>
      <c r="B881" s="87"/>
      <c r="D881" s="136"/>
      <c r="E881" s="137"/>
      <c r="F881" s="138"/>
      <c r="H881" s="50"/>
      <c r="K881" s="50"/>
    </row>
    <row r="882">
      <c r="A882" s="135"/>
      <c r="B882" s="87"/>
      <c r="D882" s="136"/>
      <c r="E882" s="137"/>
      <c r="F882" s="138"/>
      <c r="H882" s="50"/>
      <c r="K882" s="50"/>
    </row>
    <row r="883">
      <c r="A883" s="135"/>
      <c r="B883" s="87"/>
      <c r="D883" s="136"/>
      <c r="E883" s="137"/>
      <c r="F883" s="138"/>
      <c r="H883" s="50"/>
      <c r="K883" s="50"/>
    </row>
    <row r="884">
      <c r="A884" s="135"/>
      <c r="B884" s="87"/>
      <c r="D884" s="136"/>
      <c r="E884" s="137"/>
      <c r="F884" s="138"/>
      <c r="H884" s="50"/>
      <c r="K884" s="50"/>
    </row>
    <row r="885">
      <c r="A885" s="135"/>
      <c r="B885" s="87"/>
      <c r="D885" s="136"/>
      <c r="E885" s="137"/>
      <c r="F885" s="138"/>
      <c r="H885" s="50"/>
      <c r="K885" s="50"/>
    </row>
    <row r="886">
      <c r="A886" s="135"/>
      <c r="B886" s="87"/>
      <c r="D886" s="136"/>
      <c r="E886" s="137"/>
      <c r="F886" s="138"/>
      <c r="H886" s="50"/>
      <c r="K886" s="50"/>
    </row>
    <row r="887">
      <c r="A887" s="135"/>
      <c r="B887" s="87"/>
      <c r="D887" s="136"/>
      <c r="E887" s="137"/>
      <c r="F887" s="138"/>
      <c r="H887" s="50"/>
      <c r="K887" s="50"/>
    </row>
    <row r="888">
      <c r="A888" s="135"/>
      <c r="B888" s="87"/>
      <c r="D888" s="136"/>
      <c r="E888" s="137"/>
      <c r="F888" s="138"/>
      <c r="H888" s="50"/>
      <c r="K888" s="50"/>
    </row>
    <row r="889">
      <c r="A889" s="135"/>
      <c r="B889" s="87"/>
      <c r="D889" s="136"/>
      <c r="E889" s="137"/>
      <c r="F889" s="138"/>
      <c r="H889" s="50"/>
      <c r="K889" s="50"/>
    </row>
    <row r="890">
      <c r="A890" s="135"/>
      <c r="B890" s="87"/>
      <c r="D890" s="136"/>
      <c r="E890" s="137"/>
      <c r="F890" s="138"/>
      <c r="H890" s="50"/>
      <c r="K890" s="50"/>
    </row>
    <row r="891">
      <c r="A891" s="135"/>
      <c r="B891" s="87"/>
      <c r="D891" s="136"/>
      <c r="E891" s="137"/>
      <c r="F891" s="138"/>
      <c r="H891" s="50"/>
      <c r="K891" s="50"/>
    </row>
    <row r="892">
      <c r="A892" s="135"/>
      <c r="B892" s="87"/>
      <c r="D892" s="136"/>
      <c r="E892" s="137"/>
      <c r="F892" s="138"/>
      <c r="H892" s="50"/>
      <c r="K892" s="50"/>
    </row>
    <row r="893">
      <c r="A893" s="135"/>
      <c r="B893" s="87"/>
      <c r="D893" s="136"/>
      <c r="E893" s="137"/>
      <c r="F893" s="138"/>
      <c r="H893" s="50"/>
      <c r="K893" s="50"/>
    </row>
    <row r="894">
      <c r="A894" s="135"/>
      <c r="B894" s="87"/>
      <c r="D894" s="136"/>
      <c r="E894" s="137"/>
      <c r="F894" s="138"/>
      <c r="H894" s="50"/>
      <c r="K894" s="50"/>
    </row>
    <row r="895">
      <c r="A895" s="135"/>
      <c r="B895" s="87"/>
      <c r="D895" s="136"/>
      <c r="E895" s="137"/>
      <c r="F895" s="138"/>
      <c r="H895" s="50"/>
      <c r="K895" s="50"/>
    </row>
    <row r="896">
      <c r="A896" s="135"/>
      <c r="B896" s="87"/>
      <c r="D896" s="136"/>
      <c r="E896" s="137"/>
      <c r="F896" s="138"/>
      <c r="H896" s="50"/>
      <c r="K896" s="50"/>
    </row>
    <row r="897">
      <c r="A897" s="135"/>
      <c r="B897" s="87"/>
      <c r="D897" s="136"/>
      <c r="E897" s="137"/>
      <c r="F897" s="138"/>
      <c r="H897" s="50"/>
      <c r="K897" s="50"/>
    </row>
    <row r="898">
      <c r="A898" s="135"/>
      <c r="B898" s="87"/>
      <c r="D898" s="136"/>
      <c r="E898" s="137"/>
      <c r="F898" s="138"/>
      <c r="H898" s="50"/>
      <c r="K898" s="50"/>
    </row>
    <row r="899">
      <c r="A899" s="135"/>
      <c r="B899" s="87"/>
      <c r="D899" s="136"/>
      <c r="E899" s="137"/>
      <c r="F899" s="138"/>
      <c r="H899" s="50"/>
      <c r="K899" s="50"/>
    </row>
    <row r="900">
      <c r="A900" s="135"/>
      <c r="B900" s="87"/>
      <c r="D900" s="136"/>
      <c r="E900" s="137"/>
      <c r="F900" s="138"/>
      <c r="H900" s="50"/>
      <c r="K900" s="50"/>
    </row>
    <row r="901">
      <c r="A901" s="135"/>
      <c r="B901" s="87"/>
      <c r="D901" s="136"/>
      <c r="E901" s="137"/>
      <c r="F901" s="138"/>
      <c r="H901" s="50"/>
      <c r="K901" s="50"/>
    </row>
    <row r="902">
      <c r="A902" s="135"/>
      <c r="B902" s="87"/>
      <c r="D902" s="136"/>
      <c r="E902" s="137"/>
      <c r="F902" s="138"/>
      <c r="H902" s="50"/>
      <c r="K902" s="50"/>
    </row>
    <row r="903">
      <c r="A903" s="135"/>
      <c r="B903" s="87"/>
      <c r="D903" s="136"/>
      <c r="E903" s="137"/>
      <c r="F903" s="138"/>
      <c r="H903" s="50"/>
      <c r="K903" s="50"/>
    </row>
    <row r="904">
      <c r="A904" s="135"/>
      <c r="B904" s="87"/>
      <c r="D904" s="136"/>
      <c r="E904" s="137"/>
      <c r="F904" s="138"/>
      <c r="H904" s="50"/>
      <c r="K904" s="50"/>
    </row>
    <row r="905">
      <c r="A905" s="135"/>
      <c r="B905" s="87"/>
      <c r="D905" s="136"/>
      <c r="E905" s="137"/>
      <c r="F905" s="138"/>
      <c r="H905" s="50"/>
      <c r="K905" s="50"/>
    </row>
    <row r="906">
      <c r="A906" s="135"/>
      <c r="B906" s="87"/>
      <c r="D906" s="136"/>
      <c r="E906" s="137"/>
      <c r="F906" s="138"/>
      <c r="H906" s="50"/>
      <c r="K906" s="50"/>
    </row>
    <row r="907">
      <c r="A907" s="135"/>
      <c r="B907" s="87"/>
      <c r="D907" s="136"/>
      <c r="E907" s="137"/>
      <c r="F907" s="138"/>
      <c r="H907" s="50"/>
      <c r="K907" s="50"/>
    </row>
    <row r="908">
      <c r="A908" s="135"/>
      <c r="B908" s="87"/>
      <c r="D908" s="136"/>
      <c r="E908" s="137"/>
      <c r="F908" s="138"/>
      <c r="H908" s="50"/>
      <c r="K908" s="50"/>
    </row>
    <row r="909">
      <c r="A909" s="135"/>
      <c r="B909" s="87"/>
      <c r="D909" s="136"/>
      <c r="E909" s="137"/>
      <c r="F909" s="138"/>
      <c r="H909" s="50"/>
      <c r="K909" s="50"/>
    </row>
    <row r="910">
      <c r="A910" s="135"/>
      <c r="B910" s="87"/>
      <c r="D910" s="136"/>
      <c r="E910" s="137"/>
      <c r="F910" s="138"/>
      <c r="H910" s="50"/>
      <c r="K910" s="50"/>
    </row>
    <row r="911">
      <c r="A911" s="135"/>
      <c r="B911" s="87"/>
      <c r="D911" s="136"/>
      <c r="E911" s="137"/>
      <c r="F911" s="138"/>
      <c r="H911" s="50"/>
      <c r="K911" s="50"/>
    </row>
    <row r="912">
      <c r="A912" s="135"/>
      <c r="B912" s="87"/>
      <c r="D912" s="136"/>
      <c r="E912" s="137"/>
      <c r="F912" s="138"/>
      <c r="H912" s="50"/>
      <c r="K912" s="50"/>
    </row>
    <row r="913">
      <c r="A913" s="135"/>
      <c r="B913" s="87"/>
      <c r="D913" s="136"/>
      <c r="E913" s="137"/>
      <c r="F913" s="138"/>
      <c r="H913" s="50"/>
      <c r="K913" s="50"/>
    </row>
    <row r="914">
      <c r="A914" s="135"/>
      <c r="B914" s="87"/>
      <c r="D914" s="136"/>
      <c r="E914" s="137"/>
      <c r="F914" s="138"/>
      <c r="H914" s="50"/>
      <c r="K914" s="50"/>
    </row>
    <row r="915">
      <c r="A915" s="135"/>
      <c r="B915" s="87"/>
      <c r="D915" s="136"/>
      <c r="E915" s="137"/>
      <c r="F915" s="138"/>
      <c r="H915" s="50"/>
      <c r="K915" s="50"/>
    </row>
    <row r="916">
      <c r="A916" s="135"/>
      <c r="B916" s="87"/>
      <c r="D916" s="136"/>
      <c r="E916" s="137"/>
      <c r="F916" s="138"/>
      <c r="H916" s="50"/>
      <c r="K916" s="50"/>
    </row>
    <row r="917">
      <c r="A917" s="135"/>
      <c r="B917" s="87"/>
      <c r="D917" s="136"/>
      <c r="E917" s="137"/>
      <c r="F917" s="138"/>
      <c r="H917" s="50"/>
      <c r="K917" s="50"/>
    </row>
    <row r="918">
      <c r="A918" s="135"/>
      <c r="B918" s="87"/>
      <c r="D918" s="136"/>
      <c r="E918" s="137"/>
      <c r="F918" s="138"/>
      <c r="H918" s="50"/>
      <c r="K918" s="50"/>
    </row>
    <row r="919">
      <c r="A919" s="135"/>
      <c r="B919" s="87"/>
      <c r="D919" s="136"/>
      <c r="E919" s="137"/>
      <c r="F919" s="138"/>
      <c r="H919" s="50"/>
      <c r="K919" s="50"/>
    </row>
    <row r="920">
      <c r="A920" s="135"/>
      <c r="B920" s="87"/>
      <c r="D920" s="136"/>
      <c r="E920" s="137"/>
      <c r="F920" s="138"/>
      <c r="H920" s="50"/>
      <c r="K920" s="50"/>
    </row>
    <row r="921">
      <c r="A921" s="135"/>
      <c r="B921" s="87"/>
      <c r="D921" s="136"/>
      <c r="E921" s="137"/>
      <c r="F921" s="138"/>
      <c r="H921" s="50"/>
      <c r="K921" s="50"/>
    </row>
    <row r="922">
      <c r="A922" s="135"/>
      <c r="B922" s="87"/>
      <c r="D922" s="136"/>
      <c r="E922" s="137"/>
      <c r="F922" s="138"/>
      <c r="H922" s="50"/>
      <c r="K922" s="50"/>
    </row>
    <row r="923">
      <c r="A923" s="135"/>
      <c r="B923" s="87"/>
      <c r="D923" s="136"/>
      <c r="E923" s="137"/>
      <c r="F923" s="138"/>
      <c r="H923" s="50"/>
      <c r="K923" s="50"/>
    </row>
    <row r="924">
      <c r="A924" s="135"/>
      <c r="B924" s="87"/>
      <c r="D924" s="136"/>
      <c r="E924" s="137"/>
      <c r="F924" s="138"/>
      <c r="H924" s="50"/>
      <c r="K924" s="50"/>
    </row>
    <row r="925">
      <c r="A925" s="135"/>
      <c r="B925" s="87"/>
      <c r="D925" s="136"/>
      <c r="E925" s="137"/>
      <c r="F925" s="138"/>
      <c r="H925" s="50"/>
      <c r="K925" s="50"/>
    </row>
    <row r="926">
      <c r="A926" s="135"/>
      <c r="B926" s="87"/>
      <c r="D926" s="136"/>
      <c r="E926" s="137"/>
      <c r="F926" s="138"/>
      <c r="H926" s="50"/>
      <c r="K926" s="50"/>
    </row>
    <row r="927">
      <c r="A927" s="135"/>
      <c r="B927" s="87"/>
      <c r="D927" s="136"/>
      <c r="E927" s="137"/>
      <c r="F927" s="138"/>
      <c r="H927" s="50"/>
      <c r="K927" s="50"/>
    </row>
    <row r="928">
      <c r="A928" s="135"/>
      <c r="B928" s="87"/>
      <c r="D928" s="136"/>
      <c r="E928" s="137"/>
      <c r="F928" s="138"/>
      <c r="H928" s="50"/>
      <c r="K928" s="50"/>
    </row>
    <row r="929">
      <c r="A929" s="135"/>
      <c r="B929" s="87"/>
      <c r="D929" s="136"/>
      <c r="E929" s="137"/>
      <c r="F929" s="138"/>
      <c r="H929" s="50"/>
      <c r="K929" s="50"/>
    </row>
    <row r="930">
      <c r="A930" s="135"/>
      <c r="B930" s="87"/>
      <c r="D930" s="136"/>
      <c r="E930" s="137"/>
      <c r="F930" s="138"/>
      <c r="H930" s="50"/>
      <c r="K930" s="50"/>
    </row>
    <row r="931">
      <c r="A931" s="135"/>
      <c r="B931" s="87"/>
      <c r="D931" s="136"/>
      <c r="E931" s="137"/>
      <c r="F931" s="138"/>
      <c r="H931" s="50"/>
      <c r="K931" s="50"/>
    </row>
    <row r="932">
      <c r="A932" s="135"/>
      <c r="B932" s="87"/>
      <c r="D932" s="136"/>
      <c r="E932" s="137"/>
      <c r="F932" s="138"/>
      <c r="H932" s="50"/>
      <c r="K932" s="50"/>
    </row>
    <row r="933">
      <c r="A933" s="135"/>
      <c r="B933" s="87"/>
      <c r="D933" s="136"/>
      <c r="E933" s="137"/>
      <c r="F933" s="138"/>
      <c r="H933" s="50"/>
      <c r="K933" s="50"/>
    </row>
    <row r="934">
      <c r="A934" s="135"/>
      <c r="B934" s="87"/>
      <c r="D934" s="136"/>
      <c r="E934" s="137"/>
      <c r="F934" s="138"/>
      <c r="H934" s="50"/>
      <c r="K934" s="50"/>
    </row>
    <row r="935">
      <c r="A935" s="135"/>
      <c r="B935" s="87"/>
      <c r="D935" s="136"/>
      <c r="E935" s="137"/>
      <c r="F935" s="138"/>
      <c r="H935" s="50"/>
      <c r="K935" s="50"/>
    </row>
    <row r="936">
      <c r="A936" s="135"/>
      <c r="B936" s="87"/>
      <c r="D936" s="136"/>
      <c r="E936" s="137"/>
      <c r="F936" s="138"/>
      <c r="H936" s="50"/>
      <c r="K936" s="50"/>
    </row>
    <row r="937">
      <c r="A937" s="135"/>
      <c r="B937" s="87"/>
      <c r="D937" s="136"/>
      <c r="E937" s="137"/>
      <c r="F937" s="138"/>
      <c r="H937" s="50"/>
      <c r="K937" s="50"/>
    </row>
    <row r="938">
      <c r="A938" s="135"/>
      <c r="B938" s="87"/>
      <c r="D938" s="136"/>
      <c r="E938" s="137"/>
      <c r="F938" s="138"/>
      <c r="H938" s="50"/>
      <c r="K938" s="50"/>
    </row>
    <row r="939">
      <c r="A939" s="135"/>
      <c r="B939" s="87"/>
      <c r="D939" s="136"/>
      <c r="E939" s="137"/>
      <c r="F939" s="138"/>
      <c r="H939" s="50"/>
      <c r="K939" s="50"/>
    </row>
    <row r="940">
      <c r="A940" s="135"/>
      <c r="B940" s="87"/>
      <c r="D940" s="136"/>
      <c r="E940" s="137"/>
      <c r="F940" s="138"/>
      <c r="H940" s="50"/>
      <c r="K940" s="50"/>
    </row>
    <row r="941">
      <c r="A941" s="135"/>
      <c r="B941" s="87"/>
      <c r="D941" s="136"/>
      <c r="E941" s="137"/>
      <c r="F941" s="138"/>
      <c r="H941" s="50"/>
      <c r="K941" s="50"/>
    </row>
    <row r="942">
      <c r="A942" s="135"/>
      <c r="B942" s="87"/>
      <c r="D942" s="136"/>
      <c r="E942" s="137"/>
      <c r="F942" s="138"/>
      <c r="H942" s="50"/>
      <c r="K942" s="50"/>
    </row>
    <row r="943">
      <c r="A943" s="135"/>
      <c r="B943" s="87"/>
      <c r="D943" s="136"/>
      <c r="E943" s="137"/>
      <c r="F943" s="138"/>
      <c r="H943" s="50"/>
      <c r="K943" s="50"/>
    </row>
    <row r="944">
      <c r="A944" s="135"/>
      <c r="B944" s="87"/>
      <c r="D944" s="136"/>
      <c r="E944" s="137"/>
      <c r="F944" s="138"/>
      <c r="H944" s="50"/>
      <c r="K944" s="50"/>
    </row>
    <row r="945">
      <c r="A945" s="135"/>
      <c r="B945" s="87"/>
      <c r="D945" s="136"/>
      <c r="E945" s="137"/>
      <c r="F945" s="138"/>
      <c r="H945" s="50"/>
      <c r="K945" s="50"/>
    </row>
    <row r="946">
      <c r="A946" s="135"/>
      <c r="B946" s="87"/>
      <c r="D946" s="136"/>
      <c r="E946" s="137"/>
      <c r="F946" s="138"/>
      <c r="H946" s="50"/>
      <c r="K946" s="50"/>
    </row>
    <row r="947">
      <c r="A947" s="135"/>
      <c r="B947" s="87"/>
      <c r="D947" s="136"/>
      <c r="E947" s="137"/>
      <c r="F947" s="138"/>
      <c r="H947" s="50"/>
      <c r="K947" s="50"/>
    </row>
    <row r="948">
      <c r="A948" s="135"/>
      <c r="B948" s="87"/>
      <c r="D948" s="136"/>
      <c r="E948" s="137"/>
      <c r="F948" s="138"/>
      <c r="H948" s="50"/>
      <c r="K948" s="50"/>
    </row>
    <row r="949">
      <c r="A949" s="135"/>
      <c r="B949" s="87"/>
      <c r="D949" s="136"/>
      <c r="E949" s="137"/>
      <c r="F949" s="138"/>
      <c r="H949" s="50"/>
      <c r="K949" s="50"/>
    </row>
    <row r="950">
      <c r="A950" s="135"/>
      <c r="B950" s="87"/>
      <c r="D950" s="136"/>
      <c r="E950" s="137"/>
      <c r="F950" s="138"/>
      <c r="H950" s="50"/>
      <c r="K950" s="50"/>
    </row>
    <row r="951">
      <c r="A951" s="135"/>
      <c r="B951" s="87"/>
      <c r="D951" s="136"/>
      <c r="E951" s="137"/>
      <c r="F951" s="138"/>
      <c r="H951" s="50"/>
      <c r="K951" s="50"/>
    </row>
    <row r="952">
      <c r="A952" s="135"/>
      <c r="B952" s="87"/>
      <c r="D952" s="136"/>
      <c r="E952" s="137"/>
      <c r="F952" s="138"/>
      <c r="H952" s="50"/>
      <c r="K952" s="50"/>
    </row>
    <row r="953">
      <c r="A953" s="135"/>
      <c r="B953" s="87"/>
      <c r="D953" s="136"/>
      <c r="E953" s="137"/>
      <c r="F953" s="138"/>
      <c r="H953" s="50"/>
      <c r="K953" s="50"/>
    </row>
    <row r="954">
      <c r="A954" s="135"/>
      <c r="B954" s="87"/>
      <c r="D954" s="136"/>
      <c r="E954" s="137"/>
      <c r="F954" s="138"/>
      <c r="H954" s="50"/>
      <c r="K954" s="50"/>
    </row>
    <row r="955">
      <c r="A955" s="135"/>
      <c r="B955" s="87"/>
      <c r="D955" s="136"/>
      <c r="E955" s="137"/>
      <c r="F955" s="138"/>
      <c r="H955" s="50"/>
      <c r="K955" s="50"/>
    </row>
    <row r="956">
      <c r="A956" s="135"/>
      <c r="B956" s="87"/>
      <c r="D956" s="136"/>
      <c r="E956" s="137"/>
      <c r="F956" s="138"/>
      <c r="H956" s="50"/>
      <c r="K956" s="50"/>
    </row>
    <row r="957">
      <c r="A957" s="135"/>
      <c r="B957" s="87"/>
      <c r="D957" s="136"/>
      <c r="E957" s="137"/>
      <c r="F957" s="138"/>
      <c r="H957" s="50"/>
      <c r="K957" s="50"/>
    </row>
    <row r="958">
      <c r="A958" s="135"/>
      <c r="B958" s="87"/>
      <c r="D958" s="136"/>
      <c r="E958" s="137"/>
      <c r="F958" s="138"/>
      <c r="H958" s="50"/>
      <c r="K958" s="50"/>
    </row>
    <row r="959">
      <c r="A959" s="135"/>
      <c r="B959" s="87"/>
      <c r="D959" s="136"/>
      <c r="E959" s="137"/>
      <c r="F959" s="138"/>
      <c r="H959" s="50"/>
      <c r="K959" s="50"/>
    </row>
    <row r="960">
      <c r="A960" s="135"/>
      <c r="B960" s="87"/>
      <c r="D960" s="136"/>
      <c r="E960" s="137"/>
      <c r="F960" s="138"/>
      <c r="H960" s="50"/>
      <c r="K960" s="50"/>
    </row>
    <row r="961">
      <c r="A961" s="135"/>
      <c r="B961" s="87"/>
      <c r="D961" s="136"/>
      <c r="E961" s="137"/>
      <c r="F961" s="138"/>
      <c r="H961" s="50"/>
      <c r="K961" s="50"/>
    </row>
    <row r="962">
      <c r="A962" s="135"/>
      <c r="B962" s="87"/>
      <c r="D962" s="136"/>
      <c r="E962" s="137"/>
      <c r="F962" s="138"/>
      <c r="H962" s="50"/>
      <c r="K962" s="50"/>
    </row>
    <row r="963">
      <c r="A963" s="135"/>
      <c r="B963" s="87"/>
      <c r="D963" s="136"/>
      <c r="E963" s="137"/>
      <c r="F963" s="138"/>
      <c r="H963" s="50"/>
      <c r="K963" s="50"/>
    </row>
    <row r="964">
      <c r="A964" s="135"/>
      <c r="B964" s="87"/>
      <c r="D964" s="136"/>
      <c r="E964" s="137"/>
      <c r="F964" s="138"/>
      <c r="H964" s="50"/>
      <c r="K964" s="50"/>
    </row>
    <row r="965">
      <c r="A965" s="135"/>
      <c r="B965" s="87"/>
      <c r="D965" s="136"/>
      <c r="E965" s="137"/>
      <c r="F965" s="138"/>
      <c r="H965" s="50"/>
      <c r="K965" s="50"/>
    </row>
    <row r="966">
      <c r="A966" s="135"/>
      <c r="B966" s="87"/>
      <c r="D966" s="136"/>
      <c r="E966" s="137"/>
      <c r="F966" s="138"/>
      <c r="H966" s="50"/>
      <c r="K966" s="50"/>
    </row>
    <row r="967">
      <c r="A967" s="135"/>
      <c r="B967" s="87"/>
      <c r="D967" s="136"/>
      <c r="E967" s="137"/>
      <c r="F967" s="138"/>
      <c r="H967" s="50"/>
      <c r="K967" s="50"/>
    </row>
    <row r="968">
      <c r="A968" s="135"/>
      <c r="B968" s="87"/>
      <c r="D968" s="136"/>
      <c r="E968" s="137"/>
      <c r="F968" s="138"/>
      <c r="H968" s="50"/>
      <c r="K968" s="50"/>
    </row>
    <row r="969">
      <c r="A969" s="135"/>
      <c r="B969" s="87"/>
      <c r="D969" s="136"/>
      <c r="E969" s="137"/>
      <c r="F969" s="138"/>
      <c r="H969" s="50"/>
      <c r="K969" s="50"/>
    </row>
    <row r="970">
      <c r="A970" s="135"/>
      <c r="B970" s="87"/>
      <c r="D970" s="136"/>
      <c r="E970" s="137"/>
      <c r="F970" s="138"/>
      <c r="H970" s="50"/>
      <c r="K970" s="50"/>
    </row>
    <row r="971">
      <c r="A971" s="135"/>
      <c r="B971" s="87"/>
      <c r="D971" s="136"/>
      <c r="E971" s="137"/>
      <c r="F971" s="138"/>
      <c r="H971" s="50"/>
      <c r="K971" s="50"/>
    </row>
    <row r="972">
      <c r="A972" s="135"/>
      <c r="B972" s="87"/>
      <c r="D972" s="136"/>
      <c r="E972" s="137"/>
      <c r="F972" s="138"/>
      <c r="H972" s="50"/>
      <c r="K972" s="50"/>
    </row>
    <row r="973">
      <c r="A973" s="135"/>
      <c r="B973" s="87"/>
      <c r="D973" s="136"/>
      <c r="E973" s="137"/>
      <c r="F973" s="138"/>
      <c r="H973" s="50"/>
      <c r="K973" s="50"/>
    </row>
    <row r="974">
      <c r="A974" s="135"/>
      <c r="B974" s="87"/>
      <c r="D974" s="136"/>
      <c r="E974" s="137"/>
      <c r="F974" s="138"/>
      <c r="H974" s="50"/>
      <c r="K974" s="50"/>
    </row>
    <row r="975">
      <c r="A975" s="135"/>
      <c r="B975" s="87"/>
      <c r="D975" s="136"/>
      <c r="E975" s="137"/>
      <c r="F975" s="138"/>
      <c r="H975" s="50"/>
      <c r="K975" s="50"/>
    </row>
    <row r="976">
      <c r="A976" s="135"/>
      <c r="B976" s="87"/>
      <c r="D976" s="136"/>
      <c r="E976" s="137"/>
      <c r="F976" s="138"/>
      <c r="H976" s="50"/>
      <c r="K976" s="50"/>
    </row>
    <row r="977">
      <c r="A977" s="135"/>
      <c r="B977" s="87"/>
      <c r="D977" s="136"/>
      <c r="E977" s="137"/>
      <c r="F977" s="138"/>
      <c r="H977" s="50"/>
      <c r="K977" s="50"/>
    </row>
    <row r="978">
      <c r="A978" s="135"/>
      <c r="B978" s="87"/>
      <c r="D978" s="136"/>
      <c r="E978" s="137"/>
      <c r="F978" s="138"/>
      <c r="H978" s="50"/>
      <c r="K978" s="50"/>
    </row>
    <row r="979">
      <c r="A979" s="135"/>
      <c r="B979" s="87"/>
      <c r="D979" s="136"/>
      <c r="E979" s="137"/>
      <c r="F979" s="138"/>
      <c r="H979" s="50"/>
      <c r="K979" s="50"/>
    </row>
    <row r="980">
      <c r="A980" s="135"/>
      <c r="B980" s="87"/>
      <c r="D980" s="136"/>
      <c r="E980" s="137"/>
      <c r="F980" s="138"/>
      <c r="H980" s="50"/>
      <c r="K980" s="50"/>
    </row>
    <row r="981">
      <c r="A981" s="135"/>
      <c r="B981" s="87"/>
      <c r="D981" s="136"/>
      <c r="E981" s="137"/>
      <c r="F981" s="138"/>
      <c r="H981" s="50"/>
      <c r="K981" s="50"/>
    </row>
    <row r="982">
      <c r="A982" s="135"/>
      <c r="B982" s="87"/>
      <c r="D982" s="136"/>
      <c r="E982" s="137"/>
      <c r="F982" s="138"/>
      <c r="H982" s="50"/>
      <c r="K982" s="50"/>
    </row>
    <row r="983">
      <c r="A983" s="135"/>
      <c r="B983" s="87"/>
      <c r="D983" s="136"/>
      <c r="E983" s="137"/>
      <c r="F983" s="138"/>
      <c r="H983" s="50"/>
      <c r="K983" s="50"/>
    </row>
    <row r="984">
      <c r="A984" s="135"/>
      <c r="B984" s="87"/>
      <c r="D984" s="136"/>
      <c r="E984" s="137"/>
      <c r="F984" s="138"/>
      <c r="H984" s="50"/>
      <c r="K984" s="50"/>
    </row>
    <row r="985">
      <c r="A985" s="135"/>
      <c r="B985" s="87"/>
      <c r="D985" s="136"/>
      <c r="E985" s="137"/>
      <c r="F985" s="138"/>
      <c r="H985" s="50"/>
      <c r="K985" s="50"/>
    </row>
    <row r="986">
      <c r="A986" s="135"/>
      <c r="B986" s="87"/>
      <c r="D986" s="136"/>
      <c r="E986" s="137"/>
      <c r="F986" s="138"/>
      <c r="H986" s="50"/>
      <c r="K986" s="50"/>
    </row>
    <row r="987">
      <c r="A987" s="135"/>
      <c r="B987" s="87"/>
      <c r="D987" s="136"/>
      <c r="E987" s="137"/>
      <c r="F987" s="138"/>
      <c r="H987" s="50"/>
      <c r="K987" s="50"/>
    </row>
    <row r="988">
      <c r="A988" s="135"/>
      <c r="B988" s="87"/>
      <c r="D988" s="136"/>
      <c r="E988" s="137"/>
      <c r="F988" s="138"/>
      <c r="H988" s="50"/>
      <c r="K988" s="50"/>
    </row>
    <row r="989">
      <c r="A989" s="135"/>
      <c r="B989" s="87"/>
      <c r="D989" s="136"/>
      <c r="E989" s="137"/>
      <c r="F989" s="138"/>
      <c r="H989" s="50"/>
      <c r="K989" s="50"/>
    </row>
    <row r="990">
      <c r="A990" s="135"/>
      <c r="B990" s="87"/>
      <c r="D990" s="136"/>
      <c r="E990" s="137"/>
      <c r="F990" s="138"/>
      <c r="H990" s="50"/>
      <c r="K990" s="50"/>
    </row>
    <row r="991">
      <c r="A991" s="135"/>
      <c r="B991" s="87"/>
      <c r="D991" s="136"/>
      <c r="E991" s="137"/>
      <c r="F991" s="138"/>
      <c r="H991" s="50"/>
      <c r="K991" s="50"/>
    </row>
    <row r="992">
      <c r="A992" s="135"/>
      <c r="B992" s="87"/>
      <c r="D992" s="136"/>
      <c r="E992" s="137"/>
      <c r="F992" s="138"/>
      <c r="H992" s="50"/>
      <c r="K992" s="5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0"/>
    <col customWidth="1" min="3" max="3" width="7.25"/>
    <col customWidth="1" min="4" max="7" width="18.88"/>
    <col customWidth="1" min="8" max="8" width="5.63"/>
    <col customWidth="1" min="9" max="9" width="36.63"/>
    <col customWidth="1" min="10" max="10" width="5.0"/>
  </cols>
  <sheetData>
    <row r="1" ht="27.0" customHeight="1">
      <c r="A1" s="161"/>
      <c r="B1" s="161"/>
      <c r="C1" s="162"/>
      <c r="D1" s="161"/>
      <c r="E1" s="161"/>
      <c r="F1" s="161"/>
      <c r="G1" s="161"/>
      <c r="H1" s="161"/>
      <c r="I1" s="161"/>
      <c r="J1" s="161"/>
    </row>
    <row r="2" ht="36.75" customHeight="1">
      <c r="A2" s="161"/>
      <c r="B2" s="163" t="s">
        <v>153</v>
      </c>
      <c r="C2" s="4"/>
      <c r="D2" s="4"/>
      <c r="E2" s="4"/>
      <c r="F2" s="4"/>
      <c r="G2" s="4"/>
      <c r="H2" s="4"/>
      <c r="I2" s="5"/>
      <c r="J2" s="161"/>
    </row>
    <row r="3" ht="44.25" customHeight="1">
      <c r="A3" s="161"/>
      <c r="B3" s="6"/>
      <c r="C3" s="7"/>
      <c r="D3" s="7"/>
      <c r="E3" s="7"/>
      <c r="F3" s="7"/>
      <c r="G3" s="7"/>
      <c r="H3" s="7"/>
      <c r="I3" s="8"/>
      <c r="J3" s="161"/>
    </row>
    <row r="4" ht="24.75" customHeight="1">
      <c r="A4" s="161"/>
      <c r="B4" s="161"/>
      <c r="C4" s="161"/>
      <c r="D4" s="161"/>
      <c r="E4" s="161"/>
      <c r="F4" s="161"/>
      <c r="G4" s="161"/>
      <c r="H4" s="161"/>
      <c r="I4" s="161"/>
      <c r="J4" s="161"/>
    </row>
    <row r="5" ht="22.5" customHeight="1">
      <c r="A5" s="161"/>
      <c r="B5" s="164"/>
      <c r="C5" s="165"/>
      <c r="D5" s="165"/>
      <c r="E5" s="165"/>
      <c r="F5" s="165"/>
      <c r="G5" s="165"/>
      <c r="H5" s="165"/>
      <c r="I5" s="166"/>
      <c r="J5" s="161"/>
    </row>
    <row r="6" ht="37.5" customHeight="1">
      <c r="A6" s="161"/>
      <c r="B6" s="167"/>
      <c r="C6" s="161"/>
      <c r="D6" s="168" t="s">
        <v>154</v>
      </c>
      <c r="F6" s="169">
        <v>44468.0</v>
      </c>
      <c r="G6" s="15"/>
      <c r="H6" s="161"/>
      <c r="I6" s="170"/>
      <c r="J6" s="161"/>
    </row>
    <row r="7" ht="11.25" customHeight="1">
      <c r="A7" s="161"/>
      <c r="B7" s="167"/>
      <c r="C7" s="161"/>
      <c r="D7" s="171"/>
      <c r="E7" s="171"/>
      <c r="F7" s="171"/>
      <c r="G7" s="171"/>
      <c r="H7" s="161"/>
      <c r="I7" s="170"/>
      <c r="J7" s="161"/>
    </row>
    <row r="8" ht="37.5" customHeight="1">
      <c r="A8" s="161"/>
      <c r="B8" s="167"/>
      <c r="C8" s="161"/>
      <c r="D8" s="168" t="s">
        <v>155</v>
      </c>
      <c r="F8" s="172" t="s">
        <v>156</v>
      </c>
      <c r="G8" s="15"/>
      <c r="H8" s="161"/>
      <c r="I8" s="170"/>
      <c r="J8" s="161"/>
    </row>
    <row r="9" ht="11.25" customHeight="1">
      <c r="A9" s="161"/>
      <c r="B9" s="167"/>
      <c r="C9" s="161"/>
      <c r="D9" s="171"/>
      <c r="E9" s="171"/>
      <c r="F9" s="171"/>
      <c r="G9" s="171"/>
      <c r="H9" s="161"/>
      <c r="I9" s="170"/>
      <c r="J9" s="161"/>
    </row>
    <row r="10" ht="37.5" customHeight="1">
      <c r="A10" s="161"/>
      <c r="B10" s="167"/>
      <c r="C10" s="161"/>
      <c r="D10" s="168" t="s">
        <v>157</v>
      </c>
      <c r="F10" s="172"/>
      <c r="G10" s="15"/>
      <c r="H10" s="161"/>
      <c r="I10" s="170"/>
      <c r="J10" s="161"/>
    </row>
    <row r="11" ht="11.25" customHeight="1">
      <c r="A11" s="161"/>
      <c r="B11" s="167"/>
      <c r="C11" s="161"/>
      <c r="D11" s="171"/>
      <c r="E11" s="171"/>
      <c r="F11" s="171"/>
      <c r="G11" s="171"/>
      <c r="H11" s="161"/>
      <c r="I11" s="170"/>
      <c r="J11" s="161"/>
    </row>
    <row r="12" ht="37.5" customHeight="1">
      <c r="A12" s="161"/>
      <c r="B12" s="167"/>
      <c r="C12" s="161"/>
      <c r="D12" s="168" t="s">
        <v>158</v>
      </c>
      <c r="F12" s="172"/>
      <c r="G12" s="15"/>
      <c r="H12" s="161"/>
      <c r="I12" s="170"/>
      <c r="J12" s="161"/>
    </row>
    <row r="13" ht="11.25" customHeight="1">
      <c r="A13" s="161"/>
      <c r="B13" s="167"/>
      <c r="C13" s="161"/>
      <c r="D13" s="171"/>
      <c r="E13" s="171"/>
      <c r="F13" s="171"/>
      <c r="G13" s="171"/>
      <c r="H13" s="161"/>
      <c r="I13" s="170"/>
      <c r="J13" s="161"/>
    </row>
    <row r="14" ht="37.5" customHeight="1">
      <c r="A14" s="161"/>
      <c r="B14" s="167"/>
      <c r="C14" s="161"/>
      <c r="D14" s="168" t="s">
        <v>8</v>
      </c>
      <c r="F14" s="172"/>
      <c r="G14" s="15"/>
      <c r="H14" s="161"/>
      <c r="I14" s="170"/>
      <c r="J14" s="161"/>
    </row>
    <row r="15" ht="11.25" customHeight="1">
      <c r="A15" s="161"/>
      <c r="B15" s="167"/>
      <c r="C15" s="161"/>
      <c r="D15" s="171"/>
      <c r="E15" s="171"/>
      <c r="F15" s="171"/>
      <c r="G15" s="171"/>
      <c r="H15" s="161"/>
      <c r="I15" s="170"/>
      <c r="J15" s="161"/>
    </row>
    <row r="16" ht="37.5" customHeight="1">
      <c r="A16" s="161"/>
      <c r="B16" s="167"/>
      <c r="C16" s="161"/>
      <c r="D16" s="168" t="s">
        <v>10</v>
      </c>
      <c r="F16" s="172" t="s">
        <v>159</v>
      </c>
      <c r="G16" s="15"/>
      <c r="H16" s="161"/>
      <c r="I16" s="170"/>
      <c r="J16" s="161"/>
    </row>
    <row r="17" ht="11.25" customHeight="1">
      <c r="A17" s="161"/>
      <c r="B17" s="167"/>
      <c r="C17" s="161"/>
      <c r="D17" s="171"/>
      <c r="E17" s="171"/>
      <c r="F17" s="171"/>
      <c r="G17" s="171"/>
      <c r="H17" s="161"/>
      <c r="I17" s="170"/>
      <c r="J17" s="161"/>
    </row>
    <row r="18" ht="37.5" customHeight="1">
      <c r="A18" s="161"/>
      <c r="B18" s="167"/>
      <c r="C18" s="161"/>
      <c r="D18" s="168" t="s">
        <v>160</v>
      </c>
      <c r="F18" s="172" t="str">
        <f>IFERROR(__xludf.DUMMYFUNCTION("IFERROR(FILTER(Data!G:G,Data!F:F=F16))"),"")</f>
        <v/>
      </c>
      <c r="G18" s="15"/>
      <c r="H18" s="161"/>
      <c r="I18" s="170"/>
      <c r="J18" s="161"/>
    </row>
    <row r="19" ht="11.25" customHeight="1">
      <c r="A19" s="161"/>
      <c r="B19" s="173"/>
      <c r="C19" s="174"/>
      <c r="D19" s="175"/>
      <c r="E19" s="175"/>
      <c r="F19" s="175"/>
      <c r="G19" s="175"/>
      <c r="H19" s="174"/>
      <c r="I19" s="176"/>
      <c r="J19" s="161"/>
    </row>
    <row r="20" ht="48.0" customHeight="1">
      <c r="A20" s="161"/>
      <c r="B20" s="177"/>
      <c r="J20" s="161"/>
    </row>
  </sheetData>
  <mergeCells count="16">
    <mergeCell ref="B2:I3"/>
    <mergeCell ref="D6:E6"/>
    <mergeCell ref="F6:G6"/>
    <mergeCell ref="D8:E8"/>
    <mergeCell ref="F8:G8"/>
    <mergeCell ref="D10:E10"/>
    <mergeCell ref="F10:G10"/>
    <mergeCell ref="F18:G18"/>
    <mergeCell ref="B20:I20"/>
    <mergeCell ref="D12:E12"/>
    <mergeCell ref="F12:G12"/>
    <mergeCell ref="D14:E14"/>
    <mergeCell ref="F14:G14"/>
    <mergeCell ref="D16:E16"/>
    <mergeCell ref="F16:G16"/>
    <mergeCell ref="D18:E18"/>
  </mergeCells>
  <dataValidations>
    <dataValidation type="custom" allowBlank="1" showDropDown="1" sqref="F6">
      <formula1>OR(NOT(ISERROR(DATEVALUE(F6))), AND(ISNUMBER(F6), LEFT(CELL("format", F6))="D"))</formula1>
    </dataValidation>
    <dataValidation type="list" allowBlank="1" sqref="F16">
      <formula1>Data!$F20:$F$1014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3.5"/>
    <col customWidth="1" min="3" max="3" width="16.5"/>
    <col customWidth="1" min="4" max="4" width="13.0"/>
    <col customWidth="1" min="5" max="5" width="26.88"/>
    <col customWidth="1" min="6" max="6" width="24.38"/>
    <col customWidth="1" min="7" max="7" width="43.75"/>
    <col customWidth="1" min="8" max="8" width="14.5"/>
    <col customWidth="1" min="9" max="10" width="20.75"/>
  </cols>
  <sheetData>
    <row r="1" ht="22.5" customHeight="1">
      <c r="A1" s="178" t="s">
        <v>161</v>
      </c>
      <c r="B1" s="179" t="s">
        <v>162</v>
      </c>
      <c r="C1" s="180" t="s">
        <v>163</v>
      </c>
      <c r="D1" s="181" t="s">
        <v>164</v>
      </c>
      <c r="E1" s="179" t="s">
        <v>165</v>
      </c>
      <c r="F1" s="179" t="s">
        <v>166</v>
      </c>
      <c r="G1" s="179" t="s">
        <v>167</v>
      </c>
      <c r="H1" s="182" t="s">
        <v>14</v>
      </c>
      <c r="I1" s="183"/>
      <c r="J1" s="183"/>
    </row>
    <row r="2" ht="22.5" customHeight="1">
      <c r="A2" s="184">
        <v>45860.0</v>
      </c>
      <c r="B2" s="185" t="s">
        <v>26</v>
      </c>
      <c r="C2" s="186">
        <v>55480.0</v>
      </c>
      <c r="D2" s="187">
        <v>12.9</v>
      </c>
      <c r="E2" s="185" t="s">
        <v>25</v>
      </c>
      <c r="F2" s="188" t="s">
        <v>168</v>
      </c>
      <c r="G2" s="185" t="s">
        <v>169</v>
      </c>
      <c r="H2" s="182">
        <v>0.1</v>
      </c>
      <c r="I2" s="183"/>
      <c r="J2" s="183"/>
    </row>
    <row r="3" ht="22.5" customHeight="1">
      <c r="A3" s="184">
        <v>45860.0</v>
      </c>
      <c r="B3" s="185" t="s">
        <v>26</v>
      </c>
      <c r="C3" s="186">
        <v>42780.0</v>
      </c>
      <c r="D3" s="187">
        <v>13.5</v>
      </c>
      <c r="E3" s="185" t="s">
        <v>25</v>
      </c>
      <c r="F3" s="188" t="s">
        <v>170</v>
      </c>
      <c r="G3" s="185" t="s">
        <v>171</v>
      </c>
      <c r="H3" s="182">
        <v>0.2</v>
      </c>
      <c r="I3" s="183"/>
      <c r="J3" s="183"/>
    </row>
    <row r="4" ht="22.5" customHeight="1">
      <c r="A4" s="184">
        <v>45866.0</v>
      </c>
      <c r="B4" s="185" t="s">
        <v>26</v>
      </c>
      <c r="C4" s="186">
        <v>56480.0</v>
      </c>
      <c r="D4" s="187">
        <v>12.5</v>
      </c>
      <c r="E4" s="185" t="s">
        <v>25</v>
      </c>
      <c r="F4" s="188" t="s">
        <v>172</v>
      </c>
      <c r="G4" s="185" t="s">
        <v>173</v>
      </c>
      <c r="H4" s="182">
        <v>0.1</v>
      </c>
      <c r="I4" s="183"/>
      <c r="J4" s="183"/>
    </row>
    <row r="5" ht="22.5" customHeight="1">
      <c r="A5" s="184">
        <v>45866.0</v>
      </c>
      <c r="B5" s="185" t="s">
        <v>26</v>
      </c>
      <c r="C5" s="186">
        <v>54480.0</v>
      </c>
      <c r="D5" s="187">
        <v>11.9</v>
      </c>
      <c r="E5" s="185" t="s">
        <v>25</v>
      </c>
      <c r="F5" s="188" t="s">
        <v>174</v>
      </c>
      <c r="G5" s="185" t="s">
        <v>175</v>
      </c>
      <c r="H5" s="182">
        <v>0.2</v>
      </c>
      <c r="I5" s="183"/>
      <c r="J5" s="183"/>
    </row>
    <row r="6" ht="22.5" customHeight="1">
      <c r="A6" s="184">
        <v>45866.0</v>
      </c>
      <c r="B6" s="185" t="s">
        <v>26</v>
      </c>
      <c r="C6" s="186">
        <v>57020.0</v>
      </c>
      <c r="D6" s="187">
        <v>12.0</v>
      </c>
      <c r="E6" s="185" t="s">
        <v>25</v>
      </c>
      <c r="F6" s="188" t="s">
        <v>176</v>
      </c>
      <c r="G6" s="185" t="s">
        <v>177</v>
      </c>
      <c r="H6" s="182">
        <v>0.19</v>
      </c>
      <c r="I6" s="183"/>
      <c r="J6" s="183"/>
    </row>
    <row r="7" ht="22.5" customHeight="1">
      <c r="A7" s="184">
        <v>45868.0</v>
      </c>
      <c r="B7" s="185" t="s">
        <v>26</v>
      </c>
      <c r="C7" s="186">
        <v>55540.0</v>
      </c>
      <c r="D7" s="187">
        <v>13.0</v>
      </c>
      <c r="E7" s="185" t="s">
        <v>25</v>
      </c>
      <c r="F7" s="188" t="s">
        <v>178</v>
      </c>
      <c r="G7" s="185" t="s">
        <v>179</v>
      </c>
      <c r="H7" s="182">
        <v>0.1</v>
      </c>
      <c r="I7" s="183"/>
      <c r="J7" s="183"/>
    </row>
    <row r="8" ht="22.5" customHeight="1">
      <c r="A8" s="184">
        <v>45868.0</v>
      </c>
      <c r="B8" s="185" t="s">
        <v>26</v>
      </c>
      <c r="C8" s="186">
        <v>55440.0</v>
      </c>
      <c r="D8" s="187">
        <v>13.1</v>
      </c>
      <c r="E8" s="185" t="s">
        <v>25</v>
      </c>
      <c r="F8" s="188" t="s">
        <v>180</v>
      </c>
      <c r="G8" s="185" t="s">
        <v>181</v>
      </c>
      <c r="H8" s="182">
        <v>0.2</v>
      </c>
      <c r="I8" s="183"/>
      <c r="J8" s="183"/>
    </row>
    <row r="9" ht="22.5" customHeight="1">
      <c r="A9" s="184">
        <v>45868.0</v>
      </c>
      <c r="B9" s="185" t="s">
        <v>26</v>
      </c>
      <c r="C9" s="186">
        <v>51340.0</v>
      </c>
      <c r="D9" s="187">
        <v>13.8</v>
      </c>
      <c r="E9" s="185" t="s">
        <v>25</v>
      </c>
      <c r="F9" s="188" t="s">
        <v>182</v>
      </c>
      <c r="G9" s="185" t="s">
        <v>183</v>
      </c>
      <c r="H9" s="182">
        <v>0.1</v>
      </c>
      <c r="I9" s="183"/>
      <c r="J9" s="183"/>
    </row>
    <row r="10" ht="22.5" customHeight="1">
      <c r="A10" s="184">
        <v>45868.0</v>
      </c>
      <c r="B10" s="185" t="s">
        <v>26</v>
      </c>
      <c r="C10" s="186">
        <v>53960.0</v>
      </c>
      <c r="D10" s="187">
        <v>13.6</v>
      </c>
      <c r="E10" s="185" t="s">
        <v>25</v>
      </c>
      <c r="F10" s="188" t="s">
        <v>184</v>
      </c>
      <c r="G10" s="185" t="s">
        <v>185</v>
      </c>
      <c r="H10" s="182">
        <v>0.1</v>
      </c>
      <c r="I10" s="183"/>
      <c r="J10" s="183"/>
    </row>
    <row r="11" ht="22.5" customHeight="1">
      <c r="A11" s="184">
        <v>45873.0</v>
      </c>
      <c r="B11" s="185" t="s">
        <v>26</v>
      </c>
      <c r="C11" s="186">
        <v>59780.0</v>
      </c>
      <c r="D11" s="187">
        <v>13.0</v>
      </c>
      <c r="E11" s="185" t="s">
        <v>25</v>
      </c>
      <c r="F11" s="188" t="s">
        <v>186</v>
      </c>
      <c r="G11" s="185" t="s">
        <v>187</v>
      </c>
      <c r="H11" s="182">
        <v>0.2</v>
      </c>
      <c r="I11" s="183"/>
      <c r="J11" s="183"/>
    </row>
    <row r="12" ht="22.5" customHeight="1">
      <c r="A12" s="184">
        <v>45873.0</v>
      </c>
      <c r="B12" s="185" t="s">
        <v>26</v>
      </c>
      <c r="C12" s="186">
        <v>48520.0</v>
      </c>
      <c r="D12" s="187">
        <v>12.3</v>
      </c>
      <c r="E12" s="185" t="s">
        <v>25</v>
      </c>
      <c r="F12" s="188" t="s">
        <v>188</v>
      </c>
      <c r="G12" s="185" t="s">
        <v>189</v>
      </c>
      <c r="H12" s="182">
        <v>0.1</v>
      </c>
      <c r="I12" s="183"/>
      <c r="J12" s="183"/>
    </row>
    <row r="13" ht="22.5" customHeight="1">
      <c r="A13" s="184">
        <v>45873.0</v>
      </c>
      <c r="B13" s="185" t="s">
        <v>26</v>
      </c>
      <c r="C13" s="186">
        <v>57760.0</v>
      </c>
      <c r="D13" s="187">
        <v>12.9</v>
      </c>
      <c r="E13" s="185" t="s">
        <v>25</v>
      </c>
      <c r="F13" s="188" t="s">
        <v>190</v>
      </c>
      <c r="G13" s="185" t="s">
        <v>191</v>
      </c>
      <c r="H13" s="182">
        <v>0.2</v>
      </c>
      <c r="I13" s="183"/>
      <c r="J13" s="183"/>
    </row>
    <row r="14" ht="22.5" customHeight="1">
      <c r="A14" s="184">
        <v>45873.0</v>
      </c>
      <c r="B14" s="185" t="s">
        <v>26</v>
      </c>
      <c r="C14" s="186">
        <v>56400.0</v>
      </c>
      <c r="D14" s="187">
        <v>12.0</v>
      </c>
      <c r="E14" s="185" t="s">
        <v>25</v>
      </c>
      <c r="F14" s="188" t="s">
        <v>192</v>
      </c>
      <c r="G14" s="185" t="s">
        <v>193</v>
      </c>
      <c r="H14" s="182">
        <v>0.1</v>
      </c>
      <c r="I14" s="183"/>
      <c r="J14" s="183"/>
    </row>
    <row r="15" ht="22.5" customHeight="1">
      <c r="A15" s="184">
        <v>45874.0</v>
      </c>
      <c r="B15" s="185" t="s">
        <v>26</v>
      </c>
      <c r="C15" s="186">
        <v>57040.0</v>
      </c>
      <c r="D15" s="187">
        <v>14.3</v>
      </c>
      <c r="E15" s="185" t="s">
        <v>25</v>
      </c>
      <c r="F15" s="188" t="s">
        <v>194</v>
      </c>
      <c r="G15" s="185" t="s">
        <v>195</v>
      </c>
      <c r="H15" s="182">
        <v>0.3</v>
      </c>
      <c r="I15" s="183"/>
      <c r="J15" s="183"/>
    </row>
    <row r="16" ht="22.5" customHeight="1">
      <c r="A16" s="184">
        <v>45874.0</v>
      </c>
      <c r="B16" s="185" t="s">
        <v>26</v>
      </c>
      <c r="C16" s="186">
        <v>56960.0</v>
      </c>
      <c r="D16" s="187">
        <v>13.0</v>
      </c>
      <c r="E16" s="185" t="s">
        <v>25</v>
      </c>
      <c r="F16" s="188" t="s">
        <v>196</v>
      </c>
      <c r="G16" s="185" t="s">
        <v>197</v>
      </c>
      <c r="H16" s="182">
        <v>0.4</v>
      </c>
      <c r="I16" s="183"/>
      <c r="J16" s="183"/>
    </row>
    <row r="17" ht="22.5" customHeight="1">
      <c r="A17" s="184">
        <v>45874.0</v>
      </c>
      <c r="B17" s="185" t="s">
        <v>26</v>
      </c>
      <c r="C17" s="186">
        <v>55100.0</v>
      </c>
      <c r="D17" s="187">
        <v>12.6</v>
      </c>
      <c r="E17" s="185" t="s">
        <v>25</v>
      </c>
      <c r="F17" s="188" t="s">
        <v>198</v>
      </c>
      <c r="G17" s="185" t="s">
        <v>199</v>
      </c>
      <c r="H17" s="182">
        <v>0.2</v>
      </c>
      <c r="I17" s="183"/>
      <c r="J17" s="183"/>
    </row>
    <row r="18" ht="22.5" customHeight="1">
      <c r="A18" s="184">
        <v>45873.0</v>
      </c>
      <c r="B18" s="185" t="s">
        <v>26</v>
      </c>
      <c r="C18" s="186">
        <v>55960.0</v>
      </c>
      <c r="D18" s="187">
        <v>13.6</v>
      </c>
      <c r="E18" s="185" t="s">
        <v>25</v>
      </c>
      <c r="F18" s="188" t="s">
        <v>200</v>
      </c>
      <c r="G18" s="185" t="s">
        <v>201</v>
      </c>
      <c r="H18" s="182">
        <v>0.1</v>
      </c>
      <c r="I18" s="183"/>
      <c r="J18" s="183"/>
    </row>
    <row r="19" ht="22.5" customHeight="1">
      <c r="A19" s="184">
        <v>45876.0</v>
      </c>
      <c r="B19" s="185" t="s">
        <v>26</v>
      </c>
      <c r="C19" s="186">
        <v>57440.0</v>
      </c>
      <c r="D19" s="187">
        <v>13.1</v>
      </c>
      <c r="E19" s="185" t="s">
        <v>25</v>
      </c>
      <c r="F19" s="188" t="s">
        <v>202</v>
      </c>
      <c r="G19" s="185" t="s">
        <v>203</v>
      </c>
      <c r="H19" s="182">
        <v>0.4</v>
      </c>
      <c r="I19" s="183"/>
      <c r="J19" s="183"/>
    </row>
    <row r="20" ht="22.5" customHeight="1">
      <c r="A20" s="184">
        <v>45876.0</v>
      </c>
      <c r="B20" s="185" t="s">
        <v>26</v>
      </c>
      <c r="C20" s="186">
        <v>53100.0</v>
      </c>
      <c r="D20" s="187">
        <v>12.6</v>
      </c>
      <c r="E20" s="185" t="s">
        <v>25</v>
      </c>
      <c r="F20" s="188" t="s">
        <v>204</v>
      </c>
      <c r="G20" s="189" t="s">
        <v>205</v>
      </c>
      <c r="H20" s="182">
        <v>0.2</v>
      </c>
      <c r="I20" s="183"/>
      <c r="J20" s="183"/>
    </row>
    <row r="21" ht="22.5" customHeight="1">
      <c r="A21" s="184">
        <v>45876.0</v>
      </c>
      <c r="B21" s="185" t="s">
        <v>26</v>
      </c>
      <c r="C21" s="186">
        <v>55020.0</v>
      </c>
      <c r="D21" s="187">
        <v>12.6</v>
      </c>
      <c r="E21" s="185" t="s">
        <v>25</v>
      </c>
      <c r="F21" s="188" t="s">
        <v>206</v>
      </c>
      <c r="G21" s="189" t="s">
        <v>207</v>
      </c>
      <c r="H21" s="182">
        <v>0.2</v>
      </c>
      <c r="I21" s="183"/>
      <c r="J21" s="183"/>
    </row>
    <row r="22" ht="22.5" customHeight="1">
      <c r="A22" s="184">
        <v>45877.0</v>
      </c>
      <c r="B22" s="185" t="s">
        <v>26</v>
      </c>
      <c r="C22" s="186">
        <v>57260.0</v>
      </c>
      <c r="D22" s="187">
        <v>13.7</v>
      </c>
      <c r="E22" s="185" t="s">
        <v>25</v>
      </c>
      <c r="F22" s="188" t="s">
        <v>208</v>
      </c>
      <c r="G22" s="189" t="s">
        <v>209</v>
      </c>
      <c r="H22" s="182">
        <v>0.09</v>
      </c>
      <c r="I22" s="183"/>
      <c r="J22" s="183"/>
    </row>
    <row r="23" ht="22.5" customHeight="1">
      <c r="A23" s="184">
        <v>45877.0</v>
      </c>
      <c r="B23" s="185" t="s">
        <v>26</v>
      </c>
      <c r="C23" s="186">
        <v>58880.0</v>
      </c>
      <c r="D23" s="187">
        <v>12.2</v>
      </c>
      <c r="E23" s="185" t="s">
        <v>25</v>
      </c>
      <c r="F23" s="188" t="s">
        <v>210</v>
      </c>
      <c r="G23" s="189" t="s">
        <v>211</v>
      </c>
      <c r="H23" s="182">
        <v>0.5</v>
      </c>
      <c r="I23" s="183"/>
      <c r="J23" s="183"/>
    </row>
    <row r="24" ht="22.5" customHeight="1">
      <c r="A24" s="184">
        <v>45877.0</v>
      </c>
      <c r="B24" s="185" t="s">
        <v>30</v>
      </c>
      <c r="C24" s="186">
        <v>16980.0</v>
      </c>
      <c r="D24" s="187">
        <v>12.7</v>
      </c>
      <c r="E24" s="185" t="s">
        <v>25</v>
      </c>
      <c r="F24" s="188" t="s">
        <v>212</v>
      </c>
      <c r="G24" s="189" t="s">
        <v>213</v>
      </c>
      <c r="H24" s="182">
        <v>0.2</v>
      </c>
      <c r="I24" s="183"/>
      <c r="J24" s="183"/>
    </row>
    <row r="25" ht="22.5" customHeight="1">
      <c r="A25" s="184">
        <v>45936.0</v>
      </c>
      <c r="B25" s="185" t="s">
        <v>36</v>
      </c>
      <c r="C25" s="186">
        <v>55980.0</v>
      </c>
      <c r="D25" s="187">
        <v>15.4</v>
      </c>
      <c r="E25" s="185" t="s">
        <v>35</v>
      </c>
      <c r="F25" s="188" t="s">
        <v>214</v>
      </c>
      <c r="G25" s="185" t="s">
        <v>215</v>
      </c>
      <c r="H25" s="190"/>
      <c r="I25" s="183"/>
      <c r="J25" s="183"/>
    </row>
    <row r="26" ht="22.5" customHeight="1">
      <c r="A26" s="184">
        <v>45936.0</v>
      </c>
      <c r="B26" s="185" t="s">
        <v>36</v>
      </c>
      <c r="C26" s="186">
        <v>54920.0</v>
      </c>
      <c r="D26" s="187">
        <v>15.8</v>
      </c>
      <c r="E26" s="185" t="s">
        <v>35</v>
      </c>
      <c r="F26" s="188" t="s">
        <v>216</v>
      </c>
      <c r="G26" s="185" t="s">
        <v>217</v>
      </c>
      <c r="H26" s="190"/>
      <c r="I26" s="183"/>
      <c r="J26" s="183"/>
    </row>
    <row r="27" ht="22.5" customHeight="1">
      <c r="A27" s="184">
        <v>45936.0</v>
      </c>
      <c r="B27" s="185" t="s">
        <v>36</v>
      </c>
      <c r="C27" s="186">
        <v>57040.0</v>
      </c>
      <c r="D27" s="187">
        <v>15.4</v>
      </c>
      <c r="E27" s="185" t="s">
        <v>35</v>
      </c>
      <c r="F27" s="188" t="s">
        <v>218</v>
      </c>
      <c r="G27" s="185" t="s">
        <v>219</v>
      </c>
      <c r="H27" s="190"/>
      <c r="I27" s="183"/>
      <c r="J27" s="183"/>
    </row>
    <row r="28" ht="22.5" customHeight="1">
      <c r="A28" s="184">
        <v>45936.0</v>
      </c>
      <c r="B28" s="185" t="s">
        <v>36</v>
      </c>
      <c r="C28" s="186">
        <v>55040.0</v>
      </c>
      <c r="D28" s="187">
        <v>15.5</v>
      </c>
      <c r="E28" s="185" t="s">
        <v>35</v>
      </c>
      <c r="F28" s="188" t="s">
        <v>220</v>
      </c>
      <c r="G28" s="185" t="s">
        <v>221</v>
      </c>
      <c r="H28" s="190"/>
      <c r="I28" s="183"/>
      <c r="J28" s="183"/>
    </row>
    <row r="29" ht="22.5" customHeight="1">
      <c r="A29" s="184">
        <v>45936.0</v>
      </c>
      <c r="B29" s="185" t="s">
        <v>36</v>
      </c>
      <c r="C29" s="186">
        <v>57620.0</v>
      </c>
      <c r="D29" s="187">
        <v>15.9</v>
      </c>
      <c r="E29" s="185" t="s">
        <v>35</v>
      </c>
      <c r="F29" s="188" t="s">
        <v>222</v>
      </c>
      <c r="G29" s="185" t="s">
        <v>223</v>
      </c>
      <c r="H29" s="190"/>
      <c r="I29" s="183"/>
      <c r="J29" s="183"/>
    </row>
    <row r="30" ht="22.5" customHeight="1">
      <c r="A30" s="184">
        <v>45936.0</v>
      </c>
      <c r="B30" s="185" t="s">
        <v>36</v>
      </c>
      <c r="C30" s="186">
        <v>55920.0</v>
      </c>
      <c r="D30" s="187">
        <v>15.7</v>
      </c>
      <c r="E30" s="185" t="s">
        <v>35</v>
      </c>
      <c r="F30" s="188" t="s">
        <v>224</v>
      </c>
      <c r="G30" s="185" t="s">
        <v>225</v>
      </c>
      <c r="H30" s="190"/>
      <c r="I30" s="183"/>
      <c r="J30" s="183"/>
    </row>
    <row r="31" ht="22.5" customHeight="1">
      <c r="A31" s="184">
        <v>45853.0</v>
      </c>
      <c r="B31" s="185" t="s">
        <v>39</v>
      </c>
      <c r="C31" s="186">
        <v>56760.0</v>
      </c>
      <c r="D31" s="187"/>
      <c r="E31" s="185" t="s">
        <v>38</v>
      </c>
      <c r="F31" s="188" t="s">
        <v>226</v>
      </c>
      <c r="G31" s="185" t="s">
        <v>227</v>
      </c>
      <c r="H31" s="190"/>
      <c r="I31" s="183"/>
      <c r="J31" s="183"/>
    </row>
    <row r="32" ht="22.5" customHeight="1">
      <c r="A32" s="184">
        <v>45853.0</v>
      </c>
      <c r="B32" s="185" t="s">
        <v>39</v>
      </c>
      <c r="C32" s="186">
        <v>58200.0</v>
      </c>
      <c r="D32" s="187"/>
      <c r="E32" s="185" t="s">
        <v>38</v>
      </c>
      <c r="F32" s="188" t="s">
        <v>228</v>
      </c>
      <c r="G32" s="185" t="s">
        <v>229</v>
      </c>
      <c r="H32" s="190"/>
      <c r="I32" s="183"/>
      <c r="J32" s="183"/>
    </row>
    <row r="33" ht="22.5" customHeight="1">
      <c r="A33" s="184">
        <v>45853.0</v>
      </c>
      <c r="B33" s="185" t="s">
        <v>39</v>
      </c>
      <c r="C33" s="186">
        <v>56180.0</v>
      </c>
      <c r="D33" s="187"/>
      <c r="E33" s="185" t="s">
        <v>38</v>
      </c>
      <c r="F33" s="188" t="s">
        <v>230</v>
      </c>
      <c r="G33" s="185" t="s">
        <v>231</v>
      </c>
      <c r="H33" s="190"/>
      <c r="I33" s="183"/>
      <c r="J33" s="183"/>
    </row>
    <row r="34" ht="22.5" customHeight="1">
      <c r="A34" s="184">
        <v>45853.0</v>
      </c>
      <c r="B34" s="185" t="s">
        <v>39</v>
      </c>
      <c r="C34" s="191">
        <v>57240.0</v>
      </c>
      <c r="D34" s="187"/>
      <c r="E34" s="185" t="s">
        <v>38</v>
      </c>
      <c r="F34" s="188" t="s">
        <v>232</v>
      </c>
      <c r="G34" s="185" t="s">
        <v>233</v>
      </c>
      <c r="H34" s="190"/>
      <c r="I34" s="183"/>
      <c r="J34" s="183"/>
    </row>
    <row r="35" ht="22.5" customHeight="1">
      <c r="A35" s="184">
        <v>45853.0</v>
      </c>
      <c r="B35" s="185" t="s">
        <v>39</v>
      </c>
      <c r="C35" s="186">
        <v>56520.0</v>
      </c>
      <c r="D35" s="187"/>
      <c r="E35" s="185" t="s">
        <v>38</v>
      </c>
      <c r="F35" s="188" t="s">
        <v>234</v>
      </c>
      <c r="G35" s="185" t="s">
        <v>235</v>
      </c>
      <c r="H35" s="190"/>
      <c r="I35" s="183"/>
      <c r="J35" s="183"/>
    </row>
    <row r="36" ht="22.5" customHeight="1">
      <c r="A36" s="184">
        <v>45853.0</v>
      </c>
      <c r="B36" s="185" t="s">
        <v>39</v>
      </c>
      <c r="C36" s="186">
        <v>53880.0</v>
      </c>
      <c r="D36" s="187"/>
      <c r="E36" s="185" t="s">
        <v>38</v>
      </c>
      <c r="F36" s="188" t="s">
        <v>236</v>
      </c>
      <c r="G36" s="185" t="s">
        <v>237</v>
      </c>
      <c r="H36" s="190"/>
      <c r="I36" s="183"/>
      <c r="J36" s="183"/>
    </row>
    <row r="37" ht="22.5" customHeight="1">
      <c r="A37" s="184">
        <v>45853.0</v>
      </c>
      <c r="B37" s="185" t="s">
        <v>39</v>
      </c>
      <c r="C37" s="186">
        <v>56260.0</v>
      </c>
      <c r="D37" s="187"/>
      <c r="E37" s="185" t="s">
        <v>38</v>
      </c>
      <c r="F37" s="188" t="s">
        <v>238</v>
      </c>
      <c r="G37" s="185" t="s">
        <v>239</v>
      </c>
      <c r="H37" s="190"/>
      <c r="I37" s="183"/>
      <c r="J37" s="183"/>
    </row>
    <row r="38" ht="22.5" customHeight="1">
      <c r="A38" s="184">
        <v>45853.0</v>
      </c>
      <c r="B38" s="185" t="s">
        <v>39</v>
      </c>
      <c r="C38" s="191">
        <v>55540.0</v>
      </c>
      <c r="D38" s="187"/>
      <c r="E38" s="185" t="s">
        <v>38</v>
      </c>
      <c r="F38" s="188" t="s">
        <v>240</v>
      </c>
      <c r="G38" s="185" t="s">
        <v>241</v>
      </c>
      <c r="H38" s="190"/>
      <c r="I38" s="183"/>
      <c r="J38" s="183"/>
    </row>
    <row r="39" ht="22.5" customHeight="1">
      <c r="A39" s="184">
        <v>45853.0</v>
      </c>
      <c r="B39" s="185" t="s">
        <v>39</v>
      </c>
      <c r="C39" s="186">
        <v>55620.0</v>
      </c>
      <c r="D39" s="187"/>
      <c r="E39" s="185" t="s">
        <v>38</v>
      </c>
      <c r="F39" s="188" t="s">
        <v>242</v>
      </c>
      <c r="G39" s="185" t="s">
        <v>243</v>
      </c>
      <c r="H39" s="190"/>
      <c r="I39" s="183"/>
      <c r="J39" s="183"/>
    </row>
    <row r="40" ht="22.5" customHeight="1">
      <c r="A40" s="184">
        <v>45854.0</v>
      </c>
      <c r="B40" s="185" t="s">
        <v>39</v>
      </c>
      <c r="C40" s="186">
        <v>55300.0</v>
      </c>
      <c r="D40" s="187"/>
      <c r="E40" s="185" t="s">
        <v>38</v>
      </c>
      <c r="F40" s="188" t="s">
        <v>244</v>
      </c>
      <c r="G40" s="185" t="s">
        <v>245</v>
      </c>
      <c r="H40" s="190"/>
      <c r="I40" s="183"/>
      <c r="J40" s="183"/>
    </row>
    <row r="41" ht="22.5" customHeight="1">
      <c r="A41" s="184">
        <v>45854.0</v>
      </c>
      <c r="B41" s="185" t="s">
        <v>39</v>
      </c>
      <c r="C41" s="186">
        <v>54700.0</v>
      </c>
      <c r="D41" s="187"/>
      <c r="E41" s="185" t="s">
        <v>38</v>
      </c>
      <c r="F41" s="188" t="s">
        <v>246</v>
      </c>
      <c r="G41" s="185" t="s">
        <v>247</v>
      </c>
      <c r="H41" s="190"/>
      <c r="I41" s="183"/>
      <c r="J41" s="183"/>
    </row>
    <row r="42" ht="22.5" customHeight="1">
      <c r="A42" s="184">
        <v>45855.0</v>
      </c>
      <c r="B42" s="185" t="s">
        <v>39</v>
      </c>
      <c r="C42" s="186">
        <v>53220.0</v>
      </c>
      <c r="D42" s="187"/>
      <c r="E42" s="185" t="s">
        <v>38</v>
      </c>
      <c r="F42" s="188" t="s">
        <v>248</v>
      </c>
      <c r="G42" s="185" t="s">
        <v>249</v>
      </c>
      <c r="H42" s="190"/>
      <c r="I42" s="183"/>
      <c r="J42" s="183"/>
    </row>
    <row r="43" ht="22.5" customHeight="1">
      <c r="A43" s="184">
        <v>45855.0</v>
      </c>
      <c r="B43" s="185" t="s">
        <v>39</v>
      </c>
      <c r="C43" s="186">
        <v>54960.0</v>
      </c>
      <c r="D43" s="187"/>
      <c r="E43" s="185" t="s">
        <v>38</v>
      </c>
      <c r="F43" s="188" t="s">
        <v>250</v>
      </c>
      <c r="G43" s="185" t="s">
        <v>251</v>
      </c>
      <c r="H43" s="190"/>
      <c r="I43" s="183"/>
      <c r="J43" s="183"/>
    </row>
    <row r="44" ht="22.5" customHeight="1">
      <c r="A44" s="184">
        <v>45855.0</v>
      </c>
      <c r="B44" s="185" t="s">
        <v>39</v>
      </c>
      <c r="C44" s="186">
        <v>55720.0</v>
      </c>
      <c r="D44" s="187"/>
      <c r="E44" s="185" t="s">
        <v>38</v>
      </c>
      <c r="F44" s="188" t="s">
        <v>252</v>
      </c>
      <c r="G44" s="185" t="s">
        <v>253</v>
      </c>
      <c r="H44" s="190"/>
      <c r="I44" s="183"/>
      <c r="J44" s="183"/>
    </row>
    <row r="45" ht="22.5" customHeight="1">
      <c r="A45" s="184">
        <v>45856.0</v>
      </c>
      <c r="B45" s="185" t="s">
        <v>39</v>
      </c>
      <c r="C45" s="186">
        <v>55680.0</v>
      </c>
      <c r="D45" s="187"/>
      <c r="E45" s="185" t="s">
        <v>38</v>
      </c>
      <c r="F45" s="188" t="s">
        <v>254</v>
      </c>
      <c r="G45" s="185" t="s">
        <v>255</v>
      </c>
      <c r="H45" s="190"/>
      <c r="I45" s="183"/>
      <c r="J45" s="183"/>
    </row>
    <row r="46" ht="22.5" customHeight="1">
      <c r="A46" s="184">
        <v>45860.0</v>
      </c>
      <c r="B46" s="185" t="s">
        <v>42</v>
      </c>
      <c r="C46" s="186">
        <v>20340.0</v>
      </c>
      <c r="D46" s="187">
        <v>13.3</v>
      </c>
      <c r="E46" s="185" t="s">
        <v>25</v>
      </c>
      <c r="F46" s="188" t="s">
        <v>256</v>
      </c>
      <c r="G46" s="185" t="s">
        <v>257</v>
      </c>
      <c r="H46" s="182"/>
      <c r="I46" s="183"/>
      <c r="J46" s="183"/>
    </row>
    <row r="47" ht="22.5" customHeight="1">
      <c r="A47" s="184">
        <v>45907.0</v>
      </c>
      <c r="B47" s="185" t="s">
        <v>44</v>
      </c>
      <c r="C47" s="191">
        <v>99625.0</v>
      </c>
      <c r="D47" s="187"/>
      <c r="E47" s="185" t="s">
        <v>43</v>
      </c>
      <c r="F47" s="188" t="s">
        <v>258</v>
      </c>
      <c r="G47" s="185" t="s">
        <v>259</v>
      </c>
      <c r="H47" s="190"/>
      <c r="I47" s="183"/>
      <c r="J47" s="183"/>
    </row>
    <row r="48" ht="22.5" customHeight="1">
      <c r="A48" s="184">
        <v>45930.0</v>
      </c>
      <c r="B48" s="185" t="s">
        <v>48</v>
      </c>
      <c r="C48" s="186">
        <v>32432.0</v>
      </c>
      <c r="D48" s="187">
        <v>13.2</v>
      </c>
      <c r="E48" s="185" t="s">
        <v>47</v>
      </c>
      <c r="F48" s="188" t="s">
        <v>260</v>
      </c>
      <c r="G48" s="185" t="s">
        <v>261</v>
      </c>
      <c r="H48" s="182">
        <v>0.23</v>
      </c>
      <c r="I48" s="183"/>
      <c r="J48" s="183"/>
    </row>
    <row r="49" ht="22.5" customHeight="1">
      <c r="A49" s="184">
        <v>45918.0</v>
      </c>
      <c r="B49" s="185" t="s">
        <v>53</v>
      </c>
      <c r="C49" s="191">
        <v>50720.0</v>
      </c>
      <c r="D49" s="187"/>
      <c r="E49" s="185" t="s">
        <v>52</v>
      </c>
      <c r="F49" s="188" t="s">
        <v>262</v>
      </c>
      <c r="G49" s="185" t="s">
        <v>263</v>
      </c>
      <c r="H49" s="190"/>
      <c r="I49" s="183"/>
      <c r="J49" s="183"/>
    </row>
    <row r="50" ht="22.5" customHeight="1">
      <c r="A50" s="184">
        <v>45918.0</v>
      </c>
      <c r="B50" s="185" t="s">
        <v>53</v>
      </c>
      <c r="C50" s="191">
        <v>29040.0</v>
      </c>
      <c r="D50" s="187"/>
      <c r="E50" s="185" t="s">
        <v>52</v>
      </c>
      <c r="F50" s="188" t="s">
        <v>264</v>
      </c>
      <c r="G50" s="185" t="s">
        <v>265</v>
      </c>
      <c r="H50" s="190"/>
      <c r="I50" s="183"/>
      <c r="J50" s="183"/>
    </row>
    <row r="51" ht="22.5" customHeight="1">
      <c r="A51" s="184">
        <v>45918.0</v>
      </c>
      <c r="B51" s="185" t="s">
        <v>53</v>
      </c>
      <c r="C51" s="191">
        <v>52060.0</v>
      </c>
      <c r="D51" s="187"/>
      <c r="E51" s="185" t="s">
        <v>52</v>
      </c>
      <c r="F51" s="188" t="s">
        <v>266</v>
      </c>
      <c r="G51" s="185" t="s">
        <v>265</v>
      </c>
      <c r="H51" s="190"/>
      <c r="I51" s="183"/>
      <c r="J51" s="183"/>
    </row>
    <row r="52" ht="22.5" customHeight="1">
      <c r="A52" s="184">
        <v>45918.0</v>
      </c>
      <c r="B52" s="185" t="s">
        <v>53</v>
      </c>
      <c r="C52" s="186">
        <v>56480.0</v>
      </c>
      <c r="D52" s="187"/>
      <c r="E52" s="185" t="s">
        <v>52</v>
      </c>
      <c r="F52" s="188" t="s">
        <v>267</v>
      </c>
      <c r="G52" s="185" t="s">
        <v>268</v>
      </c>
      <c r="H52" s="190"/>
      <c r="I52" s="183"/>
      <c r="J52" s="183"/>
    </row>
    <row r="53" ht="22.5" customHeight="1">
      <c r="A53" s="184">
        <v>45918.0</v>
      </c>
      <c r="B53" s="185" t="s">
        <v>53</v>
      </c>
      <c r="C53" s="186">
        <v>26240.0</v>
      </c>
      <c r="D53" s="187"/>
      <c r="E53" s="185" t="s">
        <v>52</v>
      </c>
      <c r="F53" s="188" t="s">
        <v>269</v>
      </c>
      <c r="G53" s="185" t="s">
        <v>270</v>
      </c>
      <c r="H53" s="190"/>
      <c r="I53" s="183"/>
      <c r="J53" s="183"/>
    </row>
    <row r="54" ht="22.5" customHeight="1">
      <c r="A54" s="184">
        <v>45923.0</v>
      </c>
      <c r="B54" s="185" t="s">
        <v>53</v>
      </c>
      <c r="C54" s="186">
        <v>57380.0</v>
      </c>
      <c r="D54" s="187">
        <v>13.0</v>
      </c>
      <c r="E54" s="185" t="s">
        <v>52</v>
      </c>
      <c r="F54" s="188" t="s">
        <v>271</v>
      </c>
      <c r="G54" s="185" t="s">
        <v>272</v>
      </c>
      <c r="H54" s="190"/>
      <c r="I54" s="183"/>
      <c r="J54" s="183"/>
    </row>
    <row r="55" ht="22.5" customHeight="1">
      <c r="A55" s="184">
        <v>45923.0</v>
      </c>
      <c r="B55" s="185" t="s">
        <v>53</v>
      </c>
      <c r="C55" s="186">
        <v>54340.0</v>
      </c>
      <c r="D55" s="187"/>
      <c r="E55" s="185" t="s">
        <v>52</v>
      </c>
      <c r="F55" s="188" t="s">
        <v>273</v>
      </c>
      <c r="G55" s="185" t="s">
        <v>274</v>
      </c>
      <c r="H55" s="190"/>
      <c r="I55" s="183"/>
      <c r="J55" s="183"/>
    </row>
    <row r="56" ht="22.5" customHeight="1">
      <c r="A56" s="184">
        <v>45923.0</v>
      </c>
      <c r="B56" s="185" t="s">
        <v>53</v>
      </c>
      <c r="C56" s="186">
        <v>55380.0</v>
      </c>
      <c r="D56" s="187"/>
      <c r="E56" s="185" t="s">
        <v>52</v>
      </c>
      <c r="F56" s="188" t="s">
        <v>275</v>
      </c>
      <c r="G56" s="185" t="s">
        <v>276</v>
      </c>
      <c r="H56" s="190"/>
      <c r="I56" s="183"/>
      <c r="J56" s="183"/>
    </row>
    <row r="57" ht="22.5" customHeight="1">
      <c r="A57" s="184">
        <v>45926.0</v>
      </c>
      <c r="B57" s="185" t="s">
        <v>53</v>
      </c>
      <c r="C57" s="186">
        <v>54220.0</v>
      </c>
      <c r="D57" s="187"/>
      <c r="E57" s="185" t="s">
        <v>52</v>
      </c>
      <c r="F57" s="188" t="s">
        <v>277</v>
      </c>
      <c r="G57" s="185" t="s">
        <v>278</v>
      </c>
      <c r="H57" s="182"/>
      <c r="I57" s="183"/>
      <c r="J57" s="183"/>
    </row>
    <row r="58" ht="22.5" customHeight="1">
      <c r="A58" s="184">
        <v>45936.0</v>
      </c>
      <c r="B58" s="185" t="s">
        <v>53</v>
      </c>
      <c r="C58" s="186">
        <v>50720.0</v>
      </c>
      <c r="D58" s="187">
        <v>13.5</v>
      </c>
      <c r="E58" s="185" t="s">
        <v>52</v>
      </c>
      <c r="F58" s="188" t="s">
        <v>279</v>
      </c>
      <c r="G58" s="185" t="s">
        <v>280</v>
      </c>
      <c r="H58" s="182">
        <v>0.4</v>
      </c>
      <c r="I58" s="183"/>
      <c r="J58" s="183"/>
    </row>
    <row r="59" ht="22.5" customHeight="1">
      <c r="A59" s="184">
        <v>45939.0</v>
      </c>
      <c r="B59" s="185" t="s">
        <v>53</v>
      </c>
      <c r="C59" s="186">
        <v>29040.0</v>
      </c>
      <c r="D59" s="187">
        <v>13.7</v>
      </c>
      <c r="E59" s="185" t="s">
        <v>52</v>
      </c>
      <c r="F59" s="188" t="s">
        <v>264</v>
      </c>
      <c r="G59" s="185" t="s">
        <v>281</v>
      </c>
      <c r="H59" s="182">
        <v>0.5</v>
      </c>
      <c r="I59" s="183"/>
      <c r="J59" s="183"/>
    </row>
    <row r="60" ht="22.5" customHeight="1">
      <c r="A60" s="184">
        <v>45926.0</v>
      </c>
      <c r="B60" s="185" t="s">
        <v>56</v>
      </c>
      <c r="C60" s="186">
        <v>56560.0</v>
      </c>
      <c r="D60" s="187"/>
      <c r="E60" s="185" t="s">
        <v>52</v>
      </c>
      <c r="F60" s="188" t="s">
        <v>282</v>
      </c>
      <c r="G60" s="185" t="s">
        <v>283</v>
      </c>
      <c r="H60" s="190"/>
      <c r="I60" s="183"/>
      <c r="J60" s="183"/>
    </row>
    <row r="61" ht="22.5" customHeight="1">
      <c r="A61" s="184">
        <v>45927.0</v>
      </c>
      <c r="B61" s="185" t="s">
        <v>56</v>
      </c>
      <c r="C61" s="186">
        <v>57400.0</v>
      </c>
      <c r="D61" s="187"/>
      <c r="E61" s="185" t="s">
        <v>52</v>
      </c>
      <c r="F61" s="188" t="s">
        <v>284</v>
      </c>
      <c r="G61" s="185" t="s">
        <v>285</v>
      </c>
      <c r="H61" s="190"/>
      <c r="I61" s="183"/>
      <c r="J61" s="183"/>
    </row>
    <row r="62" ht="22.5" customHeight="1">
      <c r="A62" s="184">
        <v>45927.0</v>
      </c>
      <c r="B62" s="185" t="s">
        <v>56</v>
      </c>
      <c r="C62" s="186">
        <v>56300.0</v>
      </c>
      <c r="D62" s="187"/>
      <c r="E62" s="185" t="s">
        <v>52</v>
      </c>
      <c r="F62" s="188" t="s">
        <v>286</v>
      </c>
      <c r="G62" s="185" t="s">
        <v>287</v>
      </c>
      <c r="H62" s="190"/>
      <c r="I62" s="183"/>
      <c r="J62" s="183"/>
    </row>
    <row r="63" ht="22.5" customHeight="1">
      <c r="A63" s="184">
        <v>45927.0</v>
      </c>
      <c r="B63" s="185" t="s">
        <v>56</v>
      </c>
      <c r="C63" s="186">
        <v>60160.0</v>
      </c>
      <c r="D63" s="187"/>
      <c r="E63" s="185" t="s">
        <v>52</v>
      </c>
      <c r="F63" s="188" t="s">
        <v>288</v>
      </c>
      <c r="G63" s="185" t="s">
        <v>289</v>
      </c>
      <c r="H63" s="190"/>
      <c r="I63" s="183"/>
      <c r="J63" s="183"/>
    </row>
    <row r="64" ht="22.5" customHeight="1">
      <c r="A64" s="184">
        <v>45927.0</v>
      </c>
      <c r="B64" s="185" t="s">
        <v>56</v>
      </c>
      <c r="C64" s="186">
        <v>55960.0</v>
      </c>
      <c r="D64" s="187"/>
      <c r="E64" s="185" t="s">
        <v>52</v>
      </c>
      <c r="F64" s="188" t="s">
        <v>290</v>
      </c>
      <c r="G64" s="185" t="s">
        <v>291</v>
      </c>
      <c r="H64" s="190"/>
      <c r="I64" s="183"/>
      <c r="J64" s="183"/>
    </row>
    <row r="65" ht="22.5" customHeight="1">
      <c r="A65" s="184">
        <v>45927.0</v>
      </c>
      <c r="B65" s="185" t="s">
        <v>56</v>
      </c>
      <c r="C65" s="186">
        <v>56480.0</v>
      </c>
      <c r="D65" s="187"/>
      <c r="E65" s="185" t="s">
        <v>52</v>
      </c>
      <c r="F65" s="188" t="s">
        <v>292</v>
      </c>
      <c r="G65" s="185" t="s">
        <v>293</v>
      </c>
      <c r="H65" s="190"/>
      <c r="I65" s="183"/>
      <c r="J65" s="183"/>
    </row>
    <row r="66" ht="22.5" customHeight="1">
      <c r="A66" s="184">
        <v>45927.0</v>
      </c>
      <c r="B66" s="185" t="s">
        <v>56</v>
      </c>
      <c r="C66" s="191">
        <v>57820.0</v>
      </c>
      <c r="D66" s="187"/>
      <c r="E66" s="185" t="s">
        <v>52</v>
      </c>
      <c r="F66" s="188"/>
      <c r="G66" s="185" t="s">
        <v>263</v>
      </c>
      <c r="H66" s="190"/>
      <c r="I66" s="183"/>
      <c r="J66" s="183"/>
    </row>
    <row r="67" ht="22.5" customHeight="1">
      <c r="A67" s="184">
        <v>45927.0</v>
      </c>
      <c r="B67" s="185" t="s">
        <v>56</v>
      </c>
      <c r="C67" s="191">
        <v>56080.0</v>
      </c>
      <c r="D67" s="187"/>
      <c r="E67" s="185" t="s">
        <v>52</v>
      </c>
      <c r="F67" s="188"/>
      <c r="G67" s="185" t="s">
        <v>263</v>
      </c>
      <c r="H67" s="190"/>
      <c r="I67" s="183"/>
      <c r="J67" s="183"/>
    </row>
    <row r="68" ht="22.5" customHeight="1">
      <c r="A68" s="184">
        <v>45927.0</v>
      </c>
      <c r="B68" s="185" t="s">
        <v>56</v>
      </c>
      <c r="C68" s="186">
        <v>57000.0</v>
      </c>
      <c r="D68" s="187"/>
      <c r="E68" s="185" t="s">
        <v>52</v>
      </c>
      <c r="F68" s="188" t="s">
        <v>294</v>
      </c>
      <c r="G68" s="185" t="s">
        <v>295</v>
      </c>
      <c r="H68" s="190"/>
      <c r="I68" s="183"/>
      <c r="J68" s="183"/>
    </row>
    <row r="69" ht="22.5" customHeight="1">
      <c r="A69" s="184">
        <v>45937.0</v>
      </c>
      <c r="B69" s="185" t="s">
        <v>59</v>
      </c>
      <c r="C69" s="186">
        <v>58580.0</v>
      </c>
      <c r="D69" s="187">
        <v>16.0</v>
      </c>
      <c r="E69" s="185" t="s">
        <v>35</v>
      </c>
      <c r="F69" s="188" t="s">
        <v>296</v>
      </c>
      <c r="G69" s="185" t="s">
        <v>297</v>
      </c>
      <c r="H69" s="182">
        <v>0.0</v>
      </c>
      <c r="I69" s="183"/>
      <c r="J69" s="183"/>
    </row>
    <row r="70" ht="22.5" customHeight="1">
      <c r="A70" s="184">
        <v>45937.0</v>
      </c>
      <c r="B70" s="185" t="s">
        <v>59</v>
      </c>
      <c r="C70" s="186">
        <v>54780.0</v>
      </c>
      <c r="D70" s="187">
        <v>15.3</v>
      </c>
      <c r="E70" s="185" t="s">
        <v>35</v>
      </c>
      <c r="F70" s="188" t="s">
        <v>298</v>
      </c>
      <c r="G70" s="185" t="s">
        <v>299</v>
      </c>
      <c r="H70" s="182">
        <v>0.0</v>
      </c>
      <c r="I70" s="183"/>
      <c r="J70" s="183"/>
    </row>
    <row r="71" ht="22.5" customHeight="1">
      <c r="A71" s="184">
        <v>45944.0</v>
      </c>
      <c r="B71" s="185" t="s">
        <v>60</v>
      </c>
      <c r="C71" s="186">
        <v>58380.0</v>
      </c>
      <c r="D71" s="187">
        <v>15.3</v>
      </c>
      <c r="E71" s="185" t="s">
        <v>35</v>
      </c>
      <c r="F71" s="188" t="s">
        <v>300</v>
      </c>
      <c r="G71" s="185" t="s">
        <v>301</v>
      </c>
      <c r="H71" s="190"/>
      <c r="I71" s="183"/>
      <c r="J71" s="183"/>
    </row>
    <row r="72" ht="22.5" customHeight="1">
      <c r="A72" s="184">
        <v>45944.0</v>
      </c>
      <c r="B72" s="185" t="s">
        <v>60</v>
      </c>
      <c r="C72" s="186">
        <v>56840.0</v>
      </c>
      <c r="D72" s="187">
        <v>15.0</v>
      </c>
      <c r="E72" s="185" t="s">
        <v>35</v>
      </c>
      <c r="F72" s="188" t="s">
        <v>302</v>
      </c>
      <c r="G72" s="185" t="s">
        <v>303</v>
      </c>
      <c r="H72" s="190"/>
      <c r="I72" s="183"/>
      <c r="J72" s="183"/>
    </row>
    <row r="73" ht="22.5" customHeight="1">
      <c r="A73" s="184">
        <v>45944.0</v>
      </c>
      <c r="B73" s="185" t="s">
        <v>60</v>
      </c>
      <c r="C73" s="186">
        <v>56860.0</v>
      </c>
      <c r="D73" s="187">
        <v>15.2</v>
      </c>
      <c r="E73" s="185" t="s">
        <v>35</v>
      </c>
      <c r="F73" s="188" t="s">
        <v>304</v>
      </c>
      <c r="G73" s="185" t="s">
        <v>305</v>
      </c>
      <c r="H73" s="190"/>
      <c r="I73" s="183"/>
      <c r="J73" s="183"/>
    </row>
    <row r="74" ht="22.5" customHeight="1">
      <c r="A74" s="184">
        <v>45944.0</v>
      </c>
      <c r="B74" s="185" t="s">
        <v>60</v>
      </c>
      <c r="C74" s="186">
        <v>55980.0</v>
      </c>
      <c r="D74" s="187">
        <v>14.9</v>
      </c>
      <c r="E74" s="185" t="s">
        <v>35</v>
      </c>
      <c r="F74" s="188" t="s">
        <v>306</v>
      </c>
      <c r="G74" s="185" t="s">
        <v>307</v>
      </c>
      <c r="H74" s="190"/>
      <c r="I74" s="183"/>
      <c r="J74" s="183"/>
    </row>
    <row r="75" ht="22.5" customHeight="1">
      <c r="A75" s="184">
        <v>45944.0</v>
      </c>
      <c r="B75" s="185" t="s">
        <v>60</v>
      </c>
      <c r="C75" s="186">
        <v>57200.0</v>
      </c>
      <c r="D75" s="187">
        <v>15.0</v>
      </c>
      <c r="E75" s="185" t="s">
        <v>35</v>
      </c>
      <c r="F75" s="188" t="s">
        <v>308</v>
      </c>
      <c r="G75" s="185" t="s">
        <v>309</v>
      </c>
      <c r="H75" s="190"/>
      <c r="I75" s="183"/>
      <c r="J75" s="183"/>
    </row>
    <row r="76" ht="22.5" customHeight="1">
      <c r="A76" s="184">
        <v>45944.0</v>
      </c>
      <c r="B76" s="185" t="s">
        <v>60</v>
      </c>
      <c r="C76" s="186">
        <v>57800.0</v>
      </c>
      <c r="D76" s="187">
        <v>15.3</v>
      </c>
      <c r="E76" s="185" t="s">
        <v>35</v>
      </c>
      <c r="F76" s="188" t="s">
        <v>310</v>
      </c>
      <c r="G76" s="185" t="s">
        <v>311</v>
      </c>
      <c r="H76" s="190"/>
      <c r="I76" s="183"/>
      <c r="J76" s="183"/>
    </row>
    <row r="77" ht="22.5" customHeight="1">
      <c r="A77" s="184">
        <v>45944.0</v>
      </c>
      <c r="B77" s="185" t="s">
        <v>60</v>
      </c>
      <c r="C77" s="186">
        <v>58380.0</v>
      </c>
      <c r="D77" s="187">
        <v>15.2</v>
      </c>
      <c r="E77" s="185" t="s">
        <v>35</v>
      </c>
      <c r="F77" s="188" t="s">
        <v>312</v>
      </c>
      <c r="G77" s="185" t="s">
        <v>313</v>
      </c>
      <c r="H77" s="190"/>
      <c r="I77" s="183"/>
      <c r="J77" s="183"/>
    </row>
    <row r="78" ht="22.5" customHeight="1">
      <c r="A78" s="184">
        <v>45944.0</v>
      </c>
      <c r="B78" s="185" t="s">
        <v>60</v>
      </c>
      <c r="C78" s="186">
        <v>57140.0</v>
      </c>
      <c r="D78" s="187">
        <v>15.4</v>
      </c>
      <c r="E78" s="185" t="s">
        <v>35</v>
      </c>
      <c r="F78" s="188" t="s">
        <v>314</v>
      </c>
      <c r="G78" s="185" t="s">
        <v>315</v>
      </c>
      <c r="H78" s="190"/>
      <c r="I78" s="183"/>
      <c r="J78" s="183"/>
    </row>
    <row r="79" ht="22.5" customHeight="1">
      <c r="A79" s="184">
        <v>45944.0</v>
      </c>
      <c r="B79" s="185" t="s">
        <v>60</v>
      </c>
      <c r="C79" s="186">
        <v>22680.0</v>
      </c>
      <c r="D79" s="187">
        <v>15.7</v>
      </c>
      <c r="E79" s="185" t="s">
        <v>35</v>
      </c>
      <c r="F79" s="188" t="s">
        <v>316</v>
      </c>
      <c r="G79" s="185" t="s">
        <v>317</v>
      </c>
      <c r="H79" s="190"/>
      <c r="I79" s="183"/>
      <c r="J79" s="183"/>
    </row>
    <row r="80" ht="22.5" customHeight="1">
      <c r="A80" s="192">
        <v>45950.0</v>
      </c>
      <c r="B80" s="185" t="s">
        <v>61</v>
      </c>
      <c r="C80" s="186">
        <v>16870.0</v>
      </c>
      <c r="D80" s="193">
        <v>16.5</v>
      </c>
      <c r="E80" s="185" t="s">
        <v>35</v>
      </c>
      <c r="F80" s="185">
        <v>255781.0</v>
      </c>
      <c r="G80" s="185" t="s">
        <v>318</v>
      </c>
      <c r="H80" s="190"/>
      <c r="I80" s="183"/>
      <c r="J80" s="183"/>
    </row>
    <row r="81" ht="22.5" customHeight="1">
      <c r="A81" s="184">
        <v>45947.0</v>
      </c>
      <c r="B81" s="185" t="s">
        <v>61</v>
      </c>
      <c r="C81" s="186">
        <v>57220.0</v>
      </c>
      <c r="D81" s="187">
        <v>18.8</v>
      </c>
      <c r="E81" s="185" t="s">
        <v>35</v>
      </c>
      <c r="F81" s="188" t="s">
        <v>319</v>
      </c>
      <c r="G81" s="185" t="s">
        <v>320</v>
      </c>
      <c r="H81" s="190"/>
      <c r="I81" s="183"/>
      <c r="J81" s="183"/>
    </row>
    <row r="82" ht="22.5" customHeight="1">
      <c r="A82" s="184">
        <v>45947.0</v>
      </c>
      <c r="B82" s="185" t="s">
        <v>61</v>
      </c>
      <c r="C82" s="186">
        <v>57340.0</v>
      </c>
      <c r="D82" s="187">
        <v>17.2</v>
      </c>
      <c r="E82" s="185" t="s">
        <v>35</v>
      </c>
      <c r="F82" s="188" t="s">
        <v>321</v>
      </c>
      <c r="G82" s="185" t="s">
        <v>322</v>
      </c>
      <c r="H82" s="190"/>
      <c r="I82" s="183"/>
      <c r="J82" s="183"/>
    </row>
    <row r="83" ht="22.5" customHeight="1">
      <c r="A83" s="184">
        <v>45947.0</v>
      </c>
      <c r="B83" s="185" t="s">
        <v>61</v>
      </c>
      <c r="C83" s="186">
        <v>57100.0</v>
      </c>
      <c r="D83" s="187">
        <v>16.9</v>
      </c>
      <c r="E83" s="185" t="s">
        <v>35</v>
      </c>
      <c r="F83" s="188" t="s">
        <v>323</v>
      </c>
      <c r="G83" s="185" t="s">
        <v>324</v>
      </c>
      <c r="H83" s="190"/>
      <c r="I83" s="183"/>
      <c r="J83" s="183"/>
    </row>
    <row r="84" ht="22.5" customHeight="1">
      <c r="A84" s="184">
        <v>45947.0</v>
      </c>
      <c r="B84" s="185" t="s">
        <v>61</v>
      </c>
      <c r="C84" s="186">
        <v>57080.0</v>
      </c>
      <c r="D84" s="187">
        <v>17.9</v>
      </c>
      <c r="E84" s="185" t="s">
        <v>35</v>
      </c>
      <c r="F84" s="188" t="s">
        <v>325</v>
      </c>
      <c r="G84" s="185" t="s">
        <v>326</v>
      </c>
      <c r="H84" s="190"/>
      <c r="I84" s="183"/>
      <c r="J84" s="183"/>
    </row>
    <row r="85" ht="22.5" customHeight="1">
      <c r="A85" s="184">
        <v>45947.0</v>
      </c>
      <c r="B85" s="185" t="s">
        <v>61</v>
      </c>
      <c r="C85" s="186">
        <v>57540.0</v>
      </c>
      <c r="D85" s="187">
        <v>17.4</v>
      </c>
      <c r="E85" s="185" t="s">
        <v>35</v>
      </c>
      <c r="F85" s="188" t="s">
        <v>327</v>
      </c>
      <c r="G85" s="185" t="s">
        <v>328</v>
      </c>
      <c r="H85" s="190"/>
      <c r="I85" s="183"/>
      <c r="J85" s="183"/>
    </row>
    <row r="86" ht="22.5" customHeight="1">
      <c r="A86" s="184">
        <v>45947.0</v>
      </c>
      <c r="B86" s="185" t="s">
        <v>61</v>
      </c>
      <c r="C86" s="186">
        <v>57040.0</v>
      </c>
      <c r="D86" s="187">
        <v>17.7</v>
      </c>
      <c r="E86" s="185" t="s">
        <v>35</v>
      </c>
      <c r="F86" s="188" t="s">
        <v>329</v>
      </c>
      <c r="G86" s="185" t="s">
        <v>330</v>
      </c>
      <c r="H86" s="190"/>
      <c r="I86" s="183"/>
      <c r="J86" s="183"/>
    </row>
    <row r="87" ht="22.5" customHeight="1">
      <c r="A87" s="192">
        <v>45947.0</v>
      </c>
      <c r="B87" s="185" t="s">
        <v>61</v>
      </c>
      <c r="C87" s="186">
        <v>56380.0</v>
      </c>
      <c r="D87" s="182">
        <v>17.4</v>
      </c>
      <c r="E87" s="185" t="s">
        <v>35</v>
      </c>
      <c r="F87" s="188" t="s">
        <v>331</v>
      </c>
      <c r="G87" s="185" t="s">
        <v>332</v>
      </c>
      <c r="H87" s="190"/>
      <c r="I87" s="183"/>
      <c r="J87" s="183"/>
    </row>
    <row r="88" ht="22.5" customHeight="1">
      <c r="A88" s="184">
        <v>45947.0</v>
      </c>
      <c r="B88" s="185" t="s">
        <v>61</v>
      </c>
      <c r="C88" s="186">
        <v>56340.0</v>
      </c>
      <c r="D88" s="187">
        <v>18.2</v>
      </c>
      <c r="E88" s="185" t="s">
        <v>35</v>
      </c>
      <c r="F88" s="188" t="s">
        <v>333</v>
      </c>
      <c r="G88" s="185" t="s">
        <v>334</v>
      </c>
      <c r="H88" s="190"/>
      <c r="I88" s="183"/>
      <c r="J88" s="183"/>
    </row>
    <row r="89" ht="22.5" customHeight="1">
      <c r="A89" s="184">
        <v>45950.0</v>
      </c>
      <c r="B89" s="185" t="s">
        <v>61</v>
      </c>
      <c r="C89" s="191">
        <v>58540.0</v>
      </c>
      <c r="D89" s="187">
        <v>16.4</v>
      </c>
      <c r="E89" s="185" t="s">
        <v>35</v>
      </c>
      <c r="F89" s="188" t="s">
        <v>335</v>
      </c>
      <c r="G89" s="185" t="s">
        <v>336</v>
      </c>
      <c r="H89" s="190"/>
      <c r="I89" s="183"/>
      <c r="J89" s="183"/>
    </row>
    <row r="90" ht="22.5" customHeight="1">
      <c r="A90" s="184">
        <v>45950.0</v>
      </c>
      <c r="B90" s="185" t="s">
        <v>61</v>
      </c>
      <c r="C90" s="186">
        <v>56260.0</v>
      </c>
      <c r="D90" s="187">
        <v>17.8</v>
      </c>
      <c r="E90" s="185" t="s">
        <v>35</v>
      </c>
      <c r="F90" s="188" t="s">
        <v>337</v>
      </c>
      <c r="G90" s="185" t="s">
        <v>338</v>
      </c>
      <c r="H90" s="190"/>
      <c r="I90" s="183"/>
      <c r="J90" s="183"/>
    </row>
    <row r="91" ht="22.5" customHeight="1">
      <c r="A91" s="184">
        <v>45950.0</v>
      </c>
      <c r="B91" s="185" t="s">
        <v>61</v>
      </c>
      <c r="C91" s="186">
        <v>57400.0</v>
      </c>
      <c r="D91" s="187">
        <v>17.9</v>
      </c>
      <c r="E91" s="185" t="s">
        <v>35</v>
      </c>
      <c r="F91" s="188" t="s">
        <v>339</v>
      </c>
      <c r="G91" s="185" t="s">
        <v>340</v>
      </c>
      <c r="H91" s="190"/>
      <c r="I91" s="183"/>
      <c r="J91" s="183"/>
    </row>
    <row r="92" ht="22.5" customHeight="1">
      <c r="A92" s="184">
        <v>45950.0</v>
      </c>
      <c r="B92" s="185" t="s">
        <v>61</v>
      </c>
      <c r="C92" s="186">
        <v>57480.0</v>
      </c>
      <c r="D92" s="187">
        <v>12.7</v>
      </c>
      <c r="E92" s="185" t="s">
        <v>35</v>
      </c>
      <c r="F92" s="188" t="s">
        <v>341</v>
      </c>
      <c r="G92" s="185" t="s">
        <v>342</v>
      </c>
      <c r="H92" s="190"/>
      <c r="I92" s="183"/>
      <c r="J92" s="183"/>
    </row>
    <row r="93" ht="22.5" customHeight="1">
      <c r="A93" s="184">
        <v>45950.0</v>
      </c>
      <c r="B93" s="185" t="s">
        <v>61</v>
      </c>
      <c r="C93" s="186">
        <v>56840.0</v>
      </c>
      <c r="D93" s="187">
        <v>17.9</v>
      </c>
      <c r="E93" s="185" t="s">
        <v>35</v>
      </c>
      <c r="F93" s="188" t="s">
        <v>343</v>
      </c>
      <c r="G93" s="185" t="s">
        <v>344</v>
      </c>
      <c r="H93" s="190"/>
      <c r="I93" s="183"/>
      <c r="J93" s="183"/>
    </row>
    <row r="94" ht="22.5" customHeight="1">
      <c r="A94" s="184">
        <v>45947.0</v>
      </c>
      <c r="B94" s="185" t="s">
        <v>61</v>
      </c>
      <c r="C94" s="186">
        <v>57280.0</v>
      </c>
      <c r="D94" s="187">
        <v>15.7</v>
      </c>
      <c r="E94" s="185" t="s">
        <v>35</v>
      </c>
      <c r="F94" s="188" t="s">
        <v>345</v>
      </c>
      <c r="G94" s="185" t="s">
        <v>346</v>
      </c>
      <c r="H94" s="190"/>
      <c r="I94" s="183"/>
      <c r="J94" s="183"/>
    </row>
    <row r="95" ht="22.5" customHeight="1">
      <c r="A95" s="184">
        <v>45950.0</v>
      </c>
      <c r="B95" s="185" t="s">
        <v>62</v>
      </c>
      <c r="C95" s="186">
        <v>45610.0</v>
      </c>
      <c r="D95" s="187">
        <v>16.5</v>
      </c>
      <c r="E95" s="185" t="s">
        <v>35</v>
      </c>
      <c r="F95" s="188" t="s">
        <v>347</v>
      </c>
      <c r="G95" s="185" t="s">
        <v>348</v>
      </c>
      <c r="H95" s="190"/>
      <c r="I95" s="183"/>
      <c r="J95" s="183"/>
    </row>
    <row r="96" ht="22.5" customHeight="1">
      <c r="A96" s="184">
        <v>45950.0</v>
      </c>
      <c r="B96" s="185" t="s">
        <v>62</v>
      </c>
      <c r="C96" s="186">
        <v>57080.0</v>
      </c>
      <c r="D96" s="187">
        <v>17.7</v>
      </c>
      <c r="E96" s="185" t="s">
        <v>35</v>
      </c>
      <c r="F96" s="188" t="s">
        <v>349</v>
      </c>
      <c r="G96" s="185" t="s">
        <v>350</v>
      </c>
      <c r="H96" s="190"/>
      <c r="I96" s="183"/>
      <c r="J96" s="183"/>
    </row>
    <row r="97" ht="22.5" customHeight="1">
      <c r="A97" s="184">
        <v>45950.0</v>
      </c>
      <c r="B97" s="185" t="s">
        <v>62</v>
      </c>
      <c r="C97" s="191">
        <v>57540.0</v>
      </c>
      <c r="D97" s="187">
        <v>16.1</v>
      </c>
      <c r="E97" s="185" t="s">
        <v>35</v>
      </c>
      <c r="F97" s="188" t="s">
        <v>351</v>
      </c>
      <c r="G97" s="185" t="s">
        <v>352</v>
      </c>
      <c r="H97" s="190"/>
      <c r="I97" s="183"/>
      <c r="J97" s="183"/>
    </row>
    <row r="98" ht="22.5" customHeight="1">
      <c r="A98" s="184">
        <v>45950.0</v>
      </c>
      <c r="B98" s="185" t="s">
        <v>62</v>
      </c>
      <c r="C98" s="186">
        <v>57640.0</v>
      </c>
      <c r="D98" s="187">
        <v>17.5</v>
      </c>
      <c r="E98" s="185" t="s">
        <v>35</v>
      </c>
      <c r="F98" s="188" t="s">
        <v>351</v>
      </c>
      <c r="G98" s="185" t="s">
        <v>353</v>
      </c>
      <c r="H98" s="190"/>
      <c r="I98" s="183"/>
      <c r="J98" s="183"/>
    </row>
    <row r="99" ht="22.5" customHeight="1">
      <c r="A99" s="184">
        <v>45950.0</v>
      </c>
      <c r="B99" s="185" t="s">
        <v>62</v>
      </c>
      <c r="C99" s="186">
        <v>58680.0</v>
      </c>
      <c r="D99" s="187">
        <v>17.1</v>
      </c>
      <c r="E99" s="185" t="s">
        <v>35</v>
      </c>
      <c r="F99" s="188" t="s">
        <v>354</v>
      </c>
      <c r="G99" s="185" t="s">
        <v>355</v>
      </c>
      <c r="H99" s="190"/>
      <c r="I99" s="183"/>
      <c r="J99" s="183"/>
    </row>
    <row r="100">
      <c r="A100" s="184">
        <v>45950.0</v>
      </c>
      <c r="B100" s="185" t="s">
        <v>62</v>
      </c>
      <c r="C100" s="186">
        <v>58840.0</v>
      </c>
      <c r="D100" s="187">
        <v>16.5</v>
      </c>
      <c r="E100" s="185" t="s">
        <v>35</v>
      </c>
      <c r="F100" s="188" t="s">
        <v>356</v>
      </c>
      <c r="G100" s="185" t="s">
        <v>357</v>
      </c>
      <c r="H100" s="190"/>
    </row>
    <row r="101" ht="22.5" customHeight="1">
      <c r="A101" s="184">
        <v>45950.0</v>
      </c>
      <c r="B101" s="185" t="s">
        <v>62</v>
      </c>
      <c r="C101" s="186">
        <v>57200.0</v>
      </c>
      <c r="D101" s="187">
        <v>16.2</v>
      </c>
      <c r="E101" s="185" t="s">
        <v>35</v>
      </c>
      <c r="F101" s="188" t="s">
        <v>358</v>
      </c>
      <c r="G101" s="185" t="s">
        <v>359</v>
      </c>
      <c r="H101" s="190"/>
      <c r="I101" s="183"/>
      <c r="J101" s="183"/>
    </row>
    <row r="102" ht="22.5" customHeight="1">
      <c r="A102" s="184">
        <v>45950.0</v>
      </c>
      <c r="B102" s="185" t="s">
        <v>62</v>
      </c>
      <c r="C102" s="186">
        <v>58560.0</v>
      </c>
      <c r="D102" s="187">
        <v>16.5</v>
      </c>
      <c r="E102" s="185" t="s">
        <v>35</v>
      </c>
      <c r="F102" s="188" t="s">
        <v>360</v>
      </c>
      <c r="G102" s="185" t="s">
        <v>361</v>
      </c>
      <c r="H102" s="190"/>
      <c r="I102" s="183"/>
      <c r="J102" s="183"/>
    </row>
    <row r="103" ht="22.5" customHeight="1">
      <c r="A103" s="184">
        <v>45950.0</v>
      </c>
      <c r="B103" s="185" t="s">
        <v>62</v>
      </c>
      <c r="C103" s="186">
        <v>57880.0</v>
      </c>
      <c r="D103" s="187">
        <v>16.7</v>
      </c>
      <c r="E103" s="185" t="s">
        <v>35</v>
      </c>
      <c r="F103" s="188" t="s">
        <v>362</v>
      </c>
      <c r="G103" s="185" t="s">
        <v>363</v>
      </c>
      <c r="H103" s="190"/>
      <c r="I103" s="183"/>
      <c r="J103" s="183"/>
    </row>
    <row r="104" ht="22.5" customHeight="1">
      <c r="A104" s="184">
        <v>45950.0</v>
      </c>
      <c r="B104" s="185" t="s">
        <v>62</v>
      </c>
      <c r="C104" s="186">
        <v>57940.0</v>
      </c>
      <c r="D104" s="187">
        <v>16.8</v>
      </c>
      <c r="E104" s="185" t="s">
        <v>35</v>
      </c>
      <c r="F104" s="188" t="s">
        <v>364</v>
      </c>
      <c r="G104" s="185" t="s">
        <v>365</v>
      </c>
      <c r="H104" s="190"/>
      <c r="I104" s="183"/>
      <c r="J104" s="183"/>
    </row>
    <row r="105" ht="22.5" customHeight="1">
      <c r="A105" s="184">
        <v>45950.0</v>
      </c>
      <c r="B105" s="185" t="s">
        <v>62</v>
      </c>
      <c r="C105" s="186">
        <v>58360.0</v>
      </c>
      <c r="D105" s="187">
        <v>16.7</v>
      </c>
      <c r="E105" s="185" t="s">
        <v>35</v>
      </c>
      <c r="F105" s="188" t="s">
        <v>366</v>
      </c>
      <c r="G105" s="185" t="s">
        <v>367</v>
      </c>
      <c r="H105" s="190"/>
      <c r="I105" s="183"/>
      <c r="J105" s="183"/>
    </row>
    <row r="106" ht="22.5" customHeight="1">
      <c r="A106" s="184">
        <v>45950.0</v>
      </c>
      <c r="B106" s="185" t="s">
        <v>62</v>
      </c>
      <c r="C106" s="186">
        <v>58580.0</v>
      </c>
      <c r="D106" s="187">
        <v>17.0</v>
      </c>
      <c r="E106" s="185" t="s">
        <v>35</v>
      </c>
      <c r="F106" s="188" t="s">
        <v>368</v>
      </c>
      <c r="G106" s="185" t="s">
        <v>369</v>
      </c>
      <c r="H106" s="190"/>
      <c r="I106" s="183"/>
      <c r="J106" s="183"/>
    </row>
    <row r="107" ht="22.5" customHeight="1">
      <c r="A107" s="184">
        <v>45950.0</v>
      </c>
      <c r="B107" s="185" t="s">
        <v>62</v>
      </c>
      <c r="C107" s="186">
        <v>57920.0</v>
      </c>
      <c r="D107" s="187">
        <v>17.0</v>
      </c>
      <c r="E107" s="185" t="s">
        <v>35</v>
      </c>
      <c r="F107" s="188" t="s">
        <v>370</v>
      </c>
      <c r="G107" s="185" t="s">
        <v>371</v>
      </c>
      <c r="H107" s="190"/>
      <c r="I107" s="183"/>
      <c r="J107" s="183"/>
    </row>
    <row r="108" ht="22.5" customHeight="1">
      <c r="A108" s="184">
        <v>45950.0</v>
      </c>
      <c r="B108" s="185" t="s">
        <v>62</v>
      </c>
      <c r="C108" s="186">
        <v>57480.0</v>
      </c>
      <c r="D108" s="187">
        <v>17.7</v>
      </c>
      <c r="E108" s="185" t="s">
        <v>35</v>
      </c>
      <c r="F108" s="188" t="s">
        <v>372</v>
      </c>
      <c r="G108" s="185" t="s">
        <v>373</v>
      </c>
      <c r="H108" s="190"/>
      <c r="I108" s="183"/>
      <c r="J108" s="183"/>
    </row>
    <row r="109" ht="22.5" customHeight="1">
      <c r="A109" s="184">
        <v>45950.0</v>
      </c>
      <c r="B109" s="185" t="s">
        <v>62</v>
      </c>
      <c r="C109" s="186">
        <v>36760.0</v>
      </c>
      <c r="D109" s="187">
        <v>17.1</v>
      </c>
      <c r="E109" s="185" t="s">
        <v>35</v>
      </c>
      <c r="F109" s="188" t="s">
        <v>374</v>
      </c>
      <c r="G109" s="185" t="s">
        <v>375</v>
      </c>
      <c r="H109" s="190"/>
      <c r="I109" s="183"/>
      <c r="J109" s="183"/>
    </row>
    <row r="110" ht="22.5" customHeight="1">
      <c r="A110" s="184">
        <v>45907.0</v>
      </c>
      <c r="B110" s="185" t="s">
        <v>63</v>
      </c>
      <c r="C110" s="186">
        <v>296480.0</v>
      </c>
      <c r="D110" s="187"/>
      <c r="E110" s="185" t="s">
        <v>43</v>
      </c>
      <c r="F110" s="188" t="s">
        <v>11</v>
      </c>
      <c r="G110" s="185" t="s">
        <v>259</v>
      </c>
      <c r="H110" s="190"/>
      <c r="I110" s="183"/>
      <c r="J110" s="183"/>
    </row>
    <row r="111">
      <c r="A111" s="184">
        <v>45930.0</v>
      </c>
      <c r="B111" s="185" t="s">
        <v>64</v>
      </c>
      <c r="C111" s="186">
        <v>41842.0</v>
      </c>
      <c r="D111" s="187">
        <v>10.2</v>
      </c>
      <c r="E111" s="185" t="s">
        <v>47</v>
      </c>
      <c r="F111" s="188" t="s">
        <v>376</v>
      </c>
      <c r="G111" s="185" t="s">
        <v>377</v>
      </c>
      <c r="H111" s="182">
        <v>0.28</v>
      </c>
    </row>
    <row r="112" ht="22.5" customHeight="1">
      <c r="A112" s="184">
        <v>45931.0</v>
      </c>
      <c r="B112" s="185" t="s">
        <v>66</v>
      </c>
      <c r="C112" s="186">
        <v>30280.0</v>
      </c>
      <c r="D112" s="187">
        <v>11.2</v>
      </c>
      <c r="E112" s="185" t="s">
        <v>47</v>
      </c>
      <c r="F112" s="188" t="s">
        <v>378</v>
      </c>
      <c r="G112" s="185" t="s">
        <v>379</v>
      </c>
      <c r="H112" s="182">
        <v>0.33</v>
      </c>
      <c r="I112" s="183"/>
      <c r="J112" s="183"/>
    </row>
    <row r="113">
      <c r="A113" s="192">
        <v>45860.0</v>
      </c>
      <c r="B113" s="185" t="s">
        <v>67</v>
      </c>
      <c r="C113" s="186">
        <v>54500.0</v>
      </c>
      <c r="D113" s="183"/>
      <c r="E113" s="185" t="s">
        <v>38</v>
      </c>
      <c r="F113" s="185">
        <v>171.0</v>
      </c>
      <c r="G113" s="185" t="s">
        <v>380</v>
      </c>
      <c r="H113" s="190"/>
    </row>
    <row r="114" ht="22.5" customHeight="1">
      <c r="A114" s="184">
        <v>45856.0</v>
      </c>
      <c r="B114" s="185" t="s">
        <v>67</v>
      </c>
      <c r="C114" s="186">
        <v>53100.0</v>
      </c>
      <c r="D114" s="187"/>
      <c r="E114" s="185" t="s">
        <v>38</v>
      </c>
      <c r="F114" s="188" t="s">
        <v>381</v>
      </c>
      <c r="G114" s="185" t="s">
        <v>382</v>
      </c>
      <c r="H114" s="182"/>
      <c r="I114" s="183"/>
      <c r="J114" s="183"/>
    </row>
    <row r="115" ht="22.5" customHeight="1">
      <c r="A115" s="184">
        <v>45859.0</v>
      </c>
      <c r="B115" s="185" t="s">
        <v>67</v>
      </c>
      <c r="C115" s="186">
        <v>56260.0</v>
      </c>
      <c r="D115" s="187"/>
      <c r="E115" s="185" t="s">
        <v>38</v>
      </c>
      <c r="F115" s="188" t="s">
        <v>383</v>
      </c>
      <c r="G115" s="185" t="s">
        <v>384</v>
      </c>
      <c r="H115" s="182">
        <v>0.0</v>
      </c>
      <c r="I115" s="183"/>
      <c r="J115" s="183"/>
    </row>
    <row r="116" ht="22.5" customHeight="1">
      <c r="A116" s="192">
        <v>45860.0</v>
      </c>
      <c r="B116" s="185" t="s">
        <v>67</v>
      </c>
      <c r="C116" s="186">
        <v>55800.0</v>
      </c>
      <c r="D116" s="193"/>
      <c r="E116" s="185" t="s">
        <v>38</v>
      </c>
      <c r="F116" s="188" t="s">
        <v>385</v>
      </c>
      <c r="G116" s="185" t="s">
        <v>386</v>
      </c>
      <c r="H116" s="182">
        <v>0.0</v>
      </c>
      <c r="I116" s="183"/>
      <c r="J116" s="183"/>
    </row>
    <row r="117" ht="22.5" customHeight="1">
      <c r="A117" s="184">
        <v>45936.0</v>
      </c>
      <c r="B117" s="185" t="s">
        <v>68</v>
      </c>
      <c r="C117" s="186">
        <v>55440.0</v>
      </c>
      <c r="D117" s="187">
        <v>15.5</v>
      </c>
      <c r="E117" s="185" t="s">
        <v>35</v>
      </c>
      <c r="F117" s="188" t="s">
        <v>387</v>
      </c>
      <c r="G117" s="185" t="s">
        <v>388</v>
      </c>
      <c r="H117" s="182">
        <v>0.0</v>
      </c>
      <c r="I117" s="183"/>
      <c r="J117" s="183"/>
    </row>
    <row r="118" ht="22.5" customHeight="1">
      <c r="A118" s="184">
        <v>45936.0</v>
      </c>
      <c r="B118" s="185" t="s">
        <v>68</v>
      </c>
      <c r="C118" s="191">
        <v>10674.0</v>
      </c>
      <c r="D118" s="187">
        <v>15.5</v>
      </c>
      <c r="E118" s="185" t="s">
        <v>35</v>
      </c>
      <c r="F118" s="188" t="s">
        <v>389</v>
      </c>
      <c r="G118" s="185" t="s">
        <v>390</v>
      </c>
      <c r="H118" s="182">
        <v>0.0</v>
      </c>
      <c r="I118" s="183"/>
      <c r="J118" s="183"/>
    </row>
    <row r="119" ht="22.5" customHeight="1">
      <c r="A119" s="184">
        <v>45937.0</v>
      </c>
      <c r="B119" s="185" t="s">
        <v>68</v>
      </c>
      <c r="C119" s="191">
        <v>35815.0</v>
      </c>
      <c r="D119" s="187">
        <v>16.2</v>
      </c>
      <c r="E119" s="185" t="s">
        <v>35</v>
      </c>
      <c r="F119" s="188" t="s">
        <v>391</v>
      </c>
      <c r="G119" s="185" t="s">
        <v>392</v>
      </c>
      <c r="H119" s="182">
        <v>0.0</v>
      </c>
      <c r="I119" s="183"/>
      <c r="J119" s="183"/>
    </row>
    <row r="120" ht="22.5" customHeight="1">
      <c r="A120" s="184">
        <v>45931.0</v>
      </c>
      <c r="B120" s="185" t="s">
        <v>69</v>
      </c>
      <c r="C120" s="186">
        <v>29669.0</v>
      </c>
      <c r="D120" s="187">
        <v>9.7</v>
      </c>
      <c r="E120" s="185" t="s">
        <v>47</v>
      </c>
      <c r="F120" s="188" t="s">
        <v>393</v>
      </c>
      <c r="G120" s="185" t="s">
        <v>394</v>
      </c>
      <c r="H120" s="182">
        <v>0.27</v>
      </c>
      <c r="I120" s="183"/>
      <c r="J120" s="183"/>
    </row>
    <row r="121" ht="22.5" customHeight="1">
      <c r="A121" s="184">
        <v>45931.0</v>
      </c>
      <c r="B121" s="185" t="s">
        <v>69</v>
      </c>
      <c r="C121" s="186">
        <v>27520.0</v>
      </c>
      <c r="D121" s="187">
        <v>9.7</v>
      </c>
      <c r="E121" s="185" t="s">
        <v>47</v>
      </c>
      <c r="F121" s="188" t="s">
        <v>395</v>
      </c>
      <c r="G121" s="185" t="s">
        <v>396</v>
      </c>
      <c r="H121" s="182">
        <v>0.23</v>
      </c>
      <c r="I121" s="183"/>
      <c r="J121" s="183"/>
    </row>
    <row r="122" ht="22.5" customHeight="1">
      <c r="A122" s="184">
        <v>45947.0</v>
      </c>
      <c r="B122" s="185" t="s">
        <v>73</v>
      </c>
      <c r="C122" s="186">
        <v>24440.0</v>
      </c>
      <c r="D122" s="187">
        <v>16.4</v>
      </c>
      <c r="E122" s="185" t="s">
        <v>35</v>
      </c>
      <c r="F122" s="188" t="s">
        <v>397</v>
      </c>
      <c r="G122" s="185" t="s">
        <v>398</v>
      </c>
      <c r="H122" s="190"/>
      <c r="I122" s="183"/>
      <c r="J122" s="183"/>
    </row>
    <row r="123" ht="22.5" customHeight="1">
      <c r="A123" s="184">
        <v>45947.0</v>
      </c>
      <c r="B123" s="185" t="s">
        <v>73</v>
      </c>
      <c r="C123" s="186">
        <v>57780.0</v>
      </c>
      <c r="D123" s="187">
        <v>16.5</v>
      </c>
      <c r="E123" s="185" t="s">
        <v>35</v>
      </c>
      <c r="F123" s="188" t="s">
        <v>399</v>
      </c>
      <c r="G123" s="185" t="s">
        <v>400</v>
      </c>
      <c r="H123" s="190"/>
      <c r="I123" s="183"/>
      <c r="J123" s="183"/>
    </row>
    <row r="124" ht="22.5" customHeight="1">
      <c r="A124" s="184">
        <v>45947.0</v>
      </c>
      <c r="B124" s="185" t="s">
        <v>73</v>
      </c>
      <c r="C124" s="186">
        <v>57140.0</v>
      </c>
      <c r="D124" s="187">
        <v>16.4</v>
      </c>
      <c r="E124" s="185" t="s">
        <v>35</v>
      </c>
      <c r="F124" s="188" t="s">
        <v>401</v>
      </c>
      <c r="G124" s="185" t="s">
        <v>402</v>
      </c>
      <c r="H124" s="190"/>
      <c r="I124" s="183"/>
      <c r="J124" s="183"/>
    </row>
    <row r="125" ht="22.5" customHeight="1">
      <c r="A125" s="184">
        <v>45947.0</v>
      </c>
      <c r="B125" s="185" t="s">
        <v>73</v>
      </c>
      <c r="C125" s="186">
        <v>58520.0</v>
      </c>
      <c r="D125" s="187">
        <v>15.7</v>
      </c>
      <c r="E125" s="185" t="s">
        <v>35</v>
      </c>
      <c r="F125" s="188" t="s">
        <v>403</v>
      </c>
      <c r="G125" s="185" t="s">
        <v>404</v>
      </c>
      <c r="H125" s="190"/>
      <c r="I125" s="183"/>
      <c r="J125" s="183"/>
    </row>
    <row r="126" ht="22.5" customHeight="1">
      <c r="A126" s="184">
        <v>45947.0</v>
      </c>
      <c r="B126" s="185" t="s">
        <v>73</v>
      </c>
      <c r="C126" s="186">
        <v>56400.0</v>
      </c>
      <c r="D126" s="187">
        <v>16.7</v>
      </c>
      <c r="E126" s="185" t="s">
        <v>35</v>
      </c>
      <c r="F126" s="188" t="s">
        <v>405</v>
      </c>
      <c r="G126" s="185" t="s">
        <v>406</v>
      </c>
      <c r="H126" s="190"/>
      <c r="I126" s="183"/>
      <c r="J126" s="183"/>
    </row>
    <row r="127" ht="22.5" customHeight="1">
      <c r="A127" s="184">
        <v>45947.0</v>
      </c>
      <c r="B127" s="185" t="s">
        <v>73</v>
      </c>
      <c r="C127" s="186">
        <v>57760.0</v>
      </c>
      <c r="D127" s="187">
        <v>16.5</v>
      </c>
      <c r="E127" s="185" t="s">
        <v>35</v>
      </c>
      <c r="F127" s="188" t="s">
        <v>407</v>
      </c>
      <c r="G127" s="185" t="s">
        <v>408</v>
      </c>
      <c r="H127" s="190"/>
      <c r="I127" s="183"/>
      <c r="J127" s="183"/>
    </row>
    <row r="128" ht="22.5" customHeight="1">
      <c r="A128" s="184">
        <v>45947.0</v>
      </c>
      <c r="B128" s="185" t="s">
        <v>73</v>
      </c>
      <c r="C128" s="186">
        <v>57620.0</v>
      </c>
      <c r="D128" s="187">
        <v>16.5</v>
      </c>
      <c r="E128" s="185" t="s">
        <v>35</v>
      </c>
      <c r="F128" s="188" t="s">
        <v>409</v>
      </c>
      <c r="G128" s="185" t="s">
        <v>410</v>
      </c>
      <c r="H128" s="190"/>
      <c r="I128" s="183"/>
      <c r="J128" s="183"/>
    </row>
    <row r="129" ht="22.5" customHeight="1">
      <c r="A129" s="184">
        <v>45944.0</v>
      </c>
      <c r="B129" s="185" t="s">
        <v>73</v>
      </c>
      <c r="C129" s="186">
        <v>58020.0</v>
      </c>
      <c r="D129" s="187">
        <v>15.7</v>
      </c>
      <c r="E129" s="185" t="s">
        <v>35</v>
      </c>
      <c r="F129" s="188" t="s">
        <v>411</v>
      </c>
      <c r="G129" s="185" t="s">
        <v>412</v>
      </c>
      <c r="H129" s="190"/>
      <c r="I129" s="183"/>
      <c r="J129" s="183"/>
    </row>
    <row r="130" ht="22.5" customHeight="1">
      <c r="A130" s="184">
        <v>45944.0</v>
      </c>
      <c r="B130" s="185" t="s">
        <v>73</v>
      </c>
      <c r="C130" s="186">
        <v>58220.0</v>
      </c>
      <c r="D130" s="187">
        <v>16.5</v>
      </c>
      <c r="E130" s="185" t="s">
        <v>35</v>
      </c>
      <c r="F130" s="188" t="s">
        <v>413</v>
      </c>
      <c r="G130" s="185" t="s">
        <v>414</v>
      </c>
      <c r="H130" s="190"/>
      <c r="I130" s="183"/>
      <c r="J130" s="183"/>
    </row>
    <row r="131" ht="22.5" customHeight="1">
      <c r="A131" s="184">
        <v>45944.0</v>
      </c>
      <c r="B131" s="185" t="s">
        <v>73</v>
      </c>
      <c r="C131" s="186">
        <v>57860.0</v>
      </c>
      <c r="D131" s="187">
        <v>16.0</v>
      </c>
      <c r="E131" s="185" t="s">
        <v>35</v>
      </c>
      <c r="F131" s="188" t="s">
        <v>415</v>
      </c>
      <c r="G131" s="185" t="s">
        <v>416</v>
      </c>
      <c r="H131" s="190"/>
      <c r="I131" s="183"/>
      <c r="J131" s="183"/>
    </row>
    <row r="132" ht="22.5" customHeight="1">
      <c r="A132" s="184">
        <v>45946.0</v>
      </c>
      <c r="B132" s="185" t="s">
        <v>73</v>
      </c>
      <c r="C132" s="186">
        <v>57800.0</v>
      </c>
      <c r="D132" s="187">
        <v>16.1</v>
      </c>
      <c r="E132" s="185" t="s">
        <v>35</v>
      </c>
      <c r="F132" s="188" t="s">
        <v>417</v>
      </c>
      <c r="G132" s="185" t="s">
        <v>418</v>
      </c>
      <c r="H132" s="190"/>
      <c r="I132" s="183"/>
      <c r="J132" s="183"/>
    </row>
    <row r="133" ht="22.5" customHeight="1">
      <c r="A133" s="184">
        <v>45946.0</v>
      </c>
      <c r="B133" s="185" t="s">
        <v>73</v>
      </c>
      <c r="C133" s="186">
        <v>57360.0</v>
      </c>
      <c r="D133" s="187">
        <v>16.3</v>
      </c>
      <c r="E133" s="185" t="s">
        <v>35</v>
      </c>
      <c r="F133" s="188" t="s">
        <v>419</v>
      </c>
      <c r="G133" s="185" t="s">
        <v>420</v>
      </c>
      <c r="H133" s="190"/>
      <c r="I133" s="183"/>
      <c r="J133" s="183"/>
    </row>
    <row r="134" ht="22.5" customHeight="1">
      <c r="A134" s="184">
        <v>45946.0</v>
      </c>
      <c r="B134" s="185" t="s">
        <v>73</v>
      </c>
      <c r="C134" s="191">
        <v>57620.0</v>
      </c>
      <c r="D134" s="187">
        <v>16.3</v>
      </c>
      <c r="E134" s="185" t="s">
        <v>35</v>
      </c>
      <c r="F134" s="188" t="s">
        <v>421</v>
      </c>
      <c r="G134" s="185" t="s">
        <v>422</v>
      </c>
      <c r="H134" s="190"/>
      <c r="I134" s="183"/>
      <c r="J134" s="183"/>
    </row>
    <row r="135" ht="22.5" customHeight="1">
      <c r="A135" s="184">
        <v>45946.0</v>
      </c>
      <c r="B135" s="185" t="s">
        <v>73</v>
      </c>
      <c r="C135" s="191">
        <v>57380.0</v>
      </c>
      <c r="D135" s="187">
        <v>16.0</v>
      </c>
      <c r="E135" s="185" t="s">
        <v>35</v>
      </c>
      <c r="F135" s="188" t="s">
        <v>423</v>
      </c>
      <c r="G135" s="185" t="s">
        <v>424</v>
      </c>
      <c r="H135" s="190"/>
      <c r="I135" s="183"/>
      <c r="J135" s="183"/>
    </row>
    <row r="136" ht="22.5" customHeight="1">
      <c r="A136" s="184">
        <v>45946.0</v>
      </c>
      <c r="B136" s="185" t="s">
        <v>73</v>
      </c>
      <c r="C136" s="191">
        <v>57220.0</v>
      </c>
      <c r="D136" s="187">
        <v>16.3</v>
      </c>
      <c r="E136" s="185" t="s">
        <v>35</v>
      </c>
      <c r="F136" s="188" t="s">
        <v>425</v>
      </c>
      <c r="G136" s="185" t="s">
        <v>426</v>
      </c>
      <c r="H136" s="190"/>
      <c r="I136" s="183"/>
      <c r="J136" s="183"/>
    </row>
    <row r="137" ht="22.5" customHeight="1">
      <c r="A137" s="184">
        <v>45946.0</v>
      </c>
      <c r="B137" s="185" t="s">
        <v>73</v>
      </c>
      <c r="C137" s="186">
        <v>57500.0</v>
      </c>
      <c r="D137" s="187">
        <v>16.5</v>
      </c>
      <c r="E137" s="185" t="s">
        <v>35</v>
      </c>
      <c r="F137" s="188" t="s">
        <v>427</v>
      </c>
      <c r="G137" s="185" t="s">
        <v>428</v>
      </c>
      <c r="H137" s="190"/>
      <c r="I137" s="183"/>
      <c r="J137" s="183"/>
    </row>
    <row r="138" ht="22.5" customHeight="1">
      <c r="A138" s="184">
        <v>45947.0</v>
      </c>
      <c r="B138" s="185" t="s">
        <v>73</v>
      </c>
      <c r="C138" s="186">
        <v>56720.0</v>
      </c>
      <c r="D138" s="187">
        <v>16.4</v>
      </c>
      <c r="E138" s="185" t="s">
        <v>35</v>
      </c>
      <c r="F138" s="188" t="s">
        <v>429</v>
      </c>
      <c r="G138" s="185" t="s">
        <v>430</v>
      </c>
      <c r="H138" s="190"/>
      <c r="I138" s="183"/>
      <c r="J138" s="183"/>
    </row>
    <row r="139" ht="22.5" customHeight="1">
      <c r="A139" s="184">
        <v>45947.0</v>
      </c>
      <c r="B139" s="185" t="s">
        <v>73</v>
      </c>
      <c r="C139" s="186">
        <v>57040.0</v>
      </c>
      <c r="D139" s="187">
        <v>16.2</v>
      </c>
      <c r="E139" s="185" t="s">
        <v>35</v>
      </c>
      <c r="F139" s="188" t="s">
        <v>431</v>
      </c>
      <c r="G139" s="185" t="s">
        <v>432</v>
      </c>
      <c r="H139" s="190"/>
      <c r="I139" s="183"/>
      <c r="J139" s="183"/>
    </row>
    <row r="140" ht="22.5" customHeight="1">
      <c r="A140" s="184">
        <v>45947.0</v>
      </c>
      <c r="B140" s="185" t="s">
        <v>73</v>
      </c>
      <c r="C140" s="186">
        <v>57620.0</v>
      </c>
      <c r="D140" s="187">
        <v>16.3</v>
      </c>
      <c r="E140" s="185" t="s">
        <v>35</v>
      </c>
      <c r="F140" s="188" t="s">
        <v>433</v>
      </c>
      <c r="G140" s="185" t="s">
        <v>434</v>
      </c>
      <c r="H140" s="190"/>
      <c r="I140" s="183"/>
      <c r="J140" s="183"/>
    </row>
    <row r="141" ht="22.5" customHeight="1">
      <c r="A141" s="184">
        <v>45947.0</v>
      </c>
      <c r="B141" s="185" t="s">
        <v>73</v>
      </c>
      <c r="C141" s="186">
        <v>57500.0</v>
      </c>
      <c r="D141" s="187">
        <v>16.3</v>
      </c>
      <c r="E141" s="185" t="s">
        <v>35</v>
      </c>
      <c r="F141" s="188" t="s">
        <v>435</v>
      </c>
      <c r="G141" s="185" t="s">
        <v>436</v>
      </c>
      <c r="H141" s="190"/>
      <c r="I141" s="183"/>
      <c r="J141" s="183"/>
    </row>
    <row r="142" ht="22.5" customHeight="1">
      <c r="A142" s="184">
        <v>45947.0</v>
      </c>
      <c r="B142" s="185" t="s">
        <v>73</v>
      </c>
      <c r="C142" s="186">
        <v>58100.0</v>
      </c>
      <c r="D142" s="187">
        <v>16.1</v>
      </c>
      <c r="E142" s="185" t="s">
        <v>35</v>
      </c>
      <c r="F142" s="188" t="s">
        <v>437</v>
      </c>
      <c r="G142" s="185" t="s">
        <v>438</v>
      </c>
      <c r="H142" s="190"/>
      <c r="I142" s="183"/>
      <c r="J142" s="183"/>
    </row>
    <row r="143" ht="22.5" customHeight="1">
      <c r="A143" s="184">
        <v>45945.0</v>
      </c>
      <c r="B143" s="185" t="s">
        <v>73</v>
      </c>
      <c r="C143" s="191">
        <v>57260.0</v>
      </c>
      <c r="D143" s="187">
        <v>15.7</v>
      </c>
      <c r="E143" s="185" t="s">
        <v>35</v>
      </c>
      <c r="F143" s="188" t="s">
        <v>439</v>
      </c>
      <c r="G143" s="185" t="s">
        <v>440</v>
      </c>
      <c r="H143" s="190"/>
      <c r="I143" s="183"/>
      <c r="J143" s="183"/>
    </row>
    <row r="144" ht="22.5" customHeight="1">
      <c r="A144" s="184">
        <v>45945.0</v>
      </c>
      <c r="B144" s="185" t="s">
        <v>73</v>
      </c>
      <c r="C144" s="186">
        <v>56620.0</v>
      </c>
      <c r="D144" s="187">
        <v>15.5</v>
      </c>
      <c r="E144" s="185" t="s">
        <v>35</v>
      </c>
      <c r="F144" s="188" t="s">
        <v>441</v>
      </c>
      <c r="G144" s="185" t="s">
        <v>442</v>
      </c>
      <c r="H144" s="190"/>
      <c r="I144" s="183"/>
      <c r="J144" s="183"/>
    </row>
    <row r="145" ht="22.5" customHeight="1">
      <c r="A145" s="184">
        <v>45945.0</v>
      </c>
      <c r="B145" s="185" t="s">
        <v>73</v>
      </c>
      <c r="C145" s="191">
        <v>58600.0</v>
      </c>
      <c r="D145" s="187">
        <v>15.4</v>
      </c>
      <c r="E145" s="185" t="s">
        <v>35</v>
      </c>
      <c r="F145" s="188" t="s">
        <v>443</v>
      </c>
      <c r="G145" s="185" t="s">
        <v>444</v>
      </c>
      <c r="H145" s="190"/>
      <c r="I145" s="183"/>
      <c r="J145" s="183"/>
    </row>
    <row r="146" ht="22.5" customHeight="1">
      <c r="A146" s="184">
        <v>45945.0</v>
      </c>
      <c r="B146" s="185" t="s">
        <v>73</v>
      </c>
      <c r="C146" s="186">
        <v>57380.0</v>
      </c>
      <c r="D146" s="187">
        <v>16.4</v>
      </c>
      <c r="E146" s="185" t="s">
        <v>35</v>
      </c>
      <c r="F146" s="188" t="s">
        <v>445</v>
      </c>
      <c r="G146" s="185" t="s">
        <v>446</v>
      </c>
      <c r="H146" s="190"/>
      <c r="I146" s="183"/>
      <c r="J146" s="183"/>
    </row>
    <row r="147" ht="22.5" customHeight="1">
      <c r="A147" s="184">
        <v>45945.0</v>
      </c>
      <c r="B147" s="185" t="s">
        <v>73</v>
      </c>
      <c r="C147" s="186">
        <v>57000.0</v>
      </c>
      <c r="D147" s="187">
        <v>16.1</v>
      </c>
      <c r="E147" s="185" t="s">
        <v>35</v>
      </c>
      <c r="F147" s="188" t="s">
        <v>447</v>
      </c>
      <c r="G147" s="185" t="s">
        <v>448</v>
      </c>
      <c r="H147" s="190"/>
      <c r="I147" s="183"/>
      <c r="J147" s="183"/>
    </row>
    <row r="148" ht="22.5" customHeight="1">
      <c r="A148" s="184">
        <v>45946.0</v>
      </c>
      <c r="B148" s="185" t="s">
        <v>73</v>
      </c>
      <c r="C148" s="186">
        <v>57640.0</v>
      </c>
      <c r="D148" s="187">
        <v>16.4</v>
      </c>
      <c r="E148" s="185" t="s">
        <v>35</v>
      </c>
      <c r="F148" s="188" t="s">
        <v>449</v>
      </c>
      <c r="G148" s="185" t="s">
        <v>450</v>
      </c>
      <c r="H148" s="190"/>
      <c r="I148" s="183"/>
      <c r="J148" s="183"/>
    </row>
    <row r="149" ht="22.5" customHeight="1">
      <c r="A149" s="184">
        <v>45946.0</v>
      </c>
      <c r="B149" s="185" t="s">
        <v>73</v>
      </c>
      <c r="C149" s="186">
        <v>58460.0</v>
      </c>
      <c r="D149" s="187">
        <v>16.0</v>
      </c>
      <c r="E149" s="185" t="s">
        <v>35</v>
      </c>
      <c r="F149" s="188" t="s">
        <v>451</v>
      </c>
      <c r="G149" s="185" t="s">
        <v>452</v>
      </c>
      <c r="H149" s="190"/>
      <c r="I149" s="183"/>
      <c r="J149" s="183"/>
    </row>
    <row r="150" ht="22.5" customHeight="1">
      <c r="A150" s="194">
        <v>45945.0</v>
      </c>
      <c r="B150" s="195" t="s">
        <v>73</v>
      </c>
      <c r="C150" s="196">
        <v>57660.0</v>
      </c>
      <c r="D150" s="197">
        <v>16.3</v>
      </c>
      <c r="E150" s="195" t="s">
        <v>35</v>
      </c>
      <c r="F150" s="198" t="s">
        <v>453</v>
      </c>
      <c r="G150" s="199" t="s">
        <v>454</v>
      </c>
      <c r="I150" s="183"/>
      <c r="J150" s="183"/>
    </row>
    <row r="151" ht="22.5" customHeight="1">
      <c r="A151" s="184">
        <v>45944.0</v>
      </c>
      <c r="B151" s="185" t="s">
        <v>73</v>
      </c>
      <c r="C151" s="186">
        <v>57040.0</v>
      </c>
      <c r="D151" s="187">
        <v>15.0</v>
      </c>
      <c r="E151" s="185" t="s">
        <v>35</v>
      </c>
      <c r="F151" s="188" t="s">
        <v>455</v>
      </c>
      <c r="G151" s="185" t="s">
        <v>456</v>
      </c>
      <c r="H151" s="190"/>
      <c r="I151" s="183"/>
      <c r="J151" s="183"/>
    </row>
    <row r="152" ht="22.5" customHeight="1">
      <c r="A152" s="184">
        <v>45944.0</v>
      </c>
      <c r="B152" s="185" t="s">
        <v>73</v>
      </c>
      <c r="C152" s="186">
        <v>60340.0</v>
      </c>
      <c r="D152" s="187">
        <v>15.0</v>
      </c>
      <c r="E152" s="185" t="s">
        <v>35</v>
      </c>
      <c r="F152" s="188" t="s">
        <v>457</v>
      </c>
      <c r="G152" s="185" t="s">
        <v>458</v>
      </c>
      <c r="H152" s="190"/>
      <c r="I152" s="183"/>
      <c r="J152" s="183"/>
    </row>
    <row r="153" ht="22.5" customHeight="1">
      <c r="A153" s="184">
        <v>45946.0</v>
      </c>
      <c r="B153" s="185" t="s">
        <v>73</v>
      </c>
      <c r="C153" s="186">
        <v>57240.0</v>
      </c>
      <c r="D153" s="187">
        <v>15.4</v>
      </c>
      <c r="E153" s="185" t="s">
        <v>35</v>
      </c>
      <c r="F153" s="188" t="s">
        <v>459</v>
      </c>
      <c r="G153" s="185" t="s">
        <v>460</v>
      </c>
      <c r="H153" s="190"/>
      <c r="I153" s="183"/>
      <c r="J153" s="183"/>
    </row>
    <row r="154" ht="22.5" customHeight="1">
      <c r="A154" s="184">
        <v>45946.0</v>
      </c>
      <c r="B154" s="185" t="s">
        <v>73</v>
      </c>
      <c r="C154" s="186">
        <v>58140.0</v>
      </c>
      <c r="D154" s="187">
        <v>15.2</v>
      </c>
      <c r="E154" s="185" t="s">
        <v>35</v>
      </c>
      <c r="F154" s="188" t="s">
        <v>461</v>
      </c>
      <c r="G154" s="185" t="s">
        <v>462</v>
      </c>
      <c r="H154" s="190"/>
      <c r="I154" s="183"/>
      <c r="J154" s="183"/>
    </row>
    <row r="155" ht="22.5" customHeight="1">
      <c r="A155" s="184">
        <v>45946.0</v>
      </c>
      <c r="B155" s="185" t="s">
        <v>73</v>
      </c>
      <c r="C155" s="186">
        <v>58140.0</v>
      </c>
      <c r="D155" s="187">
        <v>16.3</v>
      </c>
      <c r="E155" s="185" t="s">
        <v>35</v>
      </c>
      <c r="F155" s="188" t="s">
        <v>463</v>
      </c>
      <c r="G155" s="185" t="s">
        <v>464</v>
      </c>
      <c r="H155" s="190"/>
      <c r="I155" s="183"/>
      <c r="J155" s="183"/>
    </row>
    <row r="156" ht="22.5" customHeight="1">
      <c r="A156" s="184">
        <v>45946.0</v>
      </c>
      <c r="B156" s="195" t="s">
        <v>73</v>
      </c>
      <c r="C156" s="196">
        <v>60860.0</v>
      </c>
      <c r="D156" s="197">
        <v>15.8</v>
      </c>
      <c r="E156" s="195" t="s">
        <v>35</v>
      </c>
      <c r="F156" s="198" t="s">
        <v>465</v>
      </c>
      <c r="G156" s="199" t="s">
        <v>466</v>
      </c>
      <c r="H156" s="190"/>
      <c r="I156" s="183"/>
      <c r="J156" s="183"/>
    </row>
    <row r="157" ht="22.5" customHeight="1">
      <c r="A157" s="184">
        <v>45946.0</v>
      </c>
      <c r="B157" s="185" t="s">
        <v>73</v>
      </c>
      <c r="C157" s="186">
        <v>57880.0</v>
      </c>
      <c r="D157" s="187">
        <v>15.7</v>
      </c>
      <c r="E157" s="185" t="s">
        <v>35</v>
      </c>
      <c r="F157" s="188" t="s">
        <v>467</v>
      </c>
      <c r="G157" s="185" t="s">
        <v>468</v>
      </c>
      <c r="H157" s="190"/>
      <c r="I157" s="183"/>
      <c r="J157" s="183"/>
    </row>
    <row r="158" ht="22.5" customHeight="1">
      <c r="A158" s="184">
        <v>45946.0</v>
      </c>
      <c r="B158" s="185" t="s">
        <v>73</v>
      </c>
      <c r="C158" s="191">
        <v>57920.0</v>
      </c>
      <c r="D158" s="187">
        <v>15.7</v>
      </c>
      <c r="E158" s="185" t="s">
        <v>35</v>
      </c>
      <c r="F158" s="188" t="s">
        <v>469</v>
      </c>
      <c r="G158" s="185" t="s">
        <v>470</v>
      </c>
      <c r="H158" s="190"/>
      <c r="I158" s="183"/>
      <c r="J158" s="183"/>
    </row>
    <row r="159" ht="22.5" customHeight="1">
      <c r="A159" s="184">
        <v>45946.0</v>
      </c>
      <c r="B159" s="185" t="s">
        <v>73</v>
      </c>
      <c r="C159" s="186">
        <v>58140.0</v>
      </c>
      <c r="D159" s="187">
        <v>15.9</v>
      </c>
      <c r="E159" s="185" t="s">
        <v>35</v>
      </c>
      <c r="F159" s="188" t="s">
        <v>471</v>
      </c>
      <c r="G159" s="185" t="s">
        <v>472</v>
      </c>
      <c r="H159" s="190"/>
      <c r="I159" s="183"/>
      <c r="J159" s="183"/>
    </row>
    <row r="160" ht="22.5" customHeight="1">
      <c r="A160" s="184">
        <v>45946.0</v>
      </c>
      <c r="B160" s="185" t="s">
        <v>73</v>
      </c>
      <c r="C160" s="186">
        <v>58300.0</v>
      </c>
      <c r="D160" s="187">
        <v>15.4</v>
      </c>
      <c r="E160" s="185" t="s">
        <v>35</v>
      </c>
      <c r="F160" s="188" t="s">
        <v>473</v>
      </c>
      <c r="G160" s="185" t="s">
        <v>474</v>
      </c>
      <c r="H160" s="190"/>
      <c r="I160" s="183"/>
      <c r="J160" s="183"/>
    </row>
    <row r="161" ht="22.5" customHeight="1">
      <c r="A161" s="184">
        <v>45946.0</v>
      </c>
      <c r="B161" s="185" t="s">
        <v>73</v>
      </c>
      <c r="C161" s="186">
        <v>57880.0</v>
      </c>
      <c r="D161" s="187">
        <v>16.0</v>
      </c>
      <c r="E161" s="185" t="s">
        <v>35</v>
      </c>
      <c r="F161" s="188" t="s">
        <v>475</v>
      </c>
      <c r="G161" s="185" t="s">
        <v>476</v>
      </c>
      <c r="H161" s="190"/>
      <c r="I161" s="183"/>
      <c r="J161" s="183"/>
    </row>
    <row r="162" ht="22.5" customHeight="1">
      <c r="A162" s="184">
        <v>45946.0</v>
      </c>
      <c r="B162" s="185" t="s">
        <v>73</v>
      </c>
      <c r="C162" s="186">
        <v>58220.0</v>
      </c>
      <c r="D162" s="187">
        <v>15.9</v>
      </c>
      <c r="E162" s="185" t="s">
        <v>35</v>
      </c>
      <c r="F162" s="188" t="s">
        <v>477</v>
      </c>
      <c r="G162" s="185" t="s">
        <v>478</v>
      </c>
      <c r="H162" s="190"/>
      <c r="I162" s="183"/>
      <c r="J162" s="183"/>
    </row>
    <row r="163" ht="22.5" customHeight="1">
      <c r="A163" s="184">
        <v>45946.0</v>
      </c>
      <c r="B163" s="185" t="s">
        <v>73</v>
      </c>
      <c r="C163" s="186">
        <v>57560.0</v>
      </c>
      <c r="D163" s="187">
        <v>16.2</v>
      </c>
      <c r="E163" s="185" t="s">
        <v>35</v>
      </c>
      <c r="F163" s="188" t="s">
        <v>479</v>
      </c>
      <c r="G163" s="185" t="s">
        <v>480</v>
      </c>
      <c r="H163" s="190"/>
      <c r="I163" s="183"/>
      <c r="J163" s="183"/>
    </row>
    <row r="164" ht="22.5" customHeight="1">
      <c r="A164" s="184">
        <v>45946.0</v>
      </c>
      <c r="B164" s="185" t="s">
        <v>73</v>
      </c>
      <c r="C164" s="186">
        <v>57880.0</v>
      </c>
      <c r="D164" s="187">
        <v>16.7</v>
      </c>
      <c r="E164" s="185" t="s">
        <v>35</v>
      </c>
      <c r="F164" s="188" t="s">
        <v>481</v>
      </c>
      <c r="G164" s="185" t="s">
        <v>482</v>
      </c>
      <c r="H164" s="190"/>
      <c r="I164" s="183"/>
      <c r="J164" s="183"/>
    </row>
    <row r="165" ht="22.5" customHeight="1">
      <c r="A165" s="184">
        <v>45946.0</v>
      </c>
      <c r="B165" s="185" t="s">
        <v>73</v>
      </c>
      <c r="C165" s="186">
        <v>59220.0</v>
      </c>
      <c r="D165" s="187">
        <v>16.2</v>
      </c>
      <c r="E165" s="185" t="s">
        <v>35</v>
      </c>
      <c r="F165" s="188" t="s">
        <v>483</v>
      </c>
      <c r="G165" s="185" t="s">
        <v>484</v>
      </c>
      <c r="H165" s="190"/>
      <c r="I165" s="183"/>
      <c r="J165" s="183"/>
    </row>
    <row r="166" ht="22.5" customHeight="1">
      <c r="A166" s="184">
        <v>45946.0</v>
      </c>
      <c r="B166" s="185" t="s">
        <v>73</v>
      </c>
      <c r="C166" s="186">
        <v>57560.0</v>
      </c>
      <c r="D166" s="187">
        <v>15.9</v>
      </c>
      <c r="E166" s="185" t="s">
        <v>35</v>
      </c>
      <c r="F166" s="188" t="s">
        <v>485</v>
      </c>
      <c r="G166" s="185" t="s">
        <v>486</v>
      </c>
      <c r="I166" s="183"/>
      <c r="J166" s="183"/>
    </row>
    <row r="167" ht="22.5" customHeight="1">
      <c r="A167" s="184">
        <v>45946.0</v>
      </c>
      <c r="B167" s="185" t="s">
        <v>73</v>
      </c>
      <c r="C167" s="186">
        <v>57540.0</v>
      </c>
      <c r="D167" s="187">
        <v>16.3</v>
      </c>
      <c r="E167" s="185" t="s">
        <v>35</v>
      </c>
      <c r="F167" s="188" t="s">
        <v>487</v>
      </c>
      <c r="G167" s="185" t="s">
        <v>488</v>
      </c>
      <c r="H167" s="190"/>
      <c r="I167" s="183"/>
      <c r="J167" s="183"/>
    </row>
    <row r="168" ht="22.5" customHeight="1">
      <c r="A168" s="184">
        <v>45946.0</v>
      </c>
      <c r="B168" s="185" t="s">
        <v>73</v>
      </c>
      <c r="C168" s="186">
        <v>57800.0</v>
      </c>
      <c r="D168" s="187">
        <v>16.0</v>
      </c>
      <c r="E168" s="185" t="s">
        <v>35</v>
      </c>
      <c r="F168" s="188" t="s">
        <v>489</v>
      </c>
      <c r="G168" s="185" t="s">
        <v>490</v>
      </c>
      <c r="H168" s="190"/>
      <c r="I168" s="183"/>
      <c r="J168" s="183"/>
    </row>
    <row r="169" ht="22.5" customHeight="1">
      <c r="A169" s="184">
        <v>45946.0</v>
      </c>
      <c r="B169" s="185" t="s">
        <v>73</v>
      </c>
      <c r="C169" s="186">
        <v>57480.0</v>
      </c>
      <c r="D169" s="187">
        <v>15.8</v>
      </c>
      <c r="E169" s="185" t="s">
        <v>35</v>
      </c>
      <c r="F169" s="188" t="s">
        <v>491</v>
      </c>
      <c r="G169" s="185" t="s">
        <v>492</v>
      </c>
      <c r="H169" s="190"/>
      <c r="I169" s="183"/>
      <c r="J169" s="183"/>
    </row>
    <row r="170" ht="22.5" customHeight="1">
      <c r="A170" s="184">
        <v>45946.0</v>
      </c>
      <c r="B170" s="185" t="s">
        <v>73</v>
      </c>
      <c r="C170" s="186">
        <v>57780.0</v>
      </c>
      <c r="D170" s="187">
        <v>16.2</v>
      </c>
      <c r="E170" s="185" t="s">
        <v>35</v>
      </c>
      <c r="F170" s="188" t="s">
        <v>493</v>
      </c>
      <c r="G170" s="185" t="s">
        <v>494</v>
      </c>
      <c r="H170" s="190"/>
      <c r="I170" s="183"/>
      <c r="J170" s="183"/>
    </row>
    <row r="171" ht="22.5" customHeight="1">
      <c r="A171" s="184">
        <v>45946.0</v>
      </c>
      <c r="B171" s="185" t="s">
        <v>73</v>
      </c>
      <c r="C171" s="186">
        <v>57100.0</v>
      </c>
      <c r="D171" s="187">
        <v>16.0</v>
      </c>
      <c r="E171" s="185" t="s">
        <v>35</v>
      </c>
      <c r="F171" s="188" t="s">
        <v>495</v>
      </c>
      <c r="G171" s="185" t="s">
        <v>496</v>
      </c>
      <c r="H171" s="190"/>
      <c r="I171" s="183"/>
      <c r="J171" s="183"/>
    </row>
    <row r="172" ht="22.5" customHeight="1">
      <c r="A172" s="184">
        <v>45946.0</v>
      </c>
      <c r="B172" s="185" t="s">
        <v>73</v>
      </c>
      <c r="C172" s="186">
        <v>57340.0</v>
      </c>
      <c r="D172" s="187">
        <v>16.2</v>
      </c>
      <c r="E172" s="185" t="s">
        <v>35</v>
      </c>
      <c r="F172" s="188" t="s">
        <v>497</v>
      </c>
      <c r="G172" s="185" t="s">
        <v>498</v>
      </c>
      <c r="H172" s="190"/>
      <c r="I172" s="183"/>
      <c r="J172" s="183"/>
    </row>
    <row r="173" ht="22.5" customHeight="1">
      <c r="A173" s="184">
        <v>45946.0</v>
      </c>
      <c r="B173" s="185" t="s">
        <v>73</v>
      </c>
      <c r="C173" s="186">
        <v>57900.0</v>
      </c>
      <c r="D173" s="187">
        <v>16.5</v>
      </c>
      <c r="E173" s="185" t="s">
        <v>35</v>
      </c>
      <c r="F173" s="188" t="s">
        <v>499</v>
      </c>
      <c r="G173" s="185" t="s">
        <v>500</v>
      </c>
      <c r="H173" s="190"/>
      <c r="I173" s="183"/>
      <c r="J173" s="183"/>
    </row>
    <row r="174" ht="22.5" customHeight="1">
      <c r="A174" s="184">
        <v>45946.0</v>
      </c>
      <c r="B174" s="185" t="s">
        <v>73</v>
      </c>
      <c r="C174" s="186">
        <v>56740.0</v>
      </c>
      <c r="D174" s="187">
        <v>16.3</v>
      </c>
      <c r="E174" s="185" t="s">
        <v>35</v>
      </c>
      <c r="F174" s="188" t="s">
        <v>501</v>
      </c>
      <c r="G174" s="185" t="s">
        <v>502</v>
      </c>
      <c r="H174" s="190"/>
      <c r="I174" s="183"/>
      <c r="J174" s="183"/>
    </row>
    <row r="175" ht="22.5" customHeight="1">
      <c r="A175" s="184">
        <v>45946.0</v>
      </c>
      <c r="B175" s="185" t="s">
        <v>73</v>
      </c>
      <c r="C175" s="186">
        <v>58180.0</v>
      </c>
      <c r="D175" s="187">
        <v>15.9</v>
      </c>
      <c r="E175" s="185" t="s">
        <v>35</v>
      </c>
      <c r="F175" s="188" t="s">
        <v>503</v>
      </c>
      <c r="G175" s="185" t="s">
        <v>504</v>
      </c>
      <c r="H175" s="190"/>
      <c r="I175" s="183"/>
      <c r="J175" s="183"/>
    </row>
    <row r="176" ht="22.5" customHeight="1">
      <c r="A176" s="184">
        <v>45946.0</v>
      </c>
      <c r="B176" s="185" t="s">
        <v>73</v>
      </c>
      <c r="C176" s="186">
        <v>57840.0</v>
      </c>
      <c r="D176" s="187">
        <v>16.4</v>
      </c>
      <c r="E176" s="185" t="s">
        <v>35</v>
      </c>
      <c r="F176" s="188" t="s">
        <v>505</v>
      </c>
      <c r="G176" s="185" t="s">
        <v>506</v>
      </c>
      <c r="H176" s="190"/>
      <c r="I176" s="183"/>
      <c r="J176" s="183"/>
    </row>
    <row r="177" ht="22.5" customHeight="1">
      <c r="A177" s="184">
        <v>45946.0</v>
      </c>
      <c r="B177" s="185" t="s">
        <v>73</v>
      </c>
      <c r="C177" s="186">
        <v>57740.0</v>
      </c>
      <c r="D177" s="187">
        <v>15.9</v>
      </c>
      <c r="E177" s="185" t="s">
        <v>35</v>
      </c>
      <c r="F177" s="188" t="s">
        <v>507</v>
      </c>
      <c r="G177" s="185" t="s">
        <v>508</v>
      </c>
      <c r="H177" s="190"/>
      <c r="I177" s="183"/>
      <c r="J177" s="183"/>
    </row>
    <row r="178" ht="22.5" customHeight="1">
      <c r="A178" s="184">
        <v>45946.0</v>
      </c>
      <c r="B178" s="185" t="s">
        <v>73</v>
      </c>
      <c r="C178" s="186">
        <v>57480.0</v>
      </c>
      <c r="D178" s="187">
        <v>16.3</v>
      </c>
      <c r="E178" s="185" t="s">
        <v>35</v>
      </c>
      <c r="F178" s="188" t="s">
        <v>509</v>
      </c>
      <c r="G178" s="185" t="s">
        <v>510</v>
      </c>
      <c r="H178" s="190"/>
      <c r="I178" s="183"/>
      <c r="J178" s="183"/>
    </row>
    <row r="179" ht="22.5" customHeight="1">
      <c r="A179" s="184">
        <v>45946.0</v>
      </c>
      <c r="B179" s="185" t="s">
        <v>73</v>
      </c>
      <c r="C179" s="186">
        <v>57800.0</v>
      </c>
      <c r="D179" s="187">
        <v>16.2</v>
      </c>
      <c r="E179" s="185" t="s">
        <v>35</v>
      </c>
      <c r="F179" s="188" t="s">
        <v>511</v>
      </c>
      <c r="G179" s="185" t="s">
        <v>512</v>
      </c>
      <c r="H179" s="190"/>
      <c r="I179" s="183"/>
      <c r="J179" s="183"/>
    </row>
    <row r="180" ht="22.5" customHeight="1">
      <c r="A180" s="184">
        <v>45946.0</v>
      </c>
      <c r="B180" s="185" t="s">
        <v>73</v>
      </c>
      <c r="C180" s="186">
        <v>57720.0</v>
      </c>
      <c r="D180" s="187">
        <v>16.0</v>
      </c>
      <c r="E180" s="185" t="s">
        <v>35</v>
      </c>
      <c r="F180" s="188" t="s">
        <v>513</v>
      </c>
      <c r="G180" s="185" t="s">
        <v>514</v>
      </c>
      <c r="H180" s="190"/>
      <c r="I180" s="183"/>
      <c r="J180" s="183"/>
    </row>
    <row r="181" ht="22.5" customHeight="1">
      <c r="A181" s="184">
        <v>45946.0</v>
      </c>
      <c r="B181" s="185" t="s">
        <v>73</v>
      </c>
      <c r="C181" s="186">
        <v>57420.0</v>
      </c>
      <c r="D181" s="187">
        <v>16.9</v>
      </c>
      <c r="E181" s="185" t="s">
        <v>35</v>
      </c>
      <c r="F181" s="188" t="s">
        <v>515</v>
      </c>
      <c r="G181" s="185" t="s">
        <v>516</v>
      </c>
      <c r="H181" s="190"/>
      <c r="I181" s="183"/>
      <c r="J181" s="183"/>
    </row>
    <row r="182" ht="22.5" customHeight="1">
      <c r="A182" s="184">
        <v>45946.0</v>
      </c>
      <c r="B182" s="185" t="s">
        <v>73</v>
      </c>
      <c r="C182" s="186">
        <v>57880.0</v>
      </c>
      <c r="D182" s="187">
        <v>16.3</v>
      </c>
      <c r="E182" s="185" t="s">
        <v>35</v>
      </c>
      <c r="F182" s="188" t="s">
        <v>517</v>
      </c>
      <c r="G182" s="185" t="s">
        <v>518</v>
      </c>
      <c r="H182" s="190"/>
      <c r="I182" s="183"/>
      <c r="J182" s="183"/>
    </row>
    <row r="183" ht="22.5" customHeight="1">
      <c r="A183" s="184">
        <v>45946.0</v>
      </c>
      <c r="B183" s="185" t="s">
        <v>73</v>
      </c>
      <c r="C183" s="186">
        <v>57400.0</v>
      </c>
      <c r="D183" s="187">
        <v>16.4</v>
      </c>
      <c r="E183" s="185" t="s">
        <v>35</v>
      </c>
      <c r="F183" s="188" t="s">
        <v>519</v>
      </c>
      <c r="G183" s="185" t="s">
        <v>520</v>
      </c>
      <c r="H183" s="190"/>
      <c r="I183" s="183"/>
      <c r="J183" s="183"/>
    </row>
    <row r="184" ht="22.5" customHeight="1">
      <c r="A184" s="184">
        <v>45946.0</v>
      </c>
      <c r="B184" s="185" t="s">
        <v>73</v>
      </c>
      <c r="C184" s="191">
        <v>57960.0</v>
      </c>
      <c r="D184" s="187">
        <v>16.0</v>
      </c>
      <c r="E184" s="185" t="s">
        <v>35</v>
      </c>
      <c r="F184" s="188" t="s">
        <v>521</v>
      </c>
      <c r="G184" s="185" t="s">
        <v>522</v>
      </c>
      <c r="H184" s="190"/>
      <c r="I184" s="183"/>
      <c r="J184" s="183"/>
    </row>
    <row r="185" ht="22.5" customHeight="1">
      <c r="A185" s="184">
        <v>45947.0</v>
      </c>
      <c r="B185" s="185" t="s">
        <v>73</v>
      </c>
      <c r="C185" s="186">
        <v>57760.0</v>
      </c>
      <c r="D185" s="187">
        <v>15.7</v>
      </c>
      <c r="E185" s="185" t="s">
        <v>35</v>
      </c>
      <c r="F185" s="188" t="s">
        <v>523</v>
      </c>
      <c r="G185" s="185" t="s">
        <v>524</v>
      </c>
      <c r="H185" s="190"/>
      <c r="I185" s="183"/>
      <c r="J185" s="183"/>
    </row>
    <row r="186" ht="22.5" customHeight="1">
      <c r="A186" s="184">
        <v>45947.0</v>
      </c>
      <c r="B186" s="185" t="s">
        <v>73</v>
      </c>
      <c r="C186" s="191">
        <v>57520.0</v>
      </c>
      <c r="D186" s="187">
        <v>16.3</v>
      </c>
      <c r="E186" s="185" t="s">
        <v>35</v>
      </c>
      <c r="F186" s="188" t="s">
        <v>525</v>
      </c>
      <c r="G186" s="185" t="s">
        <v>526</v>
      </c>
      <c r="H186" s="190"/>
      <c r="I186" s="183"/>
      <c r="J186" s="183"/>
    </row>
    <row r="187" ht="22.5" customHeight="1">
      <c r="A187" s="184">
        <v>45947.0</v>
      </c>
      <c r="B187" s="185" t="s">
        <v>73</v>
      </c>
      <c r="C187" s="186">
        <v>59320.0</v>
      </c>
      <c r="D187" s="187">
        <v>16.2</v>
      </c>
      <c r="E187" s="185" t="s">
        <v>35</v>
      </c>
      <c r="F187" s="188" t="s">
        <v>527</v>
      </c>
      <c r="G187" s="185" t="s">
        <v>528</v>
      </c>
      <c r="H187" s="190"/>
      <c r="I187" s="183"/>
      <c r="J187" s="183"/>
    </row>
    <row r="188" ht="22.5" customHeight="1">
      <c r="A188" s="184">
        <v>45947.0</v>
      </c>
      <c r="B188" s="185" t="s">
        <v>73</v>
      </c>
      <c r="C188" s="186">
        <v>59280.0</v>
      </c>
      <c r="D188" s="187">
        <v>17.0</v>
      </c>
      <c r="E188" s="185" t="s">
        <v>35</v>
      </c>
      <c r="F188" s="188" t="s">
        <v>529</v>
      </c>
      <c r="G188" s="185" t="s">
        <v>530</v>
      </c>
      <c r="H188" s="190"/>
      <c r="I188" s="183"/>
      <c r="J188" s="183"/>
    </row>
    <row r="189" ht="22.5" customHeight="1">
      <c r="A189" s="184">
        <v>45947.0</v>
      </c>
      <c r="B189" s="185" t="s">
        <v>73</v>
      </c>
      <c r="C189" s="186">
        <v>57800.0</v>
      </c>
      <c r="D189" s="187">
        <v>16.2</v>
      </c>
      <c r="E189" s="185" t="s">
        <v>35</v>
      </c>
      <c r="F189" s="188" t="s">
        <v>531</v>
      </c>
      <c r="G189" s="185" t="s">
        <v>532</v>
      </c>
      <c r="H189" s="190"/>
      <c r="I189" s="183"/>
      <c r="J189" s="183"/>
    </row>
    <row r="190" ht="22.5" customHeight="1">
      <c r="A190" s="184">
        <v>45947.0</v>
      </c>
      <c r="B190" s="185" t="s">
        <v>73</v>
      </c>
      <c r="C190" s="186">
        <v>57680.0</v>
      </c>
      <c r="D190" s="187">
        <v>16.4</v>
      </c>
      <c r="E190" s="185" t="s">
        <v>35</v>
      </c>
      <c r="F190" s="188" t="s">
        <v>533</v>
      </c>
      <c r="G190" s="185" t="s">
        <v>534</v>
      </c>
      <c r="H190" s="190"/>
      <c r="I190" s="183"/>
      <c r="J190" s="183"/>
    </row>
    <row r="191" ht="22.5" customHeight="1">
      <c r="A191" s="184">
        <v>45947.0</v>
      </c>
      <c r="B191" s="185" t="s">
        <v>73</v>
      </c>
      <c r="C191" s="186">
        <v>57600.0</v>
      </c>
      <c r="D191" s="187">
        <v>16.0</v>
      </c>
      <c r="E191" s="185" t="s">
        <v>35</v>
      </c>
      <c r="F191" s="188" t="s">
        <v>535</v>
      </c>
      <c r="G191" s="185" t="s">
        <v>536</v>
      </c>
      <c r="H191" s="190"/>
      <c r="I191" s="183"/>
      <c r="J191" s="183"/>
    </row>
    <row r="192" ht="22.5" customHeight="1">
      <c r="A192" s="184">
        <v>45947.0</v>
      </c>
      <c r="B192" s="185" t="s">
        <v>73</v>
      </c>
      <c r="C192" s="186">
        <v>57420.0</v>
      </c>
      <c r="D192" s="187">
        <v>16.0</v>
      </c>
      <c r="E192" s="185" t="s">
        <v>35</v>
      </c>
      <c r="F192" s="188" t="s">
        <v>537</v>
      </c>
      <c r="G192" s="185" t="s">
        <v>538</v>
      </c>
      <c r="H192" s="190"/>
      <c r="I192" s="183"/>
      <c r="J192" s="183"/>
    </row>
    <row r="193" ht="22.5" customHeight="1">
      <c r="A193" s="184">
        <v>45947.0</v>
      </c>
      <c r="B193" s="185" t="s">
        <v>73</v>
      </c>
      <c r="C193" s="186">
        <v>57160.0</v>
      </c>
      <c r="D193" s="187">
        <v>16.0</v>
      </c>
      <c r="E193" s="185" t="s">
        <v>35</v>
      </c>
      <c r="F193" s="188" t="s">
        <v>539</v>
      </c>
      <c r="G193" s="185" t="s">
        <v>540</v>
      </c>
      <c r="H193" s="190"/>
      <c r="I193" s="183"/>
      <c r="J193" s="183"/>
    </row>
    <row r="194" ht="22.5" customHeight="1">
      <c r="A194" s="184">
        <v>45947.0</v>
      </c>
      <c r="B194" s="185" t="s">
        <v>73</v>
      </c>
      <c r="C194" s="186">
        <v>58420.0</v>
      </c>
      <c r="D194" s="187">
        <v>15.9</v>
      </c>
      <c r="E194" s="185" t="s">
        <v>35</v>
      </c>
      <c r="F194" s="188" t="s">
        <v>541</v>
      </c>
      <c r="G194" s="185" t="s">
        <v>542</v>
      </c>
      <c r="H194" s="190"/>
      <c r="I194" s="183"/>
      <c r="J194" s="183"/>
    </row>
    <row r="195" ht="22.5" customHeight="1">
      <c r="A195" s="184">
        <v>45947.0</v>
      </c>
      <c r="B195" s="185" t="s">
        <v>73</v>
      </c>
      <c r="C195" s="186">
        <v>58100.0</v>
      </c>
      <c r="D195" s="187">
        <v>16.3</v>
      </c>
      <c r="E195" s="185" t="s">
        <v>35</v>
      </c>
      <c r="F195" s="188" t="s">
        <v>543</v>
      </c>
      <c r="G195" s="185" t="s">
        <v>544</v>
      </c>
      <c r="H195" s="190"/>
      <c r="I195" s="183"/>
      <c r="J195" s="183"/>
    </row>
    <row r="196" ht="22.5" customHeight="1">
      <c r="A196" s="184">
        <v>45947.0</v>
      </c>
      <c r="B196" s="185" t="s">
        <v>73</v>
      </c>
      <c r="C196" s="186">
        <v>57540.0</v>
      </c>
      <c r="D196" s="187">
        <v>16.0</v>
      </c>
      <c r="E196" s="185" t="s">
        <v>35</v>
      </c>
      <c r="F196" s="188" t="s">
        <v>545</v>
      </c>
      <c r="G196" s="185" t="s">
        <v>546</v>
      </c>
      <c r="H196" s="190"/>
      <c r="I196" s="183"/>
      <c r="J196" s="183"/>
    </row>
    <row r="197" ht="22.5" customHeight="1">
      <c r="A197" s="184">
        <v>45947.0</v>
      </c>
      <c r="B197" s="185" t="s">
        <v>73</v>
      </c>
      <c r="C197" s="186">
        <v>57760.0</v>
      </c>
      <c r="D197" s="187">
        <v>16.4</v>
      </c>
      <c r="E197" s="185" t="s">
        <v>35</v>
      </c>
      <c r="F197" s="188" t="s">
        <v>547</v>
      </c>
      <c r="G197" s="185" t="s">
        <v>534</v>
      </c>
      <c r="H197" s="190"/>
      <c r="I197" s="183"/>
      <c r="J197" s="183"/>
    </row>
    <row r="198" ht="22.5" customHeight="1">
      <c r="A198" s="184">
        <v>45947.0</v>
      </c>
      <c r="B198" s="185" t="s">
        <v>73</v>
      </c>
      <c r="C198" s="186">
        <v>57440.0</v>
      </c>
      <c r="D198" s="187">
        <v>16.8</v>
      </c>
      <c r="E198" s="185" t="s">
        <v>35</v>
      </c>
      <c r="F198" s="188" t="s">
        <v>548</v>
      </c>
      <c r="G198" s="185" t="s">
        <v>549</v>
      </c>
      <c r="H198" s="190"/>
      <c r="I198" s="183"/>
      <c r="J198" s="183"/>
    </row>
    <row r="199" ht="22.5" customHeight="1">
      <c r="A199" s="184">
        <v>45947.0</v>
      </c>
      <c r="B199" s="185" t="s">
        <v>73</v>
      </c>
      <c r="C199" s="186">
        <v>57600.0</v>
      </c>
      <c r="D199" s="187">
        <v>16.4</v>
      </c>
      <c r="E199" s="185" t="s">
        <v>35</v>
      </c>
      <c r="F199" s="188" t="s">
        <v>550</v>
      </c>
      <c r="G199" s="185" t="s">
        <v>551</v>
      </c>
      <c r="H199" s="190"/>
      <c r="I199" s="183"/>
      <c r="J199" s="183"/>
    </row>
    <row r="200" ht="22.5" customHeight="1">
      <c r="A200" s="184">
        <v>45947.0</v>
      </c>
      <c r="B200" s="185" t="s">
        <v>73</v>
      </c>
      <c r="C200" s="186">
        <v>60180.0</v>
      </c>
      <c r="D200" s="187">
        <v>16.2</v>
      </c>
      <c r="E200" s="185" t="s">
        <v>35</v>
      </c>
      <c r="F200" s="188" t="s">
        <v>552</v>
      </c>
      <c r="G200" s="185" t="s">
        <v>553</v>
      </c>
      <c r="H200" s="190"/>
      <c r="I200" s="183"/>
      <c r="J200" s="183"/>
    </row>
    <row r="201" ht="22.5" customHeight="1">
      <c r="A201" s="184">
        <v>45947.0</v>
      </c>
      <c r="B201" s="185" t="s">
        <v>73</v>
      </c>
      <c r="C201" s="186">
        <v>57520.0</v>
      </c>
      <c r="D201" s="187">
        <v>15.9</v>
      </c>
      <c r="E201" s="185" t="s">
        <v>35</v>
      </c>
      <c r="F201" s="188" t="s">
        <v>554</v>
      </c>
      <c r="G201" s="185" t="s">
        <v>555</v>
      </c>
      <c r="H201" s="190"/>
      <c r="I201" s="183"/>
      <c r="J201" s="183"/>
    </row>
    <row r="202" ht="22.5" customHeight="1">
      <c r="A202" s="184">
        <v>45941.0</v>
      </c>
      <c r="B202" s="185" t="s">
        <v>70</v>
      </c>
      <c r="C202" s="186">
        <v>57200.0</v>
      </c>
      <c r="D202" s="187">
        <v>16.1</v>
      </c>
      <c r="E202" s="185" t="s">
        <v>35</v>
      </c>
      <c r="F202" s="188" t="s">
        <v>556</v>
      </c>
      <c r="G202" s="185" t="s">
        <v>557</v>
      </c>
      <c r="H202" s="190"/>
      <c r="I202" s="183"/>
      <c r="J202" s="183"/>
    </row>
    <row r="203" ht="22.5" customHeight="1">
      <c r="A203" s="184">
        <v>45941.0</v>
      </c>
      <c r="B203" s="185" t="s">
        <v>70</v>
      </c>
      <c r="C203" s="186">
        <v>56800.0</v>
      </c>
      <c r="D203" s="187">
        <v>16.0</v>
      </c>
      <c r="E203" s="185" t="s">
        <v>35</v>
      </c>
      <c r="F203" s="188" t="s">
        <v>558</v>
      </c>
      <c r="G203" s="185" t="s">
        <v>559</v>
      </c>
      <c r="H203" s="190"/>
      <c r="I203" s="183"/>
      <c r="J203" s="183"/>
    </row>
    <row r="204" ht="22.5" customHeight="1">
      <c r="A204" s="184">
        <v>45941.0</v>
      </c>
      <c r="B204" s="185" t="s">
        <v>70</v>
      </c>
      <c r="C204" s="186">
        <v>57920.0</v>
      </c>
      <c r="D204" s="187">
        <v>16.4</v>
      </c>
      <c r="E204" s="185" t="s">
        <v>35</v>
      </c>
      <c r="F204" s="188" t="s">
        <v>560</v>
      </c>
      <c r="G204" s="185" t="s">
        <v>561</v>
      </c>
      <c r="H204" s="190"/>
      <c r="I204" s="183"/>
      <c r="J204" s="183"/>
    </row>
    <row r="205" ht="22.5" customHeight="1">
      <c r="A205" s="184">
        <v>45941.0</v>
      </c>
      <c r="B205" s="185" t="s">
        <v>70</v>
      </c>
      <c r="C205" s="186">
        <v>55960.0</v>
      </c>
      <c r="D205" s="187">
        <v>16.6</v>
      </c>
      <c r="E205" s="185" t="s">
        <v>35</v>
      </c>
      <c r="F205" s="188" t="s">
        <v>562</v>
      </c>
      <c r="G205" s="185" t="s">
        <v>563</v>
      </c>
      <c r="H205" s="190"/>
      <c r="I205" s="183"/>
      <c r="J205" s="183"/>
    </row>
    <row r="206" ht="22.5" customHeight="1">
      <c r="A206" s="184">
        <v>45941.0</v>
      </c>
      <c r="B206" s="185" t="s">
        <v>70</v>
      </c>
      <c r="C206" s="186">
        <v>57120.0</v>
      </c>
      <c r="D206" s="187">
        <v>16.2</v>
      </c>
      <c r="E206" s="185" t="s">
        <v>35</v>
      </c>
      <c r="F206" s="188" t="s">
        <v>564</v>
      </c>
      <c r="G206" s="185" t="s">
        <v>565</v>
      </c>
      <c r="H206" s="190"/>
      <c r="I206" s="183"/>
      <c r="J206" s="183"/>
    </row>
    <row r="207" ht="22.5" customHeight="1">
      <c r="A207" s="184">
        <v>45941.0</v>
      </c>
      <c r="B207" s="185" t="s">
        <v>70</v>
      </c>
      <c r="C207" s="186">
        <v>57760.0</v>
      </c>
      <c r="D207" s="187">
        <v>16.9</v>
      </c>
      <c r="E207" s="185" t="s">
        <v>35</v>
      </c>
      <c r="F207" s="188" t="s">
        <v>566</v>
      </c>
      <c r="G207" s="185" t="s">
        <v>567</v>
      </c>
      <c r="H207" s="190"/>
      <c r="I207" s="183"/>
      <c r="J207" s="183"/>
    </row>
    <row r="208" ht="22.5" customHeight="1">
      <c r="A208" s="184">
        <v>45941.0</v>
      </c>
      <c r="B208" s="185" t="s">
        <v>70</v>
      </c>
      <c r="C208" s="186">
        <v>57320.0</v>
      </c>
      <c r="D208" s="187">
        <v>16.3</v>
      </c>
      <c r="E208" s="185" t="s">
        <v>35</v>
      </c>
      <c r="F208" s="188" t="s">
        <v>568</v>
      </c>
      <c r="G208" s="185" t="s">
        <v>569</v>
      </c>
      <c r="H208" s="190"/>
      <c r="I208" s="183"/>
      <c r="J208" s="183"/>
    </row>
    <row r="209" ht="22.5" customHeight="1">
      <c r="A209" s="184">
        <v>45941.0</v>
      </c>
      <c r="B209" s="185" t="s">
        <v>70</v>
      </c>
      <c r="C209" s="186">
        <v>56740.0</v>
      </c>
      <c r="D209" s="187">
        <v>16.0</v>
      </c>
      <c r="E209" s="185" t="s">
        <v>35</v>
      </c>
      <c r="F209" s="188" t="s">
        <v>570</v>
      </c>
      <c r="G209" s="185" t="s">
        <v>571</v>
      </c>
      <c r="H209" s="190"/>
      <c r="I209" s="183"/>
      <c r="J209" s="183"/>
    </row>
    <row r="210" ht="22.5" customHeight="1">
      <c r="A210" s="184">
        <v>45941.0</v>
      </c>
      <c r="B210" s="185" t="s">
        <v>70</v>
      </c>
      <c r="C210" s="186">
        <v>58280.0</v>
      </c>
      <c r="D210" s="187">
        <v>15.5</v>
      </c>
      <c r="E210" s="185" t="s">
        <v>35</v>
      </c>
      <c r="F210" s="188" t="s">
        <v>572</v>
      </c>
      <c r="G210" s="185" t="s">
        <v>573</v>
      </c>
      <c r="H210" s="190"/>
      <c r="I210" s="183"/>
      <c r="J210" s="183"/>
    </row>
    <row r="211" ht="22.5" customHeight="1">
      <c r="A211" s="184">
        <v>45941.0</v>
      </c>
      <c r="B211" s="185" t="s">
        <v>70</v>
      </c>
      <c r="C211" s="186">
        <v>58360.0</v>
      </c>
      <c r="D211" s="187">
        <v>15.6</v>
      </c>
      <c r="E211" s="185" t="s">
        <v>35</v>
      </c>
      <c r="F211" s="188" t="s">
        <v>574</v>
      </c>
      <c r="G211" s="185" t="s">
        <v>575</v>
      </c>
      <c r="H211" s="190"/>
      <c r="I211" s="183"/>
      <c r="J211" s="183"/>
    </row>
    <row r="212" ht="22.5" customHeight="1">
      <c r="A212" s="184">
        <v>45941.0</v>
      </c>
      <c r="B212" s="185" t="s">
        <v>70</v>
      </c>
      <c r="C212" s="186">
        <v>56460.0</v>
      </c>
      <c r="D212" s="187">
        <v>15.7</v>
      </c>
      <c r="E212" s="185" t="s">
        <v>35</v>
      </c>
      <c r="F212" s="188" t="s">
        <v>576</v>
      </c>
      <c r="G212" s="185" t="s">
        <v>577</v>
      </c>
      <c r="H212" s="190"/>
      <c r="I212" s="183"/>
      <c r="J212" s="183"/>
    </row>
    <row r="213" ht="22.5" customHeight="1">
      <c r="A213" s="184">
        <v>45941.0</v>
      </c>
      <c r="B213" s="185" t="s">
        <v>70</v>
      </c>
      <c r="C213" s="186">
        <v>58360.0</v>
      </c>
      <c r="D213" s="187">
        <v>15.6</v>
      </c>
      <c r="E213" s="185" t="s">
        <v>35</v>
      </c>
      <c r="F213" s="188" t="s">
        <v>578</v>
      </c>
      <c r="G213" s="185" t="s">
        <v>579</v>
      </c>
      <c r="H213" s="190"/>
      <c r="I213" s="183"/>
      <c r="J213" s="183"/>
    </row>
    <row r="214" ht="22.5" customHeight="1">
      <c r="A214" s="184">
        <v>45941.0</v>
      </c>
      <c r="B214" s="185" t="s">
        <v>70</v>
      </c>
      <c r="C214" s="186">
        <v>57300.0</v>
      </c>
      <c r="D214" s="187">
        <v>15.8</v>
      </c>
      <c r="E214" s="185" t="s">
        <v>35</v>
      </c>
      <c r="F214" s="188" t="s">
        <v>580</v>
      </c>
      <c r="G214" s="185" t="s">
        <v>581</v>
      </c>
      <c r="H214" s="190"/>
      <c r="I214" s="183"/>
      <c r="J214" s="183"/>
    </row>
    <row r="215" ht="22.5" customHeight="1">
      <c r="A215" s="184">
        <v>45941.0</v>
      </c>
      <c r="B215" s="185" t="s">
        <v>70</v>
      </c>
      <c r="C215" s="186">
        <v>57500.0</v>
      </c>
      <c r="D215" s="187">
        <v>15.7</v>
      </c>
      <c r="E215" s="185" t="s">
        <v>35</v>
      </c>
      <c r="F215" s="188" t="s">
        <v>582</v>
      </c>
      <c r="G215" s="185" t="s">
        <v>583</v>
      </c>
      <c r="H215" s="190"/>
      <c r="I215" s="183"/>
      <c r="J215" s="183"/>
    </row>
    <row r="216" ht="22.5" customHeight="1">
      <c r="A216" s="184">
        <v>45941.0</v>
      </c>
      <c r="B216" s="185" t="s">
        <v>70</v>
      </c>
      <c r="C216" s="186">
        <v>58160.0</v>
      </c>
      <c r="D216" s="187">
        <v>16.0</v>
      </c>
      <c r="E216" s="185" t="s">
        <v>35</v>
      </c>
      <c r="F216" s="188" t="s">
        <v>584</v>
      </c>
      <c r="G216" s="185" t="s">
        <v>585</v>
      </c>
      <c r="H216" s="190"/>
      <c r="I216" s="183"/>
      <c r="J216" s="183"/>
    </row>
    <row r="217" ht="22.5" customHeight="1">
      <c r="A217" s="184">
        <v>45941.0</v>
      </c>
      <c r="B217" s="185" t="s">
        <v>70</v>
      </c>
      <c r="C217" s="186">
        <v>56340.0</v>
      </c>
      <c r="D217" s="187">
        <v>15.7</v>
      </c>
      <c r="E217" s="185" t="s">
        <v>35</v>
      </c>
      <c r="F217" s="188" t="s">
        <v>586</v>
      </c>
      <c r="G217" s="185" t="s">
        <v>587</v>
      </c>
      <c r="H217" s="190"/>
      <c r="I217" s="183"/>
      <c r="J217" s="183"/>
    </row>
    <row r="218" ht="22.5" customHeight="1">
      <c r="A218" s="184">
        <v>45943.0</v>
      </c>
      <c r="B218" s="185" t="s">
        <v>70</v>
      </c>
      <c r="C218" s="186">
        <v>59840.0</v>
      </c>
      <c r="D218" s="187">
        <v>15.7</v>
      </c>
      <c r="E218" s="185" t="s">
        <v>35</v>
      </c>
      <c r="F218" s="188" t="s">
        <v>588</v>
      </c>
      <c r="G218" s="185" t="s">
        <v>589</v>
      </c>
      <c r="H218" s="190"/>
      <c r="I218" s="183"/>
      <c r="J218" s="183"/>
    </row>
    <row r="219" ht="22.5" customHeight="1">
      <c r="A219" s="184">
        <v>45943.0</v>
      </c>
      <c r="B219" s="185" t="s">
        <v>70</v>
      </c>
      <c r="C219" s="186">
        <v>57220.0</v>
      </c>
      <c r="D219" s="187">
        <v>15.9</v>
      </c>
      <c r="E219" s="185" t="s">
        <v>35</v>
      </c>
      <c r="F219" s="188" t="s">
        <v>590</v>
      </c>
      <c r="G219" s="185" t="s">
        <v>591</v>
      </c>
      <c r="H219" s="190"/>
      <c r="I219" s="183"/>
      <c r="J219" s="183"/>
    </row>
    <row r="220" ht="22.5" customHeight="1">
      <c r="A220" s="184">
        <v>45943.0</v>
      </c>
      <c r="B220" s="185" t="s">
        <v>70</v>
      </c>
      <c r="C220" s="186">
        <v>56920.0</v>
      </c>
      <c r="D220" s="187">
        <v>15.9</v>
      </c>
      <c r="E220" s="185" t="s">
        <v>35</v>
      </c>
      <c r="F220" s="188" t="s">
        <v>592</v>
      </c>
      <c r="G220" s="185" t="s">
        <v>593</v>
      </c>
      <c r="H220" s="190"/>
      <c r="I220" s="183"/>
      <c r="J220" s="183"/>
    </row>
    <row r="221" ht="22.5" customHeight="1">
      <c r="A221" s="184">
        <v>45943.0</v>
      </c>
      <c r="B221" s="185" t="s">
        <v>70</v>
      </c>
      <c r="C221" s="186">
        <v>55920.0</v>
      </c>
      <c r="D221" s="187">
        <v>15.8</v>
      </c>
      <c r="E221" s="185" t="s">
        <v>35</v>
      </c>
      <c r="F221" s="188" t="s">
        <v>594</v>
      </c>
      <c r="G221" s="185" t="s">
        <v>595</v>
      </c>
      <c r="H221" s="190"/>
      <c r="I221" s="183"/>
      <c r="J221" s="183"/>
    </row>
    <row r="222" ht="22.5" customHeight="1">
      <c r="A222" s="184">
        <v>45943.0</v>
      </c>
      <c r="B222" s="185" t="s">
        <v>70</v>
      </c>
      <c r="C222" s="186">
        <v>58160.0</v>
      </c>
      <c r="D222" s="187">
        <v>15.9</v>
      </c>
      <c r="E222" s="185" t="s">
        <v>35</v>
      </c>
      <c r="F222" s="188" t="s">
        <v>596</v>
      </c>
      <c r="G222" s="185" t="s">
        <v>597</v>
      </c>
      <c r="H222" s="190"/>
      <c r="I222" s="183"/>
      <c r="J222" s="183"/>
    </row>
    <row r="223" ht="22.5" customHeight="1">
      <c r="A223" s="184">
        <v>45943.0</v>
      </c>
      <c r="B223" s="185" t="s">
        <v>70</v>
      </c>
      <c r="C223" s="186">
        <v>57400.0</v>
      </c>
      <c r="D223" s="187">
        <v>16.0</v>
      </c>
      <c r="E223" s="185" t="s">
        <v>35</v>
      </c>
      <c r="F223" s="188" t="s">
        <v>598</v>
      </c>
      <c r="G223" s="185" t="s">
        <v>599</v>
      </c>
      <c r="H223" s="190"/>
      <c r="I223" s="183"/>
      <c r="J223" s="183"/>
    </row>
    <row r="224" ht="22.5" customHeight="1">
      <c r="A224" s="184">
        <v>45943.0</v>
      </c>
      <c r="B224" s="185" t="s">
        <v>70</v>
      </c>
      <c r="C224" s="186">
        <v>58100.0</v>
      </c>
      <c r="D224" s="187">
        <v>15.6</v>
      </c>
      <c r="E224" s="185" t="s">
        <v>35</v>
      </c>
      <c r="F224" s="188" t="s">
        <v>600</v>
      </c>
      <c r="G224" s="185" t="s">
        <v>601</v>
      </c>
      <c r="H224" s="190"/>
      <c r="I224" s="183"/>
      <c r="J224" s="183"/>
    </row>
    <row r="225" ht="22.5" customHeight="1">
      <c r="A225" s="184">
        <v>45943.0</v>
      </c>
      <c r="B225" s="185" t="s">
        <v>70</v>
      </c>
      <c r="C225" s="186">
        <v>56640.0</v>
      </c>
      <c r="D225" s="187">
        <v>15.9</v>
      </c>
      <c r="E225" s="185" t="s">
        <v>35</v>
      </c>
      <c r="F225" s="188" t="s">
        <v>602</v>
      </c>
      <c r="G225" s="185" t="s">
        <v>603</v>
      </c>
      <c r="H225" s="190"/>
      <c r="I225" s="183"/>
      <c r="J225" s="183"/>
    </row>
    <row r="226" ht="22.5" customHeight="1">
      <c r="A226" s="184">
        <v>45943.0</v>
      </c>
      <c r="B226" s="185" t="s">
        <v>70</v>
      </c>
      <c r="C226" s="186">
        <v>57340.0</v>
      </c>
      <c r="D226" s="187">
        <v>15.7</v>
      </c>
      <c r="E226" s="185" t="s">
        <v>35</v>
      </c>
      <c r="F226" s="188" t="s">
        <v>604</v>
      </c>
      <c r="G226" s="185" t="s">
        <v>605</v>
      </c>
      <c r="H226" s="190"/>
      <c r="I226" s="183"/>
      <c r="J226" s="183"/>
    </row>
    <row r="227" ht="22.5" customHeight="1">
      <c r="A227" s="184">
        <v>45943.0</v>
      </c>
      <c r="B227" s="185" t="s">
        <v>70</v>
      </c>
      <c r="C227" s="186">
        <v>60120.0</v>
      </c>
      <c r="D227" s="187">
        <v>15.3</v>
      </c>
      <c r="E227" s="185" t="s">
        <v>35</v>
      </c>
      <c r="F227" s="188" t="s">
        <v>606</v>
      </c>
      <c r="G227" s="185" t="s">
        <v>607</v>
      </c>
      <c r="H227" s="190"/>
      <c r="I227" s="183"/>
      <c r="J227" s="183"/>
    </row>
    <row r="228" ht="22.5" customHeight="1">
      <c r="A228" s="184">
        <v>45943.0</v>
      </c>
      <c r="B228" s="185" t="s">
        <v>70</v>
      </c>
      <c r="C228" s="186">
        <v>58600.0</v>
      </c>
      <c r="D228" s="187">
        <v>15.4</v>
      </c>
      <c r="E228" s="185" t="s">
        <v>35</v>
      </c>
      <c r="F228" s="188" t="s">
        <v>608</v>
      </c>
      <c r="G228" s="185" t="s">
        <v>609</v>
      </c>
      <c r="H228" s="190"/>
      <c r="I228" s="183"/>
      <c r="J228" s="183"/>
    </row>
    <row r="229" ht="22.5" customHeight="1">
      <c r="A229" s="184">
        <v>45943.0</v>
      </c>
      <c r="B229" s="185" t="s">
        <v>70</v>
      </c>
      <c r="C229" s="186">
        <v>58000.0</v>
      </c>
      <c r="D229" s="187">
        <v>16.0</v>
      </c>
      <c r="E229" s="185" t="s">
        <v>35</v>
      </c>
      <c r="F229" s="188" t="s">
        <v>610</v>
      </c>
      <c r="G229" s="185" t="s">
        <v>611</v>
      </c>
      <c r="H229" s="190"/>
      <c r="I229" s="183"/>
      <c r="J229" s="183"/>
    </row>
    <row r="230" ht="22.5" customHeight="1">
      <c r="A230" s="184">
        <v>45943.0</v>
      </c>
      <c r="B230" s="185" t="s">
        <v>70</v>
      </c>
      <c r="C230" s="186">
        <v>56660.0</v>
      </c>
      <c r="D230" s="187">
        <v>15.8</v>
      </c>
      <c r="E230" s="185" t="s">
        <v>35</v>
      </c>
      <c r="F230" s="188" t="s">
        <v>612</v>
      </c>
      <c r="G230" s="185" t="s">
        <v>613</v>
      </c>
      <c r="H230" s="190"/>
      <c r="I230" s="183"/>
      <c r="J230" s="183"/>
    </row>
    <row r="231" ht="22.5" customHeight="1">
      <c r="A231" s="184">
        <v>45943.0</v>
      </c>
      <c r="B231" s="185" t="s">
        <v>70</v>
      </c>
      <c r="C231" s="186">
        <v>57840.0</v>
      </c>
      <c r="D231" s="187">
        <v>15.7</v>
      </c>
      <c r="E231" s="185" t="s">
        <v>35</v>
      </c>
      <c r="F231" s="188" t="s">
        <v>614</v>
      </c>
      <c r="G231" s="185" t="s">
        <v>615</v>
      </c>
      <c r="H231" s="190"/>
      <c r="I231" s="183"/>
      <c r="J231" s="183"/>
    </row>
    <row r="232" ht="22.5" customHeight="1">
      <c r="A232" s="184">
        <v>45943.0</v>
      </c>
      <c r="B232" s="185" t="s">
        <v>70</v>
      </c>
      <c r="C232" s="186">
        <v>57060.0</v>
      </c>
      <c r="D232" s="187">
        <v>15.8</v>
      </c>
      <c r="E232" s="185" t="s">
        <v>35</v>
      </c>
      <c r="F232" s="188" t="s">
        <v>616</v>
      </c>
      <c r="G232" s="185" t="s">
        <v>617</v>
      </c>
      <c r="H232" s="190"/>
      <c r="I232" s="183"/>
      <c r="J232" s="183"/>
    </row>
    <row r="233" ht="22.5" customHeight="1">
      <c r="A233" s="184">
        <v>45943.0</v>
      </c>
      <c r="B233" s="185" t="s">
        <v>70</v>
      </c>
      <c r="C233" s="186">
        <v>56620.0</v>
      </c>
      <c r="D233" s="187">
        <v>15.5</v>
      </c>
      <c r="E233" s="185" t="s">
        <v>35</v>
      </c>
      <c r="F233" s="188" t="s">
        <v>618</v>
      </c>
      <c r="G233" s="185" t="s">
        <v>619</v>
      </c>
      <c r="H233" s="190"/>
      <c r="I233" s="183"/>
      <c r="J233" s="183"/>
    </row>
    <row r="234" ht="22.5" customHeight="1">
      <c r="A234" s="184">
        <v>45943.0</v>
      </c>
      <c r="B234" s="185" t="s">
        <v>70</v>
      </c>
      <c r="C234" s="186">
        <v>58140.0</v>
      </c>
      <c r="D234" s="187">
        <v>15.6</v>
      </c>
      <c r="E234" s="185" t="s">
        <v>35</v>
      </c>
      <c r="F234" s="188" t="s">
        <v>620</v>
      </c>
      <c r="G234" s="185" t="s">
        <v>621</v>
      </c>
      <c r="H234" s="190"/>
      <c r="I234" s="183"/>
      <c r="J234" s="183"/>
    </row>
    <row r="235" ht="22.5" customHeight="1">
      <c r="A235" s="184">
        <v>45943.0</v>
      </c>
      <c r="B235" s="185" t="s">
        <v>70</v>
      </c>
      <c r="C235" s="186">
        <v>58620.0</v>
      </c>
      <c r="D235" s="187">
        <v>16.0</v>
      </c>
      <c r="E235" s="185" t="s">
        <v>35</v>
      </c>
      <c r="F235" s="188" t="s">
        <v>622</v>
      </c>
      <c r="G235" s="185" t="s">
        <v>623</v>
      </c>
      <c r="H235" s="190"/>
      <c r="I235" s="183"/>
      <c r="J235" s="183"/>
    </row>
    <row r="236" ht="22.5" customHeight="1">
      <c r="A236" s="184">
        <v>45943.0</v>
      </c>
      <c r="B236" s="185" t="s">
        <v>70</v>
      </c>
      <c r="C236" s="186">
        <v>57500.0</v>
      </c>
      <c r="D236" s="187">
        <v>15.0</v>
      </c>
      <c r="E236" s="185" t="s">
        <v>35</v>
      </c>
      <c r="F236" s="188" t="s">
        <v>624</v>
      </c>
      <c r="G236" s="185" t="s">
        <v>625</v>
      </c>
      <c r="H236" s="190"/>
      <c r="I236" s="183"/>
      <c r="J236" s="183"/>
    </row>
    <row r="237" ht="22.5" customHeight="1">
      <c r="A237" s="184">
        <v>45943.0</v>
      </c>
      <c r="B237" s="185" t="s">
        <v>70</v>
      </c>
      <c r="C237" s="186">
        <v>57220.0</v>
      </c>
      <c r="D237" s="187">
        <v>15.8</v>
      </c>
      <c r="E237" s="185" t="s">
        <v>35</v>
      </c>
      <c r="F237" s="188" t="s">
        <v>626</v>
      </c>
      <c r="G237" s="185" t="s">
        <v>627</v>
      </c>
      <c r="H237" s="190"/>
      <c r="I237" s="183"/>
      <c r="J237" s="183"/>
    </row>
    <row r="238" ht="22.5" customHeight="1">
      <c r="A238" s="184">
        <v>45943.0</v>
      </c>
      <c r="B238" s="185" t="s">
        <v>70</v>
      </c>
      <c r="C238" s="186">
        <v>56920.0</v>
      </c>
      <c r="D238" s="187">
        <v>15.5</v>
      </c>
      <c r="E238" s="185" t="s">
        <v>35</v>
      </c>
      <c r="F238" s="188" t="s">
        <v>628</v>
      </c>
      <c r="G238" s="185" t="s">
        <v>629</v>
      </c>
      <c r="H238" s="190"/>
      <c r="I238" s="183"/>
      <c r="J238" s="183"/>
    </row>
    <row r="239" ht="22.5" customHeight="1">
      <c r="A239" s="184">
        <v>45943.0</v>
      </c>
      <c r="B239" s="185" t="s">
        <v>70</v>
      </c>
      <c r="C239" s="186">
        <v>58440.0</v>
      </c>
      <c r="D239" s="187">
        <v>15.6</v>
      </c>
      <c r="E239" s="185" t="s">
        <v>35</v>
      </c>
      <c r="F239" s="188" t="s">
        <v>630</v>
      </c>
      <c r="G239" s="185" t="s">
        <v>631</v>
      </c>
      <c r="H239" s="190"/>
      <c r="I239" s="183"/>
      <c r="J239" s="183"/>
    </row>
    <row r="240" ht="22.5" customHeight="1">
      <c r="A240" s="184">
        <v>45943.0</v>
      </c>
      <c r="B240" s="185" t="s">
        <v>70</v>
      </c>
      <c r="C240" s="186">
        <v>57560.0</v>
      </c>
      <c r="D240" s="187">
        <v>15.5</v>
      </c>
      <c r="E240" s="185" t="s">
        <v>35</v>
      </c>
      <c r="F240" s="188" t="s">
        <v>632</v>
      </c>
      <c r="G240" s="185" t="s">
        <v>633</v>
      </c>
      <c r="H240" s="190"/>
      <c r="I240" s="183"/>
      <c r="J240" s="183"/>
    </row>
    <row r="241" ht="22.5" customHeight="1">
      <c r="A241" s="184">
        <v>45943.0</v>
      </c>
      <c r="B241" s="185" t="s">
        <v>70</v>
      </c>
      <c r="C241" s="186">
        <v>56960.0</v>
      </c>
      <c r="D241" s="187">
        <v>15.8</v>
      </c>
      <c r="E241" s="185" t="s">
        <v>35</v>
      </c>
      <c r="F241" s="188" t="s">
        <v>634</v>
      </c>
      <c r="G241" s="185" t="s">
        <v>635</v>
      </c>
      <c r="H241" s="190"/>
      <c r="I241" s="183"/>
      <c r="J241" s="183"/>
    </row>
    <row r="242" ht="22.5" customHeight="1">
      <c r="A242" s="184">
        <v>45944.0</v>
      </c>
      <c r="B242" s="185" t="s">
        <v>70</v>
      </c>
      <c r="C242" s="186">
        <v>56240.0</v>
      </c>
      <c r="D242" s="187">
        <v>15.4</v>
      </c>
      <c r="E242" s="185" t="s">
        <v>35</v>
      </c>
      <c r="F242" s="188" t="s">
        <v>636</v>
      </c>
      <c r="G242" s="185" t="s">
        <v>637</v>
      </c>
      <c r="H242" s="190"/>
      <c r="I242" s="183"/>
      <c r="J242" s="183"/>
    </row>
    <row r="243" ht="22.5" customHeight="1">
      <c r="A243" s="184">
        <v>45944.0</v>
      </c>
      <c r="B243" s="185" t="s">
        <v>70</v>
      </c>
      <c r="C243" s="186">
        <v>58060.0</v>
      </c>
      <c r="D243" s="187">
        <v>15.5</v>
      </c>
      <c r="E243" s="185" t="s">
        <v>35</v>
      </c>
      <c r="F243" s="188" t="s">
        <v>638</v>
      </c>
      <c r="G243" s="185" t="s">
        <v>639</v>
      </c>
      <c r="H243" s="190"/>
      <c r="I243" s="183"/>
      <c r="J243" s="183"/>
    </row>
    <row r="244" ht="22.5" customHeight="1">
      <c r="A244" s="184">
        <v>45944.0</v>
      </c>
      <c r="B244" s="185" t="s">
        <v>70</v>
      </c>
      <c r="C244" s="186">
        <v>57780.0</v>
      </c>
      <c r="D244" s="187">
        <v>15.7</v>
      </c>
      <c r="E244" s="185" t="s">
        <v>35</v>
      </c>
      <c r="F244" s="188" t="s">
        <v>640</v>
      </c>
      <c r="G244" s="185" t="s">
        <v>641</v>
      </c>
      <c r="H244" s="190"/>
      <c r="I244" s="183"/>
      <c r="J244" s="183"/>
    </row>
    <row r="245" ht="22.5" customHeight="1">
      <c r="A245" s="184">
        <v>45944.0</v>
      </c>
      <c r="B245" s="185" t="s">
        <v>70</v>
      </c>
      <c r="C245" s="186">
        <v>58180.0</v>
      </c>
      <c r="D245" s="187">
        <v>15.8</v>
      </c>
      <c r="E245" s="185" t="s">
        <v>35</v>
      </c>
      <c r="F245" s="188" t="s">
        <v>642</v>
      </c>
      <c r="G245" s="185" t="s">
        <v>643</v>
      </c>
      <c r="H245" s="190"/>
      <c r="I245" s="183"/>
      <c r="J245" s="183"/>
    </row>
    <row r="246" ht="22.5" customHeight="1">
      <c r="A246" s="184">
        <v>45944.0</v>
      </c>
      <c r="B246" s="185" t="s">
        <v>70</v>
      </c>
      <c r="C246" s="186">
        <v>32100.0</v>
      </c>
      <c r="D246" s="187">
        <v>15.4</v>
      </c>
      <c r="E246" s="185" t="s">
        <v>35</v>
      </c>
      <c r="F246" s="188" t="s">
        <v>642</v>
      </c>
      <c r="G246" s="185" t="s">
        <v>644</v>
      </c>
      <c r="H246" s="190"/>
      <c r="I246" s="183"/>
      <c r="J246" s="183"/>
    </row>
    <row r="247" ht="22.5" customHeight="1">
      <c r="A247" s="184">
        <v>45890.0</v>
      </c>
      <c r="B247" s="185" t="s">
        <v>72</v>
      </c>
      <c r="C247" s="186">
        <v>275740.0</v>
      </c>
      <c r="D247" s="187"/>
      <c r="E247" s="185" t="s">
        <v>71</v>
      </c>
      <c r="F247" s="188" t="s">
        <v>645</v>
      </c>
      <c r="G247" s="185" t="s">
        <v>646</v>
      </c>
      <c r="H247" s="190"/>
      <c r="I247" s="183"/>
      <c r="J247" s="183"/>
    </row>
    <row r="248" ht="22.5" customHeight="1">
      <c r="A248" s="184">
        <v>45944.0</v>
      </c>
      <c r="B248" s="185" t="s">
        <v>74</v>
      </c>
      <c r="C248" s="191">
        <v>57420.0</v>
      </c>
      <c r="D248" s="187">
        <v>14.5</v>
      </c>
      <c r="E248" s="185" t="s">
        <v>35</v>
      </c>
      <c r="F248" s="188" t="s">
        <v>647</v>
      </c>
      <c r="G248" s="185" t="s">
        <v>648</v>
      </c>
      <c r="H248" s="190"/>
      <c r="I248" s="183"/>
      <c r="J248" s="183"/>
    </row>
    <row r="249" ht="22.5" customHeight="1">
      <c r="A249" s="184">
        <v>45944.0</v>
      </c>
      <c r="B249" s="185" t="s">
        <v>74</v>
      </c>
      <c r="C249" s="191">
        <v>59640.0</v>
      </c>
      <c r="D249" s="187">
        <v>15.5</v>
      </c>
      <c r="E249" s="185" t="s">
        <v>35</v>
      </c>
      <c r="F249" s="188" t="s">
        <v>649</v>
      </c>
      <c r="G249" s="185" t="s">
        <v>650</v>
      </c>
      <c r="H249" s="190"/>
      <c r="I249" s="183"/>
      <c r="J249" s="183"/>
    </row>
    <row r="250" ht="22.5" customHeight="1">
      <c r="A250" s="184">
        <v>45944.0</v>
      </c>
      <c r="B250" s="185" t="s">
        <v>74</v>
      </c>
      <c r="C250" s="186">
        <v>57120.0</v>
      </c>
      <c r="D250" s="187">
        <v>15.2</v>
      </c>
      <c r="E250" s="185" t="s">
        <v>35</v>
      </c>
      <c r="F250" s="188" t="s">
        <v>651</v>
      </c>
      <c r="G250" s="185" t="s">
        <v>652</v>
      </c>
      <c r="H250" s="190"/>
      <c r="I250" s="183"/>
      <c r="J250" s="183"/>
    </row>
    <row r="251" ht="22.5" customHeight="1">
      <c r="A251" s="184">
        <v>45944.0</v>
      </c>
      <c r="B251" s="185" t="s">
        <v>74</v>
      </c>
      <c r="C251" s="186">
        <v>57940.0</v>
      </c>
      <c r="D251" s="187">
        <v>14.3</v>
      </c>
      <c r="E251" s="185" t="s">
        <v>35</v>
      </c>
      <c r="F251" s="188" t="s">
        <v>653</v>
      </c>
      <c r="G251" s="185" t="s">
        <v>654</v>
      </c>
      <c r="H251" s="190"/>
      <c r="I251" s="183"/>
      <c r="J251" s="183"/>
    </row>
    <row r="252" ht="22.5" customHeight="1">
      <c r="A252" s="184">
        <v>45944.0</v>
      </c>
      <c r="B252" s="185" t="s">
        <v>74</v>
      </c>
      <c r="C252" s="186">
        <v>59040.0</v>
      </c>
      <c r="D252" s="187">
        <v>14.4</v>
      </c>
      <c r="E252" s="185" t="s">
        <v>35</v>
      </c>
      <c r="F252" s="188" t="s">
        <v>655</v>
      </c>
      <c r="G252" s="185" t="s">
        <v>656</v>
      </c>
      <c r="H252" s="190"/>
      <c r="I252" s="183"/>
      <c r="J252" s="183"/>
    </row>
    <row r="253" ht="22.5" customHeight="1">
      <c r="A253" s="184">
        <v>45944.0</v>
      </c>
      <c r="B253" s="185" t="s">
        <v>74</v>
      </c>
      <c r="C253" s="186">
        <v>57000.0</v>
      </c>
      <c r="D253" s="187">
        <v>14.3</v>
      </c>
      <c r="E253" s="185" t="s">
        <v>35</v>
      </c>
      <c r="F253" s="188" t="s">
        <v>657</v>
      </c>
      <c r="G253" s="185" t="s">
        <v>658</v>
      </c>
      <c r="H253" s="190"/>
      <c r="I253" s="183"/>
      <c r="J253" s="183"/>
    </row>
    <row r="254" ht="22.5" customHeight="1">
      <c r="A254" s="184">
        <v>45944.0</v>
      </c>
      <c r="B254" s="185" t="s">
        <v>74</v>
      </c>
      <c r="C254" s="186">
        <v>58540.0</v>
      </c>
      <c r="D254" s="187">
        <v>14.0</v>
      </c>
      <c r="E254" s="185" t="s">
        <v>35</v>
      </c>
      <c r="F254" s="188" t="s">
        <v>659</v>
      </c>
      <c r="G254" s="185" t="s">
        <v>660</v>
      </c>
      <c r="H254" s="190"/>
      <c r="I254" s="183"/>
      <c r="J254" s="183"/>
    </row>
    <row r="255" ht="22.5" customHeight="1">
      <c r="A255" s="184">
        <v>45944.0</v>
      </c>
      <c r="B255" s="185" t="s">
        <v>74</v>
      </c>
      <c r="C255" s="186">
        <v>57660.0</v>
      </c>
      <c r="D255" s="187">
        <v>14.0</v>
      </c>
      <c r="E255" s="185" t="s">
        <v>35</v>
      </c>
      <c r="F255" s="188" t="s">
        <v>661</v>
      </c>
      <c r="G255" s="185" t="s">
        <v>662</v>
      </c>
      <c r="H255" s="190"/>
      <c r="I255" s="183"/>
      <c r="J255" s="183"/>
    </row>
    <row r="256" ht="22.5" customHeight="1">
      <c r="A256" s="184">
        <v>45944.0</v>
      </c>
      <c r="B256" s="185" t="s">
        <v>74</v>
      </c>
      <c r="C256" s="186">
        <v>57540.0</v>
      </c>
      <c r="D256" s="187">
        <v>13.9</v>
      </c>
      <c r="E256" s="185" t="s">
        <v>35</v>
      </c>
      <c r="F256" s="188" t="s">
        <v>663</v>
      </c>
      <c r="G256" s="185" t="s">
        <v>664</v>
      </c>
      <c r="H256" s="190"/>
      <c r="I256" s="183"/>
      <c r="J256" s="183"/>
    </row>
    <row r="257" ht="22.5" customHeight="1">
      <c r="A257" s="184">
        <v>45944.0</v>
      </c>
      <c r="B257" s="185" t="s">
        <v>74</v>
      </c>
      <c r="C257" s="186">
        <v>57720.0</v>
      </c>
      <c r="D257" s="187">
        <v>14.1</v>
      </c>
      <c r="E257" s="185" t="s">
        <v>35</v>
      </c>
      <c r="F257" s="188" t="s">
        <v>665</v>
      </c>
      <c r="G257" s="185" t="s">
        <v>666</v>
      </c>
      <c r="H257" s="190"/>
      <c r="I257" s="183"/>
      <c r="J257" s="183"/>
    </row>
    <row r="258" ht="22.5" customHeight="1">
      <c r="A258" s="184">
        <v>45944.0</v>
      </c>
      <c r="B258" s="185" t="s">
        <v>74</v>
      </c>
      <c r="C258" s="186">
        <v>57220.0</v>
      </c>
      <c r="D258" s="187">
        <v>14.2</v>
      </c>
      <c r="E258" s="185" t="s">
        <v>35</v>
      </c>
      <c r="F258" s="188" t="s">
        <v>667</v>
      </c>
      <c r="G258" s="185" t="s">
        <v>668</v>
      </c>
      <c r="H258" s="190"/>
      <c r="I258" s="183"/>
      <c r="J258" s="183"/>
    </row>
    <row r="259" ht="22.5" customHeight="1">
      <c r="A259" s="184">
        <v>45944.0</v>
      </c>
      <c r="B259" s="185" t="s">
        <v>74</v>
      </c>
      <c r="C259" s="186">
        <v>57380.0</v>
      </c>
      <c r="D259" s="187">
        <v>14.2</v>
      </c>
      <c r="E259" s="185" t="s">
        <v>35</v>
      </c>
      <c r="F259" s="188" t="s">
        <v>669</v>
      </c>
      <c r="G259" s="185" t="s">
        <v>670</v>
      </c>
      <c r="H259" s="190"/>
      <c r="I259" s="183"/>
      <c r="J259" s="183"/>
    </row>
    <row r="260" ht="22.5" customHeight="1">
      <c r="A260" s="184">
        <v>45944.0</v>
      </c>
      <c r="B260" s="185" t="s">
        <v>74</v>
      </c>
      <c r="C260" s="186">
        <v>57820.0</v>
      </c>
      <c r="D260" s="187">
        <v>14.8</v>
      </c>
      <c r="E260" s="185" t="s">
        <v>35</v>
      </c>
      <c r="F260" s="188" t="s">
        <v>671</v>
      </c>
      <c r="G260" s="185" t="s">
        <v>672</v>
      </c>
      <c r="H260" s="190"/>
      <c r="I260" s="183"/>
      <c r="J260" s="183"/>
    </row>
    <row r="261" ht="22.5" customHeight="1">
      <c r="A261" s="184">
        <v>45944.0</v>
      </c>
      <c r="B261" s="185" t="s">
        <v>74</v>
      </c>
      <c r="C261" s="186">
        <v>55320.0</v>
      </c>
      <c r="D261" s="187">
        <v>14.5</v>
      </c>
      <c r="E261" s="185" t="s">
        <v>35</v>
      </c>
      <c r="F261" s="188" t="s">
        <v>673</v>
      </c>
      <c r="G261" s="185" t="s">
        <v>674</v>
      </c>
      <c r="H261" s="190"/>
      <c r="I261" s="183"/>
      <c r="J261" s="183"/>
    </row>
    <row r="262" ht="22.5" customHeight="1">
      <c r="A262" s="184">
        <v>45952.0</v>
      </c>
      <c r="B262" s="185" t="s">
        <v>75</v>
      </c>
      <c r="C262" s="186">
        <v>57560.0</v>
      </c>
      <c r="D262" s="187">
        <v>18.3</v>
      </c>
      <c r="E262" s="185" t="s">
        <v>35</v>
      </c>
      <c r="F262" s="188" t="s">
        <v>675</v>
      </c>
      <c r="G262" s="185" t="s">
        <v>676</v>
      </c>
      <c r="H262" s="190"/>
      <c r="I262" s="183"/>
      <c r="J262" s="183"/>
    </row>
    <row r="263" ht="22.5" customHeight="1">
      <c r="A263" s="184">
        <v>45952.0</v>
      </c>
      <c r="B263" s="185" t="s">
        <v>75</v>
      </c>
      <c r="C263" s="186">
        <v>58020.0</v>
      </c>
      <c r="D263" s="187">
        <v>17.4</v>
      </c>
      <c r="E263" s="185" t="s">
        <v>35</v>
      </c>
      <c r="F263" s="188" t="s">
        <v>677</v>
      </c>
      <c r="G263" s="185" t="s">
        <v>678</v>
      </c>
      <c r="H263" s="190"/>
      <c r="I263" s="183"/>
      <c r="J263" s="183"/>
    </row>
    <row r="264" ht="22.5" customHeight="1">
      <c r="A264" s="184">
        <v>45952.0</v>
      </c>
      <c r="B264" s="185" t="s">
        <v>75</v>
      </c>
      <c r="C264" s="186">
        <v>60280.0</v>
      </c>
      <c r="D264" s="187">
        <v>18.6</v>
      </c>
      <c r="E264" s="185" t="s">
        <v>35</v>
      </c>
      <c r="F264" s="188" t="s">
        <v>679</v>
      </c>
      <c r="G264" s="185" t="s">
        <v>680</v>
      </c>
      <c r="H264" s="190"/>
      <c r="I264" s="183"/>
      <c r="J264" s="183"/>
    </row>
    <row r="265" ht="22.5" customHeight="1">
      <c r="A265" s="184">
        <v>45952.0</v>
      </c>
      <c r="B265" s="185" t="s">
        <v>75</v>
      </c>
      <c r="C265" s="186">
        <v>55380.0</v>
      </c>
      <c r="D265" s="187">
        <v>19.5</v>
      </c>
      <c r="E265" s="185" t="s">
        <v>35</v>
      </c>
      <c r="F265" s="188" t="s">
        <v>681</v>
      </c>
      <c r="G265" s="185" t="s">
        <v>682</v>
      </c>
      <c r="H265" s="190"/>
      <c r="I265" s="183"/>
      <c r="J265" s="183"/>
    </row>
    <row r="266" ht="22.5" customHeight="1">
      <c r="A266" s="184">
        <v>45952.0</v>
      </c>
      <c r="B266" s="185" t="s">
        <v>75</v>
      </c>
      <c r="C266" s="186">
        <v>56360.0</v>
      </c>
      <c r="D266" s="187">
        <v>20.1</v>
      </c>
      <c r="E266" s="185" t="s">
        <v>35</v>
      </c>
      <c r="F266" s="188" t="s">
        <v>683</v>
      </c>
      <c r="G266" s="185" t="s">
        <v>684</v>
      </c>
      <c r="H266" s="190"/>
      <c r="I266" s="183"/>
      <c r="J266" s="183"/>
    </row>
    <row r="267" ht="22.5" customHeight="1">
      <c r="A267" s="184">
        <v>45952.0</v>
      </c>
      <c r="B267" s="185" t="s">
        <v>75</v>
      </c>
      <c r="C267" s="186">
        <v>57360.0</v>
      </c>
      <c r="D267" s="187">
        <v>19.5</v>
      </c>
      <c r="E267" s="185" t="s">
        <v>35</v>
      </c>
      <c r="F267" s="188" t="s">
        <v>685</v>
      </c>
      <c r="G267" s="185" t="s">
        <v>686</v>
      </c>
      <c r="H267" s="190"/>
      <c r="I267" s="183"/>
      <c r="J267" s="183"/>
    </row>
    <row r="268" ht="22.5" customHeight="1">
      <c r="A268" s="184">
        <v>45952.0</v>
      </c>
      <c r="B268" s="185" t="s">
        <v>75</v>
      </c>
      <c r="C268" s="186">
        <v>57340.0</v>
      </c>
      <c r="D268" s="187">
        <v>18.9</v>
      </c>
      <c r="E268" s="185" t="s">
        <v>35</v>
      </c>
      <c r="F268" s="188" t="s">
        <v>687</v>
      </c>
      <c r="G268" s="185" t="s">
        <v>688</v>
      </c>
      <c r="H268" s="190"/>
      <c r="I268" s="183"/>
      <c r="J268" s="183"/>
    </row>
    <row r="269" ht="22.5" customHeight="1">
      <c r="A269" s="184">
        <v>45952.0</v>
      </c>
      <c r="B269" s="185" t="s">
        <v>75</v>
      </c>
      <c r="C269" s="186">
        <v>56460.0</v>
      </c>
      <c r="D269" s="187">
        <v>18.5</v>
      </c>
      <c r="E269" s="185" t="s">
        <v>35</v>
      </c>
      <c r="F269" s="188" t="s">
        <v>689</v>
      </c>
      <c r="G269" s="185" t="s">
        <v>690</v>
      </c>
      <c r="H269" s="190"/>
      <c r="I269" s="183"/>
      <c r="J269" s="183"/>
    </row>
    <row r="270" ht="22.5" customHeight="1">
      <c r="A270" s="184">
        <v>45952.0</v>
      </c>
      <c r="B270" s="185" t="s">
        <v>75</v>
      </c>
      <c r="C270" s="186">
        <v>57320.0</v>
      </c>
      <c r="D270" s="187">
        <v>18.9</v>
      </c>
      <c r="E270" s="185" t="s">
        <v>35</v>
      </c>
      <c r="F270" s="188" t="s">
        <v>691</v>
      </c>
      <c r="G270" s="185" t="s">
        <v>692</v>
      </c>
      <c r="H270" s="190"/>
      <c r="I270" s="183"/>
      <c r="J270" s="183"/>
    </row>
    <row r="271" ht="22.5" customHeight="1">
      <c r="A271" s="184">
        <v>45952.0</v>
      </c>
      <c r="B271" s="185" t="s">
        <v>75</v>
      </c>
      <c r="C271" s="186">
        <v>32180.0</v>
      </c>
      <c r="D271" s="187">
        <v>18.1</v>
      </c>
      <c r="E271" s="185" t="s">
        <v>35</v>
      </c>
      <c r="F271" s="188" t="s">
        <v>693</v>
      </c>
      <c r="G271" s="185" t="s">
        <v>694</v>
      </c>
      <c r="H271" s="190"/>
      <c r="I271" s="183"/>
      <c r="J271" s="183"/>
    </row>
    <row r="272" ht="22.5" customHeight="1">
      <c r="A272" s="184">
        <v>45952.0</v>
      </c>
      <c r="B272" s="185" t="s">
        <v>75</v>
      </c>
      <c r="C272" s="186">
        <v>29920.0</v>
      </c>
      <c r="D272" s="187">
        <v>18.8</v>
      </c>
      <c r="E272" s="185" t="s">
        <v>35</v>
      </c>
      <c r="F272" s="188" t="s">
        <v>695</v>
      </c>
      <c r="G272" s="185" t="s">
        <v>696</v>
      </c>
      <c r="H272" s="190"/>
      <c r="I272" s="183"/>
      <c r="J272" s="183"/>
    </row>
    <row r="273" ht="22.5" customHeight="1">
      <c r="A273" s="184">
        <v>45936.0</v>
      </c>
      <c r="B273" s="185" t="s">
        <v>76</v>
      </c>
      <c r="C273" s="186">
        <v>19285.0</v>
      </c>
      <c r="D273" s="187">
        <v>16.2</v>
      </c>
      <c r="E273" s="200" t="s">
        <v>35</v>
      </c>
      <c r="F273" s="201" t="s">
        <v>391</v>
      </c>
      <c r="G273" s="185" t="s">
        <v>697</v>
      </c>
      <c r="H273" s="182">
        <v>0.0</v>
      </c>
      <c r="I273" s="183"/>
      <c r="J273" s="183"/>
    </row>
    <row r="274" ht="22.5" customHeight="1">
      <c r="A274" s="184">
        <v>45936.0</v>
      </c>
      <c r="B274" s="185" t="s">
        <v>76</v>
      </c>
      <c r="C274" s="186">
        <v>55900.0</v>
      </c>
      <c r="D274" s="187">
        <v>15.4</v>
      </c>
      <c r="E274" s="200" t="s">
        <v>35</v>
      </c>
      <c r="F274" s="201" t="s">
        <v>698</v>
      </c>
      <c r="G274" s="185" t="s">
        <v>699</v>
      </c>
      <c r="H274" s="190"/>
      <c r="I274" s="183"/>
      <c r="J274" s="183"/>
    </row>
    <row r="275" ht="22.5" customHeight="1">
      <c r="A275" s="184">
        <v>45936.0</v>
      </c>
      <c r="B275" s="185" t="s">
        <v>76</v>
      </c>
      <c r="C275" s="186">
        <v>54320.0</v>
      </c>
      <c r="D275" s="187">
        <v>16.3</v>
      </c>
      <c r="E275" s="200" t="s">
        <v>35</v>
      </c>
      <c r="F275" s="201" t="s">
        <v>700</v>
      </c>
      <c r="G275" s="185" t="s">
        <v>701</v>
      </c>
      <c r="H275" s="190"/>
      <c r="I275" s="183"/>
      <c r="J275" s="183"/>
    </row>
    <row r="276" ht="22.5" customHeight="1">
      <c r="A276" s="184">
        <v>45936.0</v>
      </c>
      <c r="B276" s="185" t="s">
        <v>76</v>
      </c>
      <c r="C276" s="186">
        <v>55580.0</v>
      </c>
      <c r="D276" s="187">
        <v>15.9</v>
      </c>
      <c r="E276" s="200" t="s">
        <v>35</v>
      </c>
      <c r="F276" s="201" t="s">
        <v>702</v>
      </c>
      <c r="G276" s="185" t="s">
        <v>703</v>
      </c>
      <c r="H276" s="182">
        <v>1.4</v>
      </c>
      <c r="I276" s="183"/>
      <c r="J276" s="183"/>
    </row>
    <row r="277" ht="22.5" customHeight="1">
      <c r="A277" s="184">
        <v>45936.0</v>
      </c>
      <c r="B277" s="185" t="s">
        <v>76</v>
      </c>
      <c r="C277" s="186">
        <v>57160.0</v>
      </c>
      <c r="D277" s="187">
        <v>16.7</v>
      </c>
      <c r="E277" s="200" t="s">
        <v>35</v>
      </c>
      <c r="F277" s="201" t="s">
        <v>704</v>
      </c>
      <c r="G277" s="185" t="s">
        <v>705</v>
      </c>
      <c r="H277" s="182">
        <v>0.0</v>
      </c>
      <c r="I277" s="183"/>
      <c r="J277" s="183"/>
    </row>
    <row r="278" ht="22.5" customHeight="1">
      <c r="A278" s="184">
        <v>45936.0</v>
      </c>
      <c r="B278" s="185" t="s">
        <v>76</v>
      </c>
      <c r="C278" s="186">
        <v>58180.0</v>
      </c>
      <c r="D278" s="187">
        <v>16.7</v>
      </c>
      <c r="E278" s="200" t="s">
        <v>35</v>
      </c>
      <c r="F278" s="201" t="s">
        <v>706</v>
      </c>
      <c r="G278" s="185" t="s">
        <v>707</v>
      </c>
      <c r="H278" s="182">
        <v>0.0</v>
      </c>
      <c r="I278" s="183"/>
      <c r="J278" s="183"/>
    </row>
    <row r="279" ht="22.5" customHeight="1">
      <c r="A279" s="184">
        <v>45936.0</v>
      </c>
      <c r="B279" s="185" t="s">
        <v>76</v>
      </c>
      <c r="C279" s="186">
        <v>57440.0</v>
      </c>
      <c r="D279" s="187">
        <v>15.8</v>
      </c>
      <c r="E279" s="200" t="s">
        <v>35</v>
      </c>
      <c r="F279" s="201" t="s">
        <v>708</v>
      </c>
      <c r="G279" s="185" t="s">
        <v>709</v>
      </c>
      <c r="H279" s="182">
        <v>0.0</v>
      </c>
      <c r="I279" s="183"/>
      <c r="J279" s="183"/>
    </row>
    <row r="280" ht="22.5" customHeight="1">
      <c r="A280" s="184">
        <v>45936.0</v>
      </c>
      <c r="B280" s="185" t="s">
        <v>76</v>
      </c>
      <c r="C280" s="186">
        <v>57140.0</v>
      </c>
      <c r="D280" s="187">
        <v>15.7</v>
      </c>
      <c r="E280" s="200" t="s">
        <v>35</v>
      </c>
      <c r="F280" s="201" t="s">
        <v>710</v>
      </c>
      <c r="G280" s="185" t="s">
        <v>711</v>
      </c>
      <c r="H280" s="182">
        <v>0.0</v>
      </c>
      <c r="I280" s="183"/>
      <c r="J280" s="183"/>
    </row>
    <row r="281" ht="22.5" customHeight="1">
      <c r="A281" s="184">
        <v>45936.0</v>
      </c>
      <c r="B281" s="185" t="s">
        <v>76</v>
      </c>
      <c r="C281" s="186">
        <v>54740.0</v>
      </c>
      <c r="D281" s="187">
        <v>14.5</v>
      </c>
      <c r="E281" s="200" t="s">
        <v>35</v>
      </c>
      <c r="F281" s="201" t="s">
        <v>712</v>
      </c>
      <c r="G281" s="185" t="s">
        <v>713</v>
      </c>
      <c r="H281" s="182">
        <v>0.0</v>
      </c>
      <c r="I281" s="183"/>
      <c r="J281" s="183"/>
    </row>
    <row r="282" ht="22.5" customHeight="1">
      <c r="A282" s="184">
        <v>45936.0</v>
      </c>
      <c r="B282" s="185" t="s">
        <v>76</v>
      </c>
      <c r="C282" s="186">
        <v>57180.0</v>
      </c>
      <c r="D282" s="187">
        <v>15.1</v>
      </c>
      <c r="E282" s="200" t="s">
        <v>35</v>
      </c>
      <c r="F282" s="201" t="s">
        <v>714</v>
      </c>
      <c r="G282" s="185" t="s">
        <v>715</v>
      </c>
      <c r="H282" s="182"/>
      <c r="I282" s="183"/>
      <c r="J282" s="183"/>
    </row>
    <row r="283" ht="22.5" customHeight="1">
      <c r="A283" s="184">
        <v>45936.0</v>
      </c>
      <c r="B283" s="185" t="s">
        <v>76</v>
      </c>
      <c r="C283" s="191">
        <v>57480.0</v>
      </c>
      <c r="D283" s="187">
        <v>14.6</v>
      </c>
      <c r="E283" s="200" t="s">
        <v>35</v>
      </c>
      <c r="F283" s="201" t="s">
        <v>716</v>
      </c>
      <c r="G283" s="185" t="s">
        <v>717</v>
      </c>
      <c r="H283" s="182">
        <v>0.0</v>
      </c>
      <c r="I283" s="183"/>
      <c r="J283" s="183"/>
    </row>
    <row r="284" ht="22.5" customHeight="1">
      <c r="A284" s="184">
        <v>45936.0</v>
      </c>
      <c r="B284" s="185" t="s">
        <v>76</v>
      </c>
      <c r="C284" s="186">
        <v>57240.0</v>
      </c>
      <c r="D284" s="187">
        <v>14.7</v>
      </c>
      <c r="E284" s="200" t="s">
        <v>35</v>
      </c>
      <c r="F284" s="201" t="s">
        <v>718</v>
      </c>
      <c r="G284" s="185" t="s">
        <v>719</v>
      </c>
      <c r="H284" s="182">
        <v>0.0</v>
      </c>
      <c r="I284" s="183"/>
      <c r="J284" s="183"/>
    </row>
    <row r="285" ht="22.5" customHeight="1">
      <c r="A285" s="184">
        <v>45936.0</v>
      </c>
      <c r="B285" s="185" t="s">
        <v>76</v>
      </c>
      <c r="C285" s="186">
        <v>57940.0</v>
      </c>
      <c r="D285" s="187">
        <v>14.7</v>
      </c>
      <c r="E285" s="200" t="s">
        <v>35</v>
      </c>
      <c r="F285" s="201" t="s">
        <v>720</v>
      </c>
      <c r="G285" s="185" t="s">
        <v>711</v>
      </c>
      <c r="H285" s="182">
        <v>0.0</v>
      </c>
      <c r="I285" s="183"/>
      <c r="J285" s="183"/>
    </row>
    <row r="286" ht="22.5" customHeight="1">
      <c r="A286" s="184">
        <v>45937.0</v>
      </c>
      <c r="B286" s="185" t="s">
        <v>76</v>
      </c>
      <c r="C286" s="186">
        <v>57080.0</v>
      </c>
      <c r="D286" s="187">
        <v>15.4</v>
      </c>
      <c r="E286" s="200" t="s">
        <v>35</v>
      </c>
      <c r="F286" s="201" t="s">
        <v>721</v>
      </c>
      <c r="G286" s="185" t="s">
        <v>722</v>
      </c>
      <c r="H286" s="182">
        <v>0.0</v>
      </c>
      <c r="I286" s="183"/>
      <c r="J286" s="183"/>
    </row>
    <row r="287" ht="22.5" customHeight="1">
      <c r="A287" s="184">
        <v>45937.0</v>
      </c>
      <c r="B287" s="185" t="s">
        <v>76</v>
      </c>
      <c r="C287" s="186">
        <v>57560.0</v>
      </c>
      <c r="D287" s="187">
        <v>15.3</v>
      </c>
      <c r="E287" s="200" t="s">
        <v>35</v>
      </c>
      <c r="F287" s="201" t="s">
        <v>723</v>
      </c>
      <c r="G287" s="185" t="s">
        <v>724</v>
      </c>
      <c r="H287" s="182">
        <v>0.0</v>
      </c>
      <c r="I287" s="183"/>
      <c r="J287" s="183"/>
    </row>
    <row r="288" ht="22.5" customHeight="1">
      <c r="A288" s="184">
        <v>45937.0</v>
      </c>
      <c r="B288" s="185" t="s">
        <v>76</v>
      </c>
      <c r="C288" s="186">
        <v>57140.0</v>
      </c>
      <c r="D288" s="187">
        <v>15.2</v>
      </c>
      <c r="E288" s="200" t="s">
        <v>35</v>
      </c>
      <c r="F288" s="201" t="s">
        <v>725</v>
      </c>
      <c r="G288" s="185" t="s">
        <v>726</v>
      </c>
      <c r="H288" s="182">
        <v>0.0</v>
      </c>
      <c r="I288" s="183"/>
      <c r="J288" s="183"/>
    </row>
    <row r="289" ht="22.5" customHeight="1">
      <c r="A289" s="184">
        <v>45937.0</v>
      </c>
      <c r="B289" s="185" t="s">
        <v>76</v>
      </c>
      <c r="C289" s="186">
        <v>58080.0</v>
      </c>
      <c r="D289" s="187">
        <v>15.3</v>
      </c>
      <c r="E289" s="200" t="s">
        <v>35</v>
      </c>
      <c r="F289" s="201" t="s">
        <v>727</v>
      </c>
      <c r="G289" s="185" t="s">
        <v>728</v>
      </c>
      <c r="H289" s="182">
        <v>0.0</v>
      </c>
      <c r="I289" s="183"/>
      <c r="J289" s="183"/>
    </row>
    <row r="290" ht="22.5" customHeight="1">
      <c r="A290" s="184">
        <v>45937.0</v>
      </c>
      <c r="B290" s="185" t="s">
        <v>76</v>
      </c>
      <c r="C290" s="186">
        <v>56660.0</v>
      </c>
      <c r="D290" s="187">
        <v>14.7</v>
      </c>
      <c r="E290" s="200" t="s">
        <v>35</v>
      </c>
      <c r="F290" s="201" t="s">
        <v>729</v>
      </c>
      <c r="G290" s="185" t="s">
        <v>730</v>
      </c>
      <c r="H290" s="182">
        <v>0.0</v>
      </c>
      <c r="I290" s="183"/>
      <c r="J290" s="183"/>
    </row>
    <row r="291" ht="22.5" customHeight="1">
      <c r="A291" s="184">
        <v>45937.0</v>
      </c>
      <c r="B291" s="185" t="s">
        <v>76</v>
      </c>
      <c r="C291" s="186">
        <v>58160.0</v>
      </c>
      <c r="D291" s="187">
        <v>15.0</v>
      </c>
      <c r="E291" s="200" t="s">
        <v>35</v>
      </c>
      <c r="F291" s="201" t="s">
        <v>731</v>
      </c>
      <c r="G291" s="185" t="s">
        <v>732</v>
      </c>
      <c r="H291" s="182">
        <v>0.0</v>
      </c>
      <c r="I291" s="183"/>
      <c r="J291" s="183"/>
    </row>
    <row r="292" ht="22.5" customHeight="1">
      <c r="A292" s="184">
        <v>45937.0</v>
      </c>
      <c r="B292" s="185" t="s">
        <v>76</v>
      </c>
      <c r="C292" s="186">
        <v>57400.0</v>
      </c>
      <c r="D292" s="187">
        <v>15.1</v>
      </c>
      <c r="E292" s="200" t="s">
        <v>35</v>
      </c>
      <c r="F292" s="201" t="s">
        <v>733</v>
      </c>
      <c r="G292" s="185" t="s">
        <v>734</v>
      </c>
      <c r="H292" s="182">
        <v>0.0</v>
      </c>
      <c r="I292" s="183"/>
      <c r="J292" s="183"/>
    </row>
    <row r="293" ht="22.5" customHeight="1">
      <c r="A293" s="184">
        <v>45937.0</v>
      </c>
      <c r="B293" s="185" t="s">
        <v>76</v>
      </c>
      <c r="C293" s="186">
        <v>56680.0</v>
      </c>
      <c r="D293" s="187">
        <v>15.9</v>
      </c>
      <c r="E293" s="200" t="s">
        <v>35</v>
      </c>
      <c r="F293" s="201" t="s">
        <v>735</v>
      </c>
      <c r="G293" s="185" t="s">
        <v>736</v>
      </c>
      <c r="H293" s="182">
        <v>0.0</v>
      </c>
      <c r="I293" s="183"/>
      <c r="J293" s="183"/>
    </row>
    <row r="294" ht="22.5" customHeight="1">
      <c r="A294" s="184">
        <v>45937.0</v>
      </c>
      <c r="B294" s="185" t="s">
        <v>76</v>
      </c>
      <c r="C294" s="186">
        <v>57240.0</v>
      </c>
      <c r="D294" s="187">
        <v>15.0</v>
      </c>
      <c r="E294" s="200" t="s">
        <v>35</v>
      </c>
      <c r="F294" s="201" t="s">
        <v>737</v>
      </c>
      <c r="G294" s="185" t="s">
        <v>738</v>
      </c>
      <c r="H294" s="182">
        <v>0.0</v>
      </c>
      <c r="I294" s="183"/>
      <c r="J294" s="183"/>
    </row>
    <row r="295" ht="22.5" customHeight="1">
      <c r="A295" s="184">
        <v>45937.0</v>
      </c>
      <c r="B295" s="185" t="s">
        <v>76</v>
      </c>
      <c r="C295" s="186">
        <v>57340.0</v>
      </c>
      <c r="D295" s="187">
        <v>15.9</v>
      </c>
      <c r="E295" s="200" t="s">
        <v>35</v>
      </c>
      <c r="F295" s="201" t="s">
        <v>739</v>
      </c>
      <c r="G295" s="185" t="s">
        <v>740</v>
      </c>
      <c r="H295" s="182">
        <v>0.0</v>
      </c>
      <c r="I295" s="183"/>
      <c r="J295" s="183"/>
    </row>
    <row r="296" ht="22.5" customHeight="1">
      <c r="A296" s="184">
        <v>45937.0</v>
      </c>
      <c r="B296" s="185" t="s">
        <v>76</v>
      </c>
      <c r="C296" s="186">
        <v>57700.0</v>
      </c>
      <c r="D296" s="187">
        <v>15.9</v>
      </c>
      <c r="E296" s="200" t="s">
        <v>35</v>
      </c>
      <c r="F296" s="201" t="s">
        <v>741</v>
      </c>
      <c r="G296" s="185" t="s">
        <v>742</v>
      </c>
      <c r="H296" s="182">
        <v>0.0</v>
      </c>
      <c r="I296" s="183"/>
      <c r="J296" s="183"/>
    </row>
    <row r="297" ht="22.5" customHeight="1">
      <c r="A297" s="184">
        <v>45937.0</v>
      </c>
      <c r="B297" s="185" t="s">
        <v>76</v>
      </c>
      <c r="C297" s="186">
        <v>55880.0</v>
      </c>
      <c r="D297" s="187">
        <v>16.0</v>
      </c>
      <c r="E297" s="200" t="s">
        <v>35</v>
      </c>
      <c r="F297" s="201" t="s">
        <v>743</v>
      </c>
      <c r="G297" s="185" t="s">
        <v>744</v>
      </c>
      <c r="H297" s="182">
        <v>0.0</v>
      </c>
      <c r="I297" s="183"/>
      <c r="J297" s="183"/>
    </row>
    <row r="298" ht="22.5" customHeight="1">
      <c r="A298" s="184">
        <v>45937.0</v>
      </c>
      <c r="B298" s="185" t="s">
        <v>76</v>
      </c>
      <c r="C298" s="186">
        <v>57120.0</v>
      </c>
      <c r="D298" s="187">
        <v>15.7</v>
      </c>
      <c r="E298" s="200" t="s">
        <v>35</v>
      </c>
      <c r="F298" s="201" t="s">
        <v>745</v>
      </c>
      <c r="G298" s="185" t="s">
        <v>746</v>
      </c>
      <c r="H298" s="182">
        <v>0.0</v>
      </c>
      <c r="I298" s="183"/>
      <c r="J298" s="183"/>
    </row>
    <row r="299" ht="22.5" customHeight="1">
      <c r="A299" s="184">
        <v>45937.0</v>
      </c>
      <c r="B299" s="185" t="s">
        <v>76</v>
      </c>
      <c r="C299" s="186">
        <v>57940.0</v>
      </c>
      <c r="D299" s="187">
        <v>15.7</v>
      </c>
      <c r="E299" s="200" t="s">
        <v>35</v>
      </c>
      <c r="F299" s="201" t="s">
        <v>747</v>
      </c>
      <c r="G299" s="185" t="s">
        <v>748</v>
      </c>
      <c r="H299" s="182">
        <v>0.0</v>
      </c>
      <c r="I299" s="183"/>
      <c r="J299" s="183"/>
    </row>
    <row r="300" ht="22.5" customHeight="1">
      <c r="A300" s="184">
        <v>45937.0</v>
      </c>
      <c r="B300" s="185" t="s">
        <v>76</v>
      </c>
      <c r="C300" s="186">
        <v>57120.0</v>
      </c>
      <c r="D300" s="187">
        <v>16.0</v>
      </c>
      <c r="E300" s="200" t="s">
        <v>35</v>
      </c>
      <c r="F300" s="201" t="s">
        <v>749</v>
      </c>
      <c r="G300" s="185" t="s">
        <v>750</v>
      </c>
      <c r="H300" s="182">
        <v>0.0</v>
      </c>
      <c r="I300" s="183"/>
      <c r="J300" s="183"/>
    </row>
    <row r="301" ht="22.5" customHeight="1">
      <c r="A301" s="184">
        <v>45937.0</v>
      </c>
      <c r="B301" s="185" t="s">
        <v>76</v>
      </c>
      <c r="C301" s="186">
        <v>57100.0</v>
      </c>
      <c r="D301" s="187">
        <v>16.0</v>
      </c>
      <c r="E301" s="200" t="s">
        <v>35</v>
      </c>
      <c r="F301" s="201" t="s">
        <v>751</v>
      </c>
      <c r="G301" s="185" t="s">
        <v>752</v>
      </c>
      <c r="H301" s="182">
        <v>0.0</v>
      </c>
      <c r="I301" s="183"/>
      <c r="J301" s="183"/>
    </row>
    <row r="302" ht="22.5" customHeight="1">
      <c r="A302" s="184">
        <v>45937.0</v>
      </c>
      <c r="B302" s="185" t="s">
        <v>76</v>
      </c>
      <c r="C302" s="186">
        <v>58320.0</v>
      </c>
      <c r="D302" s="187">
        <v>15.9</v>
      </c>
      <c r="E302" s="200" t="s">
        <v>35</v>
      </c>
      <c r="F302" s="201" t="s">
        <v>753</v>
      </c>
      <c r="G302" s="185" t="s">
        <v>754</v>
      </c>
      <c r="H302" s="182">
        <v>0.0</v>
      </c>
      <c r="I302" s="183"/>
      <c r="J302" s="183"/>
    </row>
    <row r="303" ht="22.5" customHeight="1">
      <c r="A303" s="184">
        <v>45937.0</v>
      </c>
      <c r="B303" s="185" t="s">
        <v>76</v>
      </c>
      <c r="C303" s="186">
        <v>57180.0</v>
      </c>
      <c r="D303" s="187">
        <v>16.0</v>
      </c>
      <c r="E303" s="200" t="s">
        <v>35</v>
      </c>
      <c r="F303" s="201" t="s">
        <v>755</v>
      </c>
      <c r="G303" s="185" t="s">
        <v>756</v>
      </c>
      <c r="H303" s="182">
        <v>0.0</v>
      </c>
      <c r="I303" s="183"/>
      <c r="J303" s="183"/>
    </row>
    <row r="304" ht="22.5" customHeight="1">
      <c r="A304" s="184">
        <v>45937.0</v>
      </c>
      <c r="B304" s="185" t="s">
        <v>76</v>
      </c>
      <c r="C304" s="186">
        <v>48470.0</v>
      </c>
      <c r="D304" s="187">
        <v>16.4</v>
      </c>
      <c r="E304" s="200" t="s">
        <v>35</v>
      </c>
      <c r="F304" s="201" t="s">
        <v>757</v>
      </c>
      <c r="G304" s="185" t="s">
        <v>758</v>
      </c>
      <c r="H304" s="182">
        <v>0.0</v>
      </c>
      <c r="I304" s="183"/>
      <c r="J304" s="183"/>
    </row>
    <row r="305" ht="22.5" customHeight="1">
      <c r="A305" s="184">
        <v>45938.0</v>
      </c>
      <c r="B305" s="185" t="s">
        <v>76</v>
      </c>
      <c r="C305" s="186">
        <v>57600.0</v>
      </c>
      <c r="D305" s="187">
        <v>15.8</v>
      </c>
      <c r="E305" s="185" t="s">
        <v>35</v>
      </c>
      <c r="F305" s="188" t="s">
        <v>759</v>
      </c>
      <c r="G305" s="185" t="s">
        <v>760</v>
      </c>
      <c r="H305" s="182">
        <v>0.0</v>
      </c>
      <c r="I305" s="183"/>
      <c r="J305" s="183"/>
    </row>
    <row r="306" ht="22.5" customHeight="1">
      <c r="A306" s="184">
        <v>45937.0</v>
      </c>
      <c r="B306" s="185" t="s">
        <v>77</v>
      </c>
      <c r="C306" s="186">
        <v>7890.0</v>
      </c>
      <c r="D306" s="187">
        <v>16.4</v>
      </c>
      <c r="E306" s="185" t="s">
        <v>35</v>
      </c>
      <c r="F306" s="188" t="s">
        <v>757</v>
      </c>
      <c r="G306" s="185" t="s">
        <v>761</v>
      </c>
      <c r="H306" s="182">
        <v>0.0</v>
      </c>
      <c r="I306" s="183"/>
      <c r="J306" s="183"/>
    </row>
    <row r="307" ht="22.5" customHeight="1">
      <c r="A307" s="184">
        <v>45937.0</v>
      </c>
      <c r="B307" s="185" t="s">
        <v>77</v>
      </c>
      <c r="C307" s="186">
        <v>56780.0</v>
      </c>
      <c r="D307" s="187">
        <v>16.8</v>
      </c>
      <c r="E307" s="185" t="s">
        <v>35</v>
      </c>
      <c r="F307" s="188" t="s">
        <v>762</v>
      </c>
      <c r="G307" s="185" t="s">
        <v>763</v>
      </c>
      <c r="H307" s="182">
        <v>0.0</v>
      </c>
      <c r="I307" s="183"/>
      <c r="J307" s="183"/>
    </row>
    <row r="308" ht="22.5" customHeight="1">
      <c r="A308" s="184">
        <v>45937.0</v>
      </c>
      <c r="B308" s="185" t="s">
        <v>77</v>
      </c>
      <c r="C308" s="186">
        <v>57080.0</v>
      </c>
      <c r="D308" s="187">
        <v>17.8</v>
      </c>
      <c r="E308" s="185" t="s">
        <v>35</v>
      </c>
      <c r="F308" s="188" t="s">
        <v>764</v>
      </c>
      <c r="G308" s="185" t="s">
        <v>765</v>
      </c>
      <c r="H308" s="182">
        <v>0.0</v>
      </c>
      <c r="I308" s="183"/>
      <c r="J308" s="183"/>
    </row>
    <row r="309" ht="22.5" customHeight="1">
      <c r="A309" s="184">
        <v>45937.0</v>
      </c>
      <c r="B309" s="185" t="s">
        <v>77</v>
      </c>
      <c r="C309" s="186">
        <v>58680.0</v>
      </c>
      <c r="D309" s="187">
        <v>17.4</v>
      </c>
      <c r="E309" s="185" t="s">
        <v>35</v>
      </c>
      <c r="F309" s="188" t="s">
        <v>766</v>
      </c>
      <c r="G309" s="185" t="s">
        <v>767</v>
      </c>
      <c r="H309" s="182">
        <v>0.0</v>
      </c>
      <c r="I309" s="183"/>
      <c r="J309" s="183"/>
    </row>
    <row r="310" ht="22.5" customHeight="1">
      <c r="A310" s="184">
        <v>45937.0</v>
      </c>
      <c r="B310" s="185" t="s">
        <v>77</v>
      </c>
      <c r="C310" s="186">
        <v>57780.0</v>
      </c>
      <c r="D310" s="187">
        <v>16.6</v>
      </c>
      <c r="E310" s="185" t="s">
        <v>35</v>
      </c>
      <c r="F310" s="188" t="s">
        <v>768</v>
      </c>
      <c r="G310" s="185" t="s">
        <v>769</v>
      </c>
      <c r="H310" s="182">
        <v>0.0</v>
      </c>
      <c r="I310" s="183"/>
      <c r="J310" s="183"/>
    </row>
    <row r="311" ht="22.5" customHeight="1">
      <c r="A311" s="184">
        <v>45937.0</v>
      </c>
      <c r="B311" s="185" t="s">
        <v>77</v>
      </c>
      <c r="C311" s="191">
        <v>56900.0</v>
      </c>
      <c r="D311" s="187">
        <v>17.0</v>
      </c>
      <c r="E311" s="185" t="s">
        <v>35</v>
      </c>
      <c r="F311" s="188" t="s">
        <v>770</v>
      </c>
      <c r="G311" s="185" t="s">
        <v>771</v>
      </c>
      <c r="H311" s="182">
        <v>0.0</v>
      </c>
      <c r="I311" s="183"/>
      <c r="J311" s="183"/>
    </row>
    <row r="312" ht="22.5" customHeight="1">
      <c r="A312" s="184">
        <v>45937.0</v>
      </c>
      <c r="B312" s="185" t="s">
        <v>77</v>
      </c>
      <c r="C312" s="186">
        <v>55460.0</v>
      </c>
      <c r="D312" s="187">
        <v>16.0</v>
      </c>
      <c r="E312" s="185" t="s">
        <v>35</v>
      </c>
      <c r="F312" s="188" t="s">
        <v>772</v>
      </c>
      <c r="G312" s="185" t="s">
        <v>773</v>
      </c>
      <c r="H312" s="182">
        <v>0.0</v>
      </c>
      <c r="I312" s="183"/>
      <c r="J312" s="183"/>
    </row>
    <row r="313" ht="22.5" customHeight="1">
      <c r="A313" s="184">
        <v>45937.0</v>
      </c>
      <c r="B313" s="185" t="s">
        <v>77</v>
      </c>
      <c r="C313" s="186">
        <v>45780.0</v>
      </c>
      <c r="D313" s="187">
        <v>16.4</v>
      </c>
      <c r="E313" s="185" t="s">
        <v>35</v>
      </c>
      <c r="F313" s="188" t="s">
        <v>774</v>
      </c>
      <c r="G313" s="185" t="s">
        <v>775</v>
      </c>
      <c r="H313" s="182">
        <v>0.0</v>
      </c>
      <c r="I313" s="183"/>
      <c r="J313" s="183"/>
    </row>
    <row r="314" ht="22.5" customHeight="1">
      <c r="A314" s="184">
        <v>45937.0</v>
      </c>
      <c r="B314" s="185" t="s">
        <v>77</v>
      </c>
      <c r="C314" s="186">
        <v>57320.0</v>
      </c>
      <c r="D314" s="187">
        <v>16.7</v>
      </c>
      <c r="E314" s="200" t="s">
        <v>35</v>
      </c>
      <c r="F314" s="201" t="s">
        <v>776</v>
      </c>
      <c r="G314" s="185" t="s">
        <v>777</v>
      </c>
      <c r="H314" s="182">
        <v>0.0</v>
      </c>
      <c r="I314" s="183"/>
      <c r="J314" s="183"/>
    </row>
    <row r="315" ht="22.5" customHeight="1">
      <c r="A315" s="184">
        <v>45930.0</v>
      </c>
      <c r="B315" s="185" t="s">
        <v>78</v>
      </c>
      <c r="C315" s="186">
        <v>52280.0</v>
      </c>
      <c r="D315" s="187">
        <v>12.0</v>
      </c>
      <c r="E315" s="185" t="s">
        <v>47</v>
      </c>
      <c r="F315" s="188" t="s">
        <v>778</v>
      </c>
      <c r="G315" s="185" t="s">
        <v>779</v>
      </c>
      <c r="H315" s="182">
        <v>0.15</v>
      </c>
      <c r="I315" s="183"/>
      <c r="J315" s="183"/>
    </row>
    <row r="316" ht="22.5" customHeight="1">
      <c r="A316" s="184">
        <v>45930.0</v>
      </c>
      <c r="B316" s="185" t="s">
        <v>78</v>
      </c>
      <c r="C316" s="186">
        <v>37120.0</v>
      </c>
      <c r="D316" s="187">
        <v>11.0</v>
      </c>
      <c r="E316" s="185" t="s">
        <v>47</v>
      </c>
      <c r="F316" s="188" t="s">
        <v>780</v>
      </c>
      <c r="G316" s="185" t="s">
        <v>781</v>
      </c>
      <c r="H316" s="182">
        <v>0.15</v>
      </c>
      <c r="I316" s="183"/>
      <c r="J316" s="183"/>
    </row>
    <row r="317" ht="22.5" customHeight="1">
      <c r="A317" s="184">
        <v>45939.0</v>
      </c>
      <c r="B317" s="185" t="s">
        <v>86</v>
      </c>
      <c r="C317" s="186">
        <v>54960.0</v>
      </c>
      <c r="D317" s="187">
        <v>14.0</v>
      </c>
      <c r="E317" s="185" t="s">
        <v>35</v>
      </c>
      <c r="F317" s="188" t="s">
        <v>782</v>
      </c>
      <c r="G317" s="185" t="s">
        <v>783</v>
      </c>
      <c r="H317" s="190"/>
      <c r="I317" s="183"/>
      <c r="J317" s="183"/>
    </row>
    <row r="318" ht="22.5" customHeight="1">
      <c r="A318" s="184">
        <v>45939.0</v>
      </c>
      <c r="B318" s="185" t="s">
        <v>86</v>
      </c>
      <c r="C318" s="186">
        <v>57880.0</v>
      </c>
      <c r="D318" s="187">
        <v>14.3</v>
      </c>
      <c r="E318" s="185" t="s">
        <v>35</v>
      </c>
      <c r="F318" s="188" t="s">
        <v>784</v>
      </c>
      <c r="G318" s="185" t="s">
        <v>785</v>
      </c>
      <c r="H318" s="190"/>
      <c r="I318" s="183"/>
      <c r="J318" s="183"/>
    </row>
    <row r="319" ht="22.5" customHeight="1">
      <c r="A319" s="184">
        <v>45939.0</v>
      </c>
      <c r="B319" s="185" t="s">
        <v>86</v>
      </c>
      <c r="C319" s="186">
        <v>57200.0</v>
      </c>
      <c r="D319" s="187">
        <v>14.6</v>
      </c>
      <c r="E319" s="185" t="s">
        <v>35</v>
      </c>
      <c r="F319" s="188" t="s">
        <v>786</v>
      </c>
      <c r="G319" s="185" t="s">
        <v>787</v>
      </c>
      <c r="H319" s="190"/>
      <c r="I319" s="183"/>
      <c r="J319" s="183"/>
    </row>
    <row r="320" ht="22.5" customHeight="1">
      <c r="A320" s="184">
        <v>45939.0</v>
      </c>
      <c r="B320" s="185" t="s">
        <v>86</v>
      </c>
      <c r="C320" s="186">
        <v>56820.0</v>
      </c>
      <c r="D320" s="187">
        <v>14.7</v>
      </c>
      <c r="E320" s="185" t="s">
        <v>35</v>
      </c>
      <c r="F320" s="188" t="s">
        <v>788</v>
      </c>
      <c r="G320" s="185" t="s">
        <v>789</v>
      </c>
      <c r="H320" s="190"/>
      <c r="I320" s="183"/>
      <c r="J320" s="183"/>
    </row>
    <row r="321" ht="22.5" customHeight="1">
      <c r="A321" s="184">
        <v>45939.0</v>
      </c>
      <c r="B321" s="185" t="s">
        <v>86</v>
      </c>
      <c r="C321" s="186">
        <v>57740.0</v>
      </c>
      <c r="D321" s="187">
        <v>14.1</v>
      </c>
      <c r="E321" s="185" t="s">
        <v>35</v>
      </c>
      <c r="F321" s="188" t="s">
        <v>790</v>
      </c>
      <c r="G321" s="185" t="s">
        <v>791</v>
      </c>
      <c r="H321" s="190"/>
      <c r="I321" s="183"/>
      <c r="J321" s="183"/>
    </row>
    <row r="322" ht="22.5" customHeight="1">
      <c r="A322" s="184">
        <v>45940.0</v>
      </c>
      <c r="B322" s="185" t="s">
        <v>86</v>
      </c>
      <c r="C322" s="186">
        <v>57080.0</v>
      </c>
      <c r="D322" s="187">
        <v>16.4</v>
      </c>
      <c r="E322" s="185" t="s">
        <v>35</v>
      </c>
      <c r="F322" s="188" t="s">
        <v>792</v>
      </c>
      <c r="G322" s="185" t="s">
        <v>793</v>
      </c>
      <c r="H322" s="190"/>
      <c r="I322" s="183"/>
      <c r="J322" s="183"/>
    </row>
    <row r="323" ht="22.5" customHeight="1">
      <c r="A323" s="202">
        <v>45940.0</v>
      </c>
      <c r="B323" s="185" t="s">
        <v>86</v>
      </c>
      <c r="C323" s="186">
        <v>57840.0</v>
      </c>
      <c r="D323" s="187">
        <v>15.5</v>
      </c>
      <c r="E323" s="185" t="s">
        <v>35</v>
      </c>
      <c r="F323" s="188" t="s">
        <v>794</v>
      </c>
      <c r="G323" s="185" t="s">
        <v>795</v>
      </c>
      <c r="H323" s="190"/>
      <c r="I323" s="183"/>
      <c r="J323" s="183"/>
    </row>
    <row r="324" ht="22.5" customHeight="1">
      <c r="A324" s="202">
        <v>45940.0</v>
      </c>
      <c r="B324" s="185" t="s">
        <v>86</v>
      </c>
      <c r="C324" s="191">
        <v>58260.0</v>
      </c>
      <c r="D324" s="187">
        <v>16.1</v>
      </c>
      <c r="E324" s="185" t="s">
        <v>35</v>
      </c>
      <c r="F324" s="188" t="s">
        <v>796</v>
      </c>
      <c r="G324" s="185" t="s">
        <v>797</v>
      </c>
      <c r="H324" s="190"/>
      <c r="I324" s="183"/>
      <c r="J324" s="183"/>
    </row>
    <row r="325" ht="22.5" customHeight="1">
      <c r="A325" s="202">
        <v>45940.0</v>
      </c>
      <c r="B325" s="185" t="s">
        <v>86</v>
      </c>
      <c r="C325" s="186">
        <v>57580.0</v>
      </c>
      <c r="D325" s="187">
        <v>16.0</v>
      </c>
      <c r="E325" s="185" t="s">
        <v>35</v>
      </c>
      <c r="F325" s="188" t="s">
        <v>798</v>
      </c>
      <c r="G325" s="185" t="s">
        <v>799</v>
      </c>
      <c r="H325" s="190"/>
      <c r="I325" s="183"/>
      <c r="J325" s="183"/>
    </row>
    <row r="326" ht="22.5" customHeight="1">
      <c r="A326" s="202">
        <v>45940.0</v>
      </c>
      <c r="B326" s="185" t="s">
        <v>86</v>
      </c>
      <c r="C326" s="186">
        <v>57320.0</v>
      </c>
      <c r="D326" s="187">
        <v>14.8</v>
      </c>
      <c r="E326" s="185" t="s">
        <v>35</v>
      </c>
      <c r="F326" s="188" t="s">
        <v>800</v>
      </c>
      <c r="G326" s="185" t="s">
        <v>801</v>
      </c>
      <c r="H326" s="190"/>
      <c r="I326" s="183"/>
      <c r="J326" s="183"/>
    </row>
    <row r="327" ht="22.5" customHeight="1">
      <c r="A327" s="202">
        <v>45940.0</v>
      </c>
      <c r="B327" s="185" t="s">
        <v>86</v>
      </c>
      <c r="C327" s="186">
        <v>58060.0</v>
      </c>
      <c r="D327" s="187">
        <v>15.0</v>
      </c>
      <c r="E327" s="185" t="s">
        <v>35</v>
      </c>
      <c r="F327" s="188" t="s">
        <v>802</v>
      </c>
      <c r="G327" s="185" t="s">
        <v>803</v>
      </c>
      <c r="H327" s="190"/>
      <c r="I327" s="183"/>
      <c r="J327" s="183"/>
    </row>
    <row r="328" ht="22.5" customHeight="1">
      <c r="A328" s="202">
        <v>45940.0</v>
      </c>
      <c r="B328" s="185" t="s">
        <v>86</v>
      </c>
      <c r="C328" s="186">
        <v>56900.0</v>
      </c>
      <c r="D328" s="187">
        <v>14.9</v>
      </c>
      <c r="E328" s="185" t="s">
        <v>35</v>
      </c>
      <c r="F328" s="188" t="s">
        <v>804</v>
      </c>
      <c r="G328" s="185" t="s">
        <v>805</v>
      </c>
      <c r="H328" s="190"/>
      <c r="I328" s="183"/>
      <c r="J328" s="183"/>
    </row>
    <row r="329" ht="22.5" customHeight="1">
      <c r="A329" s="202">
        <v>45940.0</v>
      </c>
      <c r="B329" s="185" t="s">
        <v>86</v>
      </c>
      <c r="C329" s="186">
        <v>58240.0</v>
      </c>
      <c r="D329" s="187">
        <v>14.8</v>
      </c>
      <c r="E329" s="185" t="s">
        <v>35</v>
      </c>
      <c r="F329" s="188" t="s">
        <v>806</v>
      </c>
      <c r="G329" s="185" t="s">
        <v>807</v>
      </c>
      <c r="H329" s="190"/>
      <c r="I329" s="183"/>
      <c r="J329" s="183"/>
    </row>
    <row r="330" ht="22.5" customHeight="1">
      <c r="A330" s="202">
        <v>45940.0</v>
      </c>
      <c r="B330" s="185" t="s">
        <v>86</v>
      </c>
      <c r="C330" s="191">
        <v>57060.0</v>
      </c>
      <c r="D330" s="187">
        <v>15.0</v>
      </c>
      <c r="E330" s="185" t="s">
        <v>35</v>
      </c>
      <c r="F330" s="188" t="s">
        <v>808</v>
      </c>
      <c r="G330" s="185" t="s">
        <v>809</v>
      </c>
      <c r="H330" s="190"/>
      <c r="I330" s="183"/>
      <c r="J330" s="183"/>
    </row>
    <row r="331" ht="22.5" customHeight="1">
      <c r="A331" s="202">
        <v>45940.0</v>
      </c>
      <c r="B331" s="185" t="s">
        <v>86</v>
      </c>
      <c r="C331" s="186">
        <v>56940.0</v>
      </c>
      <c r="D331" s="187">
        <v>15.5</v>
      </c>
      <c r="E331" s="185" t="s">
        <v>35</v>
      </c>
      <c r="F331" s="188" t="s">
        <v>810</v>
      </c>
      <c r="G331" s="185" t="s">
        <v>811</v>
      </c>
      <c r="H331" s="190"/>
      <c r="I331" s="183"/>
      <c r="J331" s="183"/>
    </row>
    <row r="332" ht="22.5" customHeight="1">
      <c r="A332" s="202">
        <v>45940.0</v>
      </c>
      <c r="B332" s="185" t="s">
        <v>86</v>
      </c>
      <c r="C332" s="186">
        <v>57840.0</v>
      </c>
      <c r="D332" s="187">
        <v>16.2</v>
      </c>
      <c r="E332" s="185" t="s">
        <v>35</v>
      </c>
      <c r="F332" s="188" t="s">
        <v>812</v>
      </c>
      <c r="G332" s="185" t="s">
        <v>813</v>
      </c>
      <c r="H332" s="190"/>
      <c r="I332" s="183"/>
      <c r="J332" s="183"/>
    </row>
    <row r="333" ht="22.5" customHeight="1">
      <c r="A333" s="184">
        <v>45940.0</v>
      </c>
      <c r="B333" s="185" t="s">
        <v>86</v>
      </c>
      <c r="C333" s="186">
        <v>58240.0</v>
      </c>
      <c r="D333" s="187">
        <v>14.6</v>
      </c>
      <c r="E333" s="185" t="s">
        <v>35</v>
      </c>
      <c r="F333" s="188" t="s">
        <v>814</v>
      </c>
      <c r="G333" s="185" t="s">
        <v>815</v>
      </c>
      <c r="H333" s="190"/>
      <c r="I333" s="183"/>
      <c r="J333" s="183"/>
    </row>
    <row r="334" ht="22.5" customHeight="1">
      <c r="A334" s="184">
        <v>45940.0</v>
      </c>
      <c r="B334" s="185" t="s">
        <v>86</v>
      </c>
      <c r="C334" s="186">
        <v>57600.0</v>
      </c>
      <c r="D334" s="187">
        <v>14.9</v>
      </c>
      <c r="E334" s="185" t="s">
        <v>35</v>
      </c>
      <c r="F334" s="188" t="s">
        <v>816</v>
      </c>
      <c r="G334" s="185" t="s">
        <v>817</v>
      </c>
      <c r="H334" s="190"/>
      <c r="I334" s="183"/>
      <c r="J334" s="183"/>
    </row>
    <row r="335" ht="22.5" customHeight="1">
      <c r="A335" s="184">
        <v>45940.0</v>
      </c>
      <c r="B335" s="185" t="s">
        <v>86</v>
      </c>
      <c r="C335" s="186">
        <v>58040.0</v>
      </c>
      <c r="D335" s="187">
        <v>14.0</v>
      </c>
      <c r="E335" s="185" t="s">
        <v>35</v>
      </c>
      <c r="F335" s="188" t="s">
        <v>818</v>
      </c>
      <c r="G335" s="185" t="s">
        <v>819</v>
      </c>
      <c r="H335" s="190"/>
      <c r="I335" s="183"/>
      <c r="J335" s="183"/>
    </row>
    <row r="336" ht="22.5" customHeight="1">
      <c r="A336" s="184">
        <v>45940.0</v>
      </c>
      <c r="B336" s="185" t="s">
        <v>86</v>
      </c>
      <c r="C336" s="186">
        <v>57280.0</v>
      </c>
      <c r="D336" s="187">
        <v>15.1</v>
      </c>
      <c r="E336" s="185" t="s">
        <v>35</v>
      </c>
      <c r="F336" s="188" t="s">
        <v>820</v>
      </c>
      <c r="G336" s="185" t="s">
        <v>821</v>
      </c>
      <c r="H336" s="190"/>
      <c r="I336" s="183"/>
      <c r="J336" s="183"/>
    </row>
    <row r="337" ht="22.5" customHeight="1">
      <c r="A337" s="184">
        <v>45940.0</v>
      </c>
      <c r="B337" s="185" t="s">
        <v>86</v>
      </c>
      <c r="C337" s="186">
        <v>57640.0</v>
      </c>
      <c r="D337" s="187">
        <v>15.1</v>
      </c>
      <c r="E337" s="185" t="s">
        <v>35</v>
      </c>
      <c r="F337" s="188" t="s">
        <v>822</v>
      </c>
      <c r="G337" s="185" t="s">
        <v>823</v>
      </c>
      <c r="H337" s="190"/>
      <c r="I337" s="183"/>
      <c r="J337" s="183"/>
    </row>
    <row r="338" ht="22.5" customHeight="1">
      <c r="A338" s="184">
        <v>45940.0</v>
      </c>
      <c r="B338" s="185" t="s">
        <v>86</v>
      </c>
      <c r="C338" s="186">
        <v>57520.0</v>
      </c>
      <c r="D338" s="187">
        <v>15.0</v>
      </c>
      <c r="E338" s="185" t="s">
        <v>35</v>
      </c>
      <c r="F338" s="188" t="s">
        <v>824</v>
      </c>
      <c r="G338" s="185" t="s">
        <v>825</v>
      </c>
      <c r="H338" s="190"/>
      <c r="I338" s="183"/>
      <c r="J338" s="183"/>
    </row>
    <row r="339" ht="22.5" customHeight="1">
      <c r="A339" s="184">
        <v>45940.0</v>
      </c>
      <c r="B339" s="185" t="s">
        <v>86</v>
      </c>
      <c r="C339" s="186">
        <v>57700.0</v>
      </c>
      <c r="D339" s="187">
        <v>14.8</v>
      </c>
      <c r="E339" s="185" t="s">
        <v>35</v>
      </c>
      <c r="F339" s="188" t="s">
        <v>826</v>
      </c>
      <c r="G339" s="185" t="s">
        <v>827</v>
      </c>
      <c r="H339" s="190"/>
      <c r="I339" s="183"/>
      <c r="J339" s="183"/>
    </row>
    <row r="340" ht="22.5" customHeight="1">
      <c r="A340" s="184">
        <v>45940.0</v>
      </c>
      <c r="B340" s="185" t="s">
        <v>86</v>
      </c>
      <c r="C340" s="186">
        <v>57900.0</v>
      </c>
      <c r="D340" s="187">
        <v>14.7</v>
      </c>
      <c r="E340" s="185" t="s">
        <v>35</v>
      </c>
      <c r="F340" s="188" t="s">
        <v>828</v>
      </c>
      <c r="G340" s="185" t="s">
        <v>829</v>
      </c>
      <c r="H340" s="190"/>
      <c r="I340" s="183"/>
      <c r="J340" s="183"/>
    </row>
    <row r="341" ht="22.5" customHeight="1">
      <c r="A341" s="184">
        <v>45940.0</v>
      </c>
      <c r="B341" s="185" t="s">
        <v>86</v>
      </c>
      <c r="C341" s="186">
        <v>58220.0</v>
      </c>
      <c r="D341" s="187">
        <v>14.5</v>
      </c>
      <c r="E341" s="185" t="s">
        <v>35</v>
      </c>
      <c r="F341" s="188" t="s">
        <v>830</v>
      </c>
      <c r="G341" s="185" t="s">
        <v>831</v>
      </c>
      <c r="H341" s="190"/>
      <c r="I341" s="183"/>
      <c r="J341" s="183"/>
    </row>
    <row r="342" ht="22.5" customHeight="1">
      <c r="A342" s="184">
        <v>45940.0</v>
      </c>
      <c r="B342" s="185" t="s">
        <v>86</v>
      </c>
      <c r="C342" s="186">
        <v>58080.0</v>
      </c>
      <c r="D342" s="187">
        <v>14.0</v>
      </c>
      <c r="E342" s="185" t="s">
        <v>35</v>
      </c>
      <c r="F342" s="188" t="s">
        <v>832</v>
      </c>
      <c r="G342" s="185" t="s">
        <v>833</v>
      </c>
      <c r="H342" s="190"/>
      <c r="I342" s="183"/>
      <c r="J342" s="183"/>
    </row>
    <row r="343" ht="22.5" customHeight="1">
      <c r="A343" s="184">
        <v>45940.0</v>
      </c>
      <c r="B343" s="185" t="s">
        <v>86</v>
      </c>
      <c r="C343" s="186">
        <v>56940.0</v>
      </c>
      <c r="D343" s="187">
        <v>14.8</v>
      </c>
      <c r="E343" s="185" t="s">
        <v>35</v>
      </c>
      <c r="F343" s="188" t="s">
        <v>834</v>
      </c>
      <c r="G343" s="185" t="s">
        <v>835</v>
      </c>
      <c r="H343" s="190"/>
      <c r="I343" s="183"/>
      <c r="J343" s="183"/>
    </row>
    <row r="344" ht="22.5" customHeight="1">
      <c r="A344" s="184">
        <v>45940.0</v>
      </c>
      <c r="B344" s="185" t="s">
        <v>86</v>
      </c>
      <c r="C344" s="186">
        <v>58120.0</v>
      </c>
      <c r="D344" s="187">
        <v>14.0</v>
      </c>
      <c r="E344" s="185" t="s">
        <v>35</v>
      </c>
      <c r="F344" s="188" t="s">
        <v>836</v>
      </c>
      <c r="G344" s="185" t="s">
        <v>837</v>
      </c>
      <c r="H344" s="190"/>
      <c r="I344" s="183"/>
      <c r="J344" s="183"/>
    </row>
    <row r="345" ht="22.5" customHeight="1">
      <c r="A345" s="184">
        <v>45940.0</v>
      </c>
      <c r="B345" s="185" t="s">
        <v>86</v>
      </c>
      <c r="C345" s="186">
        <v>56480.0</v>
      </c>
      <c r="D345" s="187">
        <v>15.1</v>
      </c>
      <c r="E345" s="185" t="s">
        <v>35</v>
      </c>
      <c r="F345" s="188" t="s">
        <v>838</v>
      </c>
      <c r="G345" s="185" t="s">
        <v>839</v>
      </c>
      <c r="H345" s="190"/>
      <c r="I345" s="183"/>
      <c r="J345" s="183"/>
    </row>
    <row r="346" ht="22.5" customHeight="1">
      <c r="A346" s="184">
        <v>45940.0</v>
      </c>
      <c r="B346" s="185" t="s">
        <v>86</v>
      </c>
      <c r="C346" s="191">
        <v>58060.0</v>
      </c>
      <c r="D346" s="187">
        <v>16.0</v>
      </c>
      <c r="E346" s="185" t="s">
        <v>35</v>
      </c>
      <c r="F346" s="188" t="s">
        <v>840</v>
      </c>
      <c r="G346" s="185" t="s">
        <v>841</v>
      </c>
      <c r="H346" s="190"/>
      <c r="I346" s="183"/>
      <c r="J346" s="183"/>
    </row>
    <row r="347" ht="22.5" customHeight="1">
      <c r="A347" s="184">
        <v>45940.0</v>
      </c>
      <c r="B347" s="185" t="s">
        <v>86</v>
      </c>
      <c r="C347" s="186">
        <v>57480.0</v>
      </c>
      <c r="D347" s="187">
        <v>17.6</v>
      </c>
      <c r="E347" s="185" t="s">
        <v>35</v>
      </c>
      <c r="F347" s="188" t="s">
        <v>842</v>
      </c>
      <c r="G347" s="185" t="s">
        <v>843</v>
      </c>
      <c r="H347" s="190"/>
      <c r="I347" s="183"/>
      <c r="J347" s="183"/>
    </row>
    <row r="348" ht="22.5" customHeight="1">
      <c r="A348" s="184">
        <v>45940.0</v>
      </c>
      <c r="B348" s="185" t="s">
        <v>86</v>
      </c>
      <c r="C348" s="186">
        <v>57920.0</v>
      </c>
      <c r="D348" s="187">
        <v>15.8</v>
      </c>
      <c r="E348" s="185" t="s">
        <v>35</v>
      </c>
      <c r="F348" s="188" t="s">
        <v>844</v>
      </c>
      <c r="G348" s="185" t="s">
        <v>845</v>
      </c>
      <c r="H348" s="190"/>
      <c r="I348" s="183"/>
      <c r="J348" s="183"/>
    </row>
    <row r="349" ht="22.5" customHeight="1">
      <c r="A349" s="184">
        <v>45940.0</v>
      </c>
      <c r="B349" s="185" t="s">
        <v>86</v>
      </c>
      <c r="C349" s="186">
        <v>57000.0</v>
      </c>
      <c r="D349" s="187">
        <v>15.5</v>
      </c>
      <c r="E349" s="185" t="s">
        <v>35</v>
      </c>
      <c r="F349" s="188" t="s">
        <v>846</v>
      </c>
      <c r="G349" s="185" t="s">
        <v>847</v>
      </c>
      <c r="H349" s="190"/>
      <c r="I349" s="183"/>
      <c r="J349" s="183"/>
    </row>
    <row r="350" ht="22.5" customHeight="1">
      <c r="A350" s="192">
        <v>45940.0</v>
      </c>
      <c r="B350" s="185" t="s">
        <v>86</v>
      </c>
      <c r="C350" s="186">
        <v>57820.0</v>
      </c>
      <c r="D350" s="193">
        <v>16.9</v>
      </c>
      <c r="E350" s="185" t="s">
        <v>35</v>
      </c>
      <c r="F350" s="188" t="s">
        <v>848</v>
      </c>
      <c r="G350" s="185" t="s">
        <v>849</v>
      </c>
      <c r="H350" s="190"/>
      <c r="I350" s="183"/>
      <c r="J350" s="183"/>
    </row>
    <row r="351" ht="22.5" customHeight="1">
      <c r="A351" s="184">
        <v>45941.0</v>
      </c>
      <c r="B351" s="185" t="s">
        <v>86</v>
      </c>
      <c r="C351" s="186">
        <v>56840.0</v>
      </c>
      <c r="D351" s="187">
        <v>15.9</v>
      </c>
      <c r="E351" s="185" t="s">
        <v>35</v>
      </c>
      <c r="F351" s="188" t="s">
        <v>850</v>
      </c>
      <c r="G351" s="185" t="s">
        <v>851</v>
      </c>
      <c r="H351" s="190"/>
      <c r="I351" s="183"/>
      <c r="J351" s="183"/>
    </row>
    <row r="352" ht="22.5" customHeight="1">
      <c r="A352" s="184">
        <v>45940.0</v>
      </c>
      <c r="B352" s="185" t="s">
        <v>86</v>
      </c>
      <c r="C352" s="186">
        <v>58020.0</v>
      </c>
      <c r="D352" s="187">
        <v>15.7</v>
      </c>
      <c r="E352" s="185" t="s">
        <v>35</v>
      </c>
      <c r="F352" s="188" t="s">
        <v>852</v>
      </c>
      <c r="G352" s="185" t="s">
        <v>853</v>
      </c>
      <c r="H352" s="190"/>
      <c r="I352" s="183"/>
      <c r="J352" s="183"/>
    </row>
    <row r="353" ht="22.5" customHeight="1">
      <c r="A353" s="184">
        <v>45941.0</v>
      </c>
      <c r="B353" s="185" t="s">
        <v>86</v>
      </c>
      <c r="C353" s="186">
        <v>57480.0</v>
      </c>
      <c r="D353" s="187">
        <v>15.5</v>
      </c>
      <c r="E353" s="185" t="s">
        <v>35</v>
      </c>
      <c r="F353" s="188" t="s">
        <v>854</v>
      </c>
      <c r="G353" s="185" t="s">
        <v>855</v>
      </c>
      <c r="H353" s="190"/>
      <c r="I353" s="183"/>
      <c r="J353" s="183"/>
    </row>
    <row r="354" ht="22.5" customHeight="1">
      <c r="A354" s="184">
        <v>45940.0</v>
      </c>
      <c r="B354" s="185" t="s">
        <v>86</v>
      </c>
      <c r="C354" s="186">
        <v>58060.0</v>
      </c>
      <c r="D354" s="187">
        <v>15.6</v>
      </c>
      <c r="E354" s="185" t="s">
        <v>35</v>
      </c>
      <c r="F354" s="188" t="s">
        <v>856</v>
      </c>
      <c r="G354" s="185" t="s">
        <v>857</v>
      </c>
      <c r="H354" s="190"/>
      <c r="I354" s="183"/>
      <c r="J354" s="183"/>
    </row>
    <row r="355" ht="22.5" customHeight="1">
      <c r="A355" s="184">
        <v>45940.0</v>
      </c>
      <c r="B355" s="185" t="s">
        <v>86</v>
      </c>
      <c r="C355" s="186">
        <v>57620.0</v>
      </c>
      <c r="D355" s="187">
        <v>15.7</v>
      </c>
      <c r="E355" s="185" t="s">
        <v>35</v>
      </c>
      <c r="F355" s="188" t="s">
        <v>858</v>
      </c>
      <c r="G355" s="185" t="s">
        <v>859</v>
      </c>
      <c r="H355" s="190"/>
      <c r="I355" s="183"/>
      <c r="J355" s="183"/>
    </row>
    <row r="356" ht="22.5" customHeight="1">
      <c r="A356" s="184">
        <v>45941.0</v>
      </c>
      <c r="B356" s="185" t="s">
        <v>86</v>
      </c>
      <c r="C356" s="186">
        <v>57560.0</v>
      </c>
      <c r="D356" s="187">
        <v>15.2</v>
      </c>
      <c r="E356" s="185" t="s">
        <v>35</v>
      </c>
      <c r="F356" s="188" t="s">
        <v>860</v>
      </c>
      <c r="G356" s="185" t="s">
        <v>861</v>
      </c>
      <c r="H356" s="190"/>
      <c r="I356" s="183"/>
      <c r="J356" s="183"/>
    </row>
    <row r="357" ht="22.5" customHeight="1">
      <c r="A357" s="184">
        <v>45940.0</v>
      </c>
      <c r="B357" s="185" t="s">
        <v>86</v>
      </c>
      <c r="C357" s="186">
        <v>58100.0</v>
      </c>
      <c r="D357" s="187">
        <v>15.0</v>
      </c>
      <c r="E357" s="185" t="s">
        <v>35</v>
      </c>
      <c r="F357" s="188" t="s">
        <v>862</v>
      </c>
      <c r="G357" s="185" t="s">
        <v>863</v>
      </c>
      <c r="H357" s="190"/>
      <c r="I357" s="183"/>
      <c r="J357" s="183"/>
    </row>
    <row r="358" ht="22.5" customHeight="1">
      <c r="A358" s="184">
        <v>45941.0</v>
      </c>
      <c r="B358" s="185" t="s">
        <v>86</v>
      </c>
      <c r="C358" s="186">
        <v>57220.0</v>
      </c>
      <c r="D358" s="187">
        <v>15.4</v>
      </c>
      <c r="E358" s="185" t="s">
        <v>35</v>
      </c>
      <c r="F358" s="188" t="s">
        <v>864</v>
      </c>
      <c r="G358" s="185" t="s">
        <v>865</v>
      </c>
      <c r="H358" s="190"/>
      <c r="I358" s="183"/>
      <c r="J358" s="183"/>
    </row>
    <row r="359" ht="22.5" customHeight="1">
      <c r="A359" s="184">
        <v>45940.0</v>
      </c>
      <c r="B359" s="185" t="s">
        <v>86</v>
      </c>
      <c r="C359" s="186">
        <v>57880.0</v>
      </c>
      <c r="D359" s="187">
        <v>15.4</v>
      </c>
      <c r="E359" s="185" t="s">
        <v>35</v>
      </c>
      <c r="F359" s="188" t="s">
        <v>866</v>
      </c>
      <c r="G359" s="185" t="s">
        <v>867</v>
      </c>
      <c r="H359" s="190"/>
      <c r="I359" s="183"/>
      <c r="J359" s="183"/>
    </row>
    <row r="360" ht="22.5" customHeight="1">
      <c r="A360" s="184">
        <v>45940.0</v>
      </c>
      <c r="B360" s="185" t="s">
        <v>86</v>
      </c>
      <c r="C360" s="186">
        <v>42100.0</v>
      </c>
      <c r="D360" s="187">
        <v>15.4</v>
      </c>
      <c r="E360" s="185" t="s">
        <v>35</v>
      </c>
      <c r="F360" s="188" t="s">
        <v>868</v>
      </c>
      <c r="G360" s="185" t="s">
        <v>869</v>
      </c>
      <c r="H360" s="190"/>
      <c r="I360" s="183"/>
      <c r="J360" s="183"/>
    </row>
    <row r="361" ht="22.5" customHeight="1">
      <c r="A361" s="184">
        <v>45940.0</v>
      </c>
      <c r="B361" s="185" t="s">
        <v>86</v>
      </c>
      <c r="C361" s="186">
        <v>57860.0</v>
      </c>
      <c r="D361" s="187">
        <v>15.6</v>
      </c>
      <c r="E361" s="185" t="s">
        <v>35</v>
      </c>
      <c r="F361" s="188" t="s">
        <v>870</v>
      </c>
      <c r="G361" s="185" t="s">
        <v>871</v>
      </c>
      <c r="H361" s="190"/>
      <c r="I361" s="183"/>
      <c r="J361" s="183"/>
    </row>
    <row r="362" ht="22.5" customHeight="1">
      <c r="A362" s="184">
        <v>45839.0</v>
      </c>
      <c r="B362" s="185" t="s">
        <v>80</v>
      </c>
      <c r="C362" s="186">
        <v>112940.0</v>
      </c>
      <c r="D362" s="187"/>
      <c r="E362" s="185" t="s">
        <v>79</v>
      </c>
      <c r="F362" s="188" t="s">
        <v>872</v>
      </c>
      <c r="G362" s="185" t="s">
        <v>873</v>
      </c>
      <c r="H362" s="190"/>
      <c r="I362" s="183"/>
      <c r="J362" s="183"/>
    </row>
    <row r="363" ht="22.5" customHeight="1">
      <c r="A363" s="184">
        <v>45861.0</v>
      </c>
      <c r="B363" s="185" t="s">
        <v>83</v>
      </c>
      <c r="C363" s="186">
        <v>116260.0</v>
      </c>
      <c r="D363" s="187"/>
      <c r="E363" s="185" t="s">
        <v>82</v>
      </c>
      <c r="F363" s="188" t="s">
        <v>874</v>
      </c>
      <c r="G363" s="185" t="s">
        <v>259</v>
      </c>
      <c r="H363" s="190"/>
      <c r="I363" s="183"/>
      <c r="J363" s="183"/>
    </row>
    <row r="364" ht="22.5" customHeight="1">
      <c r="A364" s="184">
        <v>45862.0</v>
      </c>
      <c r="B364" s="185" t="s">
        <v>84</v>
      </c>
      <c r="C364" s="186">
        <v>373020.0</v>
      </c>
      <c r="D364" s="187"/>
      <c r="E364" s="185" t="s">
        <v>82</v>
      </c>
      <c r="F364" s="188" t="s">
        <v>875</v>
      </c>
      <c r="G364" s="185" t="s">
        <v>259</v>
      </c>
      <c r="H364" s="190"/>
      <c r="I364" s="183"/>
      <c r="J364" s="183"/>
    </row>
    <row r="365" ht="22.5" customHeight="1">
      <c r="A365" s="184">
        <v>45839.0</v>
      </c>
      <c r="B365" s="185" t="s">
        <v>81</v>
      </c>
      <c r="C365" s="186">
        <v>349720.0</v>
      </c>
      <c r="D365" s="187"/>
      <c r="E365" s="185" t="s">
        <v>79</v>
      </c>
      <c r="F365" s="188" t="s">
        <v>876</v>
      </c>
      <c r="G365" s="185" t="s">
        <v>259</v>
      </c>
      <c r="H365" s="190"/>
      <c r="I365" s="183"/>
      <c r="J365" s="183"/>
    </row>
    <row r="366" ht="22.5" customHeight="1">
      <c r="A366" s="184">
        <v>45862.0</v>
      </c>
      <c r="B366" s="185" t="s">
        <v>85</v>
      </c>
      <c r="C366" s="186">
        <v>709800.0</v>
      </c>
      <c r="D366" s="187"/>
      <c r="E366" s="185" t="s">
        <v>82</v>
      </c>
      <c r="F366" s="188" t="s">
        <v>877</v>
      </c>
      <c r="G366" s="185" t="s">
        <v>259</v>
      </c>
      <c r="H366" s="190"/>
      <c r="I366" s="183"/>
      <c r="J366" s="183"/>
    </row>
    <row r="367" ht="22.5" customHeight="1">
      <c r="A367" s="184">
        <v>45936.0</v>
      </c>
      <c r="B367" s="185" t="s">
        <v>87</v>
      </c>
      <c r="C367" s="186">
        <v>56420.0</v>
      </c>
      <c r="D367" s="187">
        <v>14.9</v>
      </c>
      <c r="E367" s="185" t="s">
        <v>35</v>
      </c>
      <c r="F367" s="188" t="s">
        <v>878</v>
      </c>
      <c r="G367" s="185" t="s">
        <v>879</v>
      </c>
      <c r="H367" s="182">
        <v>0.0</v>
      </c>
      <c r="I367" s="183"/>
      <c r="J367" s="183"/>
    </row>
    <row r="368" ht="22.5" customHeight="1">
      <c r="A368" s="184">
        <v>45936.0</v>
      </c>
      <c r="B368" s="185" t="s">
        <v>87</v>
      </c>
      <c r="C368" s="186">
        <v>53720.0</v>
      </c>
      <c r="D368" s="187">
        <v>15.4</v>
      </c>
      <c r="E368" s="185" t="s">
        <v>35</v>
      </c>
      <c r="F368" s="188" t="s">
        <v>880</v>
      </c>
      <c r="G368" s="185" t="s">
        <v>881</v>
      </c>
      <c r="H368" s="182">
        <v>0.0</v>
      </c>
      <c r="I368" s="183"/>
      <c r="J368" s="183"/>
    </row>
    <row r="369" ht="22.5" customHeight="1">
      <c r="A369" s="184">
        <v>45936.0</v>
      </c>
      <c r="B369" s="185" t="s">
        <v>87</v>
      </c>
      <c r="C369" s="186">
        <v>57080.0</v>
      </c>
      <c r="D369" s="187">
        <v>16.2</v>
      </c>
      <c r="E369" s="185" t="s">
        <v>35</v>
      </c>
      <c r="F369" s="188" t="s">
        <v>882</v>
      </c>
      <c r="G369" s="185" t="s">
        <v>883</v>
      </c>
      <c r="H369" s="182">
        <v>0.0</v>
      </c>
      <c r="I369" s="183"/>
      <c r="J369" s="183"/>
    </row>
    <row r="370" ht="22.5" customHeight="1">
      <c r="A370" s="184">
        <v>45936.0</v>
      </c>
      <c r="B370" s="185" t="s">
        <v>87</v>
      </c>
      <c r="C370" s="191">
        <v>45506.0</v>
      </c>
      <c r="D370" s="187">
        <v>15.5</v>
      </c>
      <c r="E370" s="185" t="s">
        <v>35</v>
      </c>
      <c r="F370" s="188" t="s">
        <v>389</v>
      </c>
      <c r="G370" s="185" t="s">
        <v>884</v>
      </c>
      <c r="H370" s="182">
        <v>0.0</v>
      </c>
      <c r="I370" s="183"/>
      <c r="J370" s="183"/>
    </row>
    <row r="371" ht="22.5" customHeight="1">
      <c r="A371" s="184">
        <v>45931.0</v>
      </c>
      <c r="B371" s="185" t="s">
        <v>89</v>
      </c>
      <c r="C371" s="186">
        <v>55140.0</v>
      </c>
      <c r="D371" s="187"/>
      <c r="E371" s="185" t="s">
        <v>88</v>
      </c>
      <c r="F371" s="188" t="s">
        <v>885</v>
      </c>
      <c r="G371" s="185" t="s">
        <v>886</v>
      </c>
      <c r="H371" s="182">
        <v>0.0</v>
      </c>
      <c r="I371" s="183"/>
      <c r="J371" s="183"/>
    </row>
    <row r="372" ht="22.5" customHeight="1">
      <c r="A372" s="184">
        <v>45931.0</v>
      </c>
      <c r="B372" s="185" t="s">
        <v>89</v>
      </c>
      <c r="C372" s="186">
        <v>55260.0</v>
      </c>
      <c r="D372" s="187">
        <v>11.0</v>
      </c>
      <c r="E372" s="185" t="s">
        <v>88</v>
      </c>
      <c r="F372" s="188" t="s">
        <v>887</v>
      </c>
      <c r="G372" s="185" t="s">
        <v>888</v>
      </c>
      <c r="H372" s="182">
        <v>0.0</v>
      </c>
      <c r="I372" s="183"/>
      <c r="J372" s="183"/>
    </row>
    <row r="373" ht="22.5" customHeight="1">
      <c r="A373" s="184">
        <v>45931.0</v>
      </c>
      <c r="B373" s="185" t="s">
        <v>89</v>
      </c>
      <c r="C373" s="191">
        <v>44400.0</v>
      </c>
      <c r="D373" s="187">
        <v>0.0</v>
      </c>
      <c r="E373" s="185" t="s">
        <v>88</v>
      </c>
      <c r="F373" s="188" t="s">
        <v>889</v>
      </c>
      <c r="G373" s="185" t="s">
        <v>890</v>
      </c>
      <c r="H373" s="182"/>
      <c r="I373" s="183"/>
      <c r="J373" s="183"/>
    </row>
    <row r="374" ht="22.5" customHeight="1">
      <c r="A374" s="184">
        <v>45938.0</v>
      </c>
      <c r="B374" s="185" t="s">
        <v>91</v>
      </c>
      <c r="C374" s="191">
        <v>56980.0</v>
      </c>
      <c r="D374" s="187">
        <v>15.6</v>
      </c>
      <c r="E374" s="185" t="s">
        <v>35</v>
      </c>
      <c r="F374" s="188" t="s">
        <v>891</v>
      </c>
      <c r="G374" s="185" t="s">
        <v>892</v>
      </c>
      <c r="H374" s="182">
        <v>0.0</v>
      </c>
      <c r="I374" s="183"/>
      <c r="J374" s="183"/>
    </row>
    <row r="375" ht="22.5" customHeight="1">
      <c r="A375" s="184">
        <v>45938.0</v>
      </c>
      <c r="B375" s="185" t="s">
        <v>91</v>
      </c>
      <c r="C375" s="186">
        <v>57760.0</v>
      </c>
      <c r="D375" s="187">
        <v>15.5</v>
      </c>
      <c r="E375" s="185" t="s">
        <v>35</v>
      </c>
      <c r="F375" s="188" t="s">
        <v>893</v>
      </c>
      <c r="G375" s="185" t="s">
        <v>894</v>
      </c>
      <c r="H375" s="182">
        <v>0.0</v>
      </c>
      <c r="I375" s="183"/>
      <c r="J375" s="183"/>
    </row>
    <row r="376" ht="22.5" customHeight="1">
      <c r="A376" s="184">
        <v>45938.0</v>
      </c>
      <c r="B376" s="185" t="s">
        <v>91</v>
      </c>
      <c r="C376" s="186">
        <v>57120.0</v>
      </c>
      <c r="D376" s="187">
        <v>15.2</v>
      </c>
      <c r="E376" s="185" t="s">
        <v>35</v>
      </c>
      <c r="F376" s="188" t="s">
        <v>895</v>
      </c>
      <c r="G376" s="185" t="s">
        <v>896</v>
      </c>
      <c r="H376" s="182">
        <v>0.0</v>
      </c>
      <c r="I376" s="183"/>
      <c r="J376" s="183"/>
    </row>
    <row r="377" ht="22.5" customHeight="1">
      <c r="A377" s="184">
        <v>45938.0</v>
      </c>
      <c r="B377" s="185" t="s">
        <v>91</v>
      </c>
      <c r="C377" s="186">
        <v>57520.0</v>
      </c>
      <c r="D377" s="187">
        <v>15.1</v>
      </c>
      <c r="E377" s="185" t="s">
        <v>35</v>
      </c>
      <c r="F377" s="188" t="s">
        <v>897</v>
      </c>
      <c r="G377" s="185" t="s">
        <v>898</v>
      </c>
      <c r="H377" s="182">
        <v>0.0</v>
      </c>
      <c r="I377" s="183"/>
      <c r="J377" s="183"/>
    </row>
    <row r="378" ht="22.5" customHeight="1">
      <c r="A378" s="184">
        <v>45938.0</v>
      </c>
      <c r="B378" s="185" t="s">
        <v>91</v>
      </c>
      <c r="C378" s="186">
        <v>58480.0</v>
      </c>
      <c r="D378" s="187">
        <v>15.7</v>
      </c>
      <c r="E378" s="185" t="s">
        <v>35</v>
      </c>
      <c r="F378" s="188" t="s">
        <v>899</v>
      </c>
      <c r="G378" s="185" t="s">
        <v>900</v>
      </c>
      <c r="H378" s="182">
        <v>0.0</v>
      </c>
      <c r="I378" s="183"/>
      <c r="J378" s="183"/>
    </row>
    <row r="379" ht="22.5" customHeight="1">
      <c r="A379" s="184">
        <v>45938.0</v>
      </c>
      <c r="B379" s="185" t="s">
        <v>91</v>
      </c>
      <c r="C379" s="186">
        <v>56480.0</v>
      </c>
      <c r="D379" s="187">
        <v>15.6</v>
      </c>
      <c r="E379" s="185" t="s">
        <v>35</v>
      </c>
      <c r="F379" s="188" t="s">
        <v>901</v>
      </c>
      <c r="G379" s="185" t="s">
        <v>902</v>
      </c>
      <c r="H379" s="182">
        <v>0.0</v>
      </c>
      <c r="I379" s="183"/>
      <c r="J379" s="183"/>
    </row>
    <row r="380" ht="22.5" customHeight="1">
      <c r="A380" s="184">
        <v>45938.0</v>
      </c>
      <c r="B380" s="185" t="s">
        <v>91</v>
      </c>
      <c r="C380" s="191">
        <v>56740.0</v>
      </c>
      <c r="D380" s="187">
        <v>15.8</v>
      </c>
      <c r="E380" s="185" t="s">
        <v>35</v>
      </c>
      <c r="F380" s="188" t="s">
        <v>903</v>
      </c>
      <c r="G380" s="185" t="s">
        <v>904</v>
      </c>
      <c r="H380" s="182">
        <v>0.0</v>
      </c>
      <c r="I380" s="183"/>
      <c r="J380" s="183"/>
    </row>
    <row r="381" ht="22.5" customHeight="1">
      <c r="A381" s="184">
        <v>45938.0</v>
      </c>
      <c r="B381" s="185" t="s">
        <v>91</v>
      </c>
      <c r="C381" s="191">
        <v>57760.0</v>
      </c>
      <c r="D381" s="187">
        <v>16.1</v>
      </c>
      <c r="E381" s="185" t="s">
        <v>35</v>
      </c>
      <c r="F381" s="188" t="s">
        <v>905</v>
      </c>
      <c r="G381" s="185" t="s">
        <v>906</v>
      </c>
      <c r="H381" s="182">
        <v>0.0</v>
      </c>
      <c r="I381" s="183"/>
      <c r="J381" s="183"/>
    </row>
    <row r="382" ht="22.5" customHeight="1">
      <c r="A382" s="184">
        <v>45938.0</v>
      </c>
      <c r="B382" s="185" t="s">
        <v>91</v>
      </c>
      <c r="C382" s="191">
        <v>57620.0</v>
      </c>
      <c r="D382" s="187">
        <v>15.8</v>
      </c>
      <c r="E382" s="185" t="s">
        <v>35</v>
      </c>
      <c r="F382" s="188" t="s">
        <v>907</v>
      </c>
      <c r="G382" s="185" t="s">
        <v>908</v>
      </c>
      <c r="H382" s="182">
        <v>0.0</v>
      </c>
      <c r="I382" s="183"/>
      <c r="J382" s="183"/>
    </row>
    <row r="383" ht="22.5" customHeight="1">
      <c r="A383" s="184">
        <v>45938.0</v>
      </c>
      <c r="B383" s="185" t="s">
        <v>91</v>
      </c>
      <c r="C383" s="186">
        <v>58280.0</v>
      </c>
      <c r="D383" s="187">
        <v>16.1</v>
      </c>
      <c r="E383" s="185" t="s">
        <v>35</v>
      </c>
      <c r="F383" s="188" t="s">
        <v>909</v>
      </c>
      <c r="G383" s="185" t="s">
        <v>910</v>
      </c>
      <c r="H383" s="182">
        <v>0.0</v>
      </c>
      <c r="I383" s="183"/>
      <c r="J383" s="183"/>
    </row>
    <row r="384" ht="22.5" customHeight="1">
      <c r="A384" s="184">
        <v>45938.0</v>
      </c>
      <c r="B384" s="185" t="s">
        <v>91</v>
      </c>
      <c r="C384" s="191">
        <v>57960.0</v>
      </c>
      <c r="D384" s="187">
        <v>15.9</v>
      </c>
      <c r="E384" s="185" t="s">
        <v>35</v>
      </c>
      <c r="F384" s="188" t="s">
        <v>911</v>
      </c>
      <c r="G384" s="185" t="s">
        <v>912</v>
      </c>
      <c r="H384" s="182">
        <v>0.0</v>
      </c>
      <c r="I384" s="183"/>
      <c r="J384" s="183"/>
    </row>
    <row r="385" ht="22.5" customHeight="1">
      <c r="A385" s="184">
        <v>45938.0</v>
      </c>
      <c r="B385" s="185" t="s">
        <v>91</v>
      </c>
      <c r="C385" s="186">
        <v>59020.0</v>
      </c>
      <c r="D385" s="187">
        <v>15.5</v>
      </c>
      <c r="E385" s="185" t="s">
        <v>35</v>
      </c>
      <c r="F385" s="188" t="s">
        <v>913</v>
      </c>
      <c r="G385" s="185" t="s">
        <v>914</v>
      </c>
      <c r="H385" s="182">
        <v>0.0</v>
      </c>
      <c r="I385" s="183"/>
      <c r="J385" s="183"/>
    </row>
    <row r="386" ht="22.5" customHeight="1">
      <c r="A386" s="184">
        <v>45938.0</v>
      </c>
      <c r="B386" s="185" t="s">
        <v>91</v>
      </c>
      <c r="C386" s="186">
        <v>56980.0</v>
      </c>
      <c r="D386" s="187">
        <v>15.7</v>
      </c>
      <c r="E386" s="185" t="s">
        <v>35</v>
      </c>
      <c r="F386" s="188" t="s">
        <v>915</v>
      </c>
      <c r="G386" s="185" t="s">
        <v>916</v>
      </c>
      <c r="H386" s="182">
        <v>0.0</v>
      </c>
      <c r="I386" s="183"/>
      <c r="J386" s="183"/>
    </row>
    <row r="387" ht="22.5" customHeight="1">
      <c r="A387" s="184">
        <v>45938.0</v>
      </c>
      <c r="B387" s="185" t="s">
        <v>91</v>
      </c>
      <c r="C387" s="186">
        <v>58100.0</v>
      </c>
      <c r="D387" s="187">
        <v>14.9</v>
      </c>
      <c r="E387" s="185" t="s">
        <v>35</v>
      </c>
      <c r="F387" s="188" t="s">
        <v>917</v>
      </c>
      <c r="G387" s="185" t="s">
        <v>918</v>
      </c>
      <c r="H387" s="182">
        <v>0.0</v>
      </c>
      <c r="I387" s="183"/>
      <c r="J387" s="183"/>
    </row>
    <row r="388" ht="22.5" customHeight="1">
      <c r="A388" s="184">
        <v>45938.0</v>
      </c>
      <c r="B388" s="185" t="s">
        <v>91</v>
      </c>
      <c r="C388" s="186">
        <v>56800.0</v>
      </c>
      <c r="D388" s="187">
        <v>15.1</v>
      </c>
      <c r="E388" s="185" t="s">
        <v>35</v>
      </c>
      <c r="F388" s="188" t="s">
        <v>919</v>
      </c>
      <c r="G388" s="185" t="s">
        <v>920</v>
      </c>
      <c r="H388" s="182">
        <v>0.0</v>
      </c>
      <c r="I388" s="183"/>
      <c r="J388" s="183"/>
    </row>
    <row r="389" ht="22.5" customHeight="1">
      <c r="A389" s="184">
        <v>45938.0</v>
      </c>
      <c r="B389" s="185" t="s">
        <v>91</v>
      </c>
      <c r="C389" s="186">
        <v>58880.0</v>
      </c>
      <c r="D389" s="187">
        <v>14.6</v>
      </c>
      <c r="E389" s="185" t="s">
        <v>35</v>
      </c>
      <c r="F389" s="188" t="s">
        <v>921</v>
      </c>
      <c r="G389" s="185" t="s">
        <v>922</v>
      </c>
      <c r="H389" s="182">
        <v>0.0</v>
      </c>
      <c r="I389" s="183"/>
      <c r="J389" s="183"/>
    </row>
    <row r="390" ht="22.5" customHeight="1">
      <c r="A390" s="184">
        <v>45938.0</v>
      </c>
      <c r="B390" s="185" t="s">
        <v>91</v>
      </c>
      <c r="C390" s="186">
        <v>58320.0</v>
      </c>
      <c r="D390" s="187">
        <v>15.4</v>
      </c>
      <c r="E390" s="185" t="s">
        <v>35</v>
      </c>
      <c r="F390" s="188" t="s">
        <v>923</v>
      </c>
      <c r="G390" s="185" t="s">
        <v>924</v>
      </c>
      <c r="H390" s="182">
        <v>0.0</v>
      </c>
      <c r="I390" s="183"/>
      <c r="J390" s="183"/>
    </row>
    <row r="391" ht="22.5" customHeight="1">
      <c r="A391" s="184">
        <v>45938.0</v>
      </c>
      <c r="B391" s="185" t="s">
        <v>91</v>
      </c>
      <c r="C391" s="186">
        <v>58260.0</v>
      </c>
      <c r="D391" s="187">
        <v>15.0</v>
      </c>
      <c r="E391" s="185" t="s">
        <v>35</v>
      </c>
      <c r="F391" s="188" t="s">
        <v>925</v>
      </c>
      <c r="G391" s="185" t="s">
        <v>926</v>
      </c>
      <c r="H391" s="182">
        <v>0.0</v>
      </c>
      <c r="I391" s="183"/>
      <c r="J391" s="183"/>
    </row>
    <row r="392" ht="22.5" customHeight="1">
      <c r="A392" s="184">
        <v>45938.0</v>
      </c>
      <c r="B392" s="185" t="s">
        <v>91</v>
      </c>
      <c r="C392" s="186">
        <v>57080.0</v>
      </c>
      <c r="D392" s="187">
        <v>15.2</v>
      </c>
      <c r="E392" s="185" t="s">
        <v>35</v>
      </c>
      <c r="F392" s="188" t="s">
        <v>927</v>
      </c>
      <c r="G392" s="185" t="s">
        <v>928</v>
      </c>
      <c r="H392" s="182">
        <v>0.0</v>
      </c>
      <c r="I392" s="183"/>
      <c r="J392" s="183"/>
    </row>
    <row r="393" ht="22.5" customHeight="1">
      <c r="A393" s="184">
        <v>45938.0</v>
      </c>
      <c r="B393" s="185" t="s">
        <v>91</v>
      </c>
      <c r="C393" s="186">
        <v>58600.0</v>
      </c>
      <c r="D393" s="187">
        <v>15.1</v>
      </c>
      <c r="E393" s="185" t="s">
        <v>35</v>
      </c>
      <c r="F393" s="188" t="s">
        <v>929</v>
      </c>
      <c r="G393" s="185" t="s">
        <v>930</v>
      </c>
      <c r="H393" s="182">
        <v>0.0</v>
      </c>
      <c r="I393" s="183"/>
      <c r="J393" s="183"/>
    </row>
    <row r="394" ht="22.5" customHeight="1">
      <c r="A394" s="184">
        <v>45938.0</v>
      </c>
      <c r="B394" s="185" t="s">
        <v>91</v>
      </c>
      <c r="C394" s="186">
        <v>58360.0</v>
      </c>
      <c r="D394" s="187">
        <v>15.0</v>
      </c>
      <c r="E394" s="185" t="s">
        <v>35</v>
      </c>
      <c r="F394" s="188" t="s">
        <v>931</v>
      </c>
      <c r="G394" s="185" t="s">
        <v>932</v>
      </c>
      <c r="H394" s="182">
        <v>0.0</v>
      </c>
      <c r="I394" s="183"/>
      <c r="J394" s="183"/>
    </row>
    <row r="395" ht="22.5" customHeight="1">
      <c r="A395" s="184">
        <v>45938.0</v>
      </c>
      <c r="B395" s="185" t="s">
        <v>91</v>
      </c>
      <c r="C395" s="186">
        <v>56900.0</v>
      </c>
      <c r="D395" s="187">
        <v>15.2</v>
      </c>
      <c r="E395" s="185" t="s">
        <v>35</v>
      </c>
      <c r="F395" s="188" t="s">
        <v>933</v>
      </c>
      <c r="G395" s="185" t="s">
        <v>934</v>
      </c>
      <c r="H395" s="182">
        <v>0.0</v>
      </c>
      <c r="I395" s="183"/>
      <c r="J395" s="183"/>
    </row>
    <row r="396" ht="22.5" customHeight="1">
      <c r="A396" s="184">
        <v>45938.0</v>
      </c>
      <c r="B396" s="185" t="s">
        <v>91</v>
      </c>
      <c r="C396" s="186">
        <v>58800.0</v>
      </c>
      <c r="D396" s="187">
        <v>14.7</v>
      </c>
      <c r="E396" s="185" t="s">
        <v>35</v>
      </c>
      <c r="F396" s="188" t="s">
        <v>935</v>
      </c>
      <c r="G396" s="185" t="s">
        <v>936</v>
      </c>
      <c r="H396" s="182">
        <v>0.0</v>
      </c>
      <c r="I396" s="183"/>
      <c r="J396" s="183"/>
    </row>
    <row r="397" ht="22.5" customHeight="1">
      <c r="A397" s="184">
        <v>45938.0</v>
      </c>
      <c r="B397" s="185" t="s">
        <v>91</v>
      </c>
      <c r="C397" s="186">
        <v>56980.0</v>
      </c>
      <c r="D397" s="187">
        <v>14.3</v>
      </c>
      <c r="E397" s="185" t="s">
        <v>35</v>
      </c>
      <c r="F397" s="188" t="s">
        <v>937</v>
      </c>
      <c r="G397" s="185" t="s">
        <v>938</v>
      </c>
      <c r="H397" s="182">
        <v>0.0</v>
      </c>
      <c r="I397" s="183"/>
      <c r="J397" s="183"/>
    </row>
    <row r="398" ht="22.5" customHeight="1">
      <c r="A398" s="184">
        <v>45938.0</v>
      </c>
      <c r="B398" s="185" t="s">
        <v>91</v>
      </c>
      <c r="C398" s="186">
        <v>57120.0</v>
      </c>
      <c r="D398" s="187">
        <v>14.4</v>
      </c>
      <c r="E398" s="185" t="s">
        <v>35</v>
      </c>
      <c r="F398" s="188" t="s">
        <v>939</v>
      </c>
      <c r="G398" s="185" t="s">
        <v>940</v>
      </c>
      <c r="H398" s="182">
        <v>0.0</v>
      </c>
      <c r="I398" s="183"/>
      <c r="J398" s="183"/>
    </row>
    <row r="399" ht="22.5" customHeight="1">
      <c r="A399" s="184">
        <v>45938.0</v>
      </c>
      <c r="B399" s="185" t="s">
        <v>91</v>
      </c>
      <c r="C399" s="186">
        <v>57420.0</v>
      </c>
      <c r="D399" s="187">
        <v>14.7</v>
      </c>
      <c r="E399" s="185" t="s">
        <v>35</v>
      </c>
      <c r="F399" s="188" t="s">
        <v>941</v>
      </c>
      <c r="G399" s="185" t="s">
        <v>942</v>
      </c>
      <c r="H399" s="182">
        <v>0.0</v>
      </c>
      <c r="I399" s="183"/>
      <c r="J399" s="183"/>
    </row>
    <row r="400" ht="22.5" customHeight="1">
      <c r="A400" s="184">
        <v>45938.0</v>
      </c>
      <c r="B400" s="185" t="s">
        <v>91</v>
      </c>
      <c r="C400" s="186">
        <v>56960.0</v>
      </c>
      <c r="D400" s="187">
        <v>14.5</v>
      </c>
      <c r="E400" s="185" t="s">
        <v>35</v>
      </c>
      <c r="F400" s="188" t="s">
        <v>943</v>
      </c>
      <c r="G400" s="185" t="s">
        <v>944</v>
      </c>
      <c r="H400" s="182">
        <v>0.0</v>
      </c>
      <c r="I400" s="183"/>
      <c r="J400" s="183"/>
    </row>
    <row r="401" ht="22.5" customHeight="1">
      <c r="A401" s="184">
        <v>45938.0</v>
      </c>
      <c r="B401" s="185" t="s">
        <v>91</v>
      </c>
      <c r="C401" s="186">
        <v>55720.0</v>
      </c>
      <c r="D401" s="187">
        <v>14.5</v>
      </c>
      <c r="E401" s="185" t="s">
        <v>35</v>
      </c>
      <c r="F401" s="188" t="s">
        <v>945</v>
      </c>
      <c r="G401" s="185" t="s">
        <v>946</v>
      </c>
      <c r="H401" s="182">
        <v>0.0</v>
      </c>
      <c r="I401" s="183"/>
      <c r="J401" s="183"/>
    </row>
    <row r="402" ht="22.5" customHeight="1">
      <c r="A402" s="184">
        <v>45930.0</v>
      </c>
      <c r="B402" s="185" t="s">
        <v>92</v>
      </c>
      <c r="C402" s="186">
        <v>12498.0</v>
      </c>
      <c r="D402" s="187">
        <v>10.2</v>
      </c>
      <c r="E402" s="185" t="s">
        <v>47</v>
      </c>
      <c r="F402" s="188" t="s">
        <v>376</v>
      </c>
      <c r="G402" s="185" t="s">
        <v>947</v>
      </c>
      <c r="H402" s="182">
        <v>0.27</v>
      </c>
      <c r="I402" s="183"/>
      <c r="J402" s="183"/>
    </row>
    <row r="403" ht="22.5" customHeight="1">
      <c r="A403" s="184">
        <v>45931.0</v>
      </c>
      <c r="B403" s="185" t="s">
        <v>92</v>
      </c>
      <c r="C403" s="186">
        <v>23311.0</v>
      </c>
      <c r="D403" s="187">
        <v>9.7</v>
      </c>
      <c r="E403" s="185" t="s">
        <v>47</v>
      </c>
      <c r="F403" s="188" t="s">
        <v>393</v>
      </c>
      <c r="G403" s="185" t="s">
        <v>948</v>
      </c>
      <c r="H403" s="182">
        <v>0.0</v>
      </c>
      <c r="I403" s="183"/>
      <c r="J403" s="183"/>
    </row>
    <row r="404" ht="22.5" customHeight="1">
      <c r="A404" s="184">
        <v>45938.0</v>
      </c>
      <c r="B404" s="185" t="s">
        <v>113</v>
      </c>
      <c r="C404" s="186">
        <v>56180.0</v>
      </c>
      <c r="D404" s="187">
        <v>15.1</v>
      </c>
      <c r="E404" s="185" t="s">
        <v>35</v>
      </c>
      <c r="F404" s="188" t="s">
        <v>949</v>
      </c>
      <c r="G404" s="185" t="s">
        <v>950</v>
      </c>
      <c r="H404" s="182">
        <v>0.0</v>
      </c>
      <c r="I404" s="183"/>
      <c r="J404" s="183"/>
    </row>
    <row r="405" ht="22.5" customHeight="1">
      <c r="A405" s="184">
        <v>45938.0</v>
      </c>
      <c r="B405" s="185" t="s">
        <v>113</v>
      </c>
      <c r="C405" s="186">
        <v>57680.0</v>
      </c>
      <c r="D405" s="187">
        <v>15.2</v>
      </c>
      <c r="E405" s="185" t="s">
        <v>35</v>
      </c>
      <c r="F405" s="188" t="s">
        <v>951</v>
      </c>
      <c r="G405" s="185" t="s">
        <v>952</v>
      </c>
      <c r="H405" s="182">
        <v>0.0</v>
      </c>
      <c r="I405" s="183"/>
      <c r="J405" s="183"/>
    </row>
    <row r="406" ht="22.5" customHeight="1">
      <c r="A406" s="184">
        <v>45938.0</v>
      </c>
      <c r="B406" s="185" t="s">
        <v>113</v>
      </c>
      <c r="C406" s="186">
        <v>58100.0</v>
      </c>
      <c r="D406" s="187">
        <v>14.8</v>
      </c>
      <c r="E406" s="185" t="s">
        <v>35</v>
      </c>
      <c r="F406" s="188" t="s">
        <v>953</v>
      </c>
      <c r="G406" s="185" t="s">
        <v>954</v>
      </c>
      <c r="H406" s="182">
        <v>0.0</v>
      </c>
      <c r="I406" s="183"/>
      <c r="J406" s="183"/>
    </row>
    <row r="407" ht="22.5" customHeight="1">
      <c r="A407" s="184">
        <v>45938.0</v>
      </c>
      <c r="B407" s="185" t="s">
        <v>113</v>
      </c>
      <c r="C407" s="186">
        <v>57440.0</v>
      </c>
      <c r="D407" s="187">
        <v>14.6</v>
      </c>
      <c r="E407" s="185" t="s">
        <v>35</v>
      </c>
      <c r="F407" s="188" t="s">
        <v>955</v>
      </c>
      <c r="G407" s="185" t="s">
        <v>956</v>
      </c>
      <c r="H407" s="182">
        <v>0.0</v>
      </c>
      <c r="I407" s="183"/>
      <c r="J407" s="183"/>
    </row>
    <row r="408" ht="22.5" customHeight="1">
      <c r="A408" s="184">
        <v>45938.0</v>
      </c>
      <c r="B408" s="185" t="s">
        <v>113</v>
      </c>
      <c r="C408" s="186">
        <v>57600.0</v>
      </c>
      <c r="D408" s="187">
        <v>14.8</v>
      </c>
      <c r="E408" s="185" t="s">
        <v>35</v>
      </c>
      <c r="F408" s="188" t="s">
        <v>957</v>
      </c>
      <c r="G408" s="185" t="s">
        <v>958</v>
      </c>
      <c r="H408" s="182">
        <v>0.0</v>
      </c>
      <c r="I408" s="183"/>
      <c r="J408" s="183"/>
    </row>
    <row r="409" ht="22.5" customHeight="1">
      <c r="A409" s="184">
        <v>45938.0</v>
      </c>
      <c r="B409" s="185" t="s">
        <v>113</v>
      </c>
      <c r="C409" s="186">
        <v>57900.0</v>
      </c>
      <c r="D409" s="187">
        <v>14.1</v>
      </c>
      <c r="E409" s="185" t="s">
        <v>35</v>
      </c>
      <c r="F409" s="188" t="s">
        <v>959</v>
      </c>
      <c r="G409" s="185" t="s">
        <v>960</v>
      </c>
      <c r="H409" s="182">
        <v>0.0</v>
      </c>
      <c r="I409" s="183"/>
      <c r="J409" s="183"/>
    </row>
    <row r="410" ht="22.5" customHeight="1">
      <c r="A410" s="184">
        <v>45938.0</v>
      </c>
      <c r="B410" s="185" t="s">
        <v>113</v>
      </c>
      <c r="C410" s="186">
        <v>58680.0</v>
      </c>
      <c r="D410" s="187">
        <v>14.6</v>
      </c>
      <c r="E410" s="185" t="s">
        <v>35</v>
      </c>
      <c r="F410" s="188" t="s">
        <v>961</v>
      </c>
      <c r="G410" s="185" t="s">
        <v>962</v>
      </c>
      <c r="H410" s="182">
        <v>0.0</v>
      </c>
      <c r="I410" s="183"/>
      <c r="J410" s="183"/>
    </row>
    <row r="411" ht="22.5" customHeight="1">
      <c r="A411" s="184">
        <v>45938.0</v>
      </c>
      <c r="B411" s="185" t="s">
        <v>113</v>
      </c>
      <c r="C411" s="186">
        <v>58120.0</v>
      </c>
      <c r="D411" s="187">
        <v>14.1</v>
      </c>
      <c r="E411" s="185" t="s">
        <v>35</v>
      </c>
      <c r="F411" s="188" t="s">
        <v>963</v>
      </c>
      <c r="G411" s="185" t="s">
        <v>964</v>
      </c>
      <c r="H411" s="182">
        <v>0.0</v>
      </c>
      <c r="I411" s="183"/>
      <c r="J411" s="183"/>
    </row>
    <row r="412" ht="22.5" customHeight="1">
      <c r="A412" s="184">
        <v>45938.0</v>
      </c>
      <c r="B412" s="185" t="s">
        <v>113</v>
      </c>
      <c r="C412" s="186">
        <v>58040.0</v>
      </c>
      <c r="D412" s="187">
        <v>15.0</v>
      </c>
      <c r="E412" s="185" t="s">
        <v>35</v>
      </c>
      <c r="F412" s="188" t="s">
        <v>965</v>
      </c>
      <c r="G412" s="185" t="s">
        <v>966</v>
      </c>
      <c r="H412" s="182">
        <v>0.0</v>
      </c>
      <c r="I412" s="183"/>
      <c r="J412" s="183"/>
    </row>
    <row r="413" ht="22.5" customHeight="1">
      <c r="A413" s="184">
        <v>45938.0</v>
      </c>
      <c r="B413" s="185" t="s">
        <v>113</v>
      </c>
      <c r="C413" s="186">
        <v>57980.0</v>
      </c>
      <c r="D413" s="187">
        <v>15.1</v>
      </c>
      <c r="E413" s="185" t="s">
        <v>35</v>
      </c>
      <c r="F413" s="188" t="s">
        <v>967</v>
      </c>
      <c r="G413" s="185" t="s">
        <v>968</v>
      </c>
      <c r="H413" s="182">
        <v>0.0</v>
      </c>
      <c r="I413" s="183"/>
      <c r="J413" s="183"/>
    </row>
    <row r="414" ht="22.5" customHeight="1">
      <c r="A414" s="184">
        <v>45938.0</v>
      </c>
      <c r="B414" s="185" t="s">
        <v>113</v>
      </c>
      <c r="C414" s="186">
        <v>58600.0</v>
      </c>
      <c r="D414" s="187">
        <v>15.1</v>
      </c>
      <c r="E414" s="185" t="s">
        <v>35</v>
      </c>
      <c r="F414" s="188" t="s">
        <v>969</v>
      </c>
      <c r="G414" s="185" t="s">
        <v>970</v>
      </c>
      <c r="H414" s="182">
        <v>0.0</v>
      </c>
      <c r="I414" s="183"/>
      <c r="J414" s="183"/>
    </row>
    <row r="415" ht="22.5" customHeight="1">
      <c r="A415" s="184">
        <v>45938.0</v>
      </c>
      <c r="B415" s="185" t="s">
        <v>113</v>
      </c>
      <c r="C415" s="186">
        <v>58020.0</v>
      </c>
      <c r="D415" s="187">
        <v>15.4</v>
      </c>
      <c r="E415" s="185" t="s">
        <v>35</v>
      </c>
      <c r="F415" s="188" t="s">
        <v>971</v>
      </c>
      <c r="G415" s="185" t="s">
        <v>972</v>
      </c>
      <c r="H415" s="182">
        <v>0.0</v>
      </c>
      <c r="I415" s="183"/>
      <c r="J415" s="183"/>
    </row>
    <row r="416" ht="22.5" customHeight="1">
      <c r="A416" s="184">
        <v>45938.0</v>
      </c>
      <c r="B416" s="185" t="s">
        <v>113</v>
      </c>
      <c r="C416" s="186">
        <v>58740.0</v>
      </c>
      <c r="D416" s="187">
        <v>15.5</v>
      </c>
      <c r="E416" s="185" t="s">
        <v>35</v>
      </c>
      <c r="F416" s="188" t="s">
        <v>973</v>
      </c>
      <c r="G416" s="185" t="s">
        <v>974</v>
      </c>
      <c r="H416" s="182">
        <v>0.0</v>
      </c>
      <c r="I416" s="183"/>
      <c r="J416" s="183"/>
    </row>
    <row r="417" ht="22.5" customHeight="1">
      <c r="A417" s="184">
        <v>45938.0</v>
      </c>
      <c r="B417" s="185" t="s">
        <v>113</v>
      </c>
      <c r="C417" s="186">
        <v>57000.0</v>
      </c>
      <c r="D417" s="187">
        <v>14.3</v>
      </c>
      <c r="E417" s="185" t="s">
        <v>35</v>
      </c>
      <c r="F417" s="188" t="s">
        <v>975</v>
      </c>
      <c r="G417" s="185" t="s">
        <v>976</v>
      </c>
      <c r="H417" s="182">
        <v>0.0</v>
      </c>
      <c r="I417" s="183"/>
      <c r="J417" s="183"/>
    </row>
    <row r="418" ht="22.5" customHeight="1">
      <c r="A418" s="184">
        <v>45938.0</v>
      </c>
      <c r="B418" s="185" t="s">
        <v>113</v>
      </c>
      <c r="C418" s="186">
        <v>57560.0</v>
      </c>
      <c r="D418" s="187">
        <v>15.5</v>
      </c>
      <c r="E418" s="185" t="s">
        <v>35</v>
      </c>
      <c r="F418" s="188" t="s">
        <v>977</v>
      </c>
      <c r="G418" s="185" t="s">
        <v>978</v>
      </c>
      <c r="H418" s="182">
        <v>0.0</v>
      </c>
      <c r="I418" s="183"/>
      <c r="J418" s="183"/>
    </row>
    <row r="419" ht="22.5" customHeight="1">
      <c r="A419" s="184">
        <v>45938.0</v>
      </c>
      <c r="B419" s="185" t="s">
        <v>113</v>
      </c>
      <c r="C419" s="186">
        <v>57480.0</v>
      </c>
      <c r="D419" s="187">
        <v>15.9</v>
      </c>
      <c r="E419" s="185" t="s">
        <v>35</v>
      </c>
      <c r="F419" s="188" t="s">
        <v>979</v>
      </c>
      <c r="G419" s="185" t="s">
        <v>980</v>
      </c>
      <c r="H419" s="182">
        <v>0.0</v>
      </c>
      <c r="I419" s="183"/>
      <c r="J419" s="183"/>
    </row>
    <row r="420" ht="22.5" customHeight="1">
      <c r="A420" s="184">
        <v>45938.0</v>
      </c>
      <c r="B420" s="185" t="s">
        <v>113</v>
      </c>
      <c r="C420" s="186">
        <v>58320.0</v>
      </c>
      <c r="D420" s="187">
        <v>15.4</v>
      </c>
      <c r="E420" s="185" t="s">
        <v>35</v>
      </c>
      <c r="F420" s="188" t="s">
        <v>981</v>
      </c>
      <c r="G420" s="185" t="s">
        <v>982</v>
      </c>
      <c r="H420" s="182">
        <v>0.0</v>
      </c>
      <c r="I420" s="183"/>
      <c r="J420" s="183"/>
    </row>
    <row r="421" ht="22.5" customHeight="1">
      <c r="A421" s="184">
        <v>45938.0</v>
      </c>
      <c r="B421" s="185" t="s">
        <v>113</v>
      </c>
      <c r="C421" s="186">
        <v>58020.0</v>
      </c>
      <c r="D421" s="187">
        <v>15.2</v>
      </c>
      <c r="E421" s="185" t="s">
        <v>35</v>
      </c>
      <c r="F421" s="188" t="s">
        <v>983</v>
      </c>
      <c r="G421" s="185" t="s">
        <v>984</v>
      </c>
      <c r="H421" s="182">
        <v>0.0</v>
      </c>
      <c r="I421" s="183"/>
      <c r="J421" s="183"/>
    </row>
    <row r="422" ht="22.5" customHeight="1">
      <c r="A422" s="184">
        <v>45939.0</v>
      </c>
      <c r="B422" s="185" t="s">
        <v>113</v>
      </c>
      <c r="C422" s="186">
        <v>32838.0</v>
      </c>
      <c r="D422" s="187">
        <v>15.3</v>
      </c>
      <c r="E422" s="185" t="s">
        <v>35</v>
      </c>
      <c r="F422" s="188" t="s">
        <v>985</v>
      </c>
      <c r="G422" s="185" t="s">
        <v>986</v>
      </c>
      <c r="H422" s="182">
        <v>0.0</v>
      </c>
      <c r="I422" s="183"/>
      <c r="J422" s="183"/>
    </row>
    <row r="423" ht="22.5" customHeight="1">
      <c r="A423" s="184">
        <v>45927.0</v>
      </c>
      <c r="B423" s="185" t="s">
        <v>114</v>
      </c>
      <c r="C423" s="186">
        <v>56880.0</v>
      </c>
      <c r="D423" s="187">
        <v>12.1</v>
      </c>
      <c r="E423" s="185" t="s">
        <v>104</v>
      </c>
      <c r="F423" s="188" t="s">
        <v>987</v>
      </c>
      <c r="G423" s="185" t="s">
        <v>988</v>
      </c>
      <c r="H423" s="182">
        <v>1.4</v>
      </c>
      <c r="I423" s="183"/>
      <c r="J423" s="183"/>
    </row>
    <row r="424" ht="22.5" customHeight="1">
      <c r="A424" s="184">
        <v>45927.0</v>
      </c>
      <c r="B424" s="185" t="s">
        <v>114</v>
      </c>
      <c r="C424" s="186">
        <v>56200.0</v>
      </c>
      <c r="D424" s="187">
        <v>13.2</v>
      </c>
      <c r="E424" s="185" t="s">
        <v>104</v>
      </c>
      <c r="F424" s="188" t="s">
        <v>989</v>
      </c>
      <c r="G424" s="185" t="s">
        <v>990</v>
      </c>
      <c r="H424" s="182">
        <v>0.6</v>
      </c>
      <c r="I424" s="183"/>
      <c r="J424" s="183"/>
    </row>
    <row r="425" ht="22.5" customHeight="1">
      <c r="A425" s="184">
        <v>45927.0</v>
      </c>
      <c r="B425" s="185" t="s">
        <v>114</v>
      </c>
      <c r="C425" s="186">
        <v>56420.0</v>
      </c>
      <c r="D425" s="187">
        <v>12.4</v>
      </c>
      <c r="E425" s="185" t="s">
        <v>104</v>
      </c>
      <c r="F425" s="188" t="s">
        <v>991</v>
      </c>
      <c r="G425" s="185" t="s">
        <v>992</v>
      </c>
      <c r="H425" s="182">
        <v>2.6</v>
      </c>
      <c r="I425" s="183"/>
      <c r="J425" s="183"/>
    </row>
    <row r="426" ht="22.5" customHeight="1">
      <c r="A426" s="184">
        <v>45927.0</v>
      </c>
      <c r="B426" s="185" t="s">
        <v>114</v>
      </c>
      <c r="C426" s="186">
        <v>57080.0</v>
      </c>
      <c r="D426" s="187">
        <v>12.3</v>
      </c>
      <c r="E426" s="185" t="s">
        <v>104</v>
      </c>
      <c r="F426" s="188" t="s">
        <v>993</v>
      </c>
      <c r="G426" s="185" t="s">
        <v>994</v>
      </c>
      <c r="H426" s="182">
        <v>1.9</v>
      </c>
      <c r="I426" s="183"/>
      <c r="J426" s="183"/>
    </row>
    <row r="427" ht="22.5" customHeight="1">
      <c r="A427" s="184">
        <v>45927.0</v>
      </c>
      <c r="B427" s="185" t="s">
        <v>114</v>
      </c>
      <c r="C427" s="186">
        <v>55900.0</v>
      </c>
      <c r="D427" s="187">
        <v>12.0</v>
      </c>
      <c r="E427" s="185" t="s">
        <v>104</v>
      </c>
      <c r="F427" s="188" t="s">
        <v>995</v>
      </c>
      <c r="G427" s="185" t="s">
        <v>996</v>
      </c>
      <c r="H427" s="182">
        <v>1.8</v>
      </c>
      <c r="I427" s="183"/>
      <c r="J427" s="183"/>
    </row>
    <row r="428" ht="22.5" customHeight="1">
      <c r="A428" s="184">
        <v>45928.0</v>
      </c>
      <c r="B428" s="185" t="s">
        <v>114</v>
      </c>
      <c r="C428" s="186">
        <v>40219.0</v>
      </c>
      <c r="D428" s="187">
        <v>11.5</v>
      </c>
      <c r="E428" s="185" t="s">
        <v>104</v>
      </c>
      <c r="F428" s="188" t="s">
        <v>997</v>
      </c>
      <c r="G428" s="185" t="s">
        <v>998</v>
      </c>
      <c r="H428" s="190"/>
      <c r="I428" s="183"/>
      <c r="J428" s="183"/>
    </row>
    <row r="429" ht="22.5" customHeight="1">
      <c r="A429" s="184">
        <v>45929.0</v>
      </c>
      <c r="B429" s="185" t="s">
        <v>98</v>
      </c>
      <c r="C429" s="191">
        <v>21910.0</v>
      </c>
      <c r="D429" s="187"/>
      <c r="E429" s="185" t="s">
        <v>93</v>
      </c>
      <c r="F429" s="188" t="s">
        <v>999</v>
      </c>
      <c r="G429" s="185" t="s">
        <v>1000</v>
      </c>
      <c r="H429" s="190"/>
      <c r="I429" s="183"/>
      <c r="J429" s="183"/>
    </row>
    <row r="430" ht="22.5" customHeight="1">
      <c r="A430" s="184">
        <v>45929.0</v>
      </c>
      <c r="B430" s="185" t="s">
        <v>98</v>
      </c>
      <c r="C430" s="191">
        <v>13720.0</v>
      </c>
      <c r="D430" s="187"/>
      <c r="E430" s="185" t="s">
        <v>93</v>
      </c>
      <c r="F430" s="188" t="s">
        <v>1001</v>
      </c>
      <c r="G430" s="185" t="s">
        <v>1002</v>
      </c>
      <c r="H430" s="190"/>
      <c r="I430" s="183"/>
      <c r="J430" s="183"/>
    </row>
    <row r="431" ht="22.5" customHeight="1">
      <c r="A431" s="184">
        <v>45929.0</v>
      </c>
      <c r="B431" s="185" t="s">
        <v>98</v>
      </c>
      <c r="C431" s="191">
        <v>58740.0</v>
      </c>
      <c r="D431" s="187"/>
      <c r="E431" s="185" t="s">
        <v>93</v>
      </c>
      <c r="F431" s="188" t="s">
        <v>1003</v>
      </c>
      <c r="G431" s="185" t="s">
        <v>1004</v>
      </c>
      <c r="H431" s="190"/>
      <c r="I431" s="183"/>
      <c r="J431" s="183"/>
    </row>
    <row r="432" ht="22.5" customHeight="1">
      <c r="A432" s="184">
        <v>45931.0</v>
      </c>
      <c r="B432" s="185" t="s">
        <v>100</v>
      </c>
      <c r="C432" s="186">
        <v>56280.0</v>
      </c>
      <c r="D432" s="187"/>
      <c r="E432" s="185" t="s">
        <v>99</v>
      </c>
      <c r="F432" s="188" t="s">
        <v>1005</v>
      </c>
      <c r="G432" s="185" t="s">
        <v>1006</v>
      </c>
      <c r="H432" s="190"/>
      <c r="I432" s="183"/>
      <c r="J432" s="183"/>
    </row>
    <row r="433" ht="22.5" customHeight="1">
      <c r="A433" s="184">
        <v>45931.0</v>
      </c>
      <c r="B433" s="185" t="s">
        <v>100</v>
      </c>
      <c r="C433" s="186">
        <v>56660.0</v>
      </c>
      <c r="D433" s="187"/>
      <c r="E433" s="185" t="s">
        <v>99</v>
      </c>
      <c r="F433" s="188" t="s">
        <v>1007</v>
      </c>
      <c r="G433" s="185" t="s">
        <v>1008</v>
      </c>
      <c r="H433" s="190"/>
      <c r="I433" s="183"/>
      <c r="J433" s="183"/>
    </row>
    <row r="434" ht="22.5" customHeight="1">
      <c r="A434" s="184">
        <v>45931.0</v>
      </c>
      <c r="B434" s="185" t="s">
        <v>100</v>
      </c>
      <c r="C434" s="191">
        <v>11320.0</v>
      </c>
      <c r="D434" s="187"/>
      <c r="E434" s="185" t="s">
        <v>99</v>
      </c>
      <c r="F434" s="188" t="s">
        <v>1009</v>
      </c>
      <c r="G434" s="185" t="s">
        <v>890</v>
      </c>
      <c r="H434" s="190"/>
      <c r="I434" s="183"/>
      <c r="J434" s="183"/>
    </row>
    <row r="435" ht="22.5" customHeight="1">
      <c r="A435" s="184">
        <v>45929.0</v>
      </c>
      <c r="B435" s="185" t="s">
        <v>94</v>
      </c>
      <c r="C435" s="186">
        <v>34270.0</v>
      </c>
      <c r="D435" s="187"/>
      <c r="E435" s="185" t="s">
        <v>93</v>
      </c>
      <c r="F435" s="188" t="s">
        <v>999</v>
      </c>
      <c r="G435" s="185" t="s">
        <v>1000</v>
      </c>
      <c r="H435" s="190"/>
      <c r="I435" s="183"/>
      <c r="J435" s="183"/>
    </row>
    <row r="436" ht="22.5" customHeight="1">
      <c r="A436" s="184">
        <v>45929.0</v>
      </c>
      <c r="B436" s="185" t="s">
        <v>94</v>
      </c>
      <c r="C436" s="191">
        <v>62000.0</v>
      </c>
      <c r="D436" s="187"/>
      <c r="E436" s="185" t="s">
        <v>93</v>
      </c>
      <c r="F436" s="188" t="s">
        <v>1009</v>
      </c>
      <c r="G436" s="185" t="s">
        <v>890</v>
      </c>
      <c r="H436" s="190"/>
      <c r="I436" s="183"/>
      <c r="J436" s="183"/>
    </row>
    <row r="437" ht="22.5" customHeight="1">
      <c r="A437" s="184">
        <v>45917.0</v>
      </c>
      <c r="B437" s="185" t="s">
        <v>97</v>
      </c>
      <c r="C437" s="186">
        <v>56820.0</v>
      </c>
      <c r="D437" s="187"/>
      <c r="E437" s="185" t="s">
        <v>49</v>
      </c>
      <c r="F437" s="188" t="s">
        <v>1010</v>
      </c>
      <c r="G437" s="185" t="s">
        <v>1011</v>
      </c>
      <c r="H437" s="190"/>
      <c r="I437" s="183"/>
      <c r="J437" s="183"/>
    </row>
    <row r="438" ht="22.5" customHeight="1">
      <c r="A438" s="184">
        <v>45917.0</v>
      </c>
      <c r="B438" s="185" t="s">
        <v>97</v>
      </c>
      <c r="C438" s="186">
        <v>56540.0</v>
      </c>
      <c r="D438" s="187"/>
      <c r="E438" s="185" t="s">
        <v>49</v>
      </c>
      <c r="F438" s="188" t="s">
        <v>1012</v>
      </c>
      <c r="G438" s="185" t="s">
        <v>1013</v>
      </c>
      <c r="H438" s="190"/>
      <c r="I438" s="183"/>
      <c r="J438" s="183"/>
    </row>
    <row r="439" ht="22.5" customHeight="1">
      <c r="A439" s="184">
        <v>45917.0</v>
      </c>
      <c r="B439" s="185" t="s">
        <v>97</v>
      </c>
      <c r="C439" s="186">
        <v>44500.0</v>
      </c>
      <c r="D439" s="187"/>
      <c r="E439" s="185" t="s">
        <v>49</v>
      </c>
      <c r="F439" s="188" t="s">
        <v>1014</v>
      </c>
      <c r="G439" s="185" t="s">
        <v>1015</v>
      </c>
      <c r="H439" s="190"/>
      <c r="I439" s="183"/>
      <c r="J439" s="183"/>
    </row>
    <row r="440" ht="22.5" customHeight="1">
      <c r="A440" s="184">
        <v>45918.0</v>
      </c>
      <c r="B440" s="185" t="s">
        <v>97</v>
      </c>
      <c r="C440" s="186">
        <v>56540.0</v>
      </c>
      <c r="D440" s="187"/>
      <c r="E440" s="185" t="s">
        <v>96</v>
      </c>
      <c r="F440" s="188" t="s">
        <v>1016</v>
      </c>
      <c r="G440" s="185" t="s">
        <v>1017</v>
      </c>
      <c r="H440" s="190"/>
      <c r="I440" s="183"/>
      <c r="J440" s="183"/>
    </row>
    <row r="441" ht="22.5" customHeight="1">
      <c r="A441" s="184">
        <v>45918.0</v>
      </c>
      <c r="B441" s="185" t="s">
        <v>97</v>
      </c>
      <c r="C441" s="186">
        <v>44500.0</v>
      </c>
      <c r="D441" s="187"/>
      <c r="E441" s="185" t="s">
        <v>96</v>
      </c>
      <c r="F441" s="188" t="s">
        <v>1018</v>
      </c>
      <c r="G441" s="185" t="s">
        <v>1019</v>
      </c>
      <c r="H441" s="190"/>
      <c r="I441" s="183"/>
      <c r="J441" s="183"/>
    </row>
    <row r="442" ht="22.5" customHeight="1">
      <c r="A442" s="184">
        <v>45891.0</v>
      </c>
      <c r="B442" s="185" t="s">
        <v>102</v>
      </c>
      <c r="C442" s="186">
        <v>2185600.0</v>
      </c>
      <c r="D442" s="187"/>
      <c r="E442" s="185" t="s">
        <v>101</v>
      </c>
      <c r="F442" s="188" t="s">
        <v>1020</v>
      </c>
      <c r="G442" s="185" t="s">
        <v>646</v>
      </c>
      <c r="H442" s="182"/>
      <c r="I442" s="183"/>
      <c r="J442" s="183"/>
    </row>
    <row r="443" ht="22.5" customHeight="1">
      <c r="A443" s="184">
        <v>45951.0</v>
      </c>
      <c r="B443" s="185" t="s">
        <v>103</v>
      </c>
      <c r="C443" s="186">
        <v>58260.0</v>
      </c>
      <c r="D443" s="187">
        <v>16.1</v>
      </c>
      <c r="E443" s="185" t="s">
        <v>35</v>
      </c>
      <c r="F443" s="188" t="s">
        <v>1021</v>
      </c>
      <c r="G443" s="185" t="s">
        <v>1022</v>
      </c>
      <c r="H443" s="182"/>
      <c r="I443" s="183"/>
      <c r="J443" s="183"/>
    </row>
    <row r="444" ht="22.5" customHeight="1">
      <c r="A444" s="184">
        <v>45950.0</v>
      </c>
      <c r="B444" s="185" t="s">
        <v>103</v>
      </c>
      <c r="C444" s="186">
        <v>56220.0</v>
      </c>
      <c r="D444" s="187">
        <v>16.3</v>
      </c>
      <c r="E444" s="185" t="s">
        <v>35</v>
      </c>
      <c r="F444" s="188" t="s">
        <v>1023</v>
      </c>
      <c r="G444" s="185" t="s">
        <v>1024</v>
      </c>
      <c r="H444" s="190"/>
      <c r="I444" s="183"/>
      <c r="J444" s="183"/>
    </row>
    <row r="445" ht="22.5" customHeight="1">
      <c r="A445" s="184">
        <v>45950.0</v>
      </c>
      <c r="B445" s="185" t="s">
        <v>103</v>
      </c>
      <c r="C445" s="186">
        <v>57620.0</v>
      </c>
      <c r="D445" s="187">
        <v>16.1</v>
      </c>
      <c r="E445" s="185" t="s">
        <v>35</v>
      </c>
      <c r="F445" s="188" t="s">
        <v>1025</v>
      </c>
      <c r="G445" s="185" t="s">
        <v>1026</v>
      </c>
      <c r="H445" s="190"/>
      <c r="I445" s="183"/>
      <c r="J445" s="183"/>
    </row>
    <row r="446" ht="22.5" customHeight="1">
      <c r="A446" s="184">
        <v>45950.0</v>
      </c>
      <c r="B446" s="185" t="s">
        <v>103</v>
      </c>
      <c r="C446" s="186">
        <v>57860.0</v>
      </c>
      <c r="D446" s="187">
        <v>15.9</v>
      </c>
      <c r="E446" s="185" t="s">
        <v>35</v>
      </c>
      <c r="F446" s="188" t="s">
        <v>1027</v>
      </c>
      <c r="G446" s="185" t="s">
        <v>1028</v>
      </c>
      <c r="H446" s="190"/>
      <c r="I446" s="183"/>
      <c r="J446" s="183"/>
    </row>
    <row r="447" ht="22.5" customHeight="1">
      <c r="A447" s="184">
        <v>45950.0</v>
      </c>
      <c r="B447" s="185" t="s">
        <v>103</v>
      </c>
      <c r="C447" s="186">
        <v>57060.0</v>
      </c>
      <c r="D447" s="187">
        <v>15.8</v>
      </c>
      <c r="E447" s="185" t="s">
        <v>35</v>
      </c>
      <c r="F447" s="188" t="s">
        <v>1029</v>
      </c>
      <c r="G447" s="185" t="s">
        <v>1030</v>
      </c>
      <c r="H447" s="190"/>
      <c r="I447" s="183"/>
      <c r="J447" s="183"/>
    </row>
    <row r="448" ht="22.5" customHeight="1">
      <c r="A448" s="184">
        <v>45950.0</v>
      </c>
      <c r="B448" s="185" t="s">
        <v>103</v>
      </c>
      <c r="C448" s="186">
        <v>56960.0</v>
      </c>
      <c r="D448" s="187">
        <v>16.2</v>
      </c>
      <c r="E448" s="185" t="s">
        <v>35</v>
      </c>
      <c r="F448" s="188" t="s">
        <v>1031</v>
      </c>
      <c r="G448" s="185" t="s">
        <v>1032</v>
      </c>
      <c r="H448" s="190"/>
      <c r="I448" s="183"/>
      <c r="J448" s="183"/>
    </row>
    <row r="449" ht="22.5" customHeight="1">
      <c r="A449" s="184">
        <v>45950.0</v>
      </c>
      <c r="B449" s="185" t="s">
        <v>103</v>
      </c>
      <c r="C449" s="186">
        <v>57440.0</v>
      </c>
      <c r="D449" s="187">
        <v>16.3</v>
      </c>
      <c r="E449" s="185" t="s">
        <v>35</v>
      </c>
      <c r="F449" s="188" t="s">
        <v>1033</v>
      </c>
      <c r="G449" s="185" t="s">
        <v>1034</v>
      </c>
      <c r="H449" s="190"/>
      <c r="I449" s="183"/>
      <c r="J449" s="183"/>
    </row>
    <row r="450" ht="22.5" customHeight="1">
      <c r="A450" s="184">
        <v>45950.0</v>
      </c>
      <c r="B450" s="185" t="s">
        <v>103</v>
      </c>
      <c r="C450" s="186">
        <v>57660.0</v>
      </c>
      <c r="D450" s="187">
        <v>16.1</v>
      </c>
      <c r="E450" s="185" t="s">
        <v>35</v>
      </c>
      <c r="F450" s="188" t="s">
        <v>1035</v>
      </c>
      <c r="G450" s="185" t="s">
        <v>1036</v>
      </c>
      <c r="H450" s="190"/>
      <c r="I450" s="183"/>
      <c r="J450" s="183"/>
    </row>
    <row r="451" ht="22.5" customHeight="1">
      <c r="A451" s="184">
        <v>45950.0</v>
      </c>
      <c r="B451" s="185" t="s">
        <v>103</v>
      </c>
      <c r="C451" s="186">
        <v>57900.0</v>
      </c>
      <c r="D451" s="187">
        <v>15.9</v>
      </c>
      <c r="E451" s="185" t="s">
        <v>35</v>
      </c>
      <c r="F451" s="188" t="s">
        <v>1037</v>
      </c>
      <c r="G451" s="185" t="s">
        <v>1038</v>
      </c>
      <c r="H451" s="190"/>
      <c r="I451" s="183"/>
      <c r="J451" s="183"/>
    </row>
    <row r="452" ht="22.5" customHeight="1">
      <c r="A452" s="184">
        <v>45950.0</v>
      </c>
      <c r="B452" s="185" t="s">
        <v>103</v>
      </c>
      <c r="C452" s="186">
        <v>57620.0</v>
      </c>
      <c r="D452" s="187">
        <v>15.9</v>
      </c>
      <c r="E452" s="185" t="s">
        <v>35</v>
      </c>
      <c r="F452" s="188" t="s">
        <v>1039</v>
      </c>
      <c r="G452" s="185" t="s">
        <v>1040</v>
      </c>
      <c r="H452" s="190"/>
      <c r="I452" s="183"/>
      <c r="J452" s="183"/>
    </row>
    <row r="453" ht="22.5" customHeight="1">
      <c r="A453" s="184">
        <v>45950.0</v>
      </c>
      <c r="B453" s="185" t="s">
        <v>103</v>
      </c>
      <c r="C453" s="186">
        <v>57900.0</v>
      </c>
      <c r="D453" s="187">
        <v>15.8</v>
      </c>
      <c r="E453" s="185" t="s">
        <v>35</v>
      </c>
      <c r="F453" s="188" t="s">
        <v>1041</v>
      </c>
      <c r="G453" s="185" t="s">
        <v>1042</v>
      </c>
      <c r="H453" s="190"/>
      <c r="I453" s="183"/>
      <c r="J453" s="183"/>
    </row>
    <row r="454" ht="22.5" customHeight="1">
      <c r="A454" s="184">
        <v>45950.0</v>
      </c>
      <c r="B454" s="185" t="s">
        <v>103</v>
      </c>
      <c r="C454" s="186">
        <v>56740.0</v>
      </c>
      <c r="D454" s="187">
        <v>15.8</v>
      </c>
      <c r="E454" s="185" t="s">
        <v>35</v>
      </c>
      <c r="F454" s="188" t="s">
        <v>1043</v>
      </c>
      <c r="G454" s="185" t="s">
        <v>1044</v>
      </c>
      <c r="H454" s="190"/>
      <c r="I454" s="183"/>
      <c r="J454" s="183"/>
    </row>
    <row r="455" ht="22.5" customHeight="1">
      <c r="A455" s="184">
        <v>45950.0</v>
      </c>
      <c r="B455" s="185" t="s">
        <v>103</v>
      </c>
      <c r="C455" s="186">
        <v>55860.0</v>
      </c>
      <c r="D455" s="187">
        <v>15.7</v>
      </c>
      <c r="E455" s="185" t="s">
        <v>35</v>
      </c>
      <c r="F455" s="188" t="s">
        <v>1045</v>
      </c>
      <c r="G455" s="185" t="s">
        <v>1046</v>
      </c>
      <c r="H455" s="190"/>
      <c r="I455" s="183"/>
      <c r="J455" s="183"/>
    </row>
    <row r="456" ht="22.5" customHeight="1">
      <c r="A456" s="184">
        <v>45950.0</v>
      </c>
      <c r="B456" s="185" t="s">
        <v>103</v>
      </c>
      <c r="C456" s="186">
        <v>58280.0</v>
      </c>
      <c r="D456" s="187">
        <v>16.1</v>
      </c>
      <c r="E456" s="185" t="s">
        <v>35</v>
      </c>
      <c r="F456" s="188" t="s">
        <v>1047</v>
      </c>
      <c r="G456" s="185" t="s">
        <v>1048</v>
      </c>
      <c r="H456" s="190"/>
      <c r="I456" s="183"/>
      <c r="J456" s="183"/>
    </row>
    <row r="457" ht="22.5" customHeight="1">
      <c r="A457" s="184">
        <v>45950.0</v>
      </c>
      <c r="B457" s="185" t="s">
        <v>103</v>
      </c>
      <c r="C457" s="186">
        <v>58220.0</v>
      </c>
      <c r="D457" s="187">
        <v>16.2</v>
      </c>
      <c r="E457" s="185" t="s">
        <v>35</v>
      </c>
      <c r="F457" s="188" t="s">
        <v>1049</v>
      </c>
      <c r="G457" s="185" t="s">
        <v>1050</v>
      </c>
      <c r="H457" s="190"/>
      <c r="I457" s="183"/>
      <c r="J457" s="183"/>
    </row>
    <row r="458" ht="22.5" customHeight="1">
      <c r="A458" s="184">
        <v>45950.0</v>
      </c>
      <c r="B458" s="185" t="s">
        <v>103</v>
      </c>
      <c r="C458" s="186">
        <v>57020.0</v>
      </c>
      <c r="D458" s="187">
        <v>16.3</v>
      </c>
      <c r="E458" s="185" t="s">
        <v>35</v>
      </c>
      <c r="F458" s="188" t="s">
        <v>1051</v>
      </c>
      <c r="G458" s="185" t="s">
        <v>1052</v>
      </c>
      <c r="H458" s="190"/>
      <c r="I458" s="183"/>
      <c r="J458" s="183"/>
    </row>
    <row r="459" ht="22.5" customHeight="1">
      <c r="A459" s="184">
        <v>45951.0</v>
      </c>
      <c r="B459" s="185" t="s">
        <v>103</v>
      </c>
      <c r="C459" s="186">
        <v>56640.0</v>
      </c>
      <c r="D459" s="187">
        <v>16.0</v>
      </c>
      <c r="E459" s="185" t="s">
        <v>35</v>
      </c>
      <c r="F459" s="188" t="s">
        <v>1053</v>
      </c>
      <c r="G459" s="185" t="s">
        <v>1054</v>
      </c>
      <c r="H459" s="190"/>
      <c r="I459" s="183"/>
      <c r="J459" s="183"/>
    </row>
    <row r="460" ht="22.5" customHeight="1">
      <c r="A460" s="184">
        <v>45950.0</v>
      </c>
      <c r="B460" s="185" t="s">
        <v>103</v>
      </c>
      <c r="C460" s="186">
        <v>57020.0</v>
      </c>
      <c r="D460" s="187">
        <v>16.5</v>
      </c>
      <c r="E460" s="185" t="s">
        <v>35</v>
      </c>
      <c r="F460" s="188" t="s">
        <v>1055</v>
      </c>
      <c r="G460" s="185" t="s">
        <v>1056</v>
      </c>
      <c r="H460" s="190"/>
      <c r="I460" s="183"/>
      <c r="J460" s="183"/>
    </row>
    <row r="461" ht="22.5" customHeight="1">
      <c r="A461" s="184">
        <v>45950.0</v>
      </c>
      <c r="B461" s="185" t="s">
        <v>103</v>
      </c>
      <c r="C461" s="186">
        <v>58180.0</v>
      </c>
      <c r="D461" s="187">
        <v>16.1</v>
      </c>
      <c r="E461" s="185" t="s">
        <v>35</v>
      </c>
      <c r="F461" s="188" t="s">
        <v>1057</v>
      </c>
      <c r="G461" s="185" t="s">
        <v>1058</v>
      </c>
      <c r="H461" s="190"/>
      <c r="I461" s="183"/>
      <c r="J461" s="183"/>
    </row>
    <row r="462" ht="22.5" customHeight="1">
      <c r="A462" s="184">
        <v>45950.0</v>
      </c>
      <c r="B462" s="185" t="s">
        <v>103</v>
      </c>
      <c r="C462" s="186">
        <v>57120.0</v>
      </c>
      <c r="D462" s="187">
        <v>15.7</v>
      </c>
      <c r="E462" s="185" t="s">
        <v>35</v>
      </c>
      <c r="F462" s="188" t="s">
        <v>1059</v>
      </c>
      <c r="G462" s="185" t="s">
        <v>1060</v>
      </c>
      <c r="H462" s="190"/>
      <c r="I462" s="183"/>
      <c r="J462" s="183"/>
    </row>
    <row r="463" ht="22.5" customHeight="1">
      <c r="A463" s="184">
        <v>45951.0</v>
      </c>
      <c r="B463" s="185" t="s">
        <v>103</v>
      </c>
      <c r="C463" s="186">
        <v>58260.0</v>
      </c>
      <c r="D463" s="187">
        <v>16.2</v>
      </c>
      <c r="E463" s="185" t="s">
        <v>35</v>
      </c>
      <c r="F463" s="188" t="s">
        <v>1061</v>
      </c>
      <c r="G463" s="185" t="s">
        <v>1062</v>
      </c>
      <c r="H463" s="190"/>
      <c r="I463" s="183"/>
      <c r="J463" s="183"/>
    </row>
    <row r="464" ht="22.5" customHeight="1">
      <c r="A464" s="184">
        <v>45951.0</v>
      </c>
      <c r="B464" s="185" t="s">
        <v>103</v>
      </c>
      <c r="C464" s="186">
        <v>57180.0</v>
      </c>
      <c r="D464" s="187">
        <v>16.8</v>
      </c>
      <c r="E464" s="185" t="s">
        <v>35</v>
      </c>
      <c r="F464" s="188" t="s">
        <v>1063</v>
      </c>
      <c r="G464" s="185" t="s">
        <v>1064</v>
      </c>
      <c r="H464" s="190"/>
      <c r="I464" s="183"/>
      <c r="J464" s="183"/>
    </row>
    <row r="465" ht="22.5" customHeight="1">
      <c r="A465" s="184">
        <v>45951.0</v>
      </c>
      <c r="B465" s="185" t="s">
        <v>103</v>
      </c>
      <c r="C465" s="186">
        <v>58820.0</v>
      </c>
      <c r="D465" s="187">
        <v>16.9</v>
      </c>
      <c r="E465" s="185" t="s">
        <v>35</v>
      </c>
      <c r="F465" s="188" t="s">
        <v>1065</v>
      </c>
      <c r="G465" s="185" t="s">
        <v>1066</v>
      </c>
      <c r="H465" s="190"/>
      <c r="I465" s="183"/>
      <c r="J465" s="183"/>
    </row>
    <row r="466" ht="22.5" customHeight="1">
      <c r="A466" s="184">
        <v>45951.0</v>
      </c>
      <c r="B466" s="185" t="s">
        <v>103</v>
      </c>
      <c r="C466" s="186">
        <v>56900.0</v>
      </c>
      <c r="D466" s="187">
        <v>16.5</v>
      </c>
      <c r="E466" s="185" t="s">
        <v>35</v>
      </c>
      <c r="F466" s="188" t="s">
        <v>1067</v>
      </c>
      <c r="G466" s="185" t="s">
        <v>1068</v>
      </c>
      <c r="H466" s="190"/>
      <c r="I466" s="183"/>
      <c r="J466" s="183"/>
    </row>
    <row r="467" ht="22.5" customHeight="1">
      <c r="A467" s="184">
        <v>45951.0</v>
      </c>
      <c r="B467" s="185" t="s">
        <v>103</v>
      </c>
      <c r="C467" s="186">
        <v>56640.0</v>
      </c>
      <c r="D467" s="187">
        <v>16.1</v>
      </c>
      <c r="E467" s="185" t="s">
        <v>35</v>
      </c>
      <c r="F467" s="188" t="s">
        <v>1069</v>
      </c>
      <c r="G467" s="185" t="s">
        <v>1070</v>
      </c>
      <c r="H467" s="190"/>
      <c r="I467" s="183"/>
      <c r="J467" s="183"/>
    </row>
    <row r="468" ht="22.5" customHeight="1">
      <c r="A468" s="184">
        <v>45951.0</v>
      </c>
      <c r="B468" s="185" t="s">
        <v>103</v>
      </c>
      <c r="C468" s="191">
        <v>58100.0</v>
      </c>
      <c r="D468" s="187">
        <v>16.7</v>
      </c>
      <c r="E468" s="185" t="s">
        <v>35</v>
      </c>
      <c r="F468" s="188" t="s">
        <v>1071</v>
      </c>
      <c r="G468" s="185" t="s">
        <v>1072</v>
      </c>
      <c r="H468" s="190"/>
      <c r="I468" s="183"/>
      <c r="J468" s="183"/>
    </row>
    <row r="469" ht="22.5" customHeight="1">
      <c r="A469" s="184">
        <v>45951.0</v>
      </c>
      <c r="B469" s="185" t="s">
        <v>103</v>
      </c>
      <c r="C469" s="191">
        <v>57780.0</v>
      </c>
      <c r="D469" s="187">
        <v>16.2</v>
      </c>
      <c r="E469" s="185" t="s">
        <v>35</v>
      </c>
      <c r="F469" s="188" t="s">
        <v>1073</v>
      </c>
      <c r="G469" s="185" t="s">
        <v>1074</v>
      </c>
      <c r="H469" s="190"/>
      <c r="I469" s="183"/>
      <c r="J469" s="183"/>
    </row>
    <row r="470" ht="22.5" customHeight="1">
      <c r="A470" s="184">
        <v>45951.0</v>
      </c>
      <c r="B470" s="185" t="s">
        <v>103</v>
      </c>
      <c r="C470" s="191">
        <v>57480.0</v>
      </c>
      <c r="D470" s="187">
        <v>16.3</v>
      </c>
      <c r="E470" s="185" t="s">
        <v>35</v>
      </c>
      <c r="F470" s="188" t="s">
        <v>1075</v>
      </c>
      <c r="G470" s="185" t="s">
        <v>1076</v>
      </c>
      <c r="H470" s="190"/>
      <c r="I470" s="183"/>
      <c r="J470" s="183"/>
    </row>
    <row r="471" ht="22.5" customHeight="1">
      <c r="A471" s="184">
        <v>45951.0</v>
      </c>
      <c r="B471" s="185" t="s">
        <v>103</v>
      </c>
      <c r="C471" s="186">
        <v>57700.0</v>
      </c>
      <c r="D471" s="187">
        <v>16.4</v>
      </c>
      <c r="E471" s="185" t="s">
        <v>35</v>
      </c>
      <c r="F471" s="188" t="s">
        <v>1077</v>
      </c>
      <c r="G471" s="185" t="s">
        <v>1078</v>
      </c>
      <c r="H471" s="190"/>
      <c r="I471" s="183"/>
      <c r="J471" s="183"/>
    </row>
    <row r="472" ht="22.5" customHeight="1">
      <c r="A472" s="184">
        <v>45951.0</v>
      </c>
      <c r="B472" s="185" t="s">
        <v>103</v>
      </c>
      <c r="C472" s="186">
        <v>59540.0</v>
      </c>
      <c r="D472" s="187">
        <v>16.1</v>
      </c>
      <c r="E472" s="185" t="s">
        <v>35</v>
      </c>
      <c r="F472" s="188" t="s">
        <v>1079</v>
      </c>
      <c r="G472" s="185" t="s">
        <v>1080</v>
      </c>
      <c r="H472" s="190"/>
      <c r="I472" s="183"/>
      <c r="J472" s="183"/>
    </row>
    <row r="473" ht="22.5" customHeight="1">
      <c r="A473" s="184">
        <v>45951.0</v>
      </c>
      <c r="B473" s="185" t="s">
        <v>103</v>
      </c>
      <c r="C473" s="191">
        <v>57360.0</v>
      </c>
      <c r="D473" s="187">
        <v>15.8</v>
      </c>
      <c r="E473" s="185" t="s">
        <v>35</v>
      </c>
      <c r="F473" s="188" t="s">
        <v>1081</v>
      </c>
      <c r="G473" s="185" t="s">
        <v>1082</v>
      </c>
      <c r="H473" s="190"/>
      <c r="I473" s="183"/>
      <c r="J473" s="183"/>
    </row>
    <row r="474" ht="22.5" customHeight="1">
      <c r="A474" s="184">
        <v>45922.0</v>
      </c>
      <c r="B474" s="185" t="s">
        <v>105</v>
      </c>
      <c r="C474" s="186">
        <v>53840.0</v>
      </c>
      <c r="D474" s="187">
        <v>13.3</v>
      </c>
      <c r="E474" s="185" t="s">
        <v>104</v>
      </c>
      <c r="F474" s="188" t="s">
        <v>1083</v>
      </c>
      <c r="G474" s="185" t="s">
        <v>1084</v>
      </c>
      <c r="H474" s="182">
        <v>0.2</v>
      </c>
      <c r="I474" s="183"/>
      <c r="J474" s="183"/>
    </row>
    <row r="475" ht="22.5" customHeight="1">
      <c r="A475" s="184">
        <v>45922.0</v>
      </c>
      <c r="B475" s="185" t="s">
        <v>105</v>
      </c>
      <c r="C475" s="186">
        <v>55760.0</v>
      </c>
      <c r="D475" s="187">
        <v>13.5</v>
      </c>
      <c r="E475" s="185" t="s">
        <v>104</v>
      </c>
      <c r="F475" s="188" t="s">
        <v>1085</v>
      </c>
      <c r="G475" s="185" t="s">
        <v>1086</v>
      </c>
      <c r="H475" s="182">
        <v>0.5</v>
      </c>
      <c r="I475" s="183"/>
      <c r="J475" s="183"/>
    </row>
    <row r="476" ht="22.5" customHeight="1">
      <c r="A476" s="184">
        <v>45922.0</v>
      </c>
      <c r="B476" s="185" t="s">
        <v>105</v>
      </c>
      <c r="C476" s="186">
        <v>54580.0</v>
      </c>
      <c r="D476" s="187">
        <v>12.9</v>
      </c>
      <c r="E476" s="185" t="s">
        <v>104</v>
      </c>
      <c r="F476" s="188" t="s">
        <v>1087</v>
      </c>
      <c r="G476" s="185" t="s">
        <v>1088</v>
      </c>
      <c r="H476" s="182">
        <v>0.2</v>
      </c>
      <c r="I476" s="183"/>
      <c r="J476" s="183"/>
    </row>
    <row r="477" ht="22.5" customHeight="1">
      <c r="A477" s="184">
        <v>45925.0</v>
      </c>
      <c r="B477" s="185" t="s">
        <v>105</v>
      </c>
      <c r="C477" s="186">
        <v>55760.0</v>
      </c>
      <c r="D477" s="187">
        <v>12.5</v>
      </c>
      <c r="E477" s="185" t="s">
        <v>104</v>
      </c>
      <c r="F477" s="188" t="s">
        <v>1089</v>
      </c>
      <c r="G477" s="185" t="s">
        <v>1090</v>
      </c>
      <c r="H477" s="182">
        <v>0.4</v>
      </c>
      <c r="I477" s="183"/>
      <c r="J477" s="183"/>
    </row>
    <row r="478" ht="22.5" customHeight="1">
      <c r="A478" s="184">
        <v>45925.0</v>
      </c>
      <c r="B478" s="185" t="s">
        <v>105</v>
      </c>
      <c r="C478" s="186">
        <v>57140.0</v>
      </c>
      <c r="D478" s="187">
        <v>12.8</v>
      </c>
      <c r="E478" s="185" t="s">
        <v>104</v>
      </c>
      <c r="F478" s="188" t="s">
        <v>1091</v>
      </c>
      <c r="G478" s="185" t="s">
        <v>1092</v>
      </c>
      <c r="H478" s="182">
        <v>0.1</v>
      </c>
      <c r="I478" s="183"/>
      <c r="J478" s="183"/>
    </row>
    <row r="479" ht="22.5" customHeight="1">
      <c r="A479" s="184">
        <v>45926.0</v>
      </c>
      <c r="B479" s="185" t="s">
        <v>105</v>
      </c>
      <c r="C479" s="191">
        <v>56900.0</v>
      </c>
      <c r="D479" s="187">
        <v>12.3</v>
      </c>
      <c r="E479" s="185" t="s">
        <v>104</v>
      </c>
      <c r="F479" s="188" t="s">
        <v>1093</v>
      </c>
      <c r="G479" s="185" t="s">
        <v>1094</v>
      </c>
      <c r="H479" s="182">
        <v>0.4</v>
      </c>
      <c r="I479" s="183"/>
      <c r="J479" s="183"/>
    </row>
    <row r="480" ht="22.5" customHeight="1">
      <c r="A480" s="184">
        <v>45926.0</v>
      </c>
      <c r="B480" s="185" t="s">
        <v>105</v>
      </c>
      <c r="C480" s="186">
        <v>52780.0</v>
      </c>
      <c r="D480" s="187">
        <v>11.9</v>
      </c>
      <c r="E480" s="185" t="s">
        <v>104</v>
      </c>
      <c r="F480" s="188" t="s">
        <v>1095</v>
      </c>
      <c r="G480" s="185" t="s">
        <v>1096</v>
      </c>
      <c r="H480" s="182">
        <v>0.4</v>
      </c>
      <c r="I480" s="183"/>
      <c r="J480" s="183"/>
    </row>
    <row r="481" ht="22.5" customHeight="1">
      <c r="A481" s="184">
        <v>46291.0</v>
      </c>
      <c r="B481" s="185" t="s">
        <v>105</v>
      </c>
      <c r="C481" s="186">
        <v>12412.0</v>
      </c>
      <c r="D481" s="187">
        <v>11.0</v>
      </c>
      <c r="E481" s="185" t="s">
        <v>104</v>
      </c>
      <c r="F481" s="188" t="s">
        <v>222</v>
      </c>
      <c r="G481" s="185" t="s">
        <v>1097</v>
      </c>
      <c r="H481" s="182">
        <v>0.3</v>
      </c>
      <c r="I481" s="183"/>
      <c r="J481" s="183"/>
    </row>
    <row r="482" ht="22.5" customHeight="1">
      <c r="A482" s="184">
        <v>45926.0</v>
      </c>
      <c r="B482" s="185" t="s">
        <v>106</v>
      </c>
      <c r="C482" s="186">
        <v>44008.0</v>
      </c>
      <c r="D482" s="187">
        <v>11.0</v>
      </c>
      <c r="E482" s="185" t="s">
        <v>35</v>
      </c>
      <c r="F482" s="188" t="s">
        <v>1098</v>
      </c>
      <c r="G482" s="185" t="s">
        <v>1099</v>
      </c>
      <c r="H482" s="182">
        <v>0.3</v>
      </c>
      <c r="I482" s="183"/>
      <c r="J482" s="183"/>
    </row>
    <row r="483" ht="22.5" customHeight="1">
      <c r="A483" s="184">
        <v>45927.0</v>
      </c>
      <c r="B483" s="185" t="s">
        <v>106</v>
      </c>
      <c r="C483" s="191">
        <v>50200.0</v>
      </c>
      <c r="D483" s="187">
        <v>10.9</v>
      </c>
      <c r="E483" s="185" t="s">
        <v>35</v>
      </c>
      <c r="F483" s="188" t="s">
        <v>1100</v>
      </c>
      <c r="G483" s="185" t="s">
        <v>1101</v>
      </c>
      <c r="H483" s="182">
        <v>0.3</v>
      </c>
      <c r="I483" s="183"/>
      <c r="J483" s="183"/>
    </row>
    <row r="484" ht="22.5" customHeight="1">
      <c r="A484" s="184">
        <v>45927.0</v>
      </c>
      <c r="B484" s="185" t="s">
        <v>106</v>
      </c>
      <c r="C484" s="186">
        <v>55240.0</v>
      </c>
      <c r="D484" s="187">
        <v>10.9</v>
      </c>
      <c r="E484" s="185" t="s">
        <v>35</v>
      </c>
      <c r="F484" s="188" t="s">
        <v>1102</v>
      </c>
      <c r="G484" s="185" t="s">
        <v>1103</v>
      </c>
      <c r="H484" s="182">
        <v>0.6</v>
      </c>
      <c r="I484" s="183"/>
      <c r="J484" s="183"/>
    </row>
    <row r="485" ht="22.5" customHeight="1">
      <c r="A485" s="184">
        <v>45860.0</v>
      </c>
      <c r="B485" s="185" t="s">
        <v>108</v>
      </c>
      <c r="C485" s="191">
        <v>52140.0</v>
      </c>
      <c r="D485" s="182">
        <v>16.7</v>
      </c>
      <c r="E485" s="185" t="s">
        <v>107</v>
      </c>
      <c r="F485" s="185">
        <v>547578.0</v>
      </c>
      <c r="G485" s="185" t="s">
        <v>1104</v>
      </c>
      <c r="H485" s="190"/>
      <c r="I485" s="183"/>
      <c r="J485" s="183"/>
    </row>
    <row r="486" ht="22.5" customHeight="1">
      <c r="A486" s="184">
        <v>45922.0</v>
      </c>
      <c r="B486" s="185" t="s">
        <v>108</v>
      </c>
      <c r="C486" s="186">
        <v>58680.0</v>
      </c>
      <c r="D486" s="187"/>
      <c r="E486" s="185" t="s">
        <v>107</v>
      </c>
      <c r="F486" s="188" t="s">
        <v>1105</v>
      </c>
      <c r="G486" s="185" t="s">
        <v>1106</v>
      </c>
      <c r="H486" s="182">
        <v>0.23</v>
      </c>
      <c r="I486" s="183"/>
      <c r="J486" s="183"/>
    </row>
    <row r="487" ht="22.5" customHeight="1">
      <c r="A487" s="184">
        <v>45881.0</v>
      </c>
      <c r="B487" s="185" t="s">
        <v>108</v>
      </c>
      <c r="C487" s="186">
        <v>55660.0</v>
      </c>
      <c r="D487" s="187">
        <v>13.4</v>
      </c>
      <c r="E487" s="185" t="s">
        <v>107</v>
      </c>
      <c r="F487" s="188" t="s">
        <v>1107</v>
      </c>
      <c r="G487" s="185" t="s">
        <v>1108</v>
      </c>
      <c r="H487" s="190"/>
      <c r="I487" s="183"/>
      <c r="J487" s="183"/>
    </row>
    <row r="488" ht="22.5" customHeight="1">
      <c r="A488" s="184">
        <v>45882.0</v>
      </c>
      <c r="B488" s="185" t="s">
        <v>108</v>
      </c>
      <c r="C488" s="186">
        <v>55120.0</v>
      </c>
      <c r="D488" s="187">
        <v>13.2</v>
      </c>
      <c r="E488" s="185" t="s">
        <v>107</v>
      </c>
      <c r="F488" s="188" t="s">
        <v>1109</v>
      </c>
      <c r="G488" s="185" t="s">
        <v>1110</v>
      </c>
      <c r="H488" s="182">
        <v>0.1</v>
      </c>
      <c r="I488" s="183"/>
      <c r="J488" s="183"/>
    </row>
    <row r="489" ht="22.5" customHeight="1">
      <c r="A489" s="184">
        <v>45883.0</v>
      </c>
      <c r="B489" s="185" t="s">
        <v>108</v>
      </c>
      <c r="C489" s="186">
        <v>55720.0</v>
      </c>
      <c r="D489" s="187">
        <v>13.7</v>
      </c>
      <c r="E489" s="185" t="s">
        <v>107</v>
      </c>
      <c r="F489" s="188" t="s">
        <v>1111</v>
      </c>
      <c r="G489" s="185" t="s">
        <v>1112</v>
      </c>
      <c r="H489" s="190"/>
      <c r="I489" s="183"/>
      <c r="J489" s="183"/>
    </row>
    <row r="490" ht="22.5" customHeight="1">
      <c r="A490" s="184">
        <v>45917.0</v>
      </c>
      <c r="B490" s="185" t="s">
        <v>108</v>
      </c>
      <c r="C490" s="186">
        <v>3180.0</v>
      </c>
      <c r="D490" s="187">
        <v>14.2</v>
      </c>
      <c r="E490" s="185" t="s">
        <v>107</v>
      </c>
      <c r="F490" s="188" t="s">
        <v>1113</v>
      </c>
      <c r="G490" s="185" t="s">
        <v>1114</v>
      </c>
      <c r="H490" s="190"/>
      <c r="I490" s="183"/>
      <c r="J490" s="183"/>
    </row>
    <row r="491" ht="22.5" customHeight="1">
      <c r="A491" s="184">
        <v>45888.0</v>
      </c>
      <c r="B491" s="185" t="s">
        <v>108</v>
      </c>
      <c r="C491" s="186">
        <v>55840.0</v>
      </c>
      <c r="D491" s="187">
        <v>9.27</v>
      </c>
      <c r="E491" s="185" t="s">
        <v>107</v>
      </c>
      <c r="F491" s="188" t="s">
        <v>1115</v>
      </c>
      <c r="G491" s="185" t="s">
        <v>1116</v>
      </c>
      <c r="H491" s="190"/>
      <c r="I491" s="183"/>
      <c r="J491" s="183"/>
    </row>
    <row r="492" ht="22.5" customHeight="1">
      <c r="A492" s="184">
        <v>45890.0</v>
      </c>
      <c r="B492" s="185" t="s">
        <v>108</v>
      </c>
      <c r="C492" s="186">
        <v>30380.0</v>
      </c>
      <c r="D492" s="187">
        <v>13.8</v>
      </c>
      <c r="E492" s="185" t="s">
        <v>107</v>
      </c>
      <c r="F492" s="188" t="s">
        <v>1117</v>
      </c>
      <c r="G492" s="185" t="s">
        <v>1118</v>
      </c>
      <c r="H492" s="190"/>
      <c r="I492" s="183"/>
      <c r="J492" s="183"/>
    </row>
    <row r="493" ht="22.5" customHeight="1">
      <c r="A493" s="184">
        <v>45868.0</v>
      </c>
      <c r="B493" s="185" t="s">
        <v>108</v>
      </c>
      <c r="C493" s="186">
        <v>56380.0</v>
      </c>
      <c r="D493" s="187">
        <v>14.4</v>
      </c>
      <c r="E493" s="185" t="s">
        <v>107</v>
      </c>
      <c r="F493" s="188" t="s">
        <v>1119</v>
      </c>
      <c r="G493" s="185" t="s">
        <v>1120</v>
      </c>
      <c r="H493" s="182">
        <v>0.0</v>
      </c>
      <c r="I493" s="183"/>
      <c r="J493" s="183"/>
    </row>
    <row r="494" ht="22.5" customHeight="1">
      <c r="A494" s="184">
        <v>45869.0</v>
      </c>
      <c r="B494" s="185" t="s">
        <v>108</v>
      </c>
      <c r="C494" s="186">
        <v>50740.0</v>
      </c>
      <c r="D494" s="187">
        <v>16.4</v>
      </c>
      <c r="E494" s="185" t="s">
        <v>107</v>
      </c>
      <c r="F494" s="188" t="s">
        <v>1121</v>
      </c>
      <c r="G494" s="185" t="s">
        <v>1122</v>
      </c>
      <c r="H494" s="190"/>
      <c r="I494" s="183"/>
      <c r="J494" s="183"/>
    </row>
    <row r="495" ht="22.5" customHeight="1">
      <c r="A495" s="184">
        <v>45856.0</v>
      </c>
      <c r="B495" s="185" t="s">
        <v>108</v>
      </c>
      <c r="C495" s="186">
        <v>56060.0</v>
      </c>
      <c r="D495" s="187">
        <v>15.7</v>
      </c>
      <c r="E495" s="185" t="s">
        <v>107</v>
      </c>
      <c r="F495" s="188" t="s">
        <v>1123</v>
      </c>
      <c r="G495" s="185" t="s">
        <v>1124</v>
      </c>
      <c r="H495" s="182">
        <v>0.02</v>
      </c>
      <c r="I495" s="183"/>
      <c r="J495" s="183"/>
    </row>
    <row r="496" ht="22.5" customHeight="1">
      <c r="A496" s="184">
        <v>45856.0</v>
      </c>
      <c r="B496" s="185" t="s">
        <v>108</v>
      </c>
      <c r="C496" s="186">
        <v>53720.0</v>
      </c>
      <c r="D496" s="187">
        <v>14.9</v>
      </c>
      <c r="E496" s="185" t="s">
        <v>107</v>
      </c>
      <c r="F496" s="188" t="s">
        <v>1125</v>
      </c>
      <c r="G496" s="185" t="s">
        <v>1126</v>
      </c>
      <c r="H496" s="182">
        <v>0.0</v>
      </c>
      <c r="I496" s="183"/>
      <c r="J496" s="183"/>
    </row>
    <row r="497" ht="22.5" customHeight="1">
      <c r="A497" s="184">
        <v>45859.0</v>
      </c>
      <c r="B497" s="185" t="s">
        <v>108</v>
      </c>
      <c r="C497" s="191">
        <v>54520.0</v>
      </c>
      <c r="D497" s="187">
        <v>14.7</v>
      </c>
      <c r="E497" s="185" t="s">
        <v>107</v>
      </c>
      <c r="F497" s="188" t="s">
        <v>1127</v>
      </c>
      <c r="G497" s="185" t="s">
        <v>1128</v>
      </c>
      <c r="H497" s="182">
        <v>0.0</v>
      </c>
      <c r="I497" s="183"/>
      <c r="J497" s="183"/>
    </row>
    <row r="498" ht="22.5" customHeight="1">
      <c r="A498" s="184">
        <v>45859.0</v>
      </c>
      <c r="B498" s="185" t="s">
        <v>108</v>
      </c>
      <c r="C498" s="186">
        <v>53400.0</v>
      </c>
      <c r="D498" s="187">
        <v>16.3</v>
      </c>
      <c r="E498" s="185" t="s">
        <v>107</v>
      </c>
      <c r="F498" s="188" t="s">
        <v>1129</v>
      </c>
      <c r="G498" s="185" t="s">
        <v>1130</v>
      </c>
      <c r="I498" s="183"/>
      <c r="J498" s="183"/>
    </row>
    <row r="499" ht="22.5" customHeight="1">
      <c r="A499" s="184">
        <v>45860.0</v>
      </c>
      <c r="B499" s="185" t="s">
        <v>108</v>
      </c>
      <c r="C499" s="186">
        <v>54420.0</v>
      </c>
      <c r="D499" s="187">
        <v>16.6</v>
      </c>
      <c r="E499" s="185" t="s">
        <v>107</v>
      </c>
      <c r="F499" s="188" t="s">
        <v>1131</v>
      </c>
      <c r="G499" s="185" t="s">
        <v>1132</v>
      </c>
      <c r="H499" s="190"/>
      <c r="I499" s="183"/>
      <c r="J499" s="183"/>
    </row>
    <row r="500" ht="22.5" customHeight="1">
      <c r="A500" s="184">
        <v>45860.0</v>
      </c>
      <c r="B500" s="185" t="s">
        <v>108</v>
      </c>
      <c r="C500" s="186">
        <v>55900.0</v>
      </c>
      <c r="D500" s="187">
        <v>16.3</v>
      </c>
      <c r="E500" s="185" t="s">
        <v>107</v>
      </c>
      <c r="F500" s="188" t="s">
        <v>1133</v>
      </c>
      <c r="G500" s="185" t="s">
        <v>1134</v>
      </c>
      <c r="H500" s="182">
        <v>0.0</v>
      </c>
      <c r="I500" s="183"/>
      <c r="J500" s="183"/>
    </row>
    <row r="501" ht="22.5" customHeight="1">
      <c r="A501" s="184">
        <v>45950.0</v>
      </c>
      <c r="B501" s="185" t="s">
        <v>110</v>
      </c>
      <c r="C501" s="186">
        <v>56500.0</v>
      </c>
      <c r="D501" s="187">
        <v>19.6</v>
      </c>
      <c r="E501" s="185" t="s">
        <v>35</v>
      </c>
      <c r="F501" s="188" t="s">
        <v>1135</v>
      </c>
      <c r="G501" s="185" t="s">
        <v>1136</v>
      </c>
      <c r="H501" s="190"/>
      <c r="I501" s="183"/>
      <c r="J501" s="183"/>
    </row>
    <row r="502" ht="22.5" customHeight="1">
      <c r="A502" s="184">
        <v>45950.0</v>
      </c>
      <c r="B502" s="185" t="s">
        <v>110</v>
      </c>
      <c r="C502" s="186">
        <v>41580.0</v>
      </c>
      <c r="D502" s="187">
        <v>19.9</v>
      </c>
      <c r="E502" s="185" t="s">
        <v>35</v>
      </c>
      <c r="F502" s="188" t="s">
        <v>1137</v>
      </c>
      <c r="G502" s="185" t="s">
        <v>1138</v>
      </c>
      <c r="H502" s="190"/>
      <c r="I502" s="183"/>
      <c r="J502" s="183"/>
    </row>
    <row r="503" ht="22.5" customHeight="1">
      <c r="A503" s="184">
        <v>45939.0</v>
      </c>
      <c r="B503" s="185" t="s">
        <v>112</v>
      </c>
      <c r="C503" s="186">
        <v>25802.0</v>
      </c>
      <c r="D503" s="187">
        <v>15.3</v>
      </c>
      <c r="E503" s="185" t="s">
        <v>35</v>
      </c>
      <c r="F503" s="188" t="s">
        <v>985</v>
      </c>
      <c r="G503" s="185" t="s">
        <v>1139</v>
      </c>
      <c r="H503" s="190"/>
      <c r="I503" s="183"/>
      <c r="J503" s="183"/>
    </row>
    <row r="504" ht="22.5" customHeight="1">
      <c r="A504" s="184">
        <v>45939.0</v>
      </c>
      <c r="B504" s="185" t="s">
        <v>112</v>
      </c>
      <c r="C504" s="186">
        <v>56580.0</v>
      </c>
      <c r="D504" s="187">
        <v>15.5</v>
      </c>
      <c r="E504" s="185" t="s">
        <v>35</v>
      </c>
      <c r="F504" s="188" t="s">
        <v>1140</v>
      </c>
      <c r="G504" s="185" t="s">
        <v>1141</v>
      </c>
      <c r="H504" s="190"/>
      <c r="I504" s="183"/>
      <c r="J504" s="183"/>
    </row>
    <row r="505" ht="22.5" customHeight="1">
      <c r="A505" s="184">
        <v>45939.0</v>
      </c>
      <c r="B505" s="185" t="s">
        <v>112</v>
      </c>
      <c r="C505" s="186">
        <v>56000.0</v>
      </c>
      <c r="D505" s="187">
        <v>15.8</v>
      </c>
      <c r="E505" s="185" t="s">
        <v>35</v>
      </c>
      <c r="F505" s="188" t="s">
        <v>1142</v>
      </c>
      <c r="G505" s="185" t="s">
        <v>1143</v>
      </c>
      <c r="H505" s="190"/>
      <c r="I505" s="183"/>
      <c r="J505" s="183"/>
    </row>
    <row r="506" ht="22.5" customHeight="1">
      <c r="A506" s="184">
        <v>45939.0</v>
      </c>
      <c r="B506" s="185" t="s">
        <v>112</v>
      </c>
      <c r="C506" s="186">
        <v>57700.0</v>
      </c>
      <c r="D506" s="187">
        <v>15.3</v>
      </c>
      <c r="E506" s="185" t="s">
        <v>35</v>
      </c>
      <c r="F506" s="188" t="s">
        <v>1144</v>
      </c>
      <c r="G506" s="185" t="s">
        <v>1145</v>
      </c>
      <c r="H506" s="190"/>
      <c r="I506" s="183"/>
      <c r="J506" s="183"/>
    </row>
    <row r="507" ht="22.5" customHeight="1">
      <c r="A507" s="184">
        <v>45939.0</v>
      </c>
      <c r="B507" s="185" t="s">
        <v>112</v>
      </c>
      <c r="C507" s="186">
        <v>57560.0</v>
      </c>
      <c r="D507" s="187">
        <v>15.4</v>
      </c>
      <c r="E507" s="185" t="s">
        <v>35</v>
      </c>
      <c r="F507" s="188" t="s">
        <v>1146</v>
      </c>
      <c r="G507" s="185" t="s">
        <v>1147</v>
      </c>
      <c r="H507" s="190"/>
      <c r="I507" s="183"/>
      <c r="J507" s="183"/>
    </row>
    <row r="508" ht="22.5" customHeight="1">
      <c r="A508" s="184">
        <v>45939.0</v>
      </c>
      <c r="B508" s="185" t="s">
        <v>112</v>
      </c>
      <c r="C508" s="186">
        <v>58240.0</v>
      </c>
      <c r="D508" s="187">
        <v>16.3</v>
      </c>
      <c r="E508" s="185" t="s">
        <v>35</v>
      </c>
      <c r="F508" s="188" t="s">
        <v>1148</v>
      </c>
      <c r="G508" s="185" t="s">
        <v>1149</v>
      </c>
      <c r="H508" s="190"/>
      <c r="I508" s="183"/>
      <c r="J508" s="183"/>
    </row>
    <row r="509" ht="22.5" customHeight="1">
      <c r="A509" s="184">
        <v>45939.0</v>
      </c>
      <c r="B509" s="185" t="s">
        <v>112</v>
      </c>
      <c r="C509" s="186">
        <v>57440.0</v>
      </c>
      <c r="D509" s="187">
        <v>16.3</v>
      </c>
      <c r="E509" s="185" t="s">
        <v>35</v>
      </c>
      <c r="F509" s="188" t="s">
        <v>1150</v>
      </c>
      <c r="G509" s="185" t="s">
        <v>1151</v>
      </c>
      <c r="H509" s="190"/>
      <c r="I509" s="183"/>
      <c r="J509" s="183"/>
    </row>
    <row r="510" ht="22.5" customHeight="1">
      <c r="A510" s="184">
        <v>45939.0</v>
      </c>
      <c r="B510" s="185" t="s">
        <v>112</v>
      </c>
      <c r="C510" s="186">
        <v>58060.0</v>
      </c>
      <c r="D510" s="187">
        <v>16.3</v>
      </c>
      <c r="E510" s="185" t="s">
        <v>35</v>
      </c>
      <c r="F510" s="188" t="s">
        <v>1152</v>
      </c>
      <c r="G510" s="185" t="s">
        <v>1153</v>
      </c>
      <c r="H510" s="190"/>
      <c r="I510" s="183"/>
      <c r="J510" s="183"/>
    </row>
    <row r="511" ht="22.5" customHeight="1">
      <c r="A511" s="184">
        <v>45939.0</v>
      </c>
      <c r="B511" s="185" t="s">
        <v>112</v>
      </c>
      <c r="C511" s="186">
        <v>57660.0</v>
      </c>
      <c r="D511" s="187">
        <v>15.9</v>
      </c>
      <c r="E511" s="185" t="s">
        <v>35</v>
      </c>
      <c r="F511" s="188" t="s">
        <v>1154</v>
      </c>
      <c r="G511" s="185" t="s">
        <v>1155</v>
      </c>
      <c r="H511" s="190"/>
      <c r="I511" s="183"/>
      <c r="J511" s="183"/>
    </row>
    <row r="512" ht="22.5" customHeight="1">
      <c r="A512" s="184">
        <v>45939.0</v>
      </c>
      <c r="B512" s="185" t="s">
        <v>112</v>
      </c>
      <c r="C512" s="186">
        <v>57520.0</v>
      </c>
      <c r="D512" s="187">
        <v>16.4</v>
      </c>
      <c r="E512" s="185" t="s">
        <v>35</v>
      </c>
      <c r="F512" s="188" t="s">
        <v>1156</v>
      </c>
      <c r="G512" s="185" t="s">
        <v>1157</v>
      </c>
      <c r="H512" s="190"/>
      <c r="I512" s="183"/>
      <c r="J512" s="183"/>
    </row>
    <row r="513" ht="22.5" customHeight="1">
      <c r="A513" s="184">
        <v>45939.0</v>
      </c>
      <c r="B513" s="185" t="s">
        <v>112</v>
      </c>
      <c r="C513" s="186">
        <v>57460.0</v>
      </c>
      <c r="D513" s="187">
        <v>17.4</v>
      </c>
      <c r="E513" s="185" t="s">
        <v>35</v>
      </c>
      <c r="F513" s="188" t="s">
        <v>1158</v>
      </c>
      <c r="G513" s="185" t="s">
        <v>1159</v>
      </c>
      <c r="H513" s="190"/>
      <c r="I513" s="183"/>
      <c r="J513" s="183"/>
    </row>
    <row r="514" ht="22.5" customHeight="1">
      <c r="A514" s="184">
        <v>45939.0</v>
      </c>
      <c r="B514" s="185" t="s">
        <v>112</v>
      </c>
      <c r="C514" s="186">
        <v>57900.0</v>
      </c>
      <c r="D514" s="187">
        <v>17.0</v>
      </c>
      <c r="E514" s="185" t="s">
        <v>35</v>
      </c>
      <c r="F514" s="188" t="s">
        <v>1160</v>
      </c>
      <c r="G514" s="185" t="s">
        <v>1161</v>
      </c>
      <c r="H514" s="190"/>
      <c r="I514" s="183"/>
      <c r="J514" s="183"/>
    </row>
    <row r="515" ht="22.5" customHeight="1">
      <c r="A515" s="184">
        <v>45939.0</v>
      </c>
      <c r="B515" s="185" t="s">
        <v>112</v>
      </c>
      <c r="C515" s="186">
        <v>57700.0</v>
      </c>
      <c r="D515" s="187">
        <v>17.0</v>
      </c>
      <c r="E515" s="185" t="s">
        <v>35</v>
      </c>
      <c r="F515" s="188" t="s">
        <v>1162</v>
      </c>
      <c r="G515" s="185" t="s">
        <v>1163</v>
      </c>
      <c r="H515" s="190"/>
      <c r="I515" s="183"/>
      <c r="J515" s="183"/>
    </row>
    <row r="516" ht="22.5" customHeight="1">
      <c r="A516" s="184">
        <v>45939.0</v>
      </c>
      <c r="B516" s="185" t="s">
        <v>112</v>
      </c>
      <c r="C516" s="186">
        <v>58060.0</v>
      </c>
      <c r="D516" s="187">
        <v>16.9</v>
      </c>
      <c r="E516" s="185" t="s">
        <v>35</v>
      </c>
      <c r="F516" s="188" t="s">
        <v>1164</v>
      </c>
      <c r="G516" s="185" t="s">
        <v>1165</v>
      </c>
      <c r="H516" s="190"/>
      <c r="I516" s="183"/>
      <c r="J516" s="183"/>
    </row>
    <row r="517" ht="22.5" customHeight="1">
      <c r="A517" s="184">
        <v>45939.0</v>
      </c>
      <c r="B517" s="185" t="s">
        <v>112</v>
      </c>
      <c r="C517" s="186">
        <v>55380.0</v>
      </c>
      <c r="D517" s="187">
        <v>16.7</v>
      </c>
      <c r="E517" s="185" t="s">
        <v>35</v>
      </c>
      <c r="F517" s="188" t="s">
        <v>1166</v>
      </c>
      <c r="G517" s="185" t="s">
        <v>1167</v>
      </c>
      <c r="H517" s="190"/>
      <c r="I517" s="183"/>
      <c r="J517" s="183"/>
    </row>
    <row r="518" ht="22.5" customHeight="1">
      <c r="A518" s="184">
        <v>45940.0</v>
      </c>
      <c r="B518" s="185" t="s">
        <v>112</v>
      </c>
      <c r="C518" s="186">
        <v>56480.0</v>
      </c>
      <c r="D518" s="187">
        <v>17.3</v>
      </c>
      <c r="E518" s="185" t="s">
        <v>35</v>
      </c>
      <c r="F518" s="188" t="s">
        <v>1168</v>
      </c>
      <c r="G518" s="185" t="s">
        <v>1169</v>
      </c>
      <c r="H518" s="190"/>
      <c r="I518" s="183"/>
      <c r="J518" s="183"/>
    </row>
    <row r="519" ht="22.5" customHeight="1">
      <c r="A519" s="184">
        <v>45863.0</v>
      </c>
      <c r="B519" s="185" t="s">
        <v>119</v>
      </c>
      <c r="C519" s="186">
        <v>1692800.0</v>
      </c>
      <c r="D519" s="187"/>
      <c r="E519" s="185" t="s">
        <v>118</v>
      </c>
      <c r="F519" s="188" t="s">
        <v>1170</v>
      </c>
      <c r="G519" s="185" t="s">
        <v>259</v>
      </c>
      <c r="H519" s="190"/>
      <c r="I519" s="183"/>
      <c r="J519" s="183"/>
    </row>
    <row r="520" ht="22.5" customHeight="1">
      <c r="A520" s="192">
        <v>45951.0</v>
      </c>
      <c r="B520" s="185" t="s">
        <v>121</v>
      </c>
      <c r="C520" s="186">
        <v>58380.0</v>
      </c>
      <c r="D520" s="193">
        <v>17.4</v>
      </c>
      <c r="E520" s="185" t="s">
        <v>35</v>
      </c>
      <c r="F520" s="203" t="s">
        <v>1171</v>
      </c>
      <c r="G520" s="185" t="s">
        <v>1172</v>
      </c>
      <c r="H520" s="204"/>
      <c r="I520" s="183"/>
      <c r="J520" s="183"/>
    </row>
    <row r="521" ht="22.5" customHeight="1">
      <c r="A521" s="184">
        <v>45951.0</v>
      </c>
      <c r="B521" s="185" t="s">
        <v>121</v>
      </c>
      <c r="C521" s="186">
        <v>57900.0</v>
      </c>
      <c r="D521" s="187">
        <v>17.7</v>
      </c>
      <c r="E521" s="185" t="s">
        <v>35</v>
      </c>
      <c r="F521" s="188" t="s">
        <v>1173</v>
      </c>
      <c r="G521" s="185" t="s">
        <v>1174</v>
      </c>
      <c r="H521" s="190"/>
      <c r="I521" s="183"/>
      <c r="J521" s="183"/>
    </row>
    <row r="522" ht="22.5" customHeight="1">
      <c r="A522" s="184">
        <v>45951.0</v>
      </c>
      <c r="B522" s="185" t="s">
        <v>121</v>
      </c>
      <c r="C522" s="191">
        <v>57580.0</v>
      </c>
      <c r="D522" s="187">
        <v>17.3</v>
      </c>
      <c r="E522" s="185" t="s">
        <v>35</v>
      </c>
      <c r="F522" s="188" t="s">
        <v>1175</v>
      </c>
      <c r="G522" s="185" t="s">
        <v>1176</v>
      </c>
      <c r="H522" s="190"/>
      <c r="I522" s="183"/>
      <c r="J522" s="183"/>
    </row>
    <row r="523" ht="22.5" customHeight="1">
      <c r="A523" s="184">
        <v>45951.0</v>
      </c>
      <c r="B523" s="185" t="s">
        <v>121</v>
      </c>
      <c r="C523" s="186">
        <v>58100.0</v>
      </c>
      <c r="D523" s="187">
        <v>17.5</v>
      </c>
      <c r="E523" s="185" t="s">
        <v>35</v>
      </c>
      <c r="F523" s="188" t="s">
        <v>1177</v>
      </c>
      <c r="G523" s="185" t="s">
        <v>1178</v>
      </c>
      <c r="H523" s="190"/>
      <c r="I523" s="183"/>
      <c r="J523" s="183"/>
    </row>
    <row r="524" ht="22.5" customHeight="1">
      <c r="A524" s="184">
        <v>45951.0</v>
      </c>
      <c r="B524" s="185" t="s">
        <v>121</v>
      </c>
      <c r="C524" s="186">
        <v>57160.0</v>
      </c>
      <c r="D524" s="187">
        <v>17.7</v>
      </c>
      <c r="E524" s="185" t="s">
        <v>35</v>
      </c>
      <c r="F524" s="188" t="s">
        <v>1179</v>
      </c>
      <c r="G524" s="185" t="s">
        <v>1180</v>
      </c>
      <c r="H524" s="190"/>
      <c r="I524" s="183"/>
      <c r="J524" s="183"/>
    </row>
    <row r="525" ht="22.5" customHeight="1">
      <c r="A525" s="184">
        <v>45951.0</v>
      </c>
      <c r="B525" s="185" t="s">
        <v>121</v>
      </c>
      <c r="C525" s="186">
        <v>55380.0</v>
      </c>
      <c r="D525" s="187">
        <v>16.6</v>
      </c>
      <c r="E525" s="185" t="s">
        <v>35</v>
      </c>
      <c r="F525" s="188" t="s">
        <v>1181</v>
      </c>
      <c r="G525" s="185" t="s">
        <v>1182</v>
      </c>
      <c r="H525" s="190"/>
      <c r="I525" s="183"/>
      <c r="J525" s="183"/>
    </row>
    <row r="526" ht="22.5" customHeight="1">
      <c r="A526" s="184">
        <v>45951.0</v>
      </c>
      <c r="B526" s="185" t="s">
        <v>121</v>
      </c>
      <c r="C526" s="186">
        <v>17200.0</v>
      </c>
      <c r="D526" s="187">
        <v>16.2</v>
      </c>
      <c r="E526" s="185" t="s">
        <v>35</v>
      </c>
      <c r="F526" s="188" t="s">
        <v>1183</v>
      </c>
      <c r="G526" s="185" t="s">
        <v>1184</v>
      </c>
      <c r="H526" s="190"/>
      <c r="I526" s="183"/>
      <c r="J526" s="183"/>
    </row>
    <row r="527" ht="22.5" customHeight="1">
      <c r="A527" s="184">
        <v>45907.0</v>
      </c>
      <c r="B527" s="185" t="s">
        <v>122</v>
      </c>
      <c r="C527" s="191">
        <v>221439.0</v>
      </c>
      <c r="D527" s="187"/>
      <c r="E527" s="185" t="s">
        <v>43</v>
      </c>
      <c r="F527" s="188" t="s">
        <v>11</v>
      </c>
      <c r="G527" s="185" t="s">
        <v>259</v>
      </c>
      <c r="H527" s="190"/>
      <c r="I527" s="183"/>
      <c r="J527" s="183"/>
    </row>
    <row r="528" ht="22.5" customHeight="1">
      <c r="A528" s="184">
        <v>45930.0</v>
      </c>
      <c r="B528" s="185" t="s">
        <v>1185</v>
      </c>
      <c r="C528" s="186">
        <v>4008.0</v>
      </c>
      <c r="D528" s="187">
        <v>13.2</v>
      </c>
      <c r="E528" s="185" t="s">
        <v>47</v>
      </c>
      <c r="F528" s="188" t="s">
        <v>260</v>
      </c>
      <c r="G528" s="185" t="s">
        <v>261</v>
      </c>
      <c r="H528" s="182">
        <v>0.23</v>
      </c>
      <c r="I528" s="183"/>
      <c r="J528" s="183"/>
    </row>
    <row r="529" ht="22.5" customHeight="1">
      <c r="A529" s="184"/>
      <c r="B529" s="185"/>
      <c r="C529" s="186"/>
      <c r="D529" s="187"/>
      <c r="E529" s="185"/>
      <c r="F529" s="188"/>
      <c r="G529" s="185"/>
      <c r="H529" s="190"/>
      <c r="I529" s="183"/>
      <c r="J529" s="183"/>
    </row>
    <row r="530" ht="22.5" customHeight="1">
      <c r="A530" s="184"/>
      <c r="B530" s="185"/>
      <c r="C530" s="186"/>
      <c r="D530" s="187"/>
      <c r="E530" s="185"/>
      <c r="F530" s="188"/>
      <c r="G530" s="185"/>
      <c r="H530" s="190"/>
      <c r="I530" s="183"/>
      <c r="J530" s="183"/>
    </row>
    <row r="531" ht="22.5" customHeight="1">
      <c r="A531" s="184"/>
      <c r="B531" s="185"/>
      <c r="C531" s="186"/>
      <c r="D531" s="187"/>
      <c r="E531" s="185"/>
      <c r="F531" s="188"/>
      <c r="G531" s="185"/>
      <c r="H531" s="190"/>
      <c r="I531" s="183"/>
      <c r="J531" s="183"/>
    </row>
    <row r="532" ht="22.5" customHeight="1">
      <c r="A532" s="184"/>
      <c r="B532" s="185"/>
      <c r="C532" s="186"/>
      <c r="D532" s="187"/>
      <c r="E532" s="185"/>
      <c r="F532" s="188"/>
      <c r="G532" s="185"/>
      <c r="H532" s="190"/>
      <c r="I532" s="183"/>
      <c r="J532" s="183"/>
    </row>
    <row r="533" ht="22.5" customHeight="1">
      <c r="A533" s="184"/>
      <c r="B533" s="185"/>
      <c r="C533" s="186"/>
      <c r="D533" s="187"/>
      <c r="E533" s="185"/>
      <c r="F533" s="188"/>
      <c r="G533" s="185"/>
      <c r="H533" s="190"/>
      <c r="I533" s="183"/>
      <c r="J533" s="183"/>
    </row>
    <row r="534" ht="22.5" customHeight="1">
      <c r="A534" s="184"/>
      <c r="B534" s="185"/>
      <c r="C534" s="186"/>
      <c r="D534" s="187"/>
      <c r="E534" s="185"/>
      <c r="F534" s="188"/>
      <c r="G534" s="185"/>
      <c r="H534" s="190"/>
      <c r="I534" s="183"/>
      <c r="J534" s="183"/>
    </row>
    <row r="535" ht="22.5" customHeight="1">
      <c r="A535" s="184"/>
      <c r="B535" s="185"/>
      <c r="C535" s="186"/>
      <c r="D535" s="187"/>
      <c r="E535" s="185"/>
      <c r="F535" s="188"/>
      <c r="G535" s="185"/>
      <c r="H535" s="190"/>
      <c r="I535" s="183"/>
      <c r="J535" s="183"/>
    </row>
    <row r="536" ht="22.5" customHeight="1">
      <c r="A536" s="184"/>
      <c r="B536" s="185"/>
      <c r="C536" s="186"/>
      <c r="D536" s="187"/>
      <c r="E536" s="185"/>
      <c r="F536" s="188"/>
      <c r="G536" s="185"/>
      <c r="H536" s="190"/>
      <c r="I536" s="183"/>
      <c r="J536" s="183"/>
    </row>
    <row r="537" ht="22.5" customHeight="1">
      <c r="A537" s="184"/>
      <c r="B537" s="185"/>
      <c r="C537" s="186"/>
      <c r="D537" s="187"/>
      <c r="E537" s="185"/>
      <c r="F537" s="188"/>
      <c r="G537" s="185"/>
      <c r="H537" s="190"/>
      <c r="I537" s="183"/>
      <c r="J537" s="183"/>
    </row>
    <row r="538" ht="22.5" customHeight="1">
      <c r="A538" s="184"/>
      <c r="B538" s="185"/>
      <c r="C538" s="186"/>
      <c r="D538" s="187"/>
      <c r="E538" s="185"/>
      <c r="F538" s="188"/>
      <c r="G538" s="185"/>
      <c r="H538" s="190"/>
      <c r="I538" s="183"/>
      <c r="J538" s="183"/>
    </row>
    <row r="539" ht="22.5" customHeight="1">
      <c r="A539" s="184"/>
      <c r="B539" s="185"/>
      <c r="C539" s="186"/>
      <c r="D539" s="187"/>
      <c r="E539" s="185"/>
      <c r="F539" s="188"/>
      <c r="G539" s="185"/>
      <c r="H539" s="190"/>
      <c r="I539" s="183"/>
      <c r="J539" s="183"/>
    </row>
    <row r="540" ht="22.5" customHeight="1">
      <c r="A540" s="184"/>
      <c r="B540" s="185"/>
      <c r="C540" s="186"/>
      <c r="D540" s="187"/>
      <c r="E540" s="185"/>
      <c r="F540" s="188"/>
      <c r="G540" s="185"/>
      <c r="H540" s="190"/>
      <c r="I540" s="183"/>
      <c r="J540" s="183"/>
    </row>
    <row r="541" ht="22.5" customHeight="1">
      <c r="A541" s="184"/>
      <c r="B541" s="185"/>
      <c r="C541" s="186"/>
      <c r="D541" s="187"/>
      <c r="E541" s="185"/>
      <c r="F541" s="188"/>
      <c r="G541" s="185"/>
      <c r="H541" s="190"/>
      <c r="I541" s="183"/>
      <c r="J541" s="183"/>
    </row>
    <row r="542" ht="22.5" customHeight="1">
      <c r="A542" s="184"/>
      <c r="B542" s="185"/>
      <c r="C542" s="186"/>
      <c r="D542" s="187"/>
      <c r="E542" s="185"/>
      <c r="F542" s="188"/>
      <c r="G542" s="185"/>
      <c r="H542" s="190"/>
      <c r="I542" s="183"/>
      <c r="J542" s="183"/>
    </row>
    <row r="543" ht="22.5" customHeight="1">
      <c r="A543" s="184"/>
      <c r="B543" s="185"/>
      <c r="C543" s="186"/>
      <c r="D543" s="187"/>
      <c r="E543" s="185"/>
      <c r="F543" s="188"/>
      <c r="G543" s="185"/>
      <c r="H543" s="190"/>
      <c r="I543" s="183"/>
      <c r="J543" s="183"/>
    </row>
    <row r="544" ht="22.5" customHeight="1">
      <c r="A544" s="184"/>
      <c r="B544" s="185"/>
      <c r="C544" s="186"/>
      <c r="D544" s="187"/>
      <c r="E544" s="185"/>
      <c r="F544" s="188"/>
      <c r="G544" s="185"/>
      <c r="H544" s="190"/>
      <c r="I544" s="183"/>
      <c r="J544" s="183"/>
    </row>
    <row r="545" ht="22.5" customHeight="1">
      <c r="A545" s="184"/>
      <c r="B545" s="185"/>
      <c r="C545" s="186"/>
      <c r="D545" s="187"/>
      <c r="E545" s="185"/>
      <c r="F545" s="188"/>
      <c r="G545" s="185"/>
      <c r="H545" s="190"/>
      <c r="I545" s="183"/>
      <c r="J545" s="183"/>
    </row>
    <row r="546" ht="22.5" customHeight="1">
      <c r="A546" s="184"/>
      <c r="B546" s="185"/>
      <c r="C546" s="186"/>
      <c r="D546" s="187"/>
      <c r="E546" s="185"/>
      <c r="F546" s="188"/>
      <c r="G546" s="185"/>
      <c r="H546" s="190"/>
      <c r="I546" s="183"/>
      <c r="J546" s="183"/>
    </row>
    <row r="547" ht="22.5" customHeight="1">
      <c r="A547" s="184"/>
      <c r="B547" s="185"/>
      <c r="C547" s="186"/>
      <c r="D547" s="187"/>
      <c r="E547" s="185"/>
      <c r="F547" s="188"/>
      <c r="G547" s="185"/>
      <c r="H547" s="190"/>
      <c r="I547" s="183"/>
      <c r="J547" s="183"/>
    </row>
    <row r="548" ht="22.5" customHeight="1">
      <c r="A548" s="184"/>
      <c r="B548" s="185"/>
      <c r="C548" s="186"/>
      <c r="D548" s="187"/>
      <c r="E548" s="185"/>
      <c r="F548" s="188"/>
      <c r="G548" s="185"/>
      <c r="H548" s="190"/>
      <c r="I548" s="183"/>
      <c r="J548" s="183"/>
    </row>
    <row r="549" ht="22.5" customHeight="1">
      <c r="A549" s="184"/>
      <c r="B549" s="185"/>
      <c r="C549" s="186"/>
      <c r="D549" s="187"/>
      <c r="E549" s="185"/>
      <c r="F549" s="188"/>
      <c r="G549" s="185"/>
      <c r="H549" s="190"/>
      <c r="I549" s="183"/>
      <c r="J549" s="183"/>
    </row>
    <row r="550" ht="22.5" customHeight="1">
      <c r="A550" s="184"/>
      <c r="B550" s="185"/>
      <c r="C550" s="186"/>
      <c r="D550" s="187"/>
      <c r="E550" s="185"/>
      <c r="F550" s="188"/>
      <c r="G550" s="185"/>
      <c r="H550" s="190"/>
      <c r="I550" s="183"/>
      <c r="J550" s="183"/>
    </row>
    <row r="551" ht="22.5" customHeight="1">
      <c r="A551" s="184"/>
      <c r="B551" s="185"/>
      <c r="C551" s="186"/>
      <c r="D551" s="187"/>
      <c r="E551" s="185"/>
      <c r="F551" s="188"/>
      <c r="G551" s="185"/>
      <c r="H551" s="190"/>
      <c r="I551" s="183"/>
      <c r="J551" s="183"/>
    </row>
    <row r="552" ht="22.5" customHeight="1">
      <c r="A552" s="184"/>
      <c r="B552" s="185"/>
      <c r="C552" s="186"/>
      <c r="D552" s="187"/>
      <c r="E552" s="185"/>
      <c r="F552" s="188"/>
      <c r="G552" s="185"/>
      <c r="H552" s="190"/>
      <c r="I552" s="183"/>
      <c r="J552" s="183"/>
    </row>
    <row r="553" ht="22.5" customHeight="1">
      <c r="A553" s="184"/>
      <c r="B553" s="185"/>
      <c r="C553" s="186"/>
      <c r="D553" s="187"/>
      <c r="E553" s="185"/>
      <c r="F553" s="188"/>
      <c r="G553" s="185"/>
      <c r="H553" s="190"/>
      <c r="I553" s="183"/>
      <c r="J553" s="183"/>
    </row>
    <row r="554" ht="22.5" customHeight="1">
      <c r="A554" s="184"/>
      <c r="B554" s="185"/>
      <c r="C554" s="186"/>
      <c r="D554" s="187"/>
      <c r="E554" s="185"/>
      <c r="F554" s="188"/>
      <c r="G554" s="185"/>
      <c r="H554" s="190"/>
      <c r="I554" s="183"/>
      <c r="J554" s="183"/>
    </row>
    <row r="555" ht="22.5" customHeight="1">
      <c r="A555" s="184"/>
      <c r="B555" s="185"/>
      <c r="C555" s="186"/>
      <c r="D555" s="187"/>
      <c r="E555" s="185"/>
      <c r="F555" s="188"/>
      <c r="G555" s="185"/>
      <c r="H555" s="190"/>
      <c r="I555" s="183"/>
      <c r="J555" s="183"/>
    </row>
    <row r="556" ht="22.5" customHeight="1">
      <c r="A556" s="184"/>
      <c r="B556" s="185"/>
      <c r="C556" s="186"/>
      <c r="D556" s="187"/>
      <c r="E556" s="185"/>
      <c r="F556" s="188"/>
      <c r="G556" s="185"/>
      <c r="H556" s="190"/>
      <c r="I556" s="183"/>
      <c r="J556" s="183"/>
    </row>
    <row r="557" ht="22.5" customHeight="1">
      <c r="A557" s="184"/>
      <c r="B557" s="185"/>
      <c r="C557" s="186"/>
      <c r="D557" s="187"/>
      <c r="E557" s="185"/>
      <c r="F557" s="188"/>
      <c r="G557" s="185"/>
      <c r="H557" s="190"/>
      <c r="I557" s="183"/>
      <c r="J557" s="183"/>
    </row>
    <row r="558" ht="22.5" customHeight="1">
      <c r="A558" s="184"/>
      <c r="B558" s="185"/>
      <c r="C558" s="186"/>
      <c r="D558" s="187"/>
      <c r="E558" s="185"/>
      <c r="F558" s="188"/>
      <c r="G558" s="185"/>
      <c r="H558" s="190"/>
      <c r="I558" s="183"/>
      <c r="J558" s="183"/>
    </row>
    <row r="559" ht="22.5" customHeight="1">
      <c r="A559" s="184"/>
      <c r="B559" s="185"/>
      <c r="C559" s="186"/>
      <c r="D559" s="187"/>
      <c r="E559" s="185"/>
      <c r="F559" s="188"/>
      <c r="G559" s="185"/>
      <c r="H559" s="190"/>
      <c r="I559" s="183"/>
      <c r="J559" s="183"/>
    </row>
    <row r="560" ht="22.5" customHeight="1">
      <c r="A560" s="184"/>
      <c r="B560" s="185"/>
      <c r="C560" s="186"/>
      <c r="D560" s="187"/>
      <c r="E560" s="185"/>
      <c r="F560" s="188"/>
      <c r="G560" s="185"/>
      <c r="H560" s="190"/>
      <c r="I560" s="183"/>
      <c r="J560" s="183"/>
    </row>
    <row r="561" ht="22.5" customHeight="1">
      <c r="A561" s="184"/>
      <c r="B561" s="185"/>
      <c r="C561" s="186"/>
      <c r="D561" s="187"/>
      <c r="E561" s="185"/>
      <c r="F561" s="188"/>
      <c r="G561" s="185"/>
      <c r="H561" s="190"/>
      <c r="I561" s="183"/>
      <c r="J561" s="183"/>
    </row>
    <row r="562" ht="22.5" customHeight="1">
      <c r="A562" s="184"/>
      <c r="B562" s="185"/>
      <c r="C562" s="186"/>
      <c r="D562" s="187"/>
      <c r="E562" s="185"/>
      <c r="F562" s="188"/>
      <c r="G562" s="185"/>
      <c r="H562" s="190"/>
      <c r="I562" s="183"/>
      <c r="J562" s="183"/>
    </row>
    <row r="563" ht="22.5" customHeight="1">
      <c r="A563" s="184"/>
      <c r="B563" s="185"/>
      <c r="C563" s="186"/>
      <c r="D563" s="187"/>
      <c r="E563" s="185"/>
      <c r="F563" s="188"/>
      <c r="G563" s="185"/>
      <c r="H563" s="190"/>
      <c r="I563" s="183"/>
      <c r="J563" s="183"/>
    </row>
    <row r="564" ht="22.5" customHeight="1">
      <c r="A564" s="184"/>
      <c r="B564" s="185"/>
      <c r="C564" s="186"/>
      <c r="D564" s="187"/>
      <c r="E564" s="185"/>
      <c r="F564" s="188"/>
      <c r="G564" s="185"/>
      <c r="H564" s="190"/>
      <c r="I564" s="183"/>
      <c r="J564" s="183"/>
    </row>
    <row r="565" ht="22.5" customHeight="1">
      <c r="A565" s="184"/>
      <c r="B565" s="185"/>
      <c r="C565" s="186"/>
      <c r="D565" s="187"/>
      <c r="E565" s="185"/>
      <c r="F565" s="188"/>
      <c r="G565" s="185"/>
      <c r="H565" s="190"/>
      <c r="I565" s="183"/>
      <c r="J565" s="183"/>
    </row>
    <row r="566" ht="22.5" customHeight="1">
      <c r="A566" s="184"/>
      <c r="B566" s="185"/>
      <c r="C566" s="186"/>
      <c r="D566" s="187"/>
      <c r="E566" s="185"/>
      <c r="F566" s="188"/>
      <c r="G566" s="185"/>
      <c r="H566" s="190"/>
      <c r="I566" s="183"/>
      <c r="J566" s="183"/>
    </row>
    <row r="567" ht="22.5" customHeight="1">
      <c r="A567" s="184"/>
      <c r="B567" s="185"/>
      <c r="C567" s="186"/>
      <c r="D567" s="187"/>
      <c r="E567" s="185"/>
      <c r="F567" s="188"/>
      <c r="G567" s="185"/>
      <c r="H567" s="190"/>
      <c r="I567" s="183"/>
      <c r="J567" s="183"/>
    </row>
    <row r="568" ht="22.5" customHeight="1">
      <c r="A568" s="184"/>
      <c r="B568" s="185"/>
      <c r="C568" s="186"/>
      <c r="D568" s="187"/>
      <c r="E568" s="185"/>
      <c r="F568" s="188"/>
      <c r="G568" s="185"/>
      <c r="H568" s="190"/>
      <c r="I568" s="183"/>
      <c r="J568" s="183"/>
    </row>
    <row r="569" ht="22.5" customHeight="1">
      <c r="A569" s="184"/>
      <c r="B569" s="185"/>
      <c r="C569" s="186"/>
      <c r="D569" s="187"/>
      <c r="E569" s="185"/>
      <c r="F569" s="188"/>
      <c r="G569" s="185"/>
      <c r="H569" s="190"/>
      <c r="I569" s="183"/>
      <c r="J569" s="183"/>
    </row>
    <row r="570" ht="22.5" customHeight="1">
      <c r="A570" s="184"/>
      <c r="B570" s="185"/>
      <c r="C570" s="186"/>
      <c r="D570" s="187"/>
      <c r="E570" s="185"/>
      <c r="F570" s="188"/>
      <c r="G570" s="185"/>
      <c r="H570" s="190"/>
      <c r="I570" s="183"/>
      <c r="J570" s="183"/>
    </row>
    <row r="571" ht="22.5" customHeight="1">
      <c r="A571" s="184"/>
      <c r="B571" s="185"/>
      <c r="C571" s="186"/>
      <c r="D571" s="187"/>
      <c r="E571" s="185"/>
      <c r="F571" s="188"/>
      <c r="G571" s="185"/>
      <c r="H571" s="190"/>
      <c r="I571" s="183"/>
      <c r="J571" s="183"/>
    </row>
    <row r="572" ht="22.5" customHeight="1">
      <c r="A572" s="184"/>
      <c r="B572" s="185"/>
      <c r="C572" s="186"/>
      <c r="D572" s="187"/>
      <c r="E572" s="185"/>
      <c r="F572" s="188"/>
      <c r="G572" s="185"/>
      <c r="H572" s="190"/>
      <c r="I572" s="183"/>
      <c r="J572" s="183"/>
    </row>
    <row r="573" ht="22.5" customHeight="1">
      <c r="A573" s="184"/>
      <c r="B573" s="185"/>
      <c r="C573" s="186"/>
      <c r="D573" s="187"/>
      <c r="E573" s="185"/>
      <c r="F573" s="188"/>
      <c r="G573" s="185"/>
      <c r="H573" s="190"/>
      <c r="I573" s="183"/>
      <c r="J573" s="183"/>
    </row>
    <row r="574" ht="22.5" customHeight="1">
      <c r="A574" s="184"/>
      <c r="B574" s="185"/>
      <c r="C574" s="186"/>
      <c r="D574" s="187"/>
      <c r="E574" s="185"/>
      <c r="F574" s="188"/>
      <c r="G574" s="185"/>
      <c r="H574" s="190"/>
      <c r="I574" s="183"/>
      <c r="J574" s="183"/>
    </row>
    <row r="575" ht="22.5" customHeight="1">
      <c r="A575" s="184"/>
      <c r="B575" s="185"/>
      <c r="C575" s="186"/>
      <c r="D575" s="187"/>
      <c r="E575" s="185"/>
      <c r="F575" s="188"/>
      <c r="G575" s="185"/>
      <c r="H575" s="190"/>
      <c r="I575" s="183"/>
      <c r="J575" s="183"/>
    </row>
    <row r="576" ht="22.5" customHeight="1">
      <c r="A576" s="184"/>
      <c r="B576" s="185"/>
      <c r="C576" s="186"/>
      <c r="D576" s="187"/>
      <c r="E576" s="185"/>
      <c r="F576" s="188"/>
      <c r="G576" s="185"/>
      <c r="H576" s="190"/>
      <c r="I576" s="183"/>
      <c r="J576" s="183"/>
    </row>
    <row r="577" ht="22.5" customHeight="1">
      <c r="A577" s="184"/>
      <c r="B577" s="185"/>
      <c r="C577" s="186"/>
      <c r="D577" s="187"/>
      <c r="E577" s="185"/>
      <c r="F577" s="188"/>
      <c r="G577" s="185"/>
      <c r="H577" s="190"/>
      <c r="I577" s="183"/>
      <c r="J577" s="183"/>
    </row>
    <row r="578" ht="22.5" customHeight="1">
      <c r="A578" s="184"/>
      <c r="B578" s="185"/>
      <c r="C578" s="186"/>
      <c r="D578" s="187"/>
      <c r="E578" s="185"/>
      <c r="F578" s="188"/>
      <c r="G578" s="185"/>
      <c r="H578" s="190"/>
      <c r="I578" s="183"/>
      <c r="J578" s="183"/>
    </row>
    <row r="579" ht="22.5" customHeight="1">
      <c r="A579" s="184"/>
      <c r="B579" s="185"/>
      <c r="C579" s="186"/>
      <c r="D579" s="187"/>
      <c r="E579" s="185"/>
      <c r="F579" s="188"/>
      <c r="G579" s="185"/>
      <c r="H579" s="190"/>
      <c r="I579" s="183"/>
      <c r="J579" s="183"/>
    </row>
    <row r="580" ht="22.5" customHeight="1">
      <c r="A580" s="184"/>
      <c r="B580" s="185"/>
      <c r="C580" s="186"/>
      <c r="D580" s="187"/>
      <c r="E580" s="185"/>
      <c r="F580" s="188"/>
      <c r="G580" s="185"/>
      <c r="H580" s="190"/>
      <c r="I580" s="183"/>
      <c r="J580" s="183"/>
    </row>
    <row r="581" ht="22.5" customHeight="1">
      <c r="A581" s="184"/>
      <c r="B581" s="185"/>
      <c r="C581" s="186"/>
      <c r="D581" s="187"/>
      <c r="E581" s="185"/>
      <c r="F581" s="188"/>
      <c r="G581" s="185"/>
      <c r="H581" s="190"/>
      <c r="I581" s="183"/>
      <c r="J581" s="183"/>
    </row>
    <row r="582" ht="22.5" customHeight="1">
      <c r="A582" s="184"/>
      <c r="B582" s="185"/>
      <c r="C582" s="186"/>
      <c r="D582" s="187"/>
      <c r="E582" s="185"/>
      <c r="F582" s="188"/>
      <c r="G582" s="185"/>
      <c r="H582" s="190"/>
      <c r="I582" s="183"/>
      <c r="J582" s="183"/>
    </row>
    <row r="583" ht="22.5" customHeight="1">
      <c r="A583" s="184"/>
      <c r="B583" s="185"/>
      <c r="C583" s="186"/>
      <c r="D583" s="187"/>
      <c r="E583" s="185"/>
      <c r="F583" s="188"/>
      <c r="G583" s="185"/>
      <c r="H583" s="190"/>
      <c r="I583" s="183"/>
      <c r="J583" s="183"/>
    </row>
    <row r="584" ht="22.5" customHeight="1">
      <c r="A584" s="184"/>
      <c r="B584" s="185"/>
      <c r="C584" s="186"/>
      <c r="D584" s="187"/>
      <c r="E584" s="185"/>
      <c r="F584" s="188"/>
      <c r="G584" s="185"/>
      <c r="H584" s="190"/>
      <c r="I584" s="183"/>
      <c r="J584" s="183"/>
    </row>
    <row r="585" ht="22.5" customHeight="1">
      <c r="A585" s="184"/>
      <c r="B585" s="185"/>
      <c r="C585" s="186"/>
      <c r="D585" s="187"/>
      <c r="E585" s="185"/>
      <c r="F585" s="188"/>
      <c r="G585" s="185"/>
      <c r="H585" s="190"/>
      <c r="I585" s="183"/>
      <c r="J585" s="183"/>
    </row>
    <row r="586" ht="22.5" customHeight="1">
      <c r="A586" s="184"/>
      <c r="B586" s="185"/>
      <c r="C586" s="186"/>
      <c r="D586" s="187"/>
      <c r="E586" s="185"/>
      <c r="F586" s="188"/>
      <c r="G586" s="185"/>
      <c r="H586" s="190"/>
      <c r="I586" s="183"/>
      <c r="J586" s="183"/>
    </row>
    <row r="587" ht="22.5" customHeight="1">
      <c r="A587" s="184"/>
      <c r="B587" s="185"/>
      <c r="C587" s="186"/>
      <c r="D587" s="187"/>
      <c r="E587" s="185"/>
      <c r="F587" s="188"/>
      <c r="G587" s="185"/>
      <c r="H587" s="190"/>
      <c r="I587" s="183"/>
      <c r="J587" s="183"/>
    </row>
    <row r="588" ht="22.5" customHeight="1">
      <c r="A588" s="184"/>
      <c r="B588" s="185"/>
      <c r="C588" s="186"/>
      <c r="D588" s="187"/>
      <c r="E588" s="185"/>
      <c r="F588" s="188"/>
      <c r="G588" s="185"/>
      <c r="H588" s="190"/>
      <c r="I588" s="183"/>
      <c r="J588" s="183"/>
    </row>
    <row r="589" ht="22.5" customHeight="1">
      <c r="A589" s="184"/>
      <c r="B589" s="185"/>
      <c r="C589" s="186"/>
      <c r="D589" s="187"/>
      <c r="E589" s="185"/>
      <c r="F589" s="188"/>
      <c r="G589" s="185"/>
      <c r="H589" s="190"/>
      <c r="I589" s="183"/>
      <c r="J589" s="183"/>
    </row>
    <row r="590" ht="22.5" customHeight="1">
      <c r="A590" s="184"/>
      <c r="B590" s="185"/>
      <c r="C590" s="186"/>
      <c r="D590" s="187"/>
      <c r="E590" s="185"/>
      <c r="F590" s="188"/>
      <c r="G590" s="185"/>
      <c r="H590" s="190"/>
      <c r="I590" s="183"/>
      <c r="J590" s="183"/>
    </row>
    <row r="591" ht="22.5" customHeight="1">
      <c r="A591" s="184"/>
      <c r="B591" s="185"/>
      <c r="C591" s="186"/>
      <c r="D591" s="187"/>
      <c r="E591" s="185"/>
      <c r="F591" s="188"/>
      <c r="G591" s="185"/>
      <c r="H591" s="190"/>
      <c r="I591" s="183"/>
      <c r="J591" s="183"/>
    </row>
    <row r="592" ht="22.5" customHeight="1">
      <c r="A592" s="184"/>
      <c r="B592" s="185"/>
      <c r="C592" s="186"/>
      <c r="D592" s="187"/>
      <c r="E592" s="185"/>
      <c r="F592" s="188"/>
      <c r="G592" s="185"/>
      <c r="H592" s="190"/>
      <c r="I592" s="183"/>
      <c r="J592" s="183"/>
    </row>
    <row r="593" ht="22.5" customHeight="1">
      <c r="A593" s="184"/>
      <c r="B593" s="185"/>
      <c r="C593" s="186"/>
      <c r="D593" s="187"/>
      <c r="E593" s="185"/>
      <c r="F593" s="188"/>
      <c r="G593" s="185"/>
      <c r="H593" s="190"/>
      <c r="I593" s="183"/>
      <c r="J593" s="183"/>
    </row>
    <row r="594" ht="22.5" customHeight="1">
      <c r="A594" s="184"/>
      <c r="B594" s="185"/>
      <c r="C594" s="186"/>
      <c r="D594" s="187"/>
      <c r="E594" s="185"/>
      <c r="F594" s="188"/>
      <c r="G594" s="185"/>
      <c r="H594" s="190"/>
      <c r="I594" s="183"/>
      <c r="J594" s="183"/>
    </row>
    <row r="595" ht="22.5" customHeight="1">
      <c r="A595" s="184"/>
      <c r="B595" s="185"/>
      <c r="C595" s="186"/>
      <c r="D595" s="187"/>
      <c r="E595" s="185"/>
      <c r="F595" s="188"/>
      <c r="G595" s="185"/>
      <c r="H595" s="190"/>
      <c r="I595" s="183"/>
      <c r="J595" s="183"/>
    </row>
    <row r="596" ht="22.5" customHeight="1">
      <c r="A596" s="184"/>
      <c r="B596" s="185"/>
      <c r="C596" s="186"/>
      <c r="D596" s="187"/>
      <c r="E596" s="185"/>
      <c r="F596" s="188"/>
      <c r="G596" s="185"/>
      <c r="H596" s="190"/>
      <c r="I596" s="183"/>
      <c r="J596" s="183"/>
    </row>
    <row r="597" ht="22.5" customHeight="1">
      <c r="A597" s="184"/>
      <c r="B597" s="185"/>
      <c r="C597" s="186"/>
      <c r="D597" s="187"/>
      <c r="E597" s="185"/>
      <c r="F597" s="188"/>
      <c r="G597" s="185"/>
      <c r="H597" s="190"/>
      <c r="I597" s="183"/>
      <c r="J597" s="183"/>
    </row>
    <row r="598" ht="22.5" customHeight="1">
      <c r="A598" s="184"/>
      <c r="B598" s="185"/>
      <c r="C598" s="186"/>
      <c r="D598" s="187"/>
      <c r="E598" s="185"/>
      <c r="F598" s="188"/>
      <c r="G598" s="185"/>
      <c r="H598" s="190"/>
      <c r="I598" s="183"/>
      <c r="J598" s="183"/>
    </row>
    <row r="599" ht="22.5" customHeight="1">
      <c r="A599" s="184"/>
      <c r="B599" s="185"/>
      <c r="C599" s="186"/>
      <c r="D599" s="187"/>
      <c r="E599" s="185"/>
      <c r="F599" s="188"/>
      <c r="G599" s="185"/>
      <c r="H599" s="190"/>
      <c r="I599" s="183"/>
      <c r="J599" s="183"/>
    </row>
    <row r="600" ht="22.5" customHeight="1">
      <c r="A600" s="184"/>
      <c r="B600" s="185"/>
      <c r="C600" s="186"/>
      <c r="D600" s="187"/>
      <c r="E600" s="185"/>
      <c r="F600" s="188"/>
      <c r="G600" s="185"/>
      <c r="H600" s="190"/>
      <c r="I600" s="183"/>
      <c r="J600" s="183"/>
    </row>
    <row r="601" ht="22.5" customHeight="1">
      <c r="A601" s="184"/>
      <c r="B601" s="185"/>
      <c r="C601" s="186"/>
      <c r="D601" s="187"/>
      <c r="E601" s="185"/>
      <c r="F601" s="188"/>
      <c r="G601" s="185"/>
      <c r="H601" s="190"/>
      <c r="I601" s="183"/>
      <c r="J601" s="183"/>
    </row>
    <row r="602" ht="22.5" customHeight="1">
      <c r="A602" s="184"/>
      <c r="B602" s="185"/>
      <c r="C602" s="186"/>
      <c r="D602" s="187"/>
      <c r="E602" s="185"/>
      <c r="F602" s="188"/>
      <c r="G602" s="185"/>
      <c r="H602" s="190"/>
      <c r="I602" s="183"/>
      <c r="J602" s="183"/>
    </row>
    <row r="603" ht="22.5" customHeight="1">
      <c r="A603" s="184"/>
      <c r="B603" s="185"/>
      <c r="C603" s="186"/>
      <c r="D603" s="187"/>
      <c r="E603" s="185"/>
      <c r="F603" s="188"/>
      <c r="G603" s="185"/>
      <c r="H603" s="190"/>
      <c r="I603" s="183"/>
      <c r="J603" s="183"/>
    </row>
    <row r="604" ht="22.5" customHeight="1">
      <c r="A604" s="184"/>
      <c r="B604" s="185"/>
      <c r="C604" s="186"/>
      <c r="D604" s="187"/>
      <c r="E604" s="185"/>
      <c r="F604" s="188"/>
      <c r="G604" s="185"/>
      <c r="H604" s="190"/>
      <c r="I604" s="183"/>
      <c r="J604" s="183"/>
    </row>
    <row r="605" ht="22.5" customHeight="1">
      <c r="A605" s="184"/>
      <c r="B605" s="185"/>
      <c r="C605" s="186"/>
      <c r="D605" s="187"/>
      <c r="E605" s="185"/>
      <c r="F605" s="188"/>
      <c r="G605" s="185"/>
      <c r="H605" s="190"/>
      <c r="I605" s="183"/>
      <c r="J605" s="183"/>
    </row>
    <row r="606" ht="22.5" customHeight="1">
      <c r="A606" s="184"/>
      <c r="B606" s="185"/>
      <c r="C606" s="186"/>
      <c r="D606" s="187"/>
      <c r="E606" s="185"/>
      <c r="F606" s="188"/>
      <c r="G606" s="185"/>
      <c r="H606" s="190"/>
      <c r="I606" s="183"/>
      <c r="J606" s="183"/>
    </row>
    <row r="607" ht="22.5" customHeight="1">
      <c r="A607" s="184"/>
      <c r="B607" s="185"/>
      <c r="C607" s="186"/>
      <c r="D607" s="187"/>
      <c r="E607" s="185"/>
      <c r="F607" s="188"/>
      <c r="G607" s="185"/>
      <c r="H607" s="190"/>
      <c r="I607" s="183"/>
      <c r="J607" s="183"/>
    </row>
    <row r="608" ht="22.5" customHeight="1">
      <c r="A608" s="184"/>
      <c r="B608" s="185"/>
      <c r="C608" s="186"/>
      <c r="D608" s="187"/>
      <c r="E608" s="185"/>
      <c r="F608" s="188"/>
      <c r="G608" s="185"/>
      <c r="H608" s="190"/>
      <c r="I608" s="183"/>
      <c r="J608" s="183"/>
    </row>
    <row r="609" ht="22.5" customHeight="1">
      <c r="A609" s="184"/>
      <c r="B609" s="185"/>
      <c r="C609" s="186"/>
      <c r="D609" s="187"/>
      <c r="E609" s="185"/>
      <c r="F609" s="188"/>
      <c r="G609" s="185"/>
      <c r="H609" s="190"/>
      <c r="I609" s="183"/>
      <c r="J609" s="183"/>
    </row>
    <row r="610" ht="22.5" customHeight="1">
      <c r="A610" s="184"/>
      <c r="B610" s="185"/>
      <c r="C610" s="186"/>
      <c r="D610" s="187"/>
      <c r="E610" s="185"/>
      <c r="F610" s="188"/>
      <c r="G610" s="185"/>
      <c r="H610" s="190"/>
      <c r="I610" s="183"/>
      <c r="J610" s="183"/>
    </row>
    <row r="611" ht="22.5" customHeight="1">
      <c r="A611" s="184"/>
      <c r="B611" s="185"/>
      <c r="C611" s="186"/>
      <c r="D611" s="187"/>
      <c r="E611" s="185"/>
      <c r="F611" s="188"/>
      <c r="G611" s="185"/>
      <c r="H611" s="190"/>
      <c r="I611" s="183"/>
      <c r="J611" s="183"/>
    </row>
    <row r="612" ht="22.5" customHeight="1">
      <c r="A612" s="184"/>
      <c r="B612" s="185"/>
      <c r="C612" s="186"/>
      <c r="D612" s="187"/>
      <c r="E612" s="185"/>
      <c r="F612" s="188"/>
      <c r="G612" s="185"/>
      <c r="H612" s="190"/>
      <c r="I612" s="183"/>
      <c r="J612" s="183"/>
    </row>
    <row r="613" ht="22.5" customHeight="1">
      <c r="A613" s="184"/>
      <c r="B613" s="185"/>
      <c r="C613" s="186"/>
      <c r="D613" s="187"/>
      <c r="E613" s="185"/>
      <c r="F613" s="188"/>
      <c r="G613" s="185"/>
      <c r="H613" s="190"/>
      <c r="I613" s="183"/>
      <c r="J613" s="183"/>
    </row>
    <row r="614" ht="22.5" customHeight="1">
      <c r="A614" s="184"/>
      <c r="B614" s="185"/>
      <c r="C614" s="186"/>
      <c r="D614" s="187"/>
      <c r="E614" s="185"/>
      <c r="F614" s="188"/>
      <c r="G614" s="185"/>
      <c r="H614" s="190"/>
      <c r="I614" s="183"/>
      <c r="J614" s="183"/>
    </row>
    <row r="615" ht="22.5" customHeight="1">
      <c r="A615" s="184"/>
      <c r="B615" s="185"/>
      <c r="C615" s="186"/>
      <c r="D615" s="187"/>
      <c r="E615" s="185"/>
      <c r="F615" s="188"/>
      <c r="G615" s="185"/>
      <c r="H615" s="190"/>
      <c r="I615" s="183"/>
      <c r="J615" s="183"/>
    </row>
    <row r="616" ht="22.5" customHeight="1">
      <c r="A616" s="184"/>
      <c r="B616" s="185"/>
      <c r="C616" s="186"/>
      <c r="D616" s="187"/>
      <c r="E616" s="185"/>
      <c r="F616" s="188"/>
      <c r="G616" s="185"/>
      <c r="H616" s="190"/>
      <c r="I616" s="183"/>
      <c r="J616" s="183"/>
    </row>
    <row r="617" ht="22.5" customHeight="1">
      <c r="A617" s="184"/>
      <c r="B617" s="185"/>
      <c r="C617" s="186"/>
      <c r="D617" s="187"/>
      <c r="E617" s="185"/>
      <c r="F617" s="188"/>
      <c r="G617" s="185"/>
      <c r="H617" s="190"/>
      <c r="I617" s="183"/>
      <c r="J617" s="183"/>
    </row>
    <row r="618" ht="22.5" customHeight="1">
      <c r="A618" s="184"/>
      <c r="B618" s="185"/>
      <c r="C618" s="186"/>
      <c r="D618" s="187"/>
      <c r="E618" s="185"/>
      <c r="F618" s="188"/>
      <c r="G618" s="185"/>
      <c r="H618" s="190"/>
      <c r="I618" s="183"/>
      <c r="J618" s="183"/>
    </row>
    <row r="619" ht="22.5" customHeight="1">
      <c r="A619" s="184"/>
      <c r="B619" s="185"/>
      <c r="C619" s="186"/>
      <c r="D619" s="187"/>
      <c r="E619" s="185"/>
      <c r="F619" s="188"/>
      <c r="G619" s="185"/>
      <c r="H619" s="190"/>
      <c r="I619" s="183"/>
      <c r="J619" s="183"/>
    </row>
    <row r="620" ht="22.5" customHeight="1">
      <c r="A620" s="184"/>
      <c r="B620" s="185"/>
      <c r="C620" s="186"/>
      <c r="D620" s="187"/>
      <c r="E620" s="185"/>
      <c r="F620" s="188"/>
      <c r="G620" s="185"/>
      <c r="H620" s="190"/>
      <c r="I620" s="183"/>
      <c r="J620" s="183"/>
    </row>
    <row r="621" ht="22.5" customHeight="1">
      <c r="A621" s="184"/>
      <c r="B621" s="185"/>
      <c r="C621" s="186"/>
      <c r="D621" s="187"/>
      <c r="E621" s="185"/>
      <c r="F621" s="188"/>
      <c r="G621" s="185"/>
      <c r="H621" s="190"/>
      <c r="I621" s="183"/>
      <c r="J621" s="183"/>
    </row>
    <row r="622" ht="22.5" customHeight="1">
      <c r="A622" s="184"/>
      <c r="B622" s="185"/>
      <c r="C622" s="186"/>
      <c r="D622" s="187"/>
      <c r="E622" s="185"/>
      <c r="F622" s="188"/>
      <c r="G622" s="185"/>
      <c r="H622" s="190"/>
      <c r="I622" s="183"/>
      <c r="J622" s="183"/>
    </row>
    <row r="623" ht="22.5" customHeight="1">
      <c r="A623" s="184"/>
      <c r="B623" s="185"/>
      <c r="C623" s="186"/>
      <c r="D623" s="187"/>
      <c r="E623" s="185"/>
      <c r="F623" s="188"/>
      <c r="G623" s="185"/>
      <c r="H623" s="190"/>
      <c r="I623" s="183"/>
      <c r="J623" s="183"/>
    </row>
    <row r="624" ht="22.5" customHeight="1">
      <c r="A624" s="184"/>
      <c r="B624" s="185"/>
      <c r="C624" s="186"/>
      <c r="D624" s="187"/>
      <c r="E624" s="185"/>
      <c r="F624" s="188"/>
      <c r="G624" s="185"/>
      <c r="H624" s="190"/>
      <c r="I624" s="183"/>
      <c r="J624" s="183"/>
    </row>
    <row r="625" ht="22.5" customHeight="1">
      <c r="A625" s="184"/>
      <c r="B625" s="185"/>
      <c r="C625" s="186"/>
      <c r="D625" s="187"/>
      <c r="E625" s="185"/>
      <c r="F625" s="188"/>
      <c r="G625" s="185"/>
      <c r="H625" s="190"/>
      <c r="I625" s="183"/>
      <c r="J625" s="183"/>
    </row>
    <row r="626" ht="22.5" customHeight="1">
      <c r="A626" s="184"/>
      <c r="B626" s="185"/>
      <c r="C626" s="186"/>
      <c r="D626" s="187"/>
      <c r="E626" s="185"/>
      <c r="F626" s="188"/>
      <c r="G626" s="185"/>
      <c r="H626" s="190"/>
      <c r="I626" s="183"/>
      <c r="J626" s="183"/>
    </row>
    <row r="627" ht="22.5" customHeight="1">
      <c r="A627" s="184"/>
      <c r="B627" s="185"/>
      <c r="C627" s="186"/>
      <c r="D627" s="187"/>
      <c r="E627" s="185"/>
      <c r="F627" s="188"/>
      <c r="G627" s="185"/>
      <c r="H627" s="190"/>
      <c r="I627" s="183"/>
      <c r="J627" s="183"/>
    </row>
    <row r="628" ht="22.5" customHeight="1">
      <c r="A628" s="184"/>
      <c r="B628" s="185"/>
      <c r="C628" s="186"/>
      <c r="D628" s="187"/>
      <c r="E628" s="185"/>
      <c r="F628" s="188"/>
      <c r="G628" s="185"/>
      <c r="H628" s="190"/>
      <c r="I628" s="183"/>
      <c r="J628" s="183"/>
    </row>
    <row r="629" ht="22.5" customHeight="1">
      <c r="A629" s="184"/>
      <c r="B629" s="185"/>
      <c r="C629" s="186"/>
      <c r="D629" s="187"/>
      <c r="E629" s="185"/>
      <c r="F629" s="188"/>
      <c r="G629" s="185"/>
      <c r="H629" s="190"/>
      <c r="I629" s="183"/>
      <c r="J629" s="183"/>
    </row>
    <row r="630" ht="22.5" customHeight="1">
      <c r="A630" s="184"/>
      <c r="B630" s="185"/>
      <c r="C630" s="186"/>
      <c r="D630" s="187"/>
      <c r="E630" s="185"/>
      <c r="F630" s="188"/>
      <c r="G630" s="185"/>
      <c r="H630" s="190"/>
      <c r="I630" s="183"/>
      <c r="J630" s="183"/>
    </row>
    <row r="631" ht="22.5" customHeight="1">
      <c r="A631" s="184"/>
      <c r="B631" s="185"/>
      <c r="C631" s="186"/>
      <c r="D631" s="187"/>
      <c r="E631" s="185"/>
      <c r="F631" s="188"/>
      <c r="G631" s="185"/>
      <c r="H631" s="190"/>
      <c r="I631" s="183"/>
      <c r="J631" s="183"/>
    </row>
    <row r="632" ht="22.5" customHeight="1">
      <c r="A632" s="184"/>
      <c r="B632" s="185"/>
      <c r="C632" s="186"/>
      <c r="D632" s="187"/>
      <c r="E632" s="185"/>
      <c r="F632" s="188"/>
      <c r="G632" s="185"/>
      <c r="H632" s="190"/>
      <c r="I632" s="183"/>
      <c r="J632" s="183"/>
    </row>
    <row r="633" ht="22.5" customHeight="1">
      <c r="A633" s="184"/>
      <c r="B633" s="185"/>
      <c r="C633" s="186"/>
      <c r="D633" s="187"/>
      <c r="E633" s="185"/>
      <c r="F633" s="188"/>
      <c r="G633" s="185"/>
      <c r="H633" s="190"/>
      <c r="I633" s="183"/>
      <c r="J633" s="183"/>
    </row>
    <row r="634" ht="22.5" customHeight="1">
      <c r="A634" s="184"/>
      <c r="B634" s="185"/>
      <c r="C634" s="186"/>
      <c r="D634" s="187"/>
      <c r="E634" s="185"/>
      <c r="F634" s="188"/>
      <c r="G634" s="185"/>
      <c r="H634" s="190"/>
      <c r="I634" s="183"/>
      <c r="J634" s="183"/>
    </row>
    <row r="635" ht="22.5" customHeight="1">
      <c r="A635" s="184"/>
      <c r="B635" s="185"/>
      <c r="C635" s="186"/>
      <c r="D635" s="187"/>
      <c r="E635" s="185"/>
      <c r="F635" s="188"/>
      <c r="G635" s="185"/>
      <c r="H635" s="190"/>
      <c r="I635" s="183"/>
      <c r="J635" s="183"/>
    </row>
    <row r="636" ht="22.5" customHeight="1">
      <c r="A636" s="184"/>
      <c r="B636" s="185"/>
      <c r="C636" s="186"/>
      <c r="D636" s="187"/>
      <c r="E636" s="185"/>
      <c r="F636" s="188"/>
      <c r="G636" s="185"/>
      <c r="H636" s="190"/>
      <c r="I636" s="183"/>
      <c r="J636" s="183"/>
    </row>
    <row r="637" ht="22.5" customHeight="1">
      <c r="A637" s="184"/>
      <c r="B637" s="185"/>
      <c r="C637" s="186"/>
      <c r="D637" s="187"/>
      <c r="E637" s="185"/>
      <c r="F637" s="188"/>
      <c r="G637" s="185"/>
      <c r="H637" s="190"/>
      <c r="I637" s="183"/>
      <c r="J637" s="183"/>
    </row>
    <row r="638" ht="22.5" customHeight="1">
      <c r="A638" s="184"/>
      <c r="B638" s="185"/>
      <c r="C638" s="186"/>
      <c r="D638" s="187"/>
      <c r="E638" s="185"/>
      <c r="F638" s="188"/>
      <c r="G638" s="185"/>
      <c r="H638" s="190"/>
      <c r="I638" s="183"/>
      <c r="J638" s="183"/>
    </row>
    <row r="639" ht="22.5" customHeight="1">
      <c r="A639" s="184"/>
      <c r="B639" s="185"/>
      <c r="C639" s="186"/>
      <c r="D639" s="187"/>
      <c r="E639" s="185"/>
      <c r="F639" s="188"/>
      <c r="G639" s="185"/>
      <c r="H639" s="190"/>
      <c r="I639" s="183"/>
      <c r="J639" s="183"/>
    </row>
    <row r="640" ht="22.5" customHeight="1">
      <c r="A640" s="184"/>
      <c r="B640" s="185"/>
      <c r="C640" s="186"/>
      <c r="D640" s="187"/>
      <c r="E640" s="185"/>
      <c r="F640" s="188"/>
      <c r="G640" s="185"/>
      <c r="H640" s="190"/>
      <c r="I640" s="183"/>
      <c r="J640" s="183"/>
    </row>
    <row r="641" ht="22.5" customHeight="1">
      <c r="A641" s="184"/>
      <c r="B641" s="185"/>
      <c r="C641" s="186"/>
      <c r="D641" s="187"/>
      <c r="E641" s="185"/>
      <c r="F641" s="188"/>
      <c r="G641" s="185"/>
      <c r="H641" s="190"/>
      <c r="I641" s="183"/>
      <c r="J641" s="183"/>
    </row>
    <row r="642" ht="22.5" customHeight="1">
      <c r="A642" s="184"/>
      <c r="B642" s="185"/>
      <c r="C642" s="186"/>
      <c r="D642" s="187"/>
      <c r="E642" s="185"/>
      <c r="F642" s="188"/>
      <c r="G642" s="185"/>
      <c r="H642" s="190"/>
      <c r="I642" s="183"/>
      <c r="J642" s="183"/>
    </row>
    <row r="643" ht="22.5" customHeight="1">
      <c r="A643" s="184"/>
      <c r="B643" s="185"/>
      <c r="C643" s="186"/>
      <c r="D643" s="187"/>
      <c r="E643" s="185"/>
      <c r="F643" s="188"/>
      <c r="G643" s="185"/>
      <c r="H643" s="190"/>
      <c r="I643" s="183"/>
      <c r="J643" s="183"/>
    </row>
    <row r="644" ht="22.5" customHeight="1">
      <c r="A644" s="184"/>
      <c r="B644" s="185"/>
      <c r="C644" s="186"/>
      <c r="D644" s="187"/>
      <c r="E644" s="185"/>
      <c r="F644" s="188"/>
      <c r="G644" s="185"/>
      <c r="H644" s="190"/>
      <c r="I644" s="183"/>
      <c r="J644" s="183"/>
    </row>
    <row r="645" ht="22.5" customHeight="1">
      <c r="A645" s="184"/>
      <c r="B645" s="185"/>
      <c r="C645" s="186"/>
      <c r="D645" s="187"/>
      <c r="E645" s="185"/>
      <c r="F645" s="188"/>
      <c r="G645" s="185"/>
      <c r="H645" s="190"/>
      <c r="I645" s="183"/>
      <c r="J645" s="183"/>
    </row>
    <row r="646" ht="22.5" customHeight="1">
      <c r="A646" s="184"/>
      <c r="B646" s="185"/>
      <c r="C646" s="186"/>
      <c r="D646" s="187"/>
      <c r="E646" s="185"/>
      <c r="F646" s="188"/>
      <c r="G646" s="185"/>
      <c r="H646" s="190"/>
      <c r="I646" s="183"/>
      <c r="J646" s="183"/>
    </row>
    <row r="647" ht="22.5" customHeight="1">
      <c r="A647" s="184"/>
      <c r="B647" s="185"/>
      <c r="C647" s="186"/>
      <c r="D647" s="187"/>
      <c r="E647" s="185"/>
      <c r="F647" s="188"/>
      <c r="G647" s="185"/>
      <c r="H647" s="190"/>
      <c r="I647" s="183"/>
      <c r="J647" s="183"/>
    </row>
    <row r="648" ht="22.5" customHeight="1">
      <c r="A648" s="184"/>
      <c r="B648" s="185"/>
      <c r="C648" s="186"/>
      <c r="D648" s="187"/>
      <c r="E648" s="185"/>
      <c r="F648" s="188"/>
      <c r="G648" s="185"/>
      <c r="H648" s="190"/>
      <c r="I648" s="183"/>
      <c r="J648" s="183"/>
    </row>
    <row r="649" ht="22.5" customHeight="1">
      <c r="A649" s="184"/>
      <c r="B649" s="185"/>
      <c r="C649" s="186"/>
      <c r="D649" s="187"/>
      <c r="E649" s="185"/>
      <c r="F649" s="188"/>
      <c r="G649" s="185"/>
      <c r="H649" s="190"/>
      <c r="I649" s="183"/>
      <c r="J649" s="183"/>
    </row>
    <row r="650" ht="22.5" customHeight="1">
      <c r="A650" s="184"/>
      <c r="B650" s="185"/>
      <c r="C650" s="186"/>
      <c r="D650" s="187"/>
      <c r="E650" s="185"/>
      <c r="F650" s="188"/>
      <c r="G650" s="185"/>
      <c r="H650" s="190"/>
      <c r="I650" s="183"/>
      <c r="J650" s="183"/>
    </row>
    <row r="651" ht="22.5" customHeight="1">
      <c r="A651" s="184"/>
      <c r="B651" s="185"/>
      <c r="C651" s="186"/>
      <c r="D651" s="187"/>
      <c r="E651" s="185"/>
      <c r="F651" s="188"/>
      <c r="G651" s="185"/>
      <c r="H651" s="190"/>
      <c r="I651" s="183"/>
      <c r="J651" s="183"/>
    </row>
    <row r="652" ht="22.5" customHeight="1">
      <c r="A652" s="184"/>
      <c r="B652" s="185"/>
      <c r="C652" s="186"/>
      <c r="D652" s="187"/>
      <c r="E652" s="185"/>
      <c r="F652" s="188"/>
      <c r="G652" s="185"/>
      <c r="H652" s="190"/>
      <c r="I652" s="183"/>
      <c r="J652" s="183"/>
    </row>
    <row r="653" ht="22.5" customHeight="1">
      <c r="A653" s="184"/>
      <c r="B653" s="185"/>
      <c r="C653" s="186"/>
      <c r="D653" s="187"/>
      <c r="E653" s="185"/>
      <c r="F653" s="188"/>
      <c r="G653" s="185"/>
      <c r="H653" s="190"/>
      <c r="I653" s="183"/>
      <c r="J653" s="183"/>
    </row>
    <row r="654" ht="22.5" customHeight="1">
      <c r="A654" s="184"/>
      <c r="B654" s="185"/>
      <c r="C654" s="186"/>
      <c r="D654" s="187"/>
      <c r="E654" s="185"/>
      <c r="F654" s="188"/>
      <c r="G654" s="185"/>
      <c r="H654" s="190"/>
      <c r="I654" s="183"/>
      <c r="J654" s="183"/>
    </row>
    <row r="655" ht="22.5" customHeight="1">
      <c r="A655" s="184"/>
      <c r="B655" s="185"/>
      <c r="C655" s="186"/>
      <c r="D655" s="187"/>
      <c r="E655" s="185"/>
      <c r="F655" s="188"/>
      <c r="G655" s="185"/>
      <c r="H655" s="190"/>
      <c r="I655" s="183"/>
      <c r="J655" s="183"/>
    </row>
    <row r="656" ht="22.5" customHeight="1">
      <c r="A656" s="184"/>
      <c r="B656" s="185"/>
      <c r="C656" s="186"/>
      <c r="D656" s="187"/>
      <c r="E656" s="185"/>
      <c r="F656" s="188"/>
      <c r="G656" s="185"/>
      <c r="H656" s="190"/>
      <c r="I656" s="183"/>
      <c r="J656" s="183"/>
    </row>
    <row r="657" ht="22.5" customHeight="1">
      <c r="A657" s="184"/>
      <c r="B657" s="185"/>
      <c r="C657" s="186"/>
      <c r="D657" s="187"/>
      <c r="E657" s="185"/>
      <c r="F657" s="188"/>
      <c r="G657" s="185"/>
      <c r="H657" s="190"/>
      <c r="I657" s="183"/>
      <c r="J657" s="183"/>
    </row>
    <row r="658" ht="22.5" customHeight="1">
      <c r="A658" s="184"/>
      <c r="B658" s="185"/>
      <c r="C658" s="186"/>
      <c r="D658" s="187"/>
      <c r="E658" s="185"/>
      <c r="F658" s="188"/>
      <c r="G658" s="185"/>
      <c r="H658" s="190"/>
      <c r="I658" s="183"/>
      <c r="J658" s="183"/>
    </row>
    <row r="659" ht="22.5" customHeight="1">
      <c r="A659" s="184"/>
      <c r="B659" s="185"/>
      <c r="C659" s="186"/>
      <c r="D659" s="187"/>
      <c r="E659" s="185"/>
      <c r="F659" s="188"/>
      <c r="G659" s="185"/>
      <c r="H659" s="190"/>
      <c r="I659" s="183"/>
      <c r="J659" s="183"/>
    </row>
    <row r="660" ht="22.5" customHeight="1">
      <c r="A660" s="184"/>
      <c r="B660" s="185"/>
      <c r="C660" s="186"/>
      <c r="D660" s="187"/>
      <c r="E660" s="185"/>
      <c r="F660" s="188"/>
      <c r="G660" s="185"/>
      <c r="H660" s="190"/>
      <c r="I660" s="183"/>
      <c r="J660" s="183"/>
    </row>
    <row r="661" ht="22.5" customHeight="1">
      <c r="A661" s="184"/>
      <c r="B661" s="185"/>
      <c r="C661" s="186"/>
      <c r="D661" s="187"/>
      <c r="E661" s="185"/>
      <c r="F661" s="188"/>
      <c r="G661" s="185"/>
      <c r="H661" s="190"/>
      <c r="I661" s="183"/>
      <c r="J661" s="183"/>
    </row>
    <row r="662" ht="22.5" customHeight="1">
      <c r="A662" s="184"/>
      <c r="B662" s="185"/>
      <c r="C662" s="186"/>
      <c r="D662" s="187"/>
      <c r="E662" s="185"/>
      <c r="F662" s="188"/>
      <c r="G662" s="185"/>
      <c r="H662" s="190"/>
      <c r="I662" s="183"/>
      <c r="J662" s="183"/>
    </row>
    <row r="663" ht="22.5" customHeight="1">
      <c r="A663" s="184"/>
      <c r="B663" s="185"/>
      <c r="C663" s="186"/>
      <c r="D663" s="187"/>
      <c r="E663" s="185"/>
      <c r="F663" s="188"/>
      <c r="G663" s="185"/>
      <c r="H663" s="190"/>
      <c r="I663" s="183"/>
      <c r="J663" s="183"/>
    </row>
    <row r="664" ht="22.5" customHeight="1">
      <c r="A664" s="184"/>
      <c r="B664" s="185"/>
      <c r="C664" s="186"/>
      <c r="D664" s="187"/>
      <c r="E664" s="185"/>
      <c r="F664" s="188"/>
      <c r="G664" s="185"/>
      <c r="H664" s="190"/>
      <c r="I664" s="183"/>
      <c r="J664" s="183"/>
    </row>
    <row r="665" ht="22.5" customHeight="1">
      <c r="A665" s="184"/>
      <c r="B665" s="185"/>
      <c r="C665" s="186"/>
      <c r="D665" s="187"/>
      <c r="E665" s="185"/>
      <c r="F665" s="188"/>
      <c r="G665" s="185"/>
      <c r="H665" s="190"/>
      <c r="I665" s="183"/>
      <c r="J665" s="183"/>
    </row>
    <row r="666" ht="22.5" customHeight="1">
      <c r="A666" s="184"/>
      <c r="B666" s="185"/>
      <c r="C666" s="186"/>
      <c r="D666" s="187"/>
      <c r="E666" s="185"/>
      <c r="F666" s="188"/>
      <c r="G666" s="185"/>
      <c r="H666" s="190"/>
      <c r="I666" s="183"/>
      <c r="J666" s="183"/>
    </row>
    <row r="667" ht="22.5" customHeight="1">
      <c r="A667" s="184"/>
      <c r="B667" s="185"/>
      <c r="C667" s="186"/>
      <c r="D667" s="187"/>
      <c r="E667" s="185"/>
      <c r="F667" s="188"/>
      <c r="G667" s="185"/>
      <c r="H667" s="190"/>
      <c r="I667" s="183"/>
      <c r="J667" s="183"/>
    </row>
    <row r="668" ht="22.5" customHeight="1">
      <c r="A668" s="184"/>
      <c r="B668" s="185"/>
      <c r="C668" s="186"/>
      <c r="D668" s="187"/>
      <c r="E668" s="185"/>
      <c r="F668" s="188"/>
      <c r="G668" s="185"/>
      <c r="H668" s="190"/>
      <c r="I668" s="183"/>
      <c r="J668" s="183"/>
    </row>
    <row r="669" ht="22.5" customHeight="1">
      <c r="A669" s="184"/>
      <c r="B669" s="185"/>
      <c r="C669" s="186"/>
      <c r="D669" s="187"/>
      <c r="E669" s="185"/>
      <c r="F669" s="188"/>
      <c r="G669" s="185"/>
      <c r="H669" s="190"/>
      <c r="I669" s="183"/>
      <c r="J669" s="183"/>
    </row>
    <row r="670" ht="22.5" customHeight="1">
      <c r="A670" s="184"/>
      <c r="B670" s="185"/>
      <c r="C670" s="186"/>
      <c r="D670" s="187"/>
      <c r="E670" s="185"/>
      <c r="F670" s="188"/>
      <c r="G670" s="185"/>
      <c r="H670" s="190"/>
      <c r="I670" s="183"/>
      <c r="J670" s="183"/>
    </row>
    <row r="671" ht="22.5" customHeight="1">
      <c r="A671" s="184"/>
      <c r="B671" s="185"/>
      <c r="C671" s="186"/>
      <c r="D671" s="187"/>
      <c r="E671" s="185"/>
      <c r="F671" s="188"/>
      <c r="G671" s="185"/>
      <c r="H671" s="190"/>
      <c r="I671" s="183"/>
      <c r="J671" s="183"/>
    </row>
    <row r="672" ht="22.5" customHeight="1">
      <c r="A672" s="184"/>
      <c r="B672" s="185"/>
      <c r="C672" s="186"/>
      <c r="D672" s="187"/>
      <c r="E672" s="185"/>
      <c r="F672" s="188"/>
      <c r="G672" s="185"/>
      <c r="H672" s="190"/>
      <c r="I672" s="183"/>
      <c r="J672" s="183"/>
    </row>
    <row r="673" ht="22.5" customHeight="1">
      <c r="A673" s="184"/>
      <c r="B673" s="185"/>
      <c r="C673" s="186"/>
      <c r="D673" s="187"/>
      <c r="E673" s="185"/>
      <c r="F673" s="188"/>
      <c r="G673" s="185"/>
      <c r="H673" s="190"/>
      <c r="I673" s="183"/>
      <c r="J673" s="183"/>
    </row>
    <row r="674" ht="22.5" customHeight="1">
      <c r="A674" s="184"/>
      <c r="B674" s="185"/>
      <c r="C674" s="186"/>
      <c r="D674" s="187"/>
      <c r="E674" s="185"/>
      <c r="F674" s="188"/>
      <c r="G674" s="185"/>
      <c r="H674" s="190"/>
      <c r="I674" s="183"/>
      <c r="J674" s="183"/>
    </row>
    <row r="675" ht="22.5" customHeight="1">
      <c r="A675" s="184"/>
      <c r="B675" s="185"/>
      <c r="C675" s="186"/>
      <c r="D675" s="187"/>
      <c r="E675" s="185"/>
      <c r="F675" s="188"/>
      <c r="G675" s="185"/>
      <c r="H675" s="190"/>
      <c r="I675" s="183"/>
      <c r="J675" s="183"/>
    </row>
    <row r="676" ht="22.5" customHeight="1">
      <c r="A676" s="184"/>
      <c r="B676" s="185"/>
      <c r="C676" s="186"/>
      <c r="D676" s="187"/>
      <c r="E676" s="185"/>
      <c r="F676" s="188"/>
      <c r="G676" s="185"/>
      <c r="H676" s="190"/>
      <c r="I676" s="183"/>
      <c r="J676" s="183"/>
    </row>
    <row r="677" ht="22.5" customHeight="1">
      <c r="A677" s="184"/>
      <c r="B677" s="185"/>
      <c r="C677" s="186"/>
      <c r="D677" s="187"/>
      <c r="E677" s="185"/>
      <c r="F677" s="188"/>
      <c r="G677" s="185"/>
      <c r="H677" s="190"/>
      <c r="I677" s="183"/>
      <c r="J677" s="183"/>
    </row>
    <row r="678" ht="22.5" customHeight="1">
      <c r="A678" s="184"/>
      <c r="B678" s="185"/>
      <c r="C678" s="186"/>
      <c r="D678" s="187"/>
      <c r="E678" s="185"/>
      <c r="F678" s="188"/>
      <c r="G678" s="185"/>
      <c r="H678" s="190"/>
      <c r="I678" s="183"/>
      <c r="J678" s="183"/>
    </row>
    <row r="679" ht="22.5" customHeight="1">
      <c r="A679" s="184"/>
      <c r="B679" s="185"/>
      <c r="C679" s="186"/>
      <c r="D679" s="187"/>
      <c r="E679" s="185"/>
      <c r="F679" s="188"/>
      <c r="G679" s="185"/>
      <c r="H679" s="190"/>
      <c r="I679" s="183"/>
      <c r="J679" s="183"/>
    </row>
    <row r="680" ht="22.5" customHeight="1">
      <c r="A680" s="184"/>
      <c r="B680" s="185"/>
      <c r="C680" s="186"/>
      <c r="D680" s="187"/>
      <c r="E680" s="185"/>
      <c r="F680" s="188"/>
      <c r="G680" s="185"/>
      <c r="H680" s="190"/>
      <c r="I680" s="183"/>
      <c r="J680" s="183"/>
    </row>
    <row r="681" ht="22.5" customHeight="1">
      <c r="A681" s="184"/>
      <c r="B681" s="185"/>
      <c r="C681" s="186"/>
      <c r="D681" s="187"/>
      <c r="E681" s="185"/>
      <c r="F681" s="188"/>
      <c r="G681" s="185"/>
      <c r="H681" s="190"/>
      <c r="I681" s="183"/>
      <c r="J681" s="183"/>
    </row>
    <row r="682" ht="22.5" customHeight="1">
      <c r="A682" s="184"/>
      <c r="B682" s="185"/>
      <c r="C682" s="186"/>
      <c r="D682" s="187"/>
      <c r="E682" s="185"/>
      <c r="F682" s="188"/>
      <c r="G682" s="185"/>
      <c r="H682" s="190"/>
      <c r="I682" s="183"/>
      <c r="J682" s="183"/>
    </row>
    <row r="683" ht="22.5" customHeight="1">
      <c r="A683" s="184"/>
      <c r="B683" s="185"/>
      <c r="C683" s="186"/>
      <c r="D683" s="187"/>
      <c r="E683" s="185"/>
      <c r="F683" s="188"/>
      <c r="G683" s="185"/>
      <c r="H683" s="190"/>
      <c r="I683" s="183"/>
      <c r="J683" s="183"/>
    </row>
    <row r="684" ht="22.5" customHeight="1">
      <c r="A684" s="184"/>
      <c r="B684" s="185"/>
      <c r="C684" s="186"/>
      <c r="D684" s="187"/>
      <c r="E684" s="185"/>
      <c r="F684" s="188"/>
      <c r="G684" s="185"/>
      <c r="H684" s="190"/>
      <c r="I684" s="183"/>
      <c r="J684" s="183"/>
    </row>
    <row r="685" ht="22.5" customHeight="1">
      <c r="A685" s="184"/>
      <c r="B685" s="185"/>
      <c r="C685" s="186"/>
      <c r="D685" s="187"/>
      <c r="E685" s="185"/>
      <c r="F685" s="188"/>
      <c r="G685" s="185"/>
      <c r="H685" s="190"/>
      <c r="I685" s="183"/>
      <c r="J685" s="183"/>
    </row>
    <row r="686" ht="22.5" customHeight="1">
      <c r="A686" s="184"/>
      <c r="B686" s="185"/>
      <c r="C686" s="186"/>
      <c r="D686" s="187"/>
      <c r="E686" s="185"/>
      <c r="F686" s="188"/>
      <c r="G686" s="185"/>
      <c r="H686" s="190"/>
      <c r="I686" s="183"/>
      <c r="J686" s="183"/>
    </row>
    <row r="687" ht="22.5" customHeight="1">
      <c r="A687" s="184"/>
      <c r="B687" s="185"/>
      <c r="C687" s="186"/>
      <c r="D687" s="187"/>
      <c r="E687" s="185"/>
      <c r="F687" s="188"/>
      <c r="G687" s="185"/>
      <c r="H687" s="190"/>
      <c r="I687" s="183"/>
      <c r="J687" s="183"/>
    </row>
    <row r="688" ht="22.5" customHeight="1">
      <c r="A688" s="184"/>
      <c r="B688" s="185"/>
      <c r="C688" s="186"/>
      <c r="D688" s="187"/>
      <c r="E688" s="185"/>
      <c r="F688" s="188"/>
      <c r="G688" s="185"/>
      <c r="H688" s="190"/>
      <c r="I688" s="183"/>
      <c r="J688" s="183"/>
    </row>
    <row r="689" ht="22.5" customHeight="1">
      <c r="A689" s="184"/>
      <c r="B689" s="185"/>
      <c r="C689" s="186"/>
      <c r="D689" s="187"/>
      <c r="E689" s="185"/>
      <c r="F689" s="188"/>
      <c r="G689" s="185"/>
      <c r="H689" s="190"/>
      <c r="I689" s="183"/>
      <c r="J689" s="183"/>
    </row>
    <row r="690" ht="22.5" customHeight="1">
      <c r="A690" s="184"/>
      <c r="B690" s="185"/>
      <c r="C690" s="186"/>
      <c r="D690" s="187"/>
      <c r="E690" s="185"/>
      <c r="F690" s="188"/>
      <c r="G690" s="185"/>
      <c r="H690" s="190"/>
      <c r="I690" s="183"/>
      <c r="J690" s="183"/>
    </row>
    <row r="691" ht="22.5" customHeight="1">
      <c r="A691" s="184"/>
      <c r="B691" s="185"/>
      <c r="C691" s="186"/>
      <c r="D691" s="187"/>
      <c r="E691" s="185"/>
      <c r="F691" s="188"/>
      <c r="G691" s="185"/>
      <c r="H691" s="190"/>
      <c r="I691" s="183"/>
      <c r="J691" s="183"/>
    </row>
    <row r="692" ht="22.5" customHeight="1">
      <c r="A692" s="184"/>
      <c r="B692" s="185"/>
      <c r="C692" s="186"/>
      <c r="D692" s="187"/>
      <c r="E692" s="185"/>
      <c r="F692" s="188"/>
      <c r="G692" s="185"/>
      <c r="H692" s="190"/>
      <c r="I692" s="183"/>
      <c r="J692" s="183"/>
    </row>
    <row r="693" ht="22.5" customHeight="1">
      <c r="A693" s="184"/>
      <c r="B693" s="185"/>
      <c r="C693" s="186"/>
      <c r="D693" s="187"/>
      <c r="E693" s="185"/>
      <c r="F693" s="188"/>
      <c r="G693" s="185"/>
      <c r="H693" s="190"/>
      <c r="I693" s="183"/>
      <c r="J693" s="183"/>
    </row>
    <row r="694" ht="22.5" customHeight="1">
      <c r="A694" s="184"/>
      <c r="B694" s="185"/>
      <c r="C694" s="186"/>
      <c r="D694" s="187"/>
      <c r="E694" s="185"/>
      <c r="F694" s="188"/>
      <c r="G694" s="185"/>
      <c r="H694" s="190"/>
      <c r="I694" s="183"/>
      <c r="J694" s="183"/>
    </row>
    <row r="695" ht="22.5" customHeight="1">
      <c r="A695" s="184"/>
      <c r="B695" s="185"/>
      <c r="C695" s="186"/>
      <c r="D695" s="187"/>
      <c r="E695" s="185"/>
      <c r="F695" s="188"/>
      <c r="G695" s="185"/>
      <c r="H695" s="190"/>
      <c r="I695" s="183"/>
      <c r="J695" s="183"/>
    </row>
    <row r="696" ht="22.5" customHeight="1">
      <c r="A696" s="184"/>
      <c r="B696" s="185"/>
      <c r="C696" s="186"/>
      <c r="D696" s="187"/>
      <c r="E696" s="185"/>
      <c r="F696" s="188"/>
      <c r="G696" s="185"/>
      <c r="H696" s="190"/>
      <c r="I696" s="183"/>
      <c r="J696" s="183"/>
    </row>
    <row r="697" ht="22.5" customHeight="1">
      <c r="A697" s="184"/>
      <c r="B697" s="185"/>
      <c r="C697" s="186"/>
      <c r="D697" s="187"/>
      <c r="E697" s="185"/>
      <c r="F697" s="188"/>
      <c r="G697" s="185"/>
      <c r="H697" s="190"/>
      <c r="I697" s="183"/>
      <c r="J697" s="183"/>
    </row>
    <row r="698" ht="22.5" customHeight="1">
      <c r="A698" s="184"/>
      <c r="B698" s="185"/>
      <c r="C698" s="186"/>
      <c r="D698" s="187"/>
      <c r="E698" s="185"/>
      <c r="F698" s="188"/>
      <c r="G698" s="185"/>
      <c r="H698" s="190"/>
      <c r="I698" s="183"/>
      <c r="J698" s="183"/>
    </row>
    <row r="699" ht="22.5" customHeight="1">
      <c r="A699" s="184"/>
      <c r="B699" s="185"/>
      <c r="C699" s="186"/>
      <c r="D699" s="187"/>
      <c r="E699" s="185"/>
      <c r="F699" s="188"/>
      <c r="G699" s="185"/>
      <c r="H699" s="190"/>
      <c r="I699" s="183"/>
      <c r="J699" s="183"/>
    </row>
    <row r="700" ht="22.5" customHeight="1">
      <c r="A700" s="184"/>
      <c r="B700" s="185"/>
      <c r="C700" s="186"/>
      <c r="D700" s="187"/>
      <c r="E700" s="185"/>
      <c r="F700" s="188"/>
      <c r="G700" s="185"/>
      <c r="H700" s="190"/>
      <c r="I700" s="183"/>
      <c r="J700" s="183"/>
    </row>
    <row r="701" ht="22.5" customHeight="1">
      <c r="A701" s="184"/>
      <c r="B701" s="185"/>
      <c r="C701" s="186"/>
      <c r="D701" s="187"/>
      <c r="E701" s="185"/>
      <c r="F701" s="188"/>
      <c r="G701" s="185"/>
      <c r="H701" s="190"/>
      <c r="I701" s="183"/>
      <c r="J701" s="183"/>
    </row>
    <row r="702" ht="22.5" customHeight="1">
      <c r="A702" s="184"/>
      <c r="B702" s="185"/>
      <c r="C702" s="186"/>
      <c r="D702" s="187"/>
      <c r="E702" s="185"/>
      <c r="F702" s="188"/>
      <c r="G702" s="185"/>
      <c r="H702" s="190"/>
      <c r="I702" s="183"/>
      <c r="J702" s="183"/>
    </row>
    <row r="703" ht="22.5" customHeight="1">
      <c r="A703" s="184"/>
      <c r="B703" s="185"/>
      <c r="C703" s="186"/>
      <c r="D703" s="187"/>
      <c r="E703" s="185"/>
      <c r="F703" s="188"/>
      <c r="G703" s="185"/>
      <c r="H703" s="190"/>
      <c r="I703" s="183"/>
      <c r="J703" s="183"/>
    </row>
    <row r="704" ht="22.5" customHeight="1">
      <c r="A704" s="184"/>
      <c r="B704" s="185"/>
      <c r="C704" s="186"/>
      <c r="D704" s="187"/>
      <c r="E704" s="185"/>
      <c r="F704" s="188"/>
      <c r="G704" s="185"/>
      <c r="H704" s="190"/>
      <c r="I704" s="183"/>
      <c r="J704" s="183"/>
    </row>
    <row r="705" ht="22.5" customHeight="1">
      <c r="A705" s="184"/>
      <c r="B705" s="185"/>
      <c r="C705" s="186"/>
      <c r="D705" s="187"/>
      <c r="E705" s="185"/>
      <c r="F705" s="188"/>
      <c r="G705" s="185"/>
      <c r="H705" s="190"/>
      <c r="I705" s="183"/>
      <c r="J705" s="183"/>
    </row>
    <row r="706" ht="22.5" customHeight="1">
      <c r="A706" s="184"/>
      <c r="B706" s="185"/>
      <c r="C706" s="186"/>
      <c r="D706" s="187"/>
      <c r="E706" s="185"/>
      <c r="F706" s="188"/>
      <c r="G706" s="185"/>
      <c r="H706" s="190"/>
      <c r="I706" s="183"/>
      <c r="J706" s="183"/>
    </row>
    <row r="707" ht="22.5" customHeight="1">
      <c r="A707" s="184"/>
      <c r="B707" s="185"/>
      <c r="C707" s="186"/>
      <c r="D707" s="187"/>
      <c r="E707" s="185"/>
      <c r="F707" s="188"/>
      <c r="G707" s="185"/>
      <c r="H707" s="190"/>
      <c r="I707" s="183"/>
      <c r="J707" s="183"/>
    </row>
    <row r="708" ht="22.5" customHeight="1">
      <c r="A708" s="184"/>
      <c r="B708" s="185"/>
      <c r="C708" s="186"/>
      <c r="D708" s="187"/>
      <c r="E708" s="185"/>
      <c r="F708" s="188"/>
      <c r="G708" s="185"/>
      <c r="H708" s="190"/>
      <c r="I708" s="183"/>
      <c r="J708" s="183"/>
    </row>
    <row r="709" ht="22.5" customHeight="1">
      <c r="A709" s="184"/>
      <c r="B709" s="185"/>
      <c r="C709" s="186"/>
      <c r="D709" s="187"/>
      <c r="E709" s="185"/>
      <c r="F709" s="188"/>
      <c r="G709" s="185"/>
      <c r="H709" s="190"/>
      <c r="I709" s="183"/>
      <c r="J709" s="183"/>
    </row>
    <row r="710" ht="22.5" customHeight="1">
      <c r="A710" s="184"/>
      <c r="B710" s="185"/>
      <c r="C710" s="186"/>
      <c r="D710" s="187"/>
      <c r="E710" s="185"/>
      <c r="F710" s="188"/>
      <c r="G710" s="185"/>
      <c r="H710" s="190"/>
      <c r="I710" s="183"/>
      <c r="J710" s="183"/>
    </row>
    <row r="711" ht="22.5" customHeight="1">
      <c r="A711" s="184"/>
      <c r="B711" s="185"/>
      <c r="C711" s="186"/>
      <c r="D711" s="187"/>
      <c r="E711" s="185"/>
      <c r="F711" s="188"/>
      <c r="G711" s="185"/>
      <c r="H711" s="190"/>
      <c r="I711" s="183"/>
      <c r="J711" s="183"/>
    </row>
    <row r="712" ht="22.5" customHeight="1">
      <c r="A712" s="184"/>
      <c r="B712" s="185"/>
      <c r="C712" s="186"/>
      <c r="D712" s="187"/>
      <c r="E712" s="185"/>
      <c r="F712" s="188"/>
      <c r="G712" s="185"/>
      <c r="H712" s="190"/>
      <c r="I712" s="183"/>
      <c r="J712" s="183"/>
    </row>
    <row r="713" ht="22.5" customHeight="1">
      <c r="A713" s="184"/>
      <c r="B713" s="185"/>
      <c r="C713" s="186"/>
      <c r="D713" s="187"/>
      <c r="E713" s="185"/>
      <c r="F713" s="188"/>
      <c r="G713" s="185"/>
      <c r="H713" s="190"/>
      <c r="I713" s="183"/>
      <c r="J713" s="183"/>
    </row>
    <row r="714" ht="22.5" customHeight="1">
      <c r="A714" s="184"/>
      <c r="B714" s="185"/>
      <c r="C714" s="186"/>
      <c r="D714" s="187"/>
      <c r="E714" s="185"/>
      <c r="F714" s="188"/>
      <c r="G714" s="185"/>
      <c r="H714" s="190"/>
      <c r="I714" s="183"/>
      <c r="J714" s="183"/>
    </row>
    <row r="715" ht="22.5" customHeight="1">
      <c r="A715" s="184"/>
      <c r="B715" s="185"/>
      <c r="C715" s="186"/>
      <c r="D715" s="187"/>
      <c r="E715" s="185"/>
      <c r="F715" s="188"/>
      <c r="G715" s="185"/>
      <c r="H715" s="190"/>
      <c r="I715" s="183"/>
      <c r="J715" s="183"/>
    </row>
    <row r="716" ht="22.5" customHeight="1">
      <c r="A716" s="184"/>
      <c r="B716" s="185"/>
      <c r="C716" s="186"/>
      <c r="D716" s="187"/>
      <c r="E716" s="185"/>
      <c r="F716" s="188"/>
      <c r="G716" s="185"/>
      <c r="H716" s="190"/>
      <c r="I716" s="183"/>
      <c r="J716" s="183"/>
    </row>
    <row r="717" ht="22.5" customHeight="1">
      <c r="A717" s="184"/>
      <c r="B717" s="185"/>
      <c r="C717" s="186"/>
      <c r="D717" s="187"/>
      <c r="E717" s="185"/>
      <c r="F717" s="188"/>
      <c r="G717" s="185"/>
      <c r="H717" s="190"/>
      <c r="I717" s="183"/>
      <c r="J717" s="183"/>
    </row>
    <row r="718" ht="22.5" customHeight="1">
      <c r="A718" s="184"/>
      <c r="B718" s="185"/>
      <c r="C718" s="186"/>
      <c r="D718" s="187"/>
      <c r="E718" s="185"/>
      <c r="F718" s="188"/>
      <c r="G718" s="185"/>
      <c r="H718" s="190"/>
      <c r="I718" s="183"/>
      <c r="J718" s="183"/>
    </row>
    <row r="719" ht="22.5" customHeight="1">
      <c r="A719" s="184"/>
      <c r="B719" s="185"/>
      <c r="C719" s="186"/>
      <c r="D719" s="187"/>
      <c r="E719" s="185"/>
      <c r="F719" s="188"/>
      <c r="G719" s="185"/>
      <c r="H719" s="190"/>
      <c r="I719" s="183"/>
      <c r="J719" s="183"/>
    </row>
    <row r="720" ht="22.5" customHeight="1">
      <c r="A720" s="184"/>
      <c r="B720" s="185"/>
      <c r="C720" s="186"/>
      <c r="D720" s="187"/>
      <c r="E720" s="185"/>
      <c r="F720" s="188"/>
      <c r="G720" s="185"/>
      <c r="H720" s="190"/>
      <c r="I720" s="183"/>
      <c r="J720" s="183"/>
    </row>
    <row r="721" ht="22.5" customHeight="1">
      <c r="A721" s="184"/>
      <c r="B721" s="185"/>
      <c r="C721" s="186"/>
      <c r="D721" s="187"/>
      <c r="E721" s="185"/>
      <c r="F721" s="188"/>
      <c r="G721" s="185"/>
      <c r="H721" s="190"/>
      <c r="I721" s="183"/>
      <c r="J721" s="183"/>
    </row>
    <row r="722" ht="22.5" customHeight="1">
      <c r="A722" s="184"/>
      <c r="B722" s="185"/>
      <c r="C722" s="186"/>
      <c r="D722" s="187"/>
      <c r="E722" s="185"/>
      <c r="F722" s="188"/>
      <c r="G722" s="185"/>
      <c r="H722" s="190"/>
      <c r="I722" s="183"/>
      <c r="J722" s="183"/>
    </row>
    <row r="723" ht="22.5" customHeight="1">
      <c r="A723" s="184"/>
      <c r="B723" s="185"/>
      <c r="C723" s="186"/>
      <c r="D723" s="187"/>
      <c r="E723" s="185"/>
      <c r="F723" s="188"/>
      <c r="G723" s="185"/>
      <c r="H723" s="190"/>
      <c r="I723" s="183"/>
      <c r="J723" s="183"/>
    </row>
    <row r="724" ht="22.5" customHeight="1">
      <c r="A724" s="184"/>
      <c r="B724" s="185"/>
      <c r="C724" s="186"/>
      <c r="D724" s="187"/>
      <c r="E724" s="185"/>
      <c r="F724" s="188"/>
      <c r="G724" s="185"/>
      <c r="H724" s="190"/>
      <c r="I724" s="183"/>
      <c r="J724" s="183"/>
    </row>
    <row r="725" ht="22.5" customHeight="1">
      <c r="A725" s="184"/>
      <c r="B725" s="185"/>
      <c r="C725" s="186"/>
      <c r="D725" s="187"/>
      <c r="E725" s="185"/>
      <c r="F725" s="188"/>
      <c r="G725" s="185"/>
      <c r="H725" s="190"/>
      <c r="I725" s="183"/>
      <c r="J725" s="183"/>
    </row>
    <row r="726" ht="22.5" customHeight="1">
      <c r="A726" s="184"/>
      <c r="B726" s="185"/>
      <c r="C726" s="186"/>
      <c r="D726" s="187"/>
      <c r="E726" s="185"/>
      <c r="F726" s="188"/>
      <c r="G726" s="185"/>
      <c r="H726" s="190"/>
      <c r="I726" s="183"/>
      <c r="J726" s="183"/>
    </row>
    <row r="727" ht="22.5" customHeight="1">
      <c r="A727" s="184"/>
      <c r="B727" s="185"/>
      <c r="C727" s="186"/>
      <c r="D727" s="187"/>
      <c r="E727" s="185"/>
      <c r="F727" s="188"/>
      <c r="G727" s="185"/>
      <c r="H727" s="190"/>
      <c r="I727" s="183"/>
      <c r="J727" s="183"/>
    </row>
    <row r="728" ht="22.5" customHeight="1">
      <c r="A728" s="184"/>
      <c r="B728" s="185"/>
      <c r="C728" s="186"/>
      <c r="D728" s="187"/>
      <c r="E728" s="185"/>
      <c r="F728" s="188"/>
      <c r="G728" s="185"/>
      <c r="H728" s="190"/>
      <c r="I728" s="183"/>
      <c r="J728" s="183"/>
    </row>
    <row r="729" ht="22.5" customHeight="1">
      <c r="A729" s="184"/>
      <c r="B729" s="185"/>
      <c r="C729" s="186"/>
      <c r="D729" s="187"/>
      <c r="E729" s="185"/>
      <c r="F729" s="188"/>
      <c r="G729" s="185"/>
      <c r="H729" s="190"/>
      <c r="I729" s="183"/>
      <c r="J729" s="183"/>
    </row>
    <row r="730" ht="22.5" customHeight="1">
      <c r="A730" s="184"/>
      <c r="B730" s="185"/>
      <c r="C730" s="186"/>
      <c r="D730" s="187"/>
      <c r="E730" s="185"/>
      <c r="F730" s="188"/>
      <c r="G730" s="185"/>
      <c r="H730" s="190"/>
      <c r="I730" s="183"/>
      <c r="J730" s="183"/>
    </row>
    <row r="731" ht="22.5" customHeight="1">
      <c r="A731" s="184"/>
      <c r="B731" s="185"/>
      <c r="C731" s="186"/>
      <c r="D731" s="187"/>
      <c r="E731" s="185"/>
      <c r="F731" s="188"/>
      <c r="G731" s="185"/>
      <c r="H731" s="190"/>
      <c r="I731" s="183"/>
      <c r="J731" s="183"/>
    </row>
    <row r="732" ht="22.5" customHeight="1">
      <c r="A732" s="184"/>
      <c r="B732" s="185"/>
      <c r="C732" s="186"/>
      <c r="D732" s="187"/>
      <c r="E732" s="185"/>
      <c r="F732" s="188"/>
      <c r="G732" s="185"/>
      <c r="H732" s="190"/>
      <c r="I732" s="183"/>
      <c r="J732" s="183"/>
    </row>
    <row r="733" ht="22.5" customHeight="1">
      <c r="A733" s="184"/>
      <c r="B733" s="185"/>
      <c r="C733" s="186"/>
      <c r="D733" s="187"/>
      <c r="E733" s="185"/>
      <c r="F733" s="188"/>
      <c r="G733" s="185"/>
      <c r="H733" s="190"/>
      <c r="I733" s="183"/>
      <c r="J733" s="183"/>
    </row>
    <row r="734" ht="22.5" customHeight="1">
      <c r="A734" s="184"/>
      <c r="B734" s="185"/>
      <c r="C734" s="186"/>
      <c r="D734" s="187"/>
      <c r="E734" s="185"/>
      <c r="F734" s="188"/>
      <c r="G734" s="185"/>
      <c r="H734" s="190"/>
      <c r="I734" s="183"/>
      <c r="J734" s="183"/>
    </row>
    <row r="735" ht="22.5" customHeight="1">
      <c r="A735" s="184"/>
      <c r="B735" s="185"/>
      <c r="C735" s="186"/>
      <c r="D735" s="187"/>
      <c r="E735" s="185"/>
      <c r="F735" s="188"/>
      <c r="G735" s="185"/>
      <c r="H735" s="190"/>
      <c r="I735" s="183"/>
      <c r="J735" s="183"/>
    </row>
    <row r="736" ht="22.5" customHeight="1">
      <c r="A736" s="184"/>
      <c r="B736" s="185"/>
      <c r="C736" s="186"/>
      <c r="D736" s="187"/>
      <c r="E736" s="185"/>
      <c r="F736" s="188"/>
      <c r="G736" s="185"/>
      <c r="H736" s="190"/>
      <c r="I736" s="183"/>
      <c r="J736" s="183"/>
    </row>
    <row r="737" ht="22.5" customHeight="1">
      <c r="A737" s="184"/>
      <c r="B737" s="185"/>
      <c r="C737" s="186"/>
      <c r="D737" s="187"/>
      <c r="E737" s="185"/>
      <c r="F737" s="188"/>
      <c r="G737" s="185"/>
      <c r="H737" s="190"/>
      <c r="I737" s="183"/>
      <c r="J737" s="183"/>
    </row>
    <row r="738" ht="22.5" customHeight="1">
      <c r="A738" s="184"/>
      <c r="B738" s="185"/>
      <c r="C738" s="186"/>
      <c r="D738" s="187"/>
      <c r="E738" s="185"/>
      <c r="F738" s="188"/>
      <c r="G738" s="185"/>
      <c r="H738" s="190"/>
      <c r="I738" s="183"/>
      <c r="J738" s="183"/>
    </row>
    <row r="739" ht="22.5" customHeight="1">
      <c r="A739" s="184"/>
      <c r="B739" s="185"/>
      <c r="C739" s="186"/>
      <c r="D739" s="187"/>
      <c r="E739" s="185"/>
      <c r="F739" s="188"/>
      <c r="G739" s="185"/>
      <c r="H739" s="190"/>
      <c r="I739" s="183"/>
      <c r="J739" s="183"/>
    </row>
    <row r="740" ht="22.5" customHeight="1">
      <c r="A740" s="184"/>
      <c r="B740" s="185"/>
      <c r="C740" s="186"/>
      <c r="D740" s="187"/>
      <c r="E740" s="185"/>
      <c r="F740" s="188"/>
      <c r="G740" s="185"/>
      <c r="H740" s="190"/>
      <c r="I740" s="183"/>
      <c r="J740" s="183"/>
    </row>
    <row r="741" ht="22.5" customHeight="1">
      <c r="A741" s="184"/>
      <c r="B741" s="185"/>
      <c r="C741" s="186"/>
      <c r="D741" s="187"/>
      <c r="E741" s="185"/>
      <c r="F741" s="188"/>
      <c r="G741" s="185"/>
      <c r="H741" s="190"/>
      <c r="I741" s="183"/>
      <c r="J741" s="183"/>
    </row>
    <row r="742" ht="22.5" customHeight="1">
      <c r="A742" s="184"/>
      <c r="B742" s="185"/>
      <c r="C742" s="186"/>
      <c r="D742" s="187"/>
      <c r="E742" s="185"/>
      <c r="F742" s="188"/>
      <c r="G742" s="185"/>
      <c r="H742" s="190"/>
      <c r="I742" s="183"/>
      <c r="J742" s="183"/>
    </row>
    <row r="743" ht="22.5" customHeight="1">
      <c r="A743" s="184"/>
      <c r="B743" s="185"/>
      <c r="C743" s="186"/>
      <c r="D743" s="187"/>
      <c r="E743" s="185"/>
      <c r="F743" s="188"/>
      <c r="G743" s="185"/>
      <c r="H743" s="190"/>
      <c r="I743" s="183"/>
      <c r="J743" s="183"/>
    </row>
    <row r="744" ht="22.5" customHeight="1">
      <c r="A744" s="184"/>
      <c r="B744" s="185"/>
      <c r="C744" s="186"/>
      <c r="D744" s="187"/>
      <c r="E744" s="185"/>
      <c r="F744" s="188"/>
      <c r="G744" s="185"/>
      <c r="H744" s="190"/>
      <c r="I744" s="183"/>
      <c r="J744" s="183"/>
    </row>
    <row r="745" ht="22.5" customHeight="1">
      <c r="A745" s="184"/>
      <c r="B745" s="185"/>
      <c r="C745" s="186"/>
      <c r="D745" s="187"/>
      <c r="E745" s="185"/>
      <c r="F745" s="188"/>
      <c r="G745" s="185"/>
      <c r="H745" s="190"/>
      <c r="I745" s="183"/>
      <c r="J745" s="183"/>
    </row>
    <row r="746" ht="22.5" customHeight="1">
      <c r="A746" s="184"/>
      <c r="B746" s="185"/>
      <c r="C746" s="186"/>
      <c r="D746" s="187"/>
      <c r="E746" s="185"/>
      <c r="F746" s="188"/>
      <c r="G746" s="185"/>
      <c r="H746" s="190"/>
      <c r="I746" s="183"/>
      <c r="J746" s="183"/>
    </row>
    <row r="747" ht="22.5" customHeight="1">
      <c r="A747" s="184"/>
      <c r="B747" s="185"/>
      <c r="C747" s="186"/>
      <c r="D747" s="187"/>
      <c r="E747" s="185"/>
      <c r="F747" s="188"/>
      <c r="G747" s="185"/>
      <c r="H747" s="190"/>
      <c r="I747" s="183"/>
      <c r="J747" s="183"/>
    </row>
    <row r="748" ht="22.5" customHeight="1">
      <c r="A748" s="184"/>
      <c r="B748" s="185"/>
      <c r="C748" s="186"/>
      <c r="D748" s="187"/>
      <c r="E748" s="185"/>
      <c r="F748" s="188"/>
      <c r="G748" s="185"/>
      <c r="H748" s="190"/>
      <c r="I748" s="183"/>
      <c r="J748" s="183"/>
    </row>
    <row r="749" ht="22.5" customHeight="1">
      <c r="A749" s="184"/>
      <c r="B749" s="185"/>
      <c r="C749" s="186"/>
      <c r="D749" s="187"/>
      <c r="E749" s="185"/>
      <c r="F749" s="188"/>
      <c r="G749" s="185"/>
      <c r="H749" s="190"/>
      <c r="I749" s="183"/>
      <c r="J749" s="183"/>
    </row>
    <row r="750" ht="22.5" customHeight="1">
      <c r="A750" s="184"/>
      <c r="B750" s="185"/>
      <c r="C750" s="186"/>
      <c r="D750" s="187"/>
      <c r="E750" s="185"/>
      <c r="F750" s="188"/>
      <c r="G750" s="185"/>
      <c r="H750" s="190"/>
      <c r="I750" s="183"/>
      <c r="J750" s="183"/>
    </row>
    <row r="751" ht="22.5" customHeight="1">
      <c r="A751" s="184"/>
      <c r="B751" s="185"/>
      <c r="C751" s="186"/>
      <c r="D751" s="187"/>
      <c r="E751" s="185"/>
      <c r="F751" s="188"/>
      <c r="G751" s="185"/>
      <c r="H751" s="190"/>
      <c r="I751" s="183"/>
      <c r="J751" s="183"/>
    </row>
    <row r="752" ht="22.5" customHeight="1">
      <c r="A752" s="184"/>
      <c r="B752" s="185"/>
      <c r="C752" s="186"/>
      <c r="D752" s="187"/>
      <c r="E752" s="185"/>
      <c r="F752" s="188"/>
      <c r="G752" s="185"/>
      <c r="H752" s="190"/>
      <c r="I752" s="183"/>
      <c r="J752" s="183"/>
    </row>
    <row r="753" ht="22.5" customHeight="1">
      <c r="A753" s="184"/>
      <c r="B753" s="185"/>
      <c r="C753" s="186"/>
      <c r="D753" s="187"/>
      <c r="E753" s="185"/>
      <c r="F753" s="188"/>
      <c r="G753" s="185"/>
      <c r="H753" s="190"/>
      <c r="I753" s="183"/>
      <c r="J753" s="183"/>
    </row>
    <row r="754" ht="22.5" customHeight="1">
      <c r="A754" s="184"/>
      <c r="B754" s="185"/>
      <c r="C754" s="186"/>
      <c r="D754" s="187"/>
      <c r="E754" s="185"/>
      <c r="F754" s="188"/>
      <c r="G754" s="185"/>
      <c r="H754" s="190"/>
      <c r="I754" s="183"/>
      <c r="J754" s="183"/>
    </row>
    <row r="755" ht="22.5" customHeight="1">
      <c r="A755" s="184"/>
      <c r="B755" s="185"/>
      <c r="C755" s="186"/>
      <c r="D755" s="187"/>
      <c r="E755" s="185"/>
      <c r="F755" s="188"/>
      <c r="G755" s="185"/>
      <c r="H755" s="190"/>
      <c r="I755" s="183"/>
      <c r="J755" s="183"/>
    </row>
    <row r="756" ht="22.5" customHeight="1">
      <c r="A756" s="184"/>
      <c r="B756" s="185"/>
      <c r="C756" s="186"/>
      <c r="D756" s="187"/>
      <c r="E756" s="185"/>
      <c r="F756" s="188"/>
      <c r="G756" s="185"/>
      <c r="H756" s="190"/>
      <c r="I756" s="183"/>
      <c r="J756" s="183"/>
    </row>
    <row r="757" ht="22.5" customHeight="1">
      <c r="A757" s="184"/>
      <c r="B757" s="185"/>
      <c r="C757" s="186"/>
      <c r="D757" s="187"/>
      <c r="E757" s="185"/>
      <c r="F757" s="188"/>
      <c r="G757" s="185"/>
      <c r="H757" s="190"/>
      <c r="I757" s="183"/>
      <c r="J757" s="183"/>
    </row>
    <row r="758" ht="22.5" customHeight="1">
      <c r="A758" s="184"/>
      <c r="B758" s="185"/>
      <c r="C758" s="186"/>
      <c r="D758" s="187"/>
      <c r="E758" s="185"/>
      <c r="F758" s="188"/>
      <c r="G758" s="185"/>
      <c r="H758" s="190"/>
      <c r="I758" s="183"/>
      <c r="J758" s="183"/>
    </row>
    <row r="759" ht="22.5" customHeight="1">
      <c r="A759" s="184"/>
      <c r="B759" s="185"/>
      <c r="C759" s="186"/>
      <c r="D759" s="187"/>
      <c r="E759" s="185"/>
      <c r="F759" s="188"/>
      <c r="G759" s="185"/>
      <c r="H759" s="190"/>
      <c r="I759" s="183"/>
      <c r="J759" s="183"/>
    </row>
    <row r="760" ht="22.5" customHeight="1">
      <c r="A760" s="184"/>
      <c r="B760" s="185"/>
      <c r="C760" s="186"/>
      <c r="D760" s="187"/>
      <c r="E760" s="185"/>
      <c r="F760" s="188"/>
      <c r="G760" s="185"/>
      <c r="H760" s="190"/>
      <c r="I760" s="183"/>
      <c r="J760" s="183"/>
    </row>
    <row r="761" ht="22.5" customHeight="1">
      <c r="A761" s="184"/>
      <c r="B761" s="185"/>
      <c r="C761" s="186"/>
      <c r="D761" s="187"/>
      <c r="E761" s="185"/>
      <c r="F761" s="188"/>
      <c r="G761" s="185"/>
      <c r="H761" s="190"/>
      <c r="I761" s="183"/>
      <c r="J761" s="183"/>
    </row>
    <row r="762" ht="22.5" customHeight="1">
      <c r="A762" s="184"/>
      <c r="B762" s="185"/>
      <c r="C762" s="186"/>
      <c r="D762" s="187"/>
      <c r="E762" s="185"/>
      <c r="F762" s="188"/>
      <c r="G762" s="185"/>
      <c r="H762" s="190"/>
      <c r="I762" s="183"/>
      <c r="J762" s="183"/>
    </row>
    <row r="763" ht="22.5" customHeight="1">
      <c r="A763" s="184"/>
      <c r="B763" s="185"/>
      <c r="C763" s="186"/>
      <c r="D763" s="187"/>
      <c r="E763" s="185"/>
      <c r="F763" s="188"/>
      <c r="G763" s="185"/>
      <c r="H763" s="190"/>
      <c r="I763" s="183"/>
      <c r="J763" s="183"/>
    </row>
    <row r="764" ht="22.5" customHeight="1">
      <c r="A764" s="184"/>
      <c r="B764" s="185"/>
      <c r="C764" s="186"/>
      <c r="D764" s="187"/>
      <c r="E764" s="185"/>
      <c r="F764" s="188"/>
      <c r="G764" s="185"/>
      <c r="H764" s="190"/>
      <c r="I764" s="183"/>
      <c r="J764" s="183"/>
    </row>
    <row r="765" ht="22.5" customHeight="1">
      <c r="A765" s="184"/>
      <c r="B765" s="185"/>
      <c r="C765" s="186"/>
      <c r="D765" s="187"/>
      <c r="E765" s="185"/>
      <c r="F765" s="188"/>
      <c r="G765" s="185"/>
      <c r="H765" s="190"/>
      <c r="I765" s="183"/>
      <c r="J765" s="183"/>
    </row>
    <row r="766" ht="22.5" customHeight="1">
      <c r="A766" s="184"/>
      <c r="B766" s="185"/>
      <c r="C766" s="186"/>
      <c r="D766" s="187"/>
      <c r="E766" s="185"/>
      <c r="F766" s="188"/>
      <c r="G766" s="185"/>
      <c r="H766" s="190"/>
      <c r="I766" s="183"/>
      <c r="J766" s="183"/>
    </row>
    <row r="767" ht="22.5" customHeight="1">
      <c r="A767" s="184"/>
      <c r="B767" s="185"/>
      <c r="C767" s="186"/>
      <c r="D767" s="187"/>
      <c r="E767" s="185"/>
      <c r="F767" s="188"/>
      <c r="G767" s="185"/>
      <c r="H767" s="190"/>
      <c r="I767" s="183"/>
      <c r="J767" s="183"/>
    </row>
    <row r="768" ht="22.5" customHeight="1">
      <c r="A768" s="184"/>
      <c r="B768" s="185"/>
      <c r="C768" s="186"/>
      <c r="D768" s="187"/>
      <c r="E768" s="185"/>
      <c r="F768" s="188"/>
      <c r="G768" s="185"/>
      <c r="H768" s="190"/>
      <c r="I768" s="183"/>
      <c r="J768" s="183"/>
    </row>
    <row r="769" ht="22.5" customHeight="1">
      <c r="A769" s="184"/>
      <c r="B769" s="185"/>
      <c r="C769" s="186"/>
      <c r="D769" s="187"/>
      <c r="E769" s="185"/>
      <c r="F769" s="188"/>
      <c r="G769" s="185"/>
      <c r="H769" s="190"/>
      <c r="I769" s="183"/>
      <c r="J769" s="183"/>
    </row>
    <row r="770" ht="22.5" customHeight="1">
      <c r="A770" s="184"/>
      <c r="B770" s="185"/>
      <c r="C770" s="186"/>
      <c r="D770" s="187"/>
      <c r="E770" s="185"/>
      <c r="F770" s="188"/>
      <c r="G770" s="185"/>
      <c r="H770" s="190"/>
      <c r="I770" s="183"/>
      <c r="J770" s="183"/>
    </row>
    <row r="771" ht="22.5" customHeight="1">
      <c r="A771" s="184"/>
      <c r="B771" s="185"/>
      <c r="C771" s="186"/>
      <c r="D771" s="187"/>
      <c r="E771" s="185"/>
      <c r="F771" s="188"/>
      <c r="G771" s="185"/>
      <c r="H771" s="190"/>
      <c r="I771" s="183"/>
      <c r="J771" s="183"/>
    </row>
    <row r="772" ht="22.5" customHeight="1">
      <c r="A772" s="184"/>
      <c r="B772" s="185"/>
      <c r="C772" s="186"/>
      <c r="D772" s="187"/>
      <c r="E772" s="185"/>
      <c r="F772" s="188"/>
      <c r="G772" s="185"/>
      <c r="H772" s="190"/>
      <c r="I772" s="183"/>
      <c r="J772" s="183"/>
    </row>
    <row r="773" ht="22.5" customHeight="1">
      <c r="A773" s="184"/>
      <c r="B773" s="185"/>
      <c r="C773" s="186"/>
      <c r="D773" s="187"/>
      <c r="E773" s="185"/>
      <c r="F773" s="188"/>
      <c r="G773" s="185"/>
      <c r="H773" s="190"/>
      <c r="I773" s="183"/>
      <c r="J773" s="183"/>
    </row>
    <row r="774" ht="22.5" customHeight="1">
      <c r="A774" s="184"/>
      <c r="B774" s="185"/>
      <c r="C774" s="186"/>
      <c r="D774" s="187"/>
      <c r="E774" s="185"/>
      <c r="F774" s="188"/>
      <c r="G774" s="185"/>
      <c r="H774" s="190"/>
      <c r="I774" s="183"/>
      <c r="J774" s="183"/>
    </row>
    <row r="775" ht="22.5" customHeight="1">
      <c r="A775" s="184"/>
      <c r="B775" s="185"/>
      <c r="C775" s="186"/>
      <c r="D775" s="187"/>
      <c r="E775" s="185"/>
      <c r="F775" s="188"/>
      <c r="G775" s="185"/>
      <c r="H775" s="190"/>
      <c r="I775" s="183"/>
      <c r="J775" s="183"/>
    </row>
    <row r="776" ht="22.5" customHeight="1">
      <c r="A776" s="184"/>
      <c r="B776" s="185"/>
      <c r="C776" s="186"/>
      <c r="D776" s="187"/>
      <c r="E776" s="185"/>
      <c r="F776" s="188"/>
      <c r="G776" s="185"/>
      <c r="H776" s="190"/>
      <c r="I776" s="183"/>
      <c r="J776" s="183"/>
    </row>
    <row r="777" ht="22.5" customHeight="1">
      <c r="A777" s="184"/>
      <c r="B777" s="185"/>
      <c r="C777" s="186"/>
      <c r="D777" s="187"/>
      <c r="E777" s="185"/>
      <c r="F777" s="188"/>
      <c r="G777" s="185"/>
      <c r="H777" s="190"/>
      <c r="I777" s="183"/>
      <c r="J777" s="183"/>
    </row>
    <row r="778" ht="22.5" customHeight="1">
      <c r="A778" s="184"/>
      <c r="B778" s="185"/>
      <c r="C778" s="186"/>
      <c r="D778" s="187"/>
      <c r="E778" s="185"/>
      <c r="F778" s="188"/>
      <c r="G778" s="185"/>
      <c r="H778" s="190"/>
      <c r="I778" s="183"/>
      <c r="J778" s="183"/>
    </row>
    <row r="779" ht="22.5" customHeight="1">
      <c r="A779" s="184"/>
      <c r="B779" s="185"/>
      <c r="C779" s="186"/>
      <c r="D779" s="187"/>
      <c r="E779" s="185"/>
      <c r="F779" s="188"/>
      <c r="G779" s="185"/>
      <c r="H779" s="190"/>
      <c r="I779" s="183"/>
      <c r="J779" s="183"/>
    </row>
    <row r="780" ht="22.5" customHeight="1">
      <c r="A780" s="184"/>
      <c r="B780" s="185"/>
      <c r="C780" s="186"/>
      <c r="D780" s="187"/>
      <c r="E780" s="185"/>
      <c r="F780" s="188"/>
      <c r="G780" s="185"/>
      <c r="H780" s="190"/>
      <c r="I780" s="183"/>
      <c r="J780" s="183"/>
    </row>
    <row r="781" ht="22.5" customHeight="1">
      <c r="A781" s="184"/>
      <c r="B781" s="185"/>
      <c r="C781" s="186"/>
      <c r="D781" s="187"/>
      <c r="E781" s="185"/>
      <c r="F781" s="188"/>
      <c r="G781" s="185"/>
      <c r="H781" s="190"/>
      <c r="I781" s="183"/>
      <c r="J781" s="183"/>
    </row>
    <row r="782" ht="22.5" customHeight="1">
      <c r="A782" s="184"/>
      <c r="B782" s="185"/>
      <c r="C782" s="186"/>
      <c r="D782" s="187"/>
      <c r="E782" s="185"/>
      <c r="F782" s="188"/>
      <c r="G782" s="185"/>
      <c r="H782" s="190"/>
      <c r="I782" s="183"/>
      <c r="J782" s="183"/>
    </row>
    <row r="783" ht="22.5" customHeight="1">
      <c r="A783" s="184"/>
      <c r="B783" s="185"/>
      <c r="C783" s="186"/>
      <c r="D783" s="187"/>
      <c r="E783" s="185"/>
      <c r="F783" s="188"/>
      <c r="G783" s="185"/>
      <c r="H783" s="190"/>
      <c r="I783" s="183"/>
      <c r="J783" s="183"/>
    </row>
    <row r="784" ht="22.5" customHeight="1">
      <c r="A784" s="184"/>
      <c r="B784" s="185"/>
      <c r="C784" s="186"/>
      <c r="D784" s="187"/>
      <c r="E784" s="185"/>
      <c r="F784" s="188"/>
      <c r="G784" s="185"/>
      <c r="H784" s="190"/>
      <c r="I784" s="183"/>
      <c r="J784" s="183"/>
    </row>
    <row r="785" ht="22.5" customHeight="1">
      <c r="A785" s="184"/>
      <c r="B785" s="185"/>
      <c r="C785" s="186"/>
      <c r="D785" s="187"/>
      <c r="E785" s="185"/>
      <c r="F785" s="188"/>
      <c r="G785" s="185"/>
      <c r="H785" s="190"/>
      <c r="I785" s="183"/>
      <c r="J785" s="183"/>
    </row>
    <row r="786" ht="22.5" customHeight="1">
      <c r="A786" s="184"/>
      <c r="B786" s="185"/>
      <c r="C786" s="186"/>
      <c r="D786" s="187"/>
      <c r="E786" s="185"/>
      <c r="F786" s="188"/>
      <c r="G786" s="185"/>
      <c r="H786" s="190"/>
      <c r="I786" s="183"/>
      <c r="J786" s="183"/>
    </row>
    <row r="787" ht="22.5" customHeight="1">
      <c r="A787" s="184"/>
      <c r="B787" s="185"/>
      <c r="C787" s="186"/>
      <c r="D787" s="187"/>
      <c r="E787" s="185"/>
      <c r="F787" s="188"/>
      <c r="G787" s="185"/>
      <c r="H787" s="190"/>
      <c r="I787" s="183"/>
      <c r="J787" s="183"/>
    </row>
    <row r="788" ht="22.5" customHeight="1">
      <c r="A788" s="184"/>
      <c r="B788" s="185"/>
      <c r="C788" s="186"/>
      <c r="D788" s="187"/>
      <c r="E788" s="185"/>
      <c r="F788" s="188"/>
      <c r="G788" s="185"/>
      <c r="H788" s="190"/>
      <c r="I788" s="183"/>
      <c r="J788" s="183"/>
    </row>
    <row r="789" ht="22.5" customHeight="1">
      <c r="A789" s="184"/>
      <c r="B789" s="185"/>
      <c r="C789" s="186"/>
      <c r="D789" s="187"/>
      <c r="E789" s="185"/>
      <c r="F789" s="188"/>
      <c r="G789" s="185"/>
      <c r="H789" s="190"/>
      <c r="I789" s="183"/>
      <c r="J789" s="183"/>
    </row>
    <row r="790" ht="22.5" customHeight="1">
      <c r="A790" s="184"/>
      <c r="B790" s="185"/>
      <c r="C790" s="186"/>
      <c r="D790" s="187"/>
      <c r="E790" s="185"/>
      <c r="F790" s="188"/>
      <c r="G790" s="185"/>
      <c r="H790" s="190"/>
      <c r="I790" s="183"/>
      <c r="J790" s="183"/>
    </row>
    <row r="791" ht="22.5" customHeight="1">
      <c r="A791" s="184"/>
      <c r="B791" s="185"/>
      <c r="C791" s="186"/>
      <c r="D791" s="187"/>
      <c r="E791" s="185"/>
      <c r="F791" s="188"/>
      <c r="G791" s="185"/>
      <c r="H791" s="190"/>
      <c r="I791" s="183"/>
      <c r="J791" s="183"/>
    </row>
    <row r="792" ht="22.5" customHeight="1">
      <c r="A792" s="184"/>
      <c r="B792" s="185"/>
      <c r="C792" s="186"/>
      <c r="D792" s="187"/>
      <c r="E792" s="185"/>
      <c r="F792" s="188"/>
      <c r="G792" s="185"/>
      <c r="H792" s="190"/>
      <c r="I792" s="183"/>
      <c r="J792" s="183"/>
    </row>
    <row r="793" ht="22.5" customHeight="1">
      <c r="A793" s="184"/>
      <c r="B793" s="185"/>
      <c r="C793" s="186"/>
      <c r="D793" s="187"/>
      <c r="E793" s="185"/>
      <c r="F793" s="188"/>
      <c r="G793" s="185"/>
      <c r="H793" s="190"/>
      <c r="I793" s="183"/>
      <c r="J793" s="183"/>
    </row>
    <row r="794" ht="22.5" customHeight="1">
      <c r="A794" s="184"/>
      <c r="B794" s="185"/>
      <c r="C794" s="186"/>
      <c r="D794" s="187"/>
      <c r="E794" s="185"/>
      <c r="F794" s="188"/>
      <c r="G794" s="185"/>
      <c r="H794" s="190"/>
      <c r="I794" s="183"/>
      <c r="J794" s="183"/>
    </row>
    <row r="795" ht="22.5" customHeight="1">
      <c r="A795" s="184"/>
      <c r="B795" s="185"/>
      <c r="C795" s="186"/>
      <c r="D795" s="187"/>
      <c r="E795" s="185"/>
      <c r="F795" s="188"/>
      <c r="G795" s="185"/>
      <c r="H795" s="190"/>
      <c r="I795" s="183"/>
      <c r="J795" s="183"/>
    </row>
    <row r="796" ht="22.5" customHeight="1">
      <c r="A796" s="184"/>
      <c r="B796" s="185"/>
      <c r="C796" s="186"/>
      <c r="D796" s="187"/>
      <c r="E796" s="185"/>
      <c r="F796" s="188"/>
      <c r="G796" s="185"/>
      <c r="H796" s="190"/>
      <c r="I796" s="183"/>
      <c r="J796" s="183"/>
    </row>
    <row r="797" ht="22.5" customHeight="1">
      <c r="A797" s="184"/>
      <c r="B797" s="185"/>
      <c r="C797" s="186"/>
      <c r="D797" s="187"/>
      <c r="E797" s="185"/>
      <c r="F797" s="188"/>
      <c r="G797" s="185"/>
      <c r="H797" s="190"/>
      <c r="I797" s="183"/>
      <c r="J797" s="183"/>
    </row>
    <row r="798" ht="22.5" customHeight="1">
      <c r="A798" s="184"/>
      <c r="B798" s="185"/>
      <c r="C798" s="186"/>
      <c r="D798" s="187"/>
      <c r="E798" s="185"/>
      <c r="F798" s="188"/>
      <c r="G798" s="185"/>
      <c r="H798" s="190"/>
      <c r="I798" s="183"/>
      <c r="J798" s="183"/>
    </row>
    <row r="799" ht="22.5" customHeight="1">
      <c r="A799" s="184"/>
      <c r="B799" s="185"/>
      <c r="C799" s="186"/>
      <c r="D799" s="187"/>
      <c r="E799" s="185"/>
      <c r="F799" s="188"/>
      <c r="G799" s="185"/>
      <c r="H799" s="190"/>
      <c r="I799" s="183"/>
      <c r="J799" s="183"/>
    </row>
    <row r="800" ht="22.5" customHeight="1">
      <c r="A800" s="184"/>
      <c r="B800" s="185"/>
      <c r="C800" s="186"/>
      <c r="D800" s="187"/>
      <c r="E800" s="185"/>
      <c r="F800" s="188"/>
      <c r="G800" s="185"/>
      <c r="H800" s="190"/>
      <c r="I800" s="183"/>
      <c r="J800" s="183"/>
    </row>
    <row r="801" ht="22.5" customHeight="1">
      <c r="A801" s="184"/>
      <c r="B801" s="185"/>
      <c r="C801" s="186"/>
      <c r="D801" s="187"/>
      <c r="E801" s="185"/>
      <c r="F801" s="188"/>
      <c r="G801" s="185"/>
      <c r="H801" s="190"/>
      <c r="I801" s="183"/>
      <c r="J801" s="183"/>
    </row>
    <row r="802" ht="22.5" customHeight="1">
      <c r="A802" s="184"/>
      <c r="B802" s="185"/>
      <c r="C802" s="186"/>
      <c r="D802" s="187"/>
      <c r="E802" s="185"/>
      <c r="F802" s="188"/>
      <c r="G802" s="185"/>
      <c r="H802" s="190"/>
      <c r="I802" s="183"/>
      <c r="J802" s="183"/>
    </row>
    <row r="803" ht="22.5" customHeight="1">
      <c r="A803" s="184"/>
      <c r="B803" s="185"/>
      <c r="C803" s="186"/>
      <c r="D803" s="187"/>
      <c r="E803" s="185"/>
      <c r="F803" s="188"/>
      <c r="G803" s="185"/>
      <c r="H803" s="190"/>
      <c r="I803" s="183"/>
      <c r="J803" s="183"/>
    </row>
    <row r="804" ht="22.5" customHeight="1">
      <c r="A804" s="184"/>
      <c r="B804" s="185"/>
      <c r="C804" s="186"/>
      <c r="D804" s="187"/>
      <c r="E804" s="185"/>
      <c r="F804" s="188"/>
      <c r="G804" s="185"/>
      <c r="H804" s="190"/>
      <c r="I804" s="183"/>
      <c r="J804" s="183"/>
    </row>
    <row r="805" ht="22.5" customHeight="1">
      <c r="A805" s="184"/>
      <c r="B805" s="185"/>
      <c r="C805" s="186"/>
      <c r="D805" s="187"/>
      <c r="E805" s="185"/>
      <c r="F805" s="188"/>
      <c r="G805" s="185"/>
      <c r="H805" s="190"/>
      <c r="I805" s="183"/>
      <c r="J805" s="183"/>
    </row>
    <row r="806" ht="22.5" customHeight="1">
      <c r="A806" s="184"/>
      <c r="B806" s="185"/>
      <c r="C806" s="186"/>
      <c r="D806" s="187"/>
      <c r="E806" s="185"/>
      <c r="F806" s="188"/>
      <c r="G806" s="185"/>
      <c r="H806" s="190"/>
      <c r="I806" s="183"/>
      <c r="J806" s="183"/>
    </row>
    <row r="807" ht="22.5" customHeight="1">
      <c r="A807" s="184"/>
      <c r="B807" s="185"/>
      <c r="C807" s="186"/>
      <c r="D807" s="187"/>
      <c r="E807" s="185"/>
      <c r="F807" s="188"/>
      <c r="G807" s="185"/>
      <c r="H807" s="190"/>
      <c r="I807" s="183"/>
      <c r="J807" s="183"/>
    </row>
    <row r="808" ht="22.5" customHeight="1">
      <c r="A808" s="184"/>
      <c r="B808" s="185"/>
      <c r="C808" s="186"/>
      <c r="D808" s="187"/>
      <c r="E808" s="185"/>
      <c r="F808" s="188"/>
      <c r="G808" s="185"/>
      <c r="H808" s="190"/>
      <c r="I808" s="183"/>
      <c r="J808" s="183"/>
    </row>
    <row r="809" ht="22.5" customHeight="1">
      <c r="A809" s="184"/>
      <c r="B809" s="185"/>
      <c r="C809" s="186"/>
      <c r="D809" s="187"/>
      <c r="E809" s="185"/>
      <c r="F809" s="188"/>
      <c r="G809" s="185"/>
      <c r="H809" s="190"/>
      <c r="I809" s="183"/>
      <c r="J809" s="183"/>
    </row>
    <row r="810" ht="22.5" customHeight="1">
      <c r="A810" s="184"/>
      <c r="B810" s="185"/>
      <c r="C810" s="186"/>
      <c r="D810" s="187"/>
      <c r="E810" s="185"/>
      <c r="F810" s="188"/>
      <c r="G810" s="185"/>
      <c r="H810" s="190"/>
      <c r="I810" s="183"/>
      <c r="J810" s="183"/>
    </row>
    <row r="811" ht="22.5" customHeight="1">
      <c r="A811" s="184"/>
      <c r="B811" s="185"/>
      <c r="C811" s="186"/>
      <c r="D811" s="187"/>
      <c r="E811" s="185"/>
      <c r="F811" s="188"/>
      <c r="G811" s="185"/>
      <c r="H811" s="190"/>
      <c r="I811" s="183"/>
      <c r="J811" s="183"/>
    </row>
    <row r="812" ht="22.5" customHeight="1">
      <c r="A812" s="184"/>
      <c r="B812" s="185"/>
      <c r="C812" s="186"/>
      <c r="D812" s="187"/>
      <c r="E812" s="185"/>
      <c r="F812" s="188"/>
      <c r="G812" s="185"/>
      <c r="H812" s="190"/>
      <c r="I812" s="183"/>
      <c r="J812" s="183"/>
    </row>
    <row r="813" ht="22.5" customHeight="1">
      <c r="A813" s="184"/>
      <c r="B813" s="185"/>
      <c r="C813" s="186"/>
      <c r="D813" s="187"/>
      <c r="E813" s="185"/>
      <c r="F813" s="188"/>
      <c r="G813" s="185"/>
      <c r="H813" s="190"/>
      <c r="I813" s="183"/>
      <c r="J813" s="183"/>
    </row>
    <row r="814" ht="22.5" customHeight="1">
      <c r="A814" s="184"/>
      <c r="B814" s="185"/>
      <c r="C814" s="186"/>
      <c r="D814" s="187"/>
      <c r="E814" s="185"/>
      <c r="F814" s="188"/>
      <c r="G814" s="185"/>
      <c r="H814" s="190"/>
      <c r="I814" s="183"/>
      <c r="J814" s="183"/>
    </row>
    <row r="815" ht="22.5" customHeight="1">
      <c r="A815" s="184"/>
      <c r="B815" s="185"/>
      <c r="C815" s="186"/>
      <c r="D815" s="187"/>
      <c r="E815" s="185"/>
      <c r="F815" s="188"/>
      <c r="G815" s="185"/>
      <c r="H815" s="190"/>
      <c r="I815" s="183"/>
      <c r="J815" s="183"/>
    </row>
    <row r="816" ht="22.5" customHeight="1">
      <c r="A816" s="184"/>
      <c r="B816" s="185"/>
      <c r="C816" s="186"/>
      <c r="D816" s="187"/>
      <c r="E816" s="185"/>
      <c r="F816" s="188"/>
      <c r="G816" s="185"/>
      <c r="H816" s="190"/>
      <c r="I816" s="183"/>
      <c r="J816" s="183"/>
    </row>
    <row r="817" ht="22.5" customHeight="1">
      <c r="A817" s="184"/>
      <c r="B817" s="185"/>
      <c r="C817" s="186"/>
      <c r="D817" s="187"/>
      <c r="E817" s="185"/>
      <c r="F817" s="188"/>
      <c r="G817" s="185"/>
      <c r="H817" s="190"/>
      <c r="I817" s="183"/>
      <c r="J817" s="183"/>
    </row>
    <row r="818" ht="22.5" customHeight="1">
      <c r="A818" s="184"/>
      <c r="B818" s="185"/>
      <c r="C818" s="186"/>
      <c r="D818" s="187"/>
      <c r="E818" s="185"/>
      <c r="F818" s="188"/>
      <c r="G818" s="185"/>
      <c r="H818" s="190"/>
      <c r="I818" s="183"/>
      <c r="J818" s="183"/>
    </row>
    <row r="819" ht="22.5" customHeight="1">
      <c r="A819" s="184"/>
      <c r="B819" s="185"/>
      <c r="C819" s="186"/>
      <c r="D819" s="187"/>
      <c r="E819" s="185"/>
      <c r="F819" s="188"/>
      <c r="G819" s="185"/>
      <c r="H819" s="190"/>
      <c r="I819" s="183"/>
      <c r="J819" s="183"/>
    </row>
    <row r="820" ht="22.5" customHeight="1">
      <c r="A820" s="184"/>
      <c r="B820" s="185"/>
      <c r="C820" s="186"/>
      <c r="D820" s="187"/>
      <c r="E820" s="185"/>
      <c r="F820" s="188"/>
      <c r="G820" s="185"/>
      <c r="H820" s="190"/>
      <c r="I820" s="183"/>
      <c r="J820" s="183"/>
    </row>
    <row r="821" ht="22.5" customHeight="1">
      <c r="A821" s="184"/>
      <c r="B821" s="185"/>
      <c r="C821" s="186"/>
      <c r="D821" s="187"/>
      <c r="E821" s="185"/>
      <c r="F821" s="188"/>
      <c r="G821" s="185"/>
      <c r="H821" s="190"/>
      <c r="I821" s="183"/>
      <c r="J821" s="183"/>
    </row>
    <row r="822" ht="22.5" customHeight="1">
      <c r="A822" s="184"/>
      <c r="B822" s="185"/>
      <c r="C822" s="186"/>
      <c r="D822" s="187"/>
      <c r="E822" s="185"/>
      <c r="F822" s="188"/>
      <c r="G822" s="185"/>
      <c r="H822" s="190"/>
      <c r="I822" s="183"/>
      <c r="J822" s="183"/>
    </row>
    <row r="823" ht="22.5" customHeight="1">
      <c r="A823" s="184"/>
      <c r="B823" s="185"/>
      <c r="C823" s="186"/>
      <c r="D823" s="187"/>
      <c r="E823" s="185"/>
      <c r="F823" s="188"/>
      <c r="G823" s="185"/>
      <c r="H823" s="190"/>
      <c r="I823" s="183"/>
      <c r="J823" s="183"/>
    </row>
    <row r="824" ht="22.5" customHeight="1">
      <c r="A824" s="184"/>
      <c r="B824" s="185"/>
      <c r="C824" s="186"/>
      <c r="D824" s="187"/>
      <c r="E824" s="185"/>
      <c r="F824" s="188"/>
      <c r="G824" s="185"/>
      <c r="H824" s="190"/>
      <c r="I824" s="183"/>
      <c r="J824" s="183"/>
    </row>
    <row r="825" ht="22.5" customHeight="1">
      <c r="A825" s="184"/>
      <c r="B825" s="185"/>
      <c r="C825" s="186"/>
      <c r="D825" s="187"/>
      <c r="E825" s="185"/>
      <c r="F825" s="188"/>
      <c r="G825" s="185"/>
      <c r="H825" s="190"/>
      <c r="I825" s="183"/>
      <c r="J825" s="183"/>
    </row>
    <row r="826" ht="22.5" customHeight="1">
      <c r="A826" s="184"/>
      <c r="B826" s="185"/>
      <c r="C826" s="186"/>
      <c r="D826" s="187"/>
      <c r="E826" s="185"/>
      <c r="F826" s="188"/>
      <c r="G826" s="185"/>
      <c r="H826" s="190"/>
      <c r="I826" s="183"/>
      <c r="J826" s="183"/>
    </row>
    <row r="827" ht="22.5" customHeight="1">
      <c r="A827" s="184"/>
      <c r="B827" s="185"/>
      <c r="C827" s="186"/>
      <c r="D827" s="187"/>
      <c r="E827" s="185"/>
      <c r="F827" s="188"/>
      <c r="G827" s="185"/>
      <c r="H827" s="190"/>
      <c r="I827" s="183"/>
      <c r="J827" s="183"/>
    </row>
    <row r="828" ht="22.5" customHeight="1">
      <c r="A828" s="184"/>
      <c r="B828" s="185"/>
      <c r="C828" s="186"/>
      <c r="D828" s="187"/>
      <c r="E828" s="185"/>
      <c r="F828" s="188"/>
      <c r="G828" s="185"/>
      <c r="H828" s="190"/>
      <c r="I828" s="183"/>
      <c r="J828" s="183"/>
    </row>
    <row r="829" ht="22.5" customHeight="1">
      <c r="A829" s="184"/>
      <c r="B829" s="185"/>
      <c r="C829" s="186"/>
      <c r="D829" s="187"/>
      <c r="E829" s="185"/>
      <c r="F829" s="188"/>
      <c r="G829" s="185"/>
      <c r="H829" s="190"/>
      <c r="I829" s="183"/>
      <c r="J829" s="183"/>
    </row>
    <row r="830" ht="22.5" customHeight="1">
      <c r="A830" s="184"/>
      <c r="B830" s="185"/>
      <c r="C830" s="186"/>
      <c r="D830" s="187"/>
      <c r="E830" s="185"/>
      <c r="F830" s="188"/>
      <c r="G830" s="185"/>
      <c r="H830" s="190"/>
      <c r="I830" s="183"/>
      <c r="J830" s="183"/>
    </row>
    <row r="831" ht="22.5" customHeight="1">
      <c r="A831" s="184"/>
      <c r="B831" s="185"/>
      <c r="C831" s="186"/>
      <c r="D831" s="187"/>
      <c r="E831" s="185"/>
      <c r="F831" s="188"/>
      <c r="G831" s="185"/>
      <c r="H831" s="190"/>
      <c r="I831" s="183"/>
      <c r="J831" s="183"/>
    </row>
    <row r="832" ht="22.5" customHeight="1">
      <c r="A832" s="184"/>
      <c r="B832" s="185"/>
      <c r="C832" s="186"/>
      <c r="D832" s="187"/>
      <c r="E832" s="185"/>
      <c r="F832" s="188"/>
      <c r="G832" s="185"/>
      <c r="H832" s="190"/>
      <c r="I832" s="183"/>
      <c r="J832" s="183"/>
    </row>
    <row r="833" ht="22.5" customHeight="1">
      <c r="A833" s="184"/>
      <c r="B833" s="185"/>
      <c r="C833" s="186"/>
      <c r="D833" s="187"/>
      <c r="E833" s="185"/>
      <c r="F833" s="188"/>
      <c r="G833" s="185"/>
      <c r="H833" s="190"/>
      <c r="I833" s="183"/>
      <c r="J833" s="183"/>
    </row>
    <row r="834" ht="22.5" customHeight="1">
      <c r="A834" s="184"/>
      <c r="B834" s="185"/>
      <c r="C834" s="186"/>
      <c r="D834" s="187"/>
      <c r="E834" s="185"/>
      <c r="F834" s="188"/>
      <c r="G834" s="185"/>
      <c r="H834" s="190"/>
      <c r="I834" s="183"/>
      <c r="J834" s="183"/>
    </row>
    <row r="835" ht="22.5" customHeight="1">
      <c r="A835" s="184"/>
      <c r="B835" s="185"/>
      <c r="C835" s="186"/>
      <c r="D835" s="187"/>
      <c r="E835" s="185"/>
      <c r="F835" s="188"/>
      <c r="G835" s="185"/>
      <c r="H835" s="190"/>
      <c r="I835" s="183"/>
      <c r="J835" s="183"/>
    </row>
    <row r="836" ht="22.5" customHeight="1">
      <c r="A836" s="184"/>
      <c r="B836" s="185"/>
      <c r="C836" s="186"/>
      <c r="D836" s="187"/>
      <c r="E836" s="185"/>
      <c r="F836" s="188"/>
      <c r="G836" s="185"/>
      <c r="H836" s="190"/>
      <c r="I836" s="183"/>
      <c r="J836" s="183"/>
    </row>
    <row r="837" ht="22.5" customHeight="1">
      <c r="A837" s="184"/>
      <c r="B837" s="185"/>
      <c r="C837" s="186"/>
      <c r="D837" s="187"/>
      <c r="E837" s="185"/>
      <c r="F837" s="188"/>
      <c r="G837" s="185"/>
      <c r="H837" s="190"/>
      <c r="I837" s="183"/>
      <c r="J837" s="183"/>
    </row>
    <row r="838" ht="22.5" customHeight="1">
      <c r="A838" s="184"/>
      <c r="B838" s="185"/>
      <c r="C838" s="186"/>
      <c r="D838" s="187"/>
      <c r="E838" s="185"/>
      <c r="F838" s="188"/>
      <c r="G838" s="185"/>
      <c r="H838" s="190"/>
      <c r="I838" s="183"/>
      <c r="J838" s="183"/>
    </row>
    <row r="839" ht="22.5" customHeight="1">
      <c r="A839" s="184"/>
      <c r="B839" s="185"/>
      <c r="C839" s="186"/>
      <c r="D839" s="187"/>
      <c r="E839" s="185"/>
      <c r="F839" s="188"/>
      <c r="G839" s="185"/>
      <c r="H839" s="190"/>
      <c r="I839" s="183"/>
      <c r="J839" s="183"/>
    </row>
    <row r="840" ht="22.5" customHeight="1">
      <c r="A840" s="184"/>
      <c r="B840" s="185"/>
      <c r="C840" s="186"/>
      <c r="D840" s="187"/>
      <c r="E840" s="185"/>
      <c r="F840" s="188"/>
      <c r="G840" s="185"/>
      <c r="H840" s="190"/>
      <c r="I840" s="183"/>
      <c r="J840" s="183"/>
    </row>
    <row r="841" ht="22.5" customHeight="1">
      <c r="A841" s="184"/>
      <c r="B841" s="185"/>
      <c r="C841" s="186"/>
      <c r="D841" s="187"/>
      <c r="E841" s="185"/>
      <c r="F841" s="188"/>
      <c r="G841" s="185"/>
      <c r="H841" s="190"/>
      <c r="I841" s="183"/>
      <c r="J841" s="183"/>
    </row>
    <row r="842" ht="22.5" customHeight="1">
      <c r="A842" s="184"/>
      <c r="B842" s="185"/>
      <c r="C842" s="186"/>
      <c r="D842" s="187"/>
      <c r="E842" s="185"/>
      <c r="F842" s="188"/>
      <c r="G842" s="185"/>
      <c r="H842" s="190"/>
      <c r="I842" s="183"/>
      <c r="J842" s="183"/>
    </row>
    <row r="843" ht="22.5" customHeight="1">
      <c r="A843" s="184"/>
      <c r="B843" s="185"/>
      <c r="C843" s="186"/>
      <c r="D843" s="187"/>
      <c r="E843" s="185"/>
      <c r="F843" s="188"/>
      <c r="G843" s="185"/>
      <c r="H843" s="190"/>
      <c r="I843" s="183"/>
      <c r="J843" s="183"/>
    </row>
    <row r="844" ht="22.5" customHeight="1">
      <c r="A844" s="184"/>
      <c r="B844" s="185"/>
      <c r="C844" s="186"/>
      <c r="D844" s="187"/>
      <c r="E844" s="185"/>
      <c r="F844" s="188"/>
      <c r="G844" s="185"/>
      <c r="H844" s="190"/>
      <c r="I844" s="183"/>
      <c r="J844" s="183"/>
    </row>
    <row r="845" ht="22.5" customHeight="1">
      <c r="A845" s="184"/>
      <c r="B845" s="185"/>
      <c r="C845" s="186"/>
      <c r="D845" s="187"/>
      <c r="E845" s="185"/>
      <c r="F845" s="188"/>
      <c r="G845" s="185"/>
      <c r="H845" s="190"/>
      <c r="I845" s="183"/>
      <c r="J845" s="183"/>
    </row>
    <row r="846" ht="22.5" customHeight="1">
      <c r="A846" s="184"/>
      <c r="B846" s="185"/>
      <c r="C846" s="186"/>
      <c r="D846" s="187"/>
      <c r="E846" s="185"/>
      <c r="F846" s="188"/>
      <c r="G846" s="185"/>
      <c r="H846" s="190"/>
      <c r="I846" s="183"/>
      <c r="J846" s="183"/>
    </row>
    <row r="847" ht="22.5" customHeight="1">
      <c r="A847" s="184"/>
      <c r="B847" s="185"/>
      <c r="C847" s="186"/>
      <c r="D847" s="187"/>
      <c r="E847" s="185"/>
      <c r="F847" s="188"/>
      <c r="G847" s="185"/>
      <c r="H847" s="190"/>
      <c r="I847" s="183"/>
      <c r="J847" s="183"/>
    </row>
    <row r="848" ht="22.5" customHeight="1">
      <c r="A848" s="184"/>
      <c r="B848" s="185"/>
      <c r="C848" s="186"/>
      <c r="D848" s="187"/>
      <c r="E848" s="185"/>
      <c r="F848" s="188"/>
      <c r="G848" s="185"/>
      <c r="H848" s="190"/>
      <c r="I848" s="183"/>
      <c r="J848" s="183"/>
    </row>
    <row r="849" ht="22.5" customHeight="1">
      <c r="A849" s="184"/>
      <c r="B849" s="185"/>
      <c r="C849" s="186"/>
      <c r="D849" s="187"/>
      <c r="E849" s="185"/>
      <c r="F849" s="188"/>
      <c r="G849" s="185"/>
      <c r="H849" s="190"/>
      <c r="I849" s="183"/>
      <c r="J849" s="183"/>
    </row>
    <row r="850" ht="22.5" customHeight="1">
      <c r="A850" s="184"/>
      <c r="B850" s="185"/>
      <c r="C850" s="186"/>
      <c r="D850" s="187"/>
      <c r="E850" s="185"/>
      <c r="F850" s="188"/>
      <c r="G850" s="185"/>
      <c r="H850" s="190"/>
      <c r="I850" s="183"/>
      <c r="J850" s="183"/>
    </row>
    <row r="851" ht="22.5" customHeight="1">
      <c r="A851" s="184"/>
      <c r="B851" s="185"/>
      <c r="C851" s="186"/>
      <c r="D851" s="187"/>
      <c r="E851" s="185"/>
      <c r="F851" s="188"/>
      <c r="G851" s="185"/>
      <c r="H851" s="190"/>
      <c r="I851" s="183"/>
      <c r="J851" s="183"/>
    </row>
    <row r="852" ht="22.5" customHeight="1">
      <c r="A852" s="184"/>
      <c r="B852" s="185"/>
      <c r="C852" s="186"/>
      <c r="D852" s="187"/>
      <c r="E852" s="185"/>
      <c r="F852" s="188"/>
      <c r="G852" s="185"/>
      <c r="H852" s="190"/>
      <c r="I852" s="183"/>
      <c r="J852" s="183"/>
    </row>
    <row r="853" ht="22.5" customHeight="1">
      <c r="A853" s="184"/>
      <c r="B853" s="185"/>
      <c r="C853" s="186"/>
      <c r="D853" s="187"/>
      <c r="E853" s="185"/>
      <c r="F853" s="188"/>
      <c r="G853" s="185"/>
      <c r="H853" s="190"/>
      <c r="I853" s="183"/>
      <c r="J853" s="183"/>
    </row>
    <row r="854" ht="22.5" customHeight="1">
      <c r="A854" s="184"/>
      <c r="B854" s="185"/>
      <c r="C854" s="186"/>
      <c r="D854" s="187"/>
      <c r="E854" s="185"/>
      <c r="F854" s="188"/>
      <c r="G854" s="185"/>
      <c r="H854" s="190"/>
      <c r="I854" s="183"/>
      <c r="J854" s="183"/>
    </row>
    <row r="855" ht="22.5" customHeight="1">
      <c r="A855" s="184"/>
      <c r="B855" s="185"/>
      <c r="C855" s="186"/>
      <c r="D855" s="187"/>
      <c r="E855" s="185"/>
      <c r="F855" s="188"/>
      <c r="G855" s="185"/>
      <c r="H855" s="190"/>
      <c r="I855" s="183"/>
      <c r="J855" s="183"/>
    </row>
    <row r="856" ht="22.5" customHeight="1">
      <c r="A856" s="184"/>
      <c r="B856" s="185"/>
      <c r="C856" s="186"/>
      <c r="D856" s="187"/>
      <c r="E856" s="185"/>
      <c r="F856" s="188"/>
      <c r="G856" s="185"/>
      <c r="H856" s="190"/>
      <c r="I856" s="183"/>
      <c r="J856" s="183"/>
    </row>
    <row r="857" ht="22.5" customHeight="1">
      <c r="A857" s="184"/>
      <c r="B857" s="185"/>
      <c r="C857" s="186"/>
      <c r="D857" s="187"/>
      <c r="E857" s="185"/>
      <c r="F857" s="188"/>
      <c r="G857" s="185"/>
      <c r="H857" s="190"/>
      <c r="I857" s="183"/>
      <c r="J857" s="183"/>
    </row>
    <row r="858" ht="22.5" customHeight="1">
      <c r="A858" s="184"/>
      <c r="B858" s="185"/>
      <c r="C858" s="186"/>
      <c r="D858" s="187"/>
      <c r="E858" s="185"/>
      <c r="F858" s="188"/>
      <c r="G858" s="185"/>
      <c r="H858" s="190"/>
      <c r="I858" s="183"/>
      <c r="J858" s="183"/>
    </row>
    <row r="859" ht="22.5" customHeight="1">
      <c r="A859" s="184"/>
      <c r="B859" s="185"/>
      <c r="C859" s="186"/>
      <c r="D859" s="187"/>
      <c r="E859" s="185"/>
      <c r="F859" s="188"/>
      <c r="G859" s="185"/>
      <c r="H859" s="190"/>
      <c r="I859" s="183"/>
      <c r="J859" s="183"/>
    </row>
    <row r="860" ht="22.5" customHeight="1">
      <c r="A860" s="184"/>
      <c r="B860" s="185"/>
      <c r="C860" s="186"/>
      <c r="D860" s="187"/>
      <c r="E860" s="185"/>
      <c r="F860" s="188"/>
      <c r="G860" s="185"/>
      <c r="H860" s="190"/>
      <c r="I860" s="183"/>
      <c r="J860" s="183"/>
    </row>
    <row r="861" ht="22.5" customHeight="1">
      <c r="A861" s="184"/>
      <c r="B861" s="185"/>
      <c r="C861" s="186"/>
      <c r="D861" s="187"/>
      <c r="E861" s="185"/>
      <c r="F861" s="188"/>
      <c r="G861" s="185"/>
      <c r="H861" s="190"/>
      <c r="I861" s="183"/>
      <c r="J861" s="183"/>
    </row>
    <row r="862" ht="22.5" customHeight="1">
      <c r="A862" s="184"/>
      <c r="B862" s="185"/>
      <c r="C862" s="186"/>
      <c r="D862" s="187"/>
      <c r="E862" s="185"/>
      <c r="F862" s="188"/>
      <c r="G862" s="185"/>
      <c r="H862" s="190"/>
      <c r="I862" s="183"/>
      <c r="J862" s="183"/>
    </row>
    <row r="863" ht="22.5" customHeight="1">
      <c r="A863" s="184"/>
      <c r="B863" s="185"/>
      <c r="C863" s="186"/>
      <c r="D863" s="187"/>
      <c r="E863" s="185"/>
      <c r="F863" s="188"/>
      <c r="G863" s="185"/>
      <c r="H863" s="190"/>
      <c r="I863" s="183"/>
      <c r="J863" s="183"/>
    </row>
    <row r="864" ht="22.5" customHeight="1">
      <c r="A864" s="184"/>
      <c r="B864" s="185"/>
      <c r="C864" s="186"/>
      <c r="D864" s="187"/>
      <c r="E864" s="185"/>
      <c r="F864" s="188"/>
      <c r="G864" s="185"/>
      <c r="H864" s="190"/>
      <c r="I864" s="183"/>
      <c r="J864" s="183"/>
    </row>
    <row r="865" ht="22.5" customHeight="1">
      <c r="A865" s="184"/>
      <c r="B865" s="185"/>
      <c r="C865" s="186"/>
      <c r="D865" s="187"/>
      <c r="E865" s="185"/>
      <c r="F865" s="188"/>
      <c r="G865" s="185"/>
      <c r="H865" s="190"/>
      <c r="I865" s="183"/>
      <c r="J865" s="183"/>
    </row>
    <row r="866" ht="22.5" customHeight="1">
      <c r="A866" s="184"/>
      <c r="B866" s="185"/>
      <c r="C866" s="186"/>
      <c r="D866" s="187"/>
      <c r="E866" s="185"/>
      <c r="F866" s="188"/>
      <c r="G866" s="185"/>
      <c r="H866" s="190"/>
      <c r="I866" s="183"/>
      <c r="J866" s="183"/>
    </row>
    <row r="867" ht="22.5" customHeight="1">
      <c r="A867" s="184"/>
      <c r="B867" s="185"/>
      <c r="C867" s="186"/>
      <c r="D867" s="187"/>
      <c r="E867" s="185"/>
      <c r="F867" s="188"/>
      <c r="G867" s="185"/>
      <c r="H867" s="190"/>
      <c r="I867" s="183"/>
      <c r="J867" s="183"/>
    </row>
    <row r="868" ht="22.5" customHeight="1">
      <c r="A868" s="184"/>
      <c r="B868" s="185"/>
      <c r="C868" s="186"/>
      <c r="D868" s="187"/>
      <c r="E868" s="185"/>
      <c r="F868" s="188"/>
      <c r="G868" s="185"/>
      <c r="H868" s="190"/>
      <c r="I868" s="183"/>
      <c r="J868" s="183"/>
    </row>
    <row r="869" ht="22.5" customHeight="1">
      <c r="A869" s="184"/>
      <c r="B869" s="185"/>
      <c r="C869" s="186"/>
      <c r="D869" s="187"/>
      <c r="E869" s="185"/>
      <c r="F869" s="188"/>
      <c r="G869" s="185"/>
      <c r="H869" s="190"/>
      <c r="I869" s="183"/>
      <c r="J869" s="183"/>
    </row>
    <row r="870" ht="22.5" customHeight="1">
      <c r="A870" s="184"/>
      <c r="B870" s="185"/>
      <c r="C870" s="186"/>
      <c r="D870" s="187"/>
      <c r="E870" s="185"/>
      <c r="F870" s="188"/>
      <c r="G870" s="185"/>
      <c r="H870" s="190"/>
      <c r="I870" s="183"/>
      <c r="J870" s="183"/>
    </row>
    <row r="871" ht="22.5" customHeight="1">
      <c r="A871" s="184"/>
      <c r="B871" s="185"/>
      <c r="C871" s="186"/>
      <c r="D871" s="187"/>
      <c r="E871" s="185"/>
      <c r="F871" s="188"/>
      <c r="G871" s="185"/>
      <c r="H871" s="190"/>
      <c r="I871" s="183"/>
      <c r="J871" s="183"/>
    </row>
    <row r="872" ht="22.5" customHeight="1">
      <c r="A872" s="184"/>
      <c r="B872" s="185"/>
      <c r="C872" s="186"/>
      <c r="D872" s="187"/>
      <c r="E872" s="185"/>
      <c r="F872" s="188"/>
      <c r="G872" s="185"/>
      <c r="H872" s="190"/>
      <c r="I872" s="183"/>
      <c r="J872" s="183"/>
    </row>
    <row r="873" ht="22.5" customHeight="1">
      <c r="A873" s="184"/>
      <c r="B873" s="185"/>
      <c r="C873" s="186"/>
      <c r="D873" s="187"/>
      <c r="E873" s="185"/>
      <c r="F873" s="188"/>
      <c r="G873" s="185"/>
      <c r="H873" s="190"/>
      <c r="I873" s="183"/>
      <c r="J873" s="183"/>
    </row>
    <row r="874" ht="22.5" customHeight="1">
      <c r="A874" s="184"/>
      <c r="B874" s="185"/>
      <c r="C874" s="186"/>
      <c r="D874" s="187"/>
      <c r="E874" s="185"/>
      <c r="F874" s="188"/>
      <c r="G874" s="185"/>
      <c r="H874" s="190"/>
      <c r="I874" s="183"/>
      <c r="J874" s="183"/>
    </row>
    <row r="875" ht="22.5" customHeight="1">
      <c r="A875" s="184"/>
      <c r="B875" s="185"/>
      <c r="C875" s="186"/>
      <c r="D875" s="187"/>
      <c r="E875" s="185"/>
      <c r="F875" s="188"/>
      <c r="G875" s="185"/>
      <c r="H875" s="190"/>
      <c r="I875" s="183"/>
      <c r="J875" s="183"/>
    </row>
    <row r="876" ht="22.5" customHeight="1">
      <c r="A876" s="184"/>
      <c r="B876" s="185"/>
      <c r="C876" s="186"/>
      <c r="D876" s="187"/>
      <c r="E876" s="185"/>
      <c r="F876" s="188"/>
      <c r="G876" s="185"/>
      <c r="H876" s="190"/>
      <c r="I876" s="183"/>
      <c r="J876" s="183"/>
    </row>
    <row r="877" ht="22.5" customHeight="1">
      <c r="A877" s="184"/>
      <c r="B877" s="185"/>
      <c r="C877" s="186"/>
      <c r="D877" s="187"/>
      <c r="E877" s="185"/>
      <c r="F877" s="188"/>
      <c r="G877" s="185"/>
      <c r="H877" s="190"/>
      <c r="I877" s="183"/>
      <c r="J877" s="183"/>
    </row>
    <row r="878" ht="22.5" customHeight="1">
      <c r="A878" s="184"/>
      <c r="B878" s="185"/>
      <c r="C878" s="186"/>
      <c r="D878" s="187"/>
      <c r="E878" s="185"/>
      <c r="F878" s="188"/>
      <c r="G878" s="185"/>
      <c r="H878" s="190"/>
      <c r="I878" s="183"/>
      <c r="J878" s="183"/>
    </row>
    <row r="879" ht="22.5" customHeight="1">
      <c r="A879" s="184"/>
      <c r="B879" s="185"/>
      <c r="C879" s="186"/>
      <c r="D879" s="187"/>
      <c r="E879" s="185"/>
      <c r="F879" s="188"/>
      <c r="G879" s="185"/>
      <c r="H879" s="190"/>
      <c r="I879" s="183"/>
      <c r="J879" s="183"/>
    </row>
    <row r="880" ht="22.5" customHeight="1">
      <c r="A880" s="184"/>
      <c r="B880" s="185"/>
      <c r="C880" s="186"/>
      <c r="D880" s="187"/>
      <c r="E880" s="185"/>
      <c r="F880" s="188"/>
      <c r="G880" s="185"/>
      <c r="H880" s="190"/>
      <c r="I880" s="183"/>
      <c r="J880" s="183"/>
    </row>
    <row r="881" ht="22.5" customHeight="1">
      <c r="A881" s="184"/>
      <c r="B881" s="185"/>
      <c r="C881" s="186"/>
      <c r="D881" s="187"/>
      <c r="E881" s="185"/>
      <c r="F881" s="188"/>
      <c r="G881" s="185"/>
      <c r="H881" s="190"/>
      <c r="I881" s="183"/>
      <c r="J881" s="183"/>
    </row>
    <row r="882" ht="22.5" customHeight="1">
      <c r="A882" s="184"/>
      <c r="B882" s="185"/>
      <c r="C882" s="186"/>
      <c r="D882" s="187"/>
      <c r="E882" s="185"/>
      <c r="F882" s="188"/>
      <c r="G882" s="185"/>
      <c r="H882" s="190"/>
      <c r="I882" s="183"/>
      <c r="J882" s="183"/>
    </row>
    <row r="883" ht="22.5" customHeight="1">
      <c r="A883" s="184"/>
      <c r="B883" s="185"/>
      <c r="C883" s="186"/>
      <c r="D883" s="187"/>
      <c r="E883" s="185"/>
      <c r="F883" s="188"/>
      <c r="G883" s="185"/>
      <c r="H883" s="190"/>
      <c r="I883" s="183"/>
      <c r="J883" s="183"/>
    </row>
    <row r="884" ht="22.5" customHeight="1">
      <c r="A884" s="184"/>
      <c r="B884" s="185"/>
      <c r="C884" s="186"/>
      <c r="D884" s="187"/>
      <c r="E884" s="185"/>
      <c r="F884" s="188"/>
      <c r="G884" s="185"/>
      <c r="H884" s="190"/>
      <c r="I884" s="183"/>
      <c r="J884" s="183"/>
    </row>
    <row r="885" ht="22.5" customHeight="1">
      <c r="A885" s="184"/>
      <c r="B885" s="185"/>
      <c r="C885" s="186"/>
      <c r="D885" s="187"/>
      <c r="E885" s="185"/>
      <c r="F885" s="188"/>
      <c r="G885" s="185"/>
      <c r="H885" s="190"/>
      <c r="I885" s="183"/>
      <c r="J885" s="183"/>
    </row>
    <row r="886" ht="22.5" customHeight="1">
      <c r="A886" s="184"/>
      <c r="B886" s="185"/>
      <c r="C886" s="186"/>
      <c r="D886" s="187"/>
      <c r="E886" s="185"/>
      <c r="F886" s="188"/>
      <c r="G886" s="185"/>
      <c r="H886" s="190"/>
      <c r="I886" s="183"/>
      <c r="J886" s="183"/>
    </row>
    <row r="887" ht="22.5" customHeight="1">
      <c r="A887" s="184"/>
      <c r="B887" s="185"/>
      <c r="C887" s="186"/>
      <c r="D887" s="187"/>
      <c r="E887" s="185"/>
      <c r="F887" s="188"/>
      <c r="G887" s="185"/>
      <c r="H887" s="190"/>
      <c r="I887" s="183"/>
      <c r="J887" s="183"/>
    </row>
    <row r="888" ht="22.5" customHeight="1">
      <c r="A888" s="184"/>
      <c r="B888" s="185"/>
      <c r="C888" s="186"/>
      <c r="D888" s="187"/>
      <c r="E888" s="185"/>
      <c r="F888" s="188"/>
      <c r="G888" s="185"/>
      <c r="H888" s="190"/>
      <c r="I888" s="183"/>
      <c r="J888" s="183"/>
    </row>
    <row r="889" ht="22.5" customHeight="1">
      <c r="A889" s="184"/>
      <c r="B889" s="185"/>
      <c r="C889" s="186"/>
      <c r="D889" s="187"/>
      <c r="E889" s="185"/>
      <c r="F889" s="188"/>
      <c r="G889" s="185"/>
      <c r="H889" s="190"/>
      <c r="I889" s="183"/>
      <c r="J889" s="183"/>
    </row>
    <row r="890" ht="22.5" customHeight="1">
      <c r="A890" s="184"/>
      <c r="B890" s="185"/>
      <c r="C890" s="186"/>
      <c r="D890" s="187"/>
      <c r="E890" s="185"/>
      <c r="F890" s="188"/>
      <c r="G890" s="185"/>
      <c r="H890" s="190"/>
      <c r="I890" s="183"/>
      <c r="J890" s="183"/>
    </row>
    <row r="891" ht="22.5" customHeight="1">
      <c r="A891" s="184"/>
      <c r="B891" s="185"/>
      <c r="C891" s="186"/>
      <c r="D891" s="187"/>
      <c r="E891" s="185"/>
      <c r="F891" s="188"/>
      <c r="G891" s="185"/>
      <c r="H891" s="190"/>
      <c r="I891" s="183"/>
      <c r="J891" s="183"/>
    </row>
    <row r="892" ht="22.5" customHeight="1">
      <c r="A892" s="184"/>
      <c r="B892" s="185"/>
      <c r="C892" s="186"/>
      <c r="D892" s="187"/>
      <c r="E892" s="185"/>
      <c r="F892" s="188"/>
      <c r="G892" s="185"/>
      <c r="H892" s="190"/>
      <c r="I892" s="183"/>
      <c r="J892" s="183"/>
    </row>
    <row r="893" ht="22.5" customHeight="1">
      <c r="A893" s="184"/>
      <c r="B893" s="185"/>
      <c r="C893" s="186"/>
      <c r="D893" s="187"/>
      <c r="E893" s="185"/>
      <c r="F893" s="188"/>
      <c r="G893" s="185"/>
      <c r="H893" s="190"/>
      <c r="I893" s="183"/>
      <c r="J893" s="183"/>
    </row>
    <row r="894" ht="22.5" customHeight="1">
      <c r="A894" s="184"/>
      <c r="B894" s="185"/>
      <c r="C894" s="186"/>
      <c r="D894" s="187"/>
      <c r="E894" s="185"/>
      <c r="F894" s="188"/>
      <c r="G894" s="185"/>
      <c r="H894" s="190"/>
      <c r="I894" s="183"/>
      <c r="J894" s="183"/>
    </row>
    <row r="895" ht="22.5" customHeight="1">
      <c r="A895" s="184"/>
      <c r="B895" s="185"/>
      <c r="C895" s="186"/>
      <c r="D895" s="187"/>
      <c r="E895" s="185"/>
      <c r="F895" s="188"/>
      <c r="G895" s="185"/>
      <c r="H895" s="190"/>
      <c r="I895" s="183"/>
      <c r="J895" s="183"/>
    </row>
    <row r="896" ht="22.5" customHeight="1">
      <c r="A896" s="184"/>
      <c r="B896" s="185"/>
      <c r="C896" s="186"/>
      <c r="D896" s="187"/>
      <c r="E896" s="185"/>
      <c r="F896" s="188"/>
      <c r="G896" s="185"/>
      <c r="H896" s="190"/>
      <c r="I896" s="183"/>
      <c r="J896" s="183"/>
    </row>
    <row r="897" ht="22.5" customHeight="1">
      <c r="A897" s="184"/>
      <c r="B897" s="185"/>
      <c r="C897" s="186"/>
      <c r="D897" s="187"/>
      <c r="E897" s="185"/>
      <c r="F897" s="188"/>
      <c r="G897" s="185"/>
      <c r="H897" s="190"/>
      <c r="I897" s="183"/>
      <c r="J897" s="183"/>
    </row>
    <row r="898" ht="22.5" customHeight="1">
      <c r="A898" s="184"/>
      <c r="B898" s="185"/>
      <c r="C898" s="186"/>
      <c r="D898" s="187"/>
      <c r="E898" s="185"/>
      <c r="F898" s="188"/>
      <c r="G898" s="185"/>
      <c r="H898" s="190"/>
      <c r="I898" s="183"/>
      <c r="J898" s="183"/>
    </row>
    <row r="899" ht="22.5" customHeight="1">
      <c r="A899" s="184"/>
      <c r="B899" s="185"/>
      <c r="C899" s="186"/>
      <c r="D899" s="187"/>
      <c r="E899" s="185"/>
      <c r="F899" s="188"/>
      <c r="G899" s="185"/>
      <c r="H899" s="190"/>
      <c r="I899" s="183"/>
      <c r="J899" s="183"/>
    </row>
    <row r="900" ht="22.5" customHeight="1">
      <c r="A900" s="184"/>
      <c r="B900" s="185"/>
      <c r="C900" s="186"/>
      <c r="D900" s="187"/>
      <c r="E900" s="185"/>
      <c r="F900" s="188"/>
      <c r="G900" s="185"/>
      <c r="H900" s="190"/>
      <c r="I900" s="183"/>
      <c r="J900" s="183"/>
    </row>
    <row r="901" ht="22.5" customHeight="1">
      <c r="A901" s="184"/>
      <c r="B901" s="185"/>
      <c r="C901" s="186"/>
      <c r="D901" s="187"/>
      <c r="E901" s="185"/>
      <c r="F901" s="188"/>
      <c r="G901" s="185"/>
      <c r="H901" s="190"/>
      <c r="I901" s="183"/>
      <c r="J901" s="183"/>
    </row>
    <row r="902" ht="22.5" customHeight="1">
      <c r="A902" s="184"/>
      <c r="B902" s="185"/>
      <c r="C902" s="186"/>
      <c r="D902" s="187"/>
      <c r="E902" s="185"/>
      <c r="F902" s="188"/>
      <c r="G902" s="185"/>
      <c r="H902" s="190"/>
      <c r="I902" s="183"/>
      <c r="J902" s="183"/>
    </row>
    <row r="903" ht="22.5" customHeight="1">
      <c r="A903" s="184"/>
      <c r="B903" s="185"/>
      <c r="C903" s="186"/>
      <c r="D903" s="187"/>
      <c r="E903" s="185"/>
      <c r="F903" s="188"/>
      <c r="G903" s="185"/>
      <c r="H903" s="190"/>
      <c r="I903" s="183"/>
      <c r="J903" s="183"/>
    </row>
    <row r="904" ht="22.5" customHeight="1">
      <c r="A904" s="184"/>
      <c r="B904" s="185"/>
      <c r="C904" s="186"/>
      <c r="D904" s="187"/>
      <c r="E904" s="185"/>
      <c r="F904" s="188"/>
      <c r="G904" s="185"/>
      <c r="H904" s="190"/>
      <c r="I904" s="183"/>
      <c r="J904" s="183"/>
    </row>
    <row r="905" ht="22.5" customHeight="1">
      <c r="A905" s="184"/>
      <c r="B905" s="185"/>
      <c r="C905" s="186"/>
      <c r="D905" s="187"/>
      <c r="E905" s="185"/>
      <c r="F905" s="188"/>
      <c r="G905" s="185"/>
      <c r="H905" s="190"/>
      <c r="I905" s="183"/>
      <c r="J905" s="183"/>
    </row>
    <row r="906" ht="22.5" customHeight="1">
      <c r="A906" s="184"/>
      <c r="B906" s="185"/>
      <c r="C906" s="186"/>
      <c r="D906" s="187"/>
      <c r="E906" s="185"/>
      <c r="F906" s="188"/>
      <c r="G906" s="185"/>
      <c r="H906" s="190"/>
      <c r="I906" s="183"/>
      <c r="J906" s="183"/>
    </row>
    <row r="907" ht="22.5" customHeight="1">
      <c r="A907" s="184"/>
      <c r="B907" s="185"/>
      <c r="C907" s="186"/>
      <c r="D907" s="187"/>
      <c r="E907" s="185"/>
      <c r="F907" s="188"/>
      <c r="G907" s="185"/>
      <c r="H907" s="190"/>
      <c r="I907" s="183"/>
      <c r="J907" s="183"/>
    </row>
    <row r="908" ht="22.5" customHeight="1">
      <c r="A908" s="184"/>
      <c r="B908" s="185"/>
      <c r="C908" s="186"/>
      <c r="D908" s="187"/>
      <c r="E908" s="185"/>
      <c r="F908" s="188"/>
      <c r="G908" s="185"/>
      <c r="H908" s="190"/>
      <c r="I908" s="183"/>
      <c r="J908" s="183"/>
    </row>
    <row r="909" ht="22.5" customHeight="1">
      <c r="A909" s="184"/>
      <c r="B909" s="185"/>
      <c r="C909" s="186"/>
      <c r="D909" s="187"/>
      <c r="E909" s="185"/>
      <c r="F909" s="188"/>
      <c r="G909" s="185"/>
      <c r="H909" s="190"/>
      <c r="I909" s="183"/>
      <c r="J909" s="183"/>
    </row>
    <row r="910" ht="22.5" customHeight="1">
      <c r="A910" s="184"/>
      <c r="B910" s="185"/>
      <c r="C910" s="186"/>
      <c r="D910" s="187"/>
      <c r="E910" s="185"/>
      <c r="F910" s="188"/>
      <c r="G910" s="185"/>
      <c r="H910" s="190"/>
      <c r="I910" s="183"/>
      <c r="J910" s="183"/>
    </row>
    <row r="911" ht="22.5" customHeight="1">
      <c r="A911" s="184"/>
      <c r="B911" s="185"/>
      <c r="C911" s="186"/>
      <c r="D911" s="187"/>
      <c r="E911" s="185"/>
      <c r="F911" s="188"/>
      <c r="G911" s="185"/>
      <c r="H911" s="190"/>
      <c r="I911" s="183"/>
      <c r="J911" s="183"/>
    </row>
    <row r="912" ht="22.5" customHeight="1">
      <c r="A912" s="184"/>
      <c r="B912" s="185"/>
      <c r="C912" s="186"/>
      <c r="D912" s="187"/>
      <c r="E912" s="185"/>
      <c r="F912" s="188"/>
      <c r="G912" s="185"/>
      <c r="H912" s="190"/>
      <c r="I912" s="183"/>
      <c r="J912" s="183"/>
    </row>
    <row r="913" ht="22.5" customHeight="1">
      <c r="A913" s="184"/>
      <c r="B913" s="185"/>
      <c r="C913" s="186"/>
      <c r="D913" s="187"/>
      <c r="E913" s="185"/>
      <c r="F913" s="188"/>
      <c r="G913" s="185"/>
      <c r="H913" s="190"/>
      <c r="I913" s="183"/>
      <c r="J913" s="183"/>
    </row>
    <row r="914" ht="22.5" customHeight="1">
      <c r="A914" s="184"/>
      <c r="B914" s="185"/>
      <c r="C914" s="186"/>
      <c r="D914" s="187"/>
      <c r="E914" s="185"/>
      <c r="F914" s="188"/>
      <c r="G914" s="185"/>
      <c r="H914" s="190"/>
      <c r="I914" s="183"/>
      <c r="J914" s="183"/>
    </row>
    <row r="915" ht="22.5" customHeight="1">
      <c r="A915" s="184"/>
      <c r="B915" s="185"/>
      <c r="C915" s="186"/>
      <c r="D915" s="187"/>
      <c r="E915" s="185"/>
      <c r="F915" s="188"/>
      <c r="G915" s="185"/>
      <c r="H915" s="190"/>
      <c r="I915" s="183"/>
      <c r="J915" s="183"/>
    </row>
    <row r="916" ht="22.5" customHeight="1">
      <c r="A916" s="184"/>
      <c r="B916" s="185"/>
      <c r="C916" s="186"/>
      <c r="D916" s="187"/>
      <c r="E916" s="185"/>
      <c r="F916" s="188"/>
      <c r="G916" s="185"/>
      <c r="H916" s="190"/>
      <c r="I916" s="183"/>
      <c r="J916" s="183"/>
    </row>
    <row r="917" ht="22.5" customHeight="1">
      <c r="A917" s="184"/>
      <c r="B917" s="185"/>
      <c r="C917" s="186"/>
      <c r="D917" s="187"/>
      <c r="E917" s="185"/>
      <c r="F917" s="188"/>
      <c r="G917" s="185"/>
      <c r="H917" s="190"/>
      <c r="I917" s="183"/>
      <c r="J917" s="183"/>
    </row>
    <row r="918" ht="22.5" customHeight="1">
      <c r="A918" s="184"/>
      <c r="B918" s="185"/>
      <c r="C918" s="186"/>
      <c r="D918" s="187"/>
      <c r="E918" s="185"/>
      <c r="F918" s="188"/>
      <c r="G918" s="185"/>
      <c r="H918" s="190"/>
      <c r="I918" s="183"/>
      <c r="J918" s="183"/>
    </row>
    <row r="919" ht="22.5" customHeight="1">
      <c r="A919" s="184"/>
      <c r="B919" s="185"/>
      <c r="C919" s="186"/>
      <c r="D919" s="187"/>
      <c r="E919" s="185"/>
      <c r="F919" s="188"/>
      <c r="G919" s="185"/>
      <c r="H919" s="190"/>
      <c r="I919" s="183"/>
      <c r="J919" s="183"/>
    </row>
    <row r="920" ht="22.5" customHeight="1">
      <c r="A920" s="184"/>
      <c r="B920" s="185"/>
      <c r="C920" s="186"/>
      <c r="D920" s="187"/>
      <c r="E920" s="185"/>
      <c r="F920" s="188"/>
      <c r="G920" s="185"/>
      <c r="H920" s="190"/>
      <c r="I920" s="183"/>
      <c r="J920" s="183"/>
    </row>
    <row r="921" ht="22.5" customHeight="1">
      <c r="A921" s="184"/>
      <c r="B921" s="185"/>
      <c r="C921" s="186"/>
      <c r="D921" s="187"/>
      <c r="E921" s="185"/>
      <c r="F921" s="188"/>
      <c r="G921" s="185"/>
      <c r="H921" s="190"/>
      <c r="I921" s="183"/>
      <c r="J921" s="183"/>
    </row>
    <row r="922" ht="22.5" customHeight="1">
      <c r="A922" s="184"/>
      <c r="B922" s="185"/>
      <c r="C922" s="186"/>
      <c r="D922" s="187"/>
      <c r="E922" s="185"/>
      <c r="F922" s="188"/>
      <c r="G922" s="185"/>
      <c r="H922" s="190"/>
      <c r="I922" s="183"/>
      <c r="J922" s="183"/>
    </row>
    <row r="923" ht="22.5" customHeight="1">
      <c r="A923" s="184"/>
      <c r="B923" s="185"/>
      <c r="C923" s="186"/>
      <c r="D923" s="187"/>
      <c r="E923" s="185"/>
      <c r="F923" s="188"/>
      <c r="G923" s="185"/>
      <c r="H923" s="190"/>
      <c r="I923" s="183"/>
      <c r="J923" s="183"/>
    </row>
    <row r="924" ht="22.5" customHeight="1">
      <c r="A924" s="184"/>
      <c r="B924" s="185"/>
      <c r="C924" s="186"/>
      <c r="D924" s="187"/>
      <c r="E924" s="185"/>
      <c r="F924" s="188"/>
      <c r="G924" s="185"/>
      <c r="H924" s="190"/>
      <c r="I924" s="183"/>
      <c r="J924" s="183"/>
    </row>
    <row r="925" ht="22.5" customHeight="1">
      <c r="A925" s="184"/>
      <c r="B925" s="185"/>
      <c r="C925" s="186"/>
      <c r="D925" s="187"/>
      <c r="E925" s="185"/>
      <c r="F925" s="188"/>
      <c r="G925" s="185"/>
      <c r="H925" s="190"/>
      <c r="I925" s="183"/>
      <c r="J925" s="183"/>
    </row>
    <row r="926" ht="22.5" customHeight="1">
      <c r="A926" s="184"/>
      <c r="B926" s="185"/>
      <c r="C926" s="186"/>
      <c r="D926" s="187"/>
      <c r="E926" s="185"/>
      <c r="F926" s="188"/>
      <c r="G926" s="185"/>
      <c r="H926" s="190"/>
      <c r="I926" s="183"/>
      <c r="J926" s="183"/>
    </row>
    <row r="927" ht="22.5" customHeight="1">
      <c r="A927" s="184"/>
      <c r="B927" s="185"/>
      <c r="C927" s="186"/>
      <c r="D927" s="187"/>
      <c r="E927" s="185"/>
      <c r="F927" s="188"/>
      <c r="G927" s="185"/>
      <c r="H927" s="190"/>
      <c r="I927" s="183"/>
      <c r="J927" s="183"/>
    </row>
    <row r="928" ht="22.5" customHeight="1">
      <c r="A928" s="184"/>
      <c r="B928" s="185"/>
      <c r="C928" s="186"/>
      <c r="D928" s="187"/>
      <c r="E928" s="185"/>
      <c r="F928" s="188"/>
      <c r="G928" s="185"/>
      <c r="H928" s="190"/>
      <c r="I928" s="183"/>
      <c r="J928" s="183"/>
    </row>
    <row r="929" ht="22.5" customHeight="1">
      <c r="A929" s="184"/>
      <c r="B929" s="185"/>
      <c r="C929" s="186"/>
      <c r="D929" s="187"/>
      <c r="E929" s="185"/>
      <c r="F929" s="188"/>
      <c r="G929" s="185"/>
      <c r="H929" s="190"/>
      <c r="I929" s="183"/>
      <c r="J929" s="183"/>
    </row>
    <row r="930" ht="22.5" customHeight="1">
      <c r="A930" s="184"/>
      <c r="B930" s="185"/>
      <c r="C930" s="186"/>
      <c r="D930" s="187"/>
      <c r="E930" s="185"/>
      <c r="F930" s="188"/>
      <c r="G930" s="185"/>
      <c r="H930" s="190"/>
      <c r="I930" s="183"/>
      <c r="J930" s="183"/>
    </row>
    <row r="931" ht="22.5" customHeight="1">
      <c r="A931" s="184"/>
      <c r="B931" s="185"/>
      <c r="C931" s="186"/>
      <c r="D931" s="187"/>
      <c r="E931" s="185"/>
      <c r="F931" s="188"/>
      <c r="G931" s="185"/>
      <c r="H931" s="190"/>
      <c r="I931" s="183"/>
      <c r="J931" s="183"/>
    </row>
    <row r="932" ht="22.5" customHeight="1">
      <c r="A932" s="184"/>
      <c r="B932" s="185"/>
      <c r="C932" s="186"/>
      <c r="D932" s="187"/>
      <c r="E932" s="185"/>
      <c r="F932" s="188"/>
      <c r="G932" s="185"/>
      <c r="H932" s="190"/>
      <c r="I932" s="183"/>
      <c r="J932" s="183"/>
    </row>
    <row r="933" ht="22.5" customHeight="1">
      <c r="A933" s="184"/>
      <c r="B933" s="185"/>
      <c r="C933" s="186"/>
      <c r="D933" s="187"/>
      <c r="E933" s="185"/>
      <c r="F933" s="188"/>
      <c r="G933" s="185"/>
      <c r="H933" s="190"/>
      <c r="I933" s="183"/>
      <c r="J933" s="183"/>
    </row>
    <row r="934" ht="22.5" customHeight="1">
      <c r="A934" s="184"/>
      <c r="B934" s="185"/>
      <c r="C934" s="186"/>
      <c r="D934" s="187"/>
      <c r="E934" s="185"/>
      <c r="F934" s="188"/>
      <c r="G934" s="185"/>
      <c r="H934" s="190"/>
      <c r="I934" s="183"/>
      <c r="J934" s="183"/>
    </row>
    <row r="935" ht="22.5" customHeight="1">
      <c r="A935" s="184"/>
      <c r="B935" s="185"/>
      <c r="C935" s="186"/>
      <c r="D935" s="187"/>
      <c r="E935" s="185"/>
      <c r="F935" s="188"/>
      <c r="G935" s="185"/>
      <c r="H935" s="190"/>
      <c r="I935" s="183"/>
      <c r="J935" s="183"/>
    </row>
    <row r="936" ht="22.5" customHeight="1">
      <c r="A936" s="184"/>
      <c r="B936" s="185"/>
      <c r="C936" s="186"/>
      <c r="D936" s="187"/>
      <c r="E936" s="185"/>
      <c r="F936" s="188"/>
      <c r="G936" s="185"/>
      <c r="H936" s="190"/>
      <c r="I936" s="183"/>
      <c r="J936" s="183"/>
    </row>
    <row r="937" ht="22.5" customHeight="1">
      <c r="A937" s="184"/>
      <c r="B937" s="185"/>
      <c r="C937" s="186"/>
      <c r="D937" s="187"/>
      <c r="E937" s="185"/>
      <c r="F937" s="188"/>
      <c r="G937" s="185"/>
      <c r="H937" s="190"/>
      <c r="I937" s="183"/>
      <c r="J937" s="183"/>
    </row>
    <row r="938" ht="22.5" customHeight="1">
      <c r="A938" s="184"/>
      <c r="B938" s="185"/>
      <c r="C938" s="186"/>
      <c r="D938" s="187"/>
      <c r="E938" s="185"/>
      <c r="F938" s="188"/>
      <c r="G938" s="185"/>
      <c r="H938" s="190"/>
      <c r="I938" s="183"/>
      <c r="J938" s="183"/>
    </row>
    <row r="939" ht="22.5" customHeight="1">
      <c r="A939" s="184"/>
      <c r="B939" s="185"/>
      <c r="C939" s="186"/>
      <c r="D939" s="187"/>
      <c r="E939" s="185"/>
      <c r="F939" s="188"/>
      <c r="G939" s="185"/>
      <c r="H939" s="190"/>
      <c r="I939" s="183"/>
      <c r="J939" s="183"/>
    </row>
    <row r="940" ht="22.5" customHeight="1">
      <c r="A940" s="184"/>
      <c r="B940" s="185"/>
      <c r="C940" s="186"/>
      <c r="D940" s="187"/>
      <c r="E940" s="185"/>
      <c r="F940" s="188"/>
      <c r="G940" s="185"/>
      <c r="H940" s="190"/>
      <c r="I940" s="183"/>
      <c r="J940" s="183"/>
    </row>
    <row r="941" ht="22.5" customHeight="1">
      <c r="A941" s="184"/>
      <c r="B941" s="185"/>
      <c r="C941" s="186"/>
      <c r="D941" s="187"/>
      <c r="E941" s="185"/>
      <c r="F941" s="188"/>
      <c r="G941" s="185"/>
      <c r="H941" s="190"/>
      <c r="I941" s="183"/>
      <c r="J941" s="183"/>
    </row>
    <row r="942" ht="22.5" customHeight="1">
      <c r="A942" s="184"/>
      <c r="B942" s="185"/>
      <c r="C942" s="186"/>
      <c r="D942" s="187"/>
      <c r="E942" s="185"/>
      <c r="F942" s="188"/>
      <c r="G942" s="185"/>
      <c r="H942" s="190"/>
      <c r="I942" s="183"/>
      <c r="J942" s="183"/>
    </row>
    <row r="943" ht="22.5" customHeight="1">
      <c r="A943" s="184"/>
      <c r="B943" s="185"/>
      <c r="C943" s="186"/>
      <c r="D943" s="187"/>
      <c r="E943" s="185"/>
      <c r="F943" s="188"/>
      <c r="G943" s="185"/>
      <c r="H943" s="190"/>
      <c r="I943" s="183"/>
      <c r="J943" s="183"/>
    </row>
    <row r="944" ht="22.5" customHeight="1">
      <c r="A944" s="184"/>
      <c r="B944" s="185"/>
      <c r="C944" s="186"/>
      <c r="D944" s="187"/>
      <c r="E944" s="185"/>
      <c r="F944" s="188"/>
      <c r="G944" s="185"/>
      <c r="H944" s="190"/>
      <c r="I944" s="183"/>
      <c r="J944" s="183"/>
    </row>
    <row r="945" ht="22.5" customHeight="1">
      <c r="A945" s="184"/>
      <c r="B945" s="185"/>
      <c r="C945" s="186"/>
      <c r="D945" s="187"/>
      <c r="E945" s="185"/>
      <c r="F945" s="188"/>
      <c r="G945" s="185"/>
      <c r="H945" s="190"/>
      <c r="I945" s="183"/>
      <c r="J945" s="183"/>
    </row>
    <row r="946" ht="22.5" customHeight="1">
      <c r="A946" s="184"/>
      <c r="B946" s="185"/>
      <c r="C946" s="186"/>
      <c r="D946" s="187"/>
      <c r="E946" s="185"/>
      <c r="F946" s="188"/>
      <c r="G946" s="185"/>
      <c r="H946" s="190"/>
      <c r="I946" s="183"/>
      <c r="J946" s="183"/>
    </row>
    <row r="947" ht="22.5" customHeight="1">
      <c r="A947" s="184"/>
      <c r="B947" s="185"/>
      <c r="C947" s="186"/>
      <c r="D947" s="187"/>
      <c r="E947" s="185"/>
      <c r="F947" s="188"/>
      <c r="G947" s="185"/>
      <c r="H947" s="190"/>
      <c r="I947" s="183"/>
      <c r="J947" s="183"/>
    </row>
    <row r="948" ht="22.5" customHeight="1">
      <c r="A948" s="184"/>
      <c r="B948" s="185"/>
      <c r="C948" s="186"/>
      <c r="D948" s="187"/>
      <c r="E948" s="185"/>
      <c r="F948" s="188"/>
      <c r="G948" s="185"/>
      <c r="H948" s="190"/>
      <c r="I948" s="183"/>
      <c r="J948" s="183"/>
    </row>
    <row r="949" ht="22.5" customHeight="1">
      <c r="A949" s="184"/>
      <c r="B949" s="185"/>
      <c r="C949" s="186"/>
      <c r="D949" s="187"/>
      <c r="E949" s="185"/>
      <c r="F949" s="188"/>
      <c r="G949" s="185"/>
      <c r="H949" s="190"/>
      <c r="I949" s="183"/>
      <c r="J949" s="183"/>
    </row>
    <row r="950" ht="22.5" customHeight="1">
      <c r="A950" s="184"/>
      <c r="B950" s="185"/>
      <c r="C950" s="186"/>
      <c r="D950" s="187"/>
      <c r="E950" s="185"/>
      <c r="F950" s="188"/>
      <c r="G950" s="185"/>
      <c r="H950" s="190"/>
      <c r="I950" s="183"/>
      <c r="J950" s="183"/>
    </row>
    <row r="951" ht="22.5" customHeight="1">
      <c r="A951" s="184"/>
      <c r="B951" s="185"/>
      <c r="C951" s="186"/>
      <c r="D951" s="187"/>
      <c r="E951" s="185"/>
      <c r="F951" s="188"/>
      <c r="G951" s="185"/>
      <c r="H951" s="190"/>
      <c r="I951" s="183"/>
      <c r="J951" s="183"/>
    </row>
    <row r="952" ht="22.5" customHeight="1">
      <c r="A952" s="184"/>
      <c r="B952" s="185"/>
      <c r="C952" s="186"/>
      <c r="D952" s="187"/>
      <c r="E952" s="185"/>
      <c r="F952" s="188"/>
      <c r="G952" s="185"/>
      <c r="H952" s="190"/>
      <c r="I952" s="183"/>
      <c r="J952" s="183"/>
    </row>
    <row r="953" ht="22.5" customHeight="1">
      <c r="A953" s="184"/>
      <c r="B953" s="185"/>
      <c r="C953" s="186"/>
      <c r="D953" s="187"/>
      <c r="E953" s="185"/>
      <c r="F953" s="188"/>
      <c r="G953" s="185"/>
      <c r="H953" s="190"/>
      <c r="I953" s="183"/>
      <c r="J953" s="183"/>
    </row>
    <row r="954" ht="22.5" customHeight="1">
      <c r="A954" s="184"/>
      <c r="B954" s="185"/>
      <c r="C954" s="186"/>
      <c r="D954" s="187"/>
      <c r="E954" s="185"/>
      <c r="F954" s="188"/>
      <c r="G954" s="185"/>
      <c r="H954" s="190"/>
      <c r="I954" s="183"/>
      <c r="J954" s="183"/>
    </row>
    <row r="955" ht="22.5" customHeight="1">
      <c r="A955" s="184"/>
      <c r="B955" s="185"/>
      <c r="C955" s="186"/>
      <c r="D955" s="187"/>
      <c r="E955" s="185"/>
      <c r="F955" s="188"/>
      <c r="G955" s="185"/>
      <c r="H955" s="190"/>
      <c r="I955" s="183"/>
      <c r="J955" s="183"/>
    </row>
    <row r="956" ht="22.5" customHeight="1">
      <c r="A956" s="184"/>
      <c r="B956" s="185"/>
      <c r="C956" s="186"/>
      <c r="D956" s="187"/>
      <c r="E956" s="185"/>
      <c r="F956" s="188"/>
      <c r="G956" s="185"/>
      <c r="H956" s="190"/>
      <c r="I956" s="183"/>
      <c r="J956" s="183"/>
    </row>
    <row r="957" ht="22.5" customHeight="1">
      <c r="A957" s="184"/>
      <c r="B957" s="185"/>
      <c r="C957" s="186"/>
      <c r="D957" s="187"/>
      <c r="E957" s="185"/>
      <c r="F957" s="188"/>
      <c r="G957" s="185"/>
      <c r="H957" s="190"/>
      <c r="I957" s="183"/>
      <c r="J957" s="183"/>
    </row>
    <row r="958" ht="22.5" customHeight="1">
      <c r="A958" s="184"/>
      <c r="B958" s="185"/>
      <c r="C958" s="186"/>
      <c r="D958" s="187"/>
      <c r="E958" s="185"/>
      <c r="F958" s="188"/>
      <c r="G958" s="185"/>
      <c r="H958" s="190"/>
      <c r="I958" s="183"/>
      <c r="J958" s="183"/>
    </row>
    <row r="959" ht="22.5" customHeight="1">
      <c r="A959" s="184"/>
      <c r="B959" s="185"/>
      <c r="C959" s="186"/>
      <c r="D959" s="187"/>
      <c r="E959" s="185"/>
      <c r="F959" s="188"/>
      <c r="G959" s="185"/>
      <c r="H959" s="190"/>
      <c r="I959" s="183"/>
      <c r="J959" s="183"/>
    </row>
    <row r="960" ht="22.5" customHeight="1">
      <c r="A960" s="184"/>
      <c r="B960" s="185"/>
      <c r="C960" s="186"/>
      <c r="D960" s="187"/>
      <c r="E960" s="185"/>
      <c r="F960" s="188"/>
      <c r="G960" s="185"/>
      <c r="H960" s="190"/>
      <c r="I960" s="183"/>
      <c r="J960" s="183"/>
    </row>
    <row r="961" ht="22.5" customHeight="1">
      <c r="A961" s="184"/>
      <c r="B961" s="185"/>
      <c r="C961" s="186"/>
      <c r="D961" s="187"/>
      <c r="E961" s="185"/>
      <c r="F961" s="188"/>
      <c r="G961" s="185"/>
      <c r="H961" s="190"/>
      <c r="I961" s="183"/>
      <c r="J961" s="183"/>
    </row>
    <row r="962" ht="22.5" customHeight="1">
      <c r="A962" s="184"/>
      <c r="B962" s="185"/>
      <c r="C962" s="186"/>
      <c r="D962" s="187"/>
      <c r="E962" s="185"/>
      <c r="F962" s="188"/>
      <c r="G962" s="185"/>
      <c r="H962" s="190"/>
      <c r="I962" s="183"/>
      <c r="J962" s="183"/>
    </row>
    <row r="963" ht="22.5" customHeight="1">
      <c r="A963" s="184"/>
      <c r="B963" s="185"/>
      <c r="C963" s="186"/>
      <c r="D963" s="187"/>
      <c r="E963" s="185"/>
      <c r="F963" s="188"/>
      <c r="G963" s="185"/>
      <c r="H963" s="190"/>
      <c r="I963" s="183"/>
      <c r="J963" s="183"/>
    </row>
    <row r="964" ht="22.5" customHeight="1">
      <c r="A964" s="184"/>
      <c r="B964" s="185"/>
      <c r="C964" s="186"/>
      <c r="D964" s="187"/>
      <c r="E964" s="185"/>
      <c r="F964" s="188"/>
      <c r="G964" s="185"/>
      <c r="H964" s="190"/>
      <c r="I964" s="183"/>
      <c r="J964" s="183"/>
    </row>
    <row r="965" ht="22.5" customHeight="1">
      <c r="A965" s="184"/>
      <c r="B965" s="185"/>
      <c r="C965" s="186"/>
      <c r="D965" s="187"/>
      <c r="E965" s="185"/>
      <c r="F965" s="188"/>
      <c r="G965" s="185"/>
      <c r="H965" s="190"/>
      <c r="I965" s="183"/>
      <c r="J965" s="183"/>
    </row>
    <row r="966" ht="22.5" customHeight="1">
      <c r="A966" s="184"/>
      <c r="B966" s="185"/>
      <c r="C966" s="186"/>
      <c r="D966" s="187"/>
      <c r="E966" s="185"/>
      <c r="F966" s="188"/>
      <c r="G966" s="185"/>
      <c r="H966" s="190"/>
      <c r="I966" s="183"/>
      <c r="J966" s="183"/>
    </row>
    <row r="967" ht="22.5" customHeight="1">
      <c r="A967" s="184"/>
      <c r="B967" s="185"/>
      <c r="C967" s="186"/>
      <c r="D967" s="187"/>
      <c r="E967" s="185"/>
      <c r="F967" s="188"/>
      <c r="G967" s="185"/>
      <c r="H967" s="190"/>
      <c r="I967" s="183"/>
      <c r="J967" s="183"/>
    </row>
    <row r="968" ht="22.5" customHeight="1">
      <c r="A968" s="184"/>
      <c r="B968" s="185"/>
      <c r="C968" s="186"/>
      <c r="D968" s="187"/>
      <c r="E968" s="185"/>
      <c r="F968" s="188"/>
      <c r="G968" s="185"/>
      <c r="H968" s="190"/>
      <c r="I968" s="183"/>
      <c r="J968" s="183"/>
    </row>
    <row r="969" ht="22.5" customHeight="1">
      <c r="A969" s="184"/>
      <c r="B969" s="185"/>
      <c r="C969" s="186"/>
      <c r="D969" s="187"/>
      <c r="E969" s="185"/>
      <c r="F969" s="188"/>
      <c r="G969" s="185"/>
      <c r="H969" s="190"/>
      <c r="I969" s="183"/>
      <c r="J969" s="183"/>
    </row>
    <row r="970" ht="22.5" customHeight="1">
      <c r="A970" s="184"/>
      <c r="B970" s="185"/>
      <c r="C970" s="186"/>
      <c r="D970" s="187"/>
      <c r="E970" s="185"/>
      <c r="F970" s="188"/>
      <c r="G970" s="185"/>
      <c r="H970" s="190"/>
      <c r="I970" s="183"/>
      <c r="J970" s="183"/>
    </row>
    <row r="971" ht="22.5" customHeight="1">
      <c r="A971" s="184"/>
      <c r="B971" s="185"/>
      <c r="C971" s="186"/>
      <c r="D971" s="187"/>
      <c r="E971" s="185"/>
      <c r="F971" s="188"/>
      <c r="G971" s="185"/>
      <c r="H971" s="190"/>
      <c r="I971" s="183"/>
      <c r="J971" s="183"/>
    </row>
    <row r="972" ht="22.5" customHeight="1">
      <c r="A972" s="184"/>
      <c r="B972" s="185"/>
      <c r="C972" s="186"/>
      <c r="D972" s="187"/>
      <c r="E972" s="185"/>
      <c r="F972" s="188"/>
      <c r="G972" s="185"/>
      <c r="H972" s="190"/>
      <c r="I972" s="183"/>
      <c r="J972" s="183"/>
    </row>
    <row r="973" ht="22.5" customHeight="1">
      <c r="A973" s="184"/>
      <c r="B973" s="185"/>
      <c r="C973" s="186"/>
      <c r="D973" s="187"/>
      <c r="E973" s="185"/>
      <c r="F973" s="188"/>
      <c r="G973" s="185"/>
      <c r="H973" s="190"/>
      <c r="I973" s="183"/>
      <c r="J973" s="183"/>
    </row>
    <row r="974" ht="22.5" customHeight="1">
      <c r="A974" s="184"/>
      <c r="B974" s="185"/>
      <c r="C974" s="186"/>
      <c r="D974" s="187"/>
      <c r="E974" s="185"/>
      <c r="F974" s="188"/>
      <c r="G974" s="185"/>
      <c r="H974" s="190"/>
      <c r="I974" s="183"/>
      <c r="J974" s="183"/>
    </row>
    <row r="975" ht="22.5" customHeight="1">
      <c r="A975" s="184"/>
      <c r="B975" s="185"/>
      <c r="C975" s="186"/>
      <c r="D975" s="187"/>
      <c r="E975" s="185"/>
      <c r="F975" s="188"/>
      <c r="G975" s="185"/>
      <c r="H975" s="190"/>
      <c r="I975" s="183"/>
      <c r="J975" s="183"/>
    </row>
    <row r="976" ht="22.5" customHeight="1">
      <c r="A976" s="184"/>
      <c r="B976" s="185"/>
      <c r="C976" s="186"/>
      <c r="D976" s="187"/>
      <c r="E976" s="185"/>
      <c r="F976" s="188"/>
      <c r="G976" s="185"/>
      <c r="H976" s="190"/>
      <c r="I976" s="183"/>
      <c r="J976" s="183"/>
    </row>
    <row r="977" ht="22.5" customHeight="1">
      <c r="A977" s="184"/>
      <c r="B977" s="185"/>
      <c r="C977" s="186"/>
      <c r="D977" s="187"/>
      <c r="E977" s="185"/>
      <c r="F977" s="188"/>
      <c r="G977" s="185"/>
      <c r="H977" s="190"/>
      <c r="I977" s="183"/>
      <c r="J977" s="183"/>
    </row>
    <row r="978" ht="22.5" customHeight="1">
      <c r="A978" s="184"/>
      <c r="B978" s="185"/>
      <c r="C978" s="186"/>
      <c r="D978" s="187"/>
      <c r="E978" s="185"/>
      <c r="F978" s="188"/>
      <c r="G978" s="185"/>
      <c r="H978" s="190"/>
      <c r="I978" s="183"/>
      <c r="J978" s="183"/>
    </row>
    <row r="979" ht="22.5" customHeight="1">
      <c r="A979" s="184"/>
      <c r="B979" s="185"/>
      <c r="C979" s="186"/>
      <c r="D979" s="187"/>
      <c r="E979" s="185"/>
      <c r="F979" s="188"/>
      <c r="G979" s="185"/>
      <c r="H979" s="190"/>
      <c r="I979" s="183"/>
      <c r="J979" s="183"/>
    </row>
    <row r="980" ht="22.5" customHeight="1">
      <c r="A980" s="184"/>
      <c r="B980" s="185"/>
      <c r="C980" s="186"/>
      <c r="D980" s="187"/>
      <c r="E980" s="185"/>
      <c r="F980" s="188"/>
      <c r="G980" s="185"/>
      <c r="H980" s="190"/>
      <c r="I980" s="183"/>
      <c r="J980" s="183"/>
    </row>
    <row r="981" ht="22.5" customHeight="1">
      <c r="A981" s="184"/>
      <c r="B981" s="185"/>
      <c r="C981" s="186"/>
      <c r="D981" s="187"/>
      <c r="E981" s="185"/>
      <c r="F981" s="188"/>
      <c r="G981" s="185"/>
      <c r="H981" s="190"/>
      <c r="I981" s="183"/>
      <c r="J981" s="183"/>
    </row>
    <row r="982" ht="22.5" customHeight="1">
      <c r="A982" s="184"/>
      <c r="B982" s="185"/>
      <c r="C982" s="186"/>
      <c r="D982" s="187"/>
      <c r="E982" s="185"/>
      <c r="F982" s="188"/>
      <c r="G982" s="185"/>
      <c r="H982" s="190"/>
      <c r="I982" s="183"/>
      <c r="J982" s="183"/>
    </row>
    <row r="983" ht="22.5" customHeight="1">
      <c r="A983" s="184"/>
      <c r="B983" s="185"/>
      <c r="C983" s="186"/>
      <c r="D983" s="187"/>
      <c r="E983" s="185"/>
      <c r="F983" s="188"/>
      <c r="G983" s="185"/>
      <c r="H983" s="190"/>
      <c r="I983" s="183"/>
      <c r="J983" s="183"/>
    </row>
    <row r="984" ht="22.5" customHeight="1">
      <c r="A984" s="184"/>
      <c r="B984" s="185"/>
      <c r="C984" s="186"/>
      <c r="D984" s="187"/>
      <c r="E984" s="185"/>
      <c r="F984" s="188"/>
      <c r="G984" s="185"/>
      <c r="H984" s="190"/>
      <c r="I984" s="183"/>
      <c r="J984" s="183"/>
    </row>
    <row r="985" ht="22.5" customHeight="1">
      <c r="A985" s="184"/>
      <c r="B985" s="185"/>
      <c r="C985" s="186"/>
      <c r="D985" s="187"/>
      <c r="E985" s="185"/>
      <c r="F985" s="188"/>
      <c r="G985" s="185"/>
      <c r="H985" s="190"/>
      <c r="I985" s="183"/>
      <c r="J985" s="183"/>
    </row>
    <row r="986" ht="22.5" customHeight="1">
      <c r="A986" s="184"/>
      <c r="B986" s="185"/>
      <c r="C986" s="186"/>
      <c r="D986" s="187"/>
      <c r="E986" s="185"/>
      <c r="F986" s="188"/>
      <c r="G986" s="185"/>
      <c r="H986" s="190"/>
      <c r="I986" s="183"/>
      <c r="J986" s="183"/>
    </row>
    <row r="987" ht="22.5" customHeight="1">
      <c r="A987" s="184"/>
      <c r="B987" s="185"/>
      <c r="C987" s="186"/>
      <c r="D987" s="187"/>
      <c r="E987" s="185"/>
      <c r="F987" s="188"/>
      <c r="G987" s="185"/>
      <c r="H987" s="190"/>
      <c r="I987" s="183"/>
      <c r="J987" s="183"/>
    </row>
    <row r="988" ht="22.5" customHeight="1">
      <c r="A988" s="184"/>
      <c r="B988" s="185"/>
      <c r="C988" s="186"/>
      <c r="D988" s="187"/>
      <c r="E988" s="185"/>
      <c r="F988" s="188"/>
      <c r="G988" s="185"/>
      <c r="H988" s="190"/>
      <c r="I988" s="183"/>
      <c r="J988" s="183"/>
    </row>
    <row r="989" ht="22.5" customHeight="1">
      <c r="A989" s="184"/>
      <c r="B989" s="185"/>
      <c r="C989" s="186"/>
      <c r="D989" s="187"/>
      <c r="E989" s="185"/>
      <c r="F989" s="188"/>
      <c r="G989" s="185"/>
      <c r="H989" s="190"/>
      <c r="I989" s="183"/>
      <c r="J989" s="183"/>
    </row>
    <row r="990" ht="22.5" customHeight="1">
      <c r="A990" s="184"/>
      <c r="B990" s="185"/>
      <c r="C990" s="186"/>
      <c r="D990" s="187"/>
      <c r="E990" s="185"/>
      <c r="F990" s="188"/>
      <c r="G990" s="185"/>
      <c r="H990" s="190"/>
      <c r="I990" s="183"/>
      <c r="J990" s="183"/>
    </row>
    <row r="991" ht="22.5" customHeight="1">
      <c r="A991" s="184"/>
      <c r="B991" s="185"/>
      <c r="C991" s="186"/>
      <c r="D991" s="187"/>
      <c r="E991" s="185"/>
      <c r="F991" s="188"/>
      <c r="G991" s="185"/>
      <c r="H991" s="190"/>
      <c r="I991" s="183"/>
      <c r="J991" s="183"/>
    </row>
    <row r="992" ht="22.5" customHeight="1">
      <c r="A992" s="184"/>
      <c r="B992" s="185"/>
      <c r="C992" s="186"/>
      <c r="D992" s="187"/>
      <c r="E992" s="185"/>
      <c r="F992" s="188"/>
      <c r="G992" s="185"/>
      <c r="H992" s="190"/>
      <c r="I992" s="183"/>
      <c r="J992" s="183"/>
    </row>
    <row r="993" ht="22.5" customHeight="1">
      <c r="A993" s="184"/>
      <c r="B993" s="185"/>
      <c r="C993" s="186"/>
      <c r="D993" s="187"/>
      <c r="E993" s="185"/>
      <c r="F993" s="188"/>
      <c r="G993" s="185"/>
      <c r="H993" s="190"/>
      <c r="I993" s="183"/>
      <c r="J993" s="183"/>
    </row>
    <row r="994" ht="22.5" customHeight="1">
      <c r="A994" s="184"/>
      <c r="B994" s="185"/>
      <c r="C994" s="186"/>
      <c r="D994" s="187"/>
      <c r="E994" s="185"/>
      <c r="F994" s="188"/>
      <c r="G994" s="185"/>
      <c r="H994" s="190"/>
      <c r="I994" s="183"/>
      <c r="J994" s="183"/>
    </row>
    <row r="995" ht="22.5" customHeight="1">
      <c r="A995" s="184"/>
      <c r="B995" s="185"/>
      <c r="C995" s="186"/>
      <c r="D995" s="187"/>
      <c r="E995" s="185"/>
      <c r="F995" s="188"/>
      <c r="G995" s="185"/>
      <c r="H995" s="190"/>
      <c r="I995" s="183"/>
      <c r="J995" s="183"/>
    </row>
    <row r="996" ht="22.5" customHeight="1">
      <c r="A996" s="184"/>
      <c r="B996" s="185"/>
      <c r="C996" s="186"/>
      <c r="D996" s="187"/>
      <c r="E996" s="185"/>
      <c r="F996" s="188"/>
      <c r="G996" s="185"/>
      <c r="H996" s="190"/>
      <c r="I996" s="183"/>
      <c r="J996" s="183"/>
    </row>
    <row r="997" ht="22.5" customHeight="1">
      <c r="A997" s="184"/>
      <c r="B997" s="185"/>
      <c r="C997" s="186"/>
      <c r="D997" s="187"/>
      <c r="E997" s="185"/>
      <c r="F997" s="188"/>
      <c r="G997" s="185"/>
      <c r="H997" s="190"/>
      <c r="I997" s="183"/>
      <c r="J997" s="183"/>
    </row>
    <row r="998" ht="22.5" customHeight="1">
      <c r="A998" s="184"/>
      <c r="B998" s="185"/>
      <c r="C998" s="186"/>
      <c r="D998" s="187"/>
      <c r="E998" s="185"/>
      <c r="F998" s="188"/>
      <c r="G998" s="185"/>
      <c r="H998" s="190"/>
      <c r="I998" s="183"/>
      <c r="J998" s="183"/>
    </row>
    <row r="999" ht="22.5" customHeight="1">
      <c r="A999" s="184"/>
      <c r="B999" s="185"/>
      <c r="C999" s="186"/>
      <c r="D999" s="187"/>
      <c r="E999" s="185"/>
      <c r="F999" s="188"/>
      <c r="G999" s="185"/>
      <c r="H999" s="190"/>
      <c r="I999" s="183"/>
      <c r="J999" s="183"/>
    </row>
    <row r="1000" ht="22.5" customHeight="1">
      <c r="A1000" s="184"/>
      <c r="B1000" s="185"/>
      <c r="C1000" s="186"/>
      <c r="D1000" s="187"/>
      <c r="E1000" s="185"/>
      <c r="F1000" s="188"/>
      <c r="G1000" s="185"/>
      <c r="H1000" s="190"/>
      <c r="I1000" s="183"/>
      <c r="J1000" s="183"/>
    </row>
    <row r="1001" ht="22.5" customHeight="1">
      <c r="A1001" s="184"/>
      <c r="B1001" s="185"/>
      <c r="C1001" s="186"/>
      <c r="D1001" s="187"/>
      <c r="E1001" s="185"/>
      <c r="F1001" s="188"/>
      <c r="G1001" s="185"/>
      <c r="H1001" s="190"/>
      <c r="I1001" s="183"/>
      <c r="J1001" s="183"/>
    </row>
    <row r="1002" ht="22.5" customHeight="1">
      <c r="A1002" s="184"/>
      <c r="B1002" s="185"/>
      <c r="C1002" s="186"/>
      <c r="D1002" s="187"/>
      <c r="E1002" s="185"/>
      <c r="F1002" s="188"/>
      <c r="G1002" s="185"/>
      <c r="H1002" s="190"/>
      <c r="I1002" s="183"/>
      <c r="J1002" s="183"/>
    </row>
    <row r="1003" ht="22.5" customHeight="1">
      <c r="A1003" s="184"/>
      <c r="B1003" s="185"/>
      <c r="C1003" s="186"/>
      <c r="D1003" s="187"/>
      <c r="E1003" s="185"/>
      <c r="F1003" s="188"/>
      <c r="G1003" s="185"/>
      <c r="H1003" s="190"/>
      <c r="I1003" s="183"/>
      <c r="J1003" s="183"/>
    </row>
    <row r="1004" ht="22.5" customHeight="1">
      <c r="A1004" s="184"/>
      <c r="B1004" s="185"/>
      <c r="C1004" s="186"/>
      <c r="D1004" s="187"/>
      <c r="E1004" s="185"/>
      <c r="F1004" s="188"/>
      <c r="G1004" s="185"/>
      <c r="H1004" s="190"/>
      <c r="I1004" s="183"/>
      <c r="J1004" s="183"/>
    </row>
    <row r="1005" ht="22.5" customHeight="1">
      <c r="A1005" s="184"/>
      <c r="B1005" s="185"/>
      <c r="C1005" s="186"/>
      <c r="D1005" s="187"/>
      <c r="E1005" s="185"/>
      <c r="F1005" s="188"/>
      <c r="G1005" s="185"/>
      <c r="H1005" s="190"/>
      <c r="I1005" s="183"/>
      <c r="J1005" s="183"/>
    </row>
    <row r="1006" ht="22.5" customHeight="1">
      <c r="A1006" s="184"/>
      <c r="B1006" s="185"/>
      <c r="C1006" s="186"/>
      <c r="D1006" s="187"/>
      <c r="E1006" s="185"/>
      <c r="F1006" s="188"/>
      <c r="G1006" s="185"/>
      <c r="H1006" s="190"/>
      <c r="I1006" s="183"/>
      <c r="J1006" s="183"/>
    </row>
    <row r="1007" ht="22.5" customHeight="1">
      <c r="A1007" s="184"/>
      <c r="B1007" s="185"/>
      <c r="C1007" s="186"/>
      <c r="D1007" s="187"/>
      <c r="E1007" s="185"/>
      <c r="F1007" s="188"/>
      <c r="G1007" s="185"/>
      <c r="H1007" s="190"/>
      <c r="I1007" s="183"/>
      <c r="J1007" s="183"/>
    </row>
    <row r="1008" ht="22.5" customHeight="1">
      <c r="A1008" s="184"/>
      <c r="B1008" s="185"/>
      <c r="C1008" s="186"/>
      <c r="D1008" s="187"/>
      <c r="E1008" s="185"/>
      <c r="F1008" s="188"/>
      <c r="G1008" s="185"/>
      <c r="H1008" s="190"/>
      <c r="I1008" s="183"/>
      <c r="J1008" s="183"/>
    </row>
    <row r="1009" ht="22.5" customHeight="1">
      <c r="A1009" s="184"/>
      <c r="B1009" s="185"/>
      <c r="C1009" s="186"/>
      <c r="D1009" s="187"/>
      <c r="E1009" s="185"/>
      <c r="F1009" s="188"/>
      <c r="G1009" s="185"/>
      <c r="H1009" s="190"/>
      <c r="I1009" s="183"/>
      <c r="J1009" s="183"/>
    </row>
    <row r="1010" ht="22.5" customHeight="1">
      <c r="A1010" s="184"/>
      <c r="B1010" s="185"/>
      <c r="C1010" s="186"/>
      <c r="D1010" s="187"/>
      <c r="E1010" s="185"/>
      <c r="F1010" s="188"/>
      <c r="G1010" s="185"/>
      <c r="H1010" s="190"/>
      <c r="I1010" s="183"/>
      <c r="J1010" s="183"/>
    </row>
    <row r="1011" ht="22.5" customHeight="1">
      <c r="A1011" s="184"/>
      <c r="B1011" s="185"/>
      <c r="C1011" s="186"/>
      <c r="D1011" s="187"/>
      <c r="E1011" s="185"/>
      <c r="F1011" s="188"/>
      <c r="G1011" s="185"/>
      <c r="H1011" s="190"/>
      <c r="I1011" s="183"/>
      <c r="J1011" s="183"/>
    </row>
    <row r="1012" ht="22.5" customHeight="1">
      <c r="A1012" s="184"/>
      <c r="B1012" s="185"/>
      <c r="C1012" s="186"/>
      <c r="D1012" s="187"/>
      <c r="E1012" s="185"/>
      <c r="F1012" s="188"/>
      <c r="G1012" s="185"/>
      <c r="H1012" s="190"/>
      <c r="I1012" s="183"/>
      <c r="J1012" s="183"/>
    </row>
    <row r="1013" ht="22.5" customHeight="1">
      <c r="A1013" s="184"/>
      <c r="B1013" s="185"/>
      <c r="C1013" s="186"/>
      <c r="D1013" s="187"/>
      <c r="E1013" s="185"/>
      <c r="F1013" s="188"/>
      <c r="G1013" s="185"/>
      <c r="H1013" s="190"/>
      <c r="I1013" s="183"/>
      <c r="J1013" s="183"/>
    </row>
  </sheetData>
  <dataValidations>
    <dataValidation type="list" allowBlank="1" sqref="E49:E56 E58">
      <formula1>Farms!$C$68:$C$104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